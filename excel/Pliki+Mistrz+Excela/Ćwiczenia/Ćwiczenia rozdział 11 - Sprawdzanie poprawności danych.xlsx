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72DA758B-25C8-4860-B091-51308478B2AB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342" r:id="rId3"/>
    <sheet name="Ćw2(Odp)" sheetId="343" r:id="rId4"/>
    <sheet name="Ćw3" sheetId="344" r:id="rId5"/>
    <sheet name="Ćw3(Odp)" sheetId="345" r:id="rId6"/>
    <sheet name="Ćw4" sheetId="340" r:id="rId7"/>
    <sheet name="Ćw4(Odp)" sheetId="341" r:id="rId8"/>
    <sheet name="Ćw5" sheetId="327" r:id="rId9"/>
    <sheet name="Ćw5(Odp)" sheetId="328" r:id="rId10"/>
    <sheet name="Ćw6" sheetId="346" r:id="rId11"/>
    <sheet name="Ćw6(Odp)" sheetId="347" r:id="rId12"/>
    <sheet name="Ćw7" sheetId="348" r:id="rId13"/>
    <sheet name="Ćw7(Odp)" sheetId="349" r:id="rId14"/>
  </sheet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349" l="1"/>
  <c r="G3" i="347"/>
  <c r="G3" i="346"/>
  <c r="G3" i="343"/>
  <c r="G3" i="342"/>
</calcChain>
</file>

<file path=xl/sharedStrings.xml><?xml version="1.0" encoding="utf-8"?>
<sst xmlns="http://schemas.openxmlformats.org/spreadsheetml/2006/main" count="309" uniqueCount="38">
  <si>
    <t>Indeks/Przedmiot</t>
  </si>
  <si>
    <t>Polski</t>
  </si>
  <si>
    <t>Fizyka</t>
  </si>
  <si>
    <t>Biologia</t>
  </si>
  <si>
    <t>Chemia</t>
  </si>
  <si>
    <t>Historia</t>
  </si>
  <si>
    <t>Oceny</t>
  </si>
  <si>
    <t>Lista</t>
  </si>
  <si>
    <t>Skróty</t>
  </si>
  <si>
    <t>Maj</t>
  </si>
  <si>
    <t>Sty</t>
  </si>
  <si>
    <t>Lut</t>
  </si>
  <si>
    <t>Mar</t>
  </si>
  <si>
    <t>Kwi</t>
  </si>
  <si>
    <t>Cze</t>
  </si>
  <si>
    <t>Lip</t>
  </si>
  <si>
    <t>Sie</t>
  </si>
  <si>
    <t>Wrz</t>
  </si>
  <si>
    <t>Paź</t>
  </si>
  <si>
    <t>Lis</t>
  </si>
  <si>
    <t>Gru</t>
  </si>
  <si>
    <t>Raport z przepracowanych godzin</t>
  </si>
  <si>
    <t>Pracownik</t>
  </si>
  <si>
    <t>Data</t>
  </si>
  <si>
    <t>Fabryka</t>
  </si>
  <si>
    <t>Ilość godzin</t>
  </si>
  <si>
    <t>Początek</t>
  </si>
  <si>
    <t>Koniec</t>
  </si>
  <si>
    <t>Dawid</t>
  </si>
  <si>
    <t>Stonoga</t>
  </si>
  <si>
    <t>Natalia</t>
  </si>
  <si>
    <t>Żuczek</t>
  </si>
  <si>
    <t>Motylek</t>
  </si>
  <si>
    <t>Ptaszek</t>
  </si>
  <si>
    <t>Szczepan</t>
  </si>
  <si>
    <t>Gabriel</t>
  </si>
  <si>
    <t>Może</t>
  </si>
  <si>
    <t>Nazwa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</si>
</sst>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zł&quot;;[Red]\-#,##0.00\ &quot;zł&quot;"/>
    <numFmt numFmtId="164" formatCode="&quot;$&quot;#,##0,"/>
    <numFmt numFmtId="165" formatCode="d\-mmm\-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sz val="10.5"/>
      <color theme="0"/>
      <name val="Calibri"/>
      <family val="2"/>
      <scheme val="minor"/>
    </font>
    <font>
      <b/>
      <sz val="10.5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CFF1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7">
    <xf numFmtId="0" fontId="0" fillId="0" borderId="0"/>
    <xf numFmtId="164" fontId="4" fillId="0" borderId="0"/>
    <xf numFmtId="165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0" fontId="8" fillId="5" borderId="0" applyNumberFormat="0" applyBorder="0" applyAlignment="0" applyProtection="0"/>
    <xf numFmtId="8" fontId="9" fillId="3" borderId="1"/>
    <xf numFmtId="0" fontId="9" fillId="2" borderId="2" applyBorder="0"/>
    <xf numFmtId="0" fontId="7" fillId="5" borderId="1"/>
    <xf numFmtId="0" fontId="7" fillId="4" borderId="0"/>
    <xf numFmtId="0" fontId="9" fillId="2" borderId="2"/>
    <xf numFmtId="0" fontId="3" fillId="0" borderId="0"/>
    <xf numFmtId="0" fontId="2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">
    <xf numFmtId="0" fontId="0" fillId="0" borderId="0" xfId="0"/>
    <xf numFmtId="0" fontId="10" fillId="0" borderId="0" xfId="11" applyFont="1"/>
    <xf numFmtId="0" fontId="11" fillId="4" borderId="0" xfId="11" applyFont="1" applyFill="1" applyAlignment="1">
      <alignment horizontal="centerContinuous"/>
    </xf>
    <xf numFmtId="0" fontId="12" fillId="6" borderId="3" xfId="5" applyFont="1" applyFill="1" applyBorder="1" applyAlignment="1">
      <alignment horizontal="center" vertical="center"/>
    </xf>
    <xf numFmtId="0" fontId="10" fillId="0" borderId="1" xfId="11" applyFont="1" applyBorder="1"/>
    <xf numFmtId="0" fontId="12" fillId="4" borderId="0" xfId="12" applyFont="1" applyFill="1" applyAlignment="1">
      <alignment horizontal="centerContinuous"/>
    </xf>
    <xf numFmtId="0" fontId="10" fillId="0" borderId="0" xfId="12" applyFont="1"/>
    <xf numFmtId="0" fontId="10" fillId="0" borderId="1" xfId="12" applyFont="1" applyBorder="1"/>
    <xf numFmtId="14" fontId="10" fillId="0" borderId="1" xfId="12" applyNumberFormat="1" applyFont="1" applyBorder="1"/>
    <xf numFmtId="14" fontId="10" fillId="7" borderId="1" xfId="12" applyNumberFormat="1" applyFont="1" applyFill="1" applyBorder="1"/>
    <xf numFmtId="14" fontId="10" fillId="0" borderId="0" xfId="12" applyNumberFormat="1" applyFont="1"/>
    <xf numFmtId="0" fontId="12" fillId="6" borderId="1" xfId="5" applyFont="1" applyFill="1" applyBorder="1" applyAlignment="1">
      <alignment horizontal="center" vertical="center"/>
    </xf>
    <xf numFmtId="0" fontId="12" fillId="5" borderId="1" xfId="5" applyFont="1" applyBorder="1" applyAlignment="1">
      <alignment horizontal="center"/>
    </xf>
    <xf numFmtId="0" fontId="10" fillId="0" borderId="0" xfId="0" applyFont="1"/>
  </cellXfs>
  <cellStyles count="17">
    <cellStyle name="Akcent 1" xfId="5" builtinId="29"/>
    <cellStyle name="Currency Round to thousands" xfId="1" xr:uid="{00000000-0005-0000-0000-000001000000}"/>
    <cellStyle name="Czarny" xfId="9" xr:uid="{00000000-0005-0000-0000-000002000000}"/>
    <cellStyle name="Formuła" xfId="6" xr:uid="{00000000-0005-0000-0000-000003000000}"/>
    <cellStyle name="Four-Digit Year" xfId="2" xr:uid="{00000000-0005-0000-0000-000004000000}"/>
    <cellStyle name="Hiperłącze 2" xfId="15" xr:uid="{2B9063B0-BEB9-4398-98B2-04C62E2C3E79}"/>
    <cellStyle name="Hiperłącze 2 3" xfId="16" xr:uid="{E76D9A66-E4DC-44D9-981F-E028B2E4A1F4}"/>
    <cellStyle name="Informacja" xfId="7" xr:uid="{00000000-0005-0000-0000-000005000000}"/>
    <cellStyle name="Nagłówek" xfId="8" xr:uid="{00000000-0005-0000-0000-000006000000}"/>
    <cellStyle name="Normal 2" xfId="3" xr:uid="{00000000-0005-0000-0000-000007000000}"/>
    <cellStyle name="Normalny" xfId="0" builtinId="0"/>
    <cellStyle name="Normalny 2" xfId="11" xr:uid="{00000000-0005-0000-0000-000009000000}"/>
    <cellStyle name="Normalny 2 2" xfId="12" xr:uid="{00000000-0005-0000-0000-00000A000000}"/>
    <cellStyle name="Normalny 2 3" xfId="13" xr:uid="{7309B707-C355-499D-8C9A-8B4AA6E6E718}"/>
    <cellStyle name="Normalny 4" xfId="14" xr:uid="{DCE2FE49-4E96-4133-BAD2-F9B54A3DBE5F}"/>
    <cellStyle name="Wrap Text" xfId="4" xr:uid="{00000000-0005-0000-0000-00000B000000}"/>
    <cellStyle name="ziel" xfId="10" xr:uid="{00000000-0005-0000-0000-00000C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5</xdr:col>
      <xdr:colOff>29307</xdr:colOff>
      <xdr:row>14</xdr:row>
      <xdr:rowOff>190499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392115" y="2168769"/>
          <a:ext cx="2461846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poprawność danych, żeby pozwalała wpisywać wartości od 1 do 6. Zaznacz niepoprawne liczby.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29307</xdr:colOff>
      <xdr:row>13</xdr:row>
      <xdr:rowOff>190499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92115" y="1978269"/>
          <a:ext cx="2461846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Zaznaczenie niepoprawnych liczby,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znika z zapisywaniem itp.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29307</xdr:colOff>
      <xdr:row>5</xdr:row>
      <xdr:rowOff>95249</xdr:rowOff>
    </xdr:from>
    <xdr:to>
      <xdr:col>7</xdr:col>
      <xdr:colOff>417314</xdr:colOff>
      <xdr:row>11</xdr:row>
      <xdr:rowOff>7326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572482" y="1047749"/>
          <a:ext cx="3778907" cy="105507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Dane mają być z wskazanego przedziału - nałóż sprawdzanie poprawności danych z odpowiednim komunikatem przy zaznaczaniu danych i wpisaniu niepoprawnej wartości na kolumnie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Data.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6</xdr:col>
      <xdr:colOff>388008</xdr:colOff>
      <xdr:row>14</xdr:row>
      <xdr:rowOff>102577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95450" y="1714500"/>
          <a:ext cx="3778908" cy="105507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 komunikatach nie można się odwoływać do wartości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komórek.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87921</xdr:colOff>
      <xdr:row>1</xdr:row>
      <xdr:rowOff>0</xdr:rowOff>
    </xdr:from>
    <xdr:to>
      <xdr:col>10</xdr:col>
      <xdr:colOff>80595</xdr:colOff>
      <xdr:row>4</xdr:row>
      <xdr:rowOff>95249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135921" y="190500"/>
          <a:ext cx="3040674" cy="6667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listę rozwijaną stały wartości Tak;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Nie; Może.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87921</xdr:colOff>
      <xdr:row>1</xdr:row>
      <xdr:rowOff>1</xdr:rowOff>
    </xdr:from>
    <xdr:to>
      <xdr:col>10</xdr:col>
      <xdr:colOff>80595</xdr:colOff>
      <xdr:row>3</xdr:row>
      <xdr:rowOff>95251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135921" y="190501"/>
          <a:ext cx="3040674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listę rozwijaną skrótów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miesięcy.</a:t>
          </a:r>
        </a:p>
        <a:p>
          <a:pPr algn="ctr"/>
          <a:endParaRPr lang="pl-P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87921</xdr:colOff>
      <xdr:row>1</xdr:row>
      <xdr:rowOff>1</xdr:rowOff>
    </xdr:from>
    <xdr:to>
      <xdr:col>10</xdr:col>
      <xdr:colOff>80595</xdr:colOff>
      <xdr:row>3</xdr:row>
      <xdr:rowOff>95251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3135921" y="190501"/>
          <a:ext cx="3040674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listę rozwijaną skrótów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miesięcy.</a:t>
          </a:r>
        </a:p>
        <a:p>
          <a:pPr algn="ctr"/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51288</xdr:rowOff>
    </xdr:from>
    <xdr:to>
      <xdr:col>7</xdr:col>
      <xdr:colOff>117231</xdr:colOff>
      <xdr:row>5</xdr:row>
      <xdr:rowOff>36635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538654" y="432288"/>
          <a:ext cx="3157904" cy="5568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Oznacz długość tekstu nazwy na od 4 do 20 znaków.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51288</xdr:rowOff>
    </xdr:from>
    <xdr:to>
      <xdr:col>7</xdr:col>
      <xdr:colOff>117231</xdr:colOff>
      <xdr:row>5</xdr:row>
      <xdr:rowOff>36635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543050" y="432288"/>
          <a:ext cx="3165231" cy="5568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Oznacz długość tekstu nazwy na od 4 do 20 znaków.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6</xdr:col>
      <xdr:colOff>388008</xdr:colOff>
      <xdr:row>14</xdr:row>
      <xdr:rowOff>102577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695450" y="1714500"/>
          <a:ext cx="3778908" cy="105507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Usuń sprawdzanie poprawności z tego arkusza.</a:t>
          </a:r>
          <a:endParaRPr lang="pl-PL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6</xdr:col>
      <xdr:colOff>388008</xdr:colOff>
      <xdr:row>14</xdr:row>
      <xdr:rowOff>102577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695450" y="1714500"/>
          <a:ext cx="3778908" cy="105507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Usuń sprawdzanie poprawności z tego arkusza.</a:t>
          </a:r>
          <a:endParaRPr lang="pl-P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5</xdr:col>
      <xdr:colOff>29307</xdr:colOff>
      <xdr:row>15</xdr:row>
      <xdr:rowOff>175846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392115" y="2168769"/>
          <a:ext cx="2461846" cy="93784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poprawność danych, żeby pozwalała wpisywać wartości od 1 do 6.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Tylko całości i połówki. Przyda się formuła.</a:t>
          </a:r>
          <a:endParaRPr lang="pl-PL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5</xdr:col>
      <xdr:colOff>29307</xdr:colOff>
      <xdr:row>15</xdr:row>
      <xdr:rowOff>175846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390650" y="2171700"/>
          <a:ext cx="2467707" cy="93784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Jeden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ze sposobów rozwiązania znajdziesz w komórce H3.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F10"/>
  <sheetViews>
    <sheetView tabSelected="1" zoomScale="130" zoomScaleNormal="130" workbookViewId="0"/>
  </sheetViews>
  <sheetFormatPr defaultColWidth="9.109375" defaultRowHeight="14.4" x14ac:dyDescent="0.3"/>
  <cols>
    <col min="1" max="1" width="20.88671875" style="1" bestFit="1" customWidth="1"/>
    <col min="2" max="16384" width="9.109375" style="1"/>
  </cols>
  <sheetData>
    <row r="1" spans="1:6" x14ac:dyDescent="0.3">
      <c r="B1" s="2" t="s">
        <v>6</v>
      </c>
      <c r="C1" s="2"/>
      <c r="D1" s="2"/>
      <c r="E1" s="2"/>
      <c r="F1" s="2"/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">
      <c r="A3" s="4">
        <v>21475</v>
      </c>
      <c r="B3" s="4">
        <v>2</v>
      </c>
      <c r="C3" s="4">
        <v>4</v>
      </c>
      <c r="D3" s="4">
        <v>5</v>
      </c>
      <c r="E3" s="4">
        <v>4</v>
      </c>
      <c r="F3" s="4">
        <v>2.5</v>
      </c>
    </row>
    <row r="4" spans="1:6" x14ac:dyDescent="0.3">
      <c r="A4" s="4">
        <v>21486</v>
      </c>
      <c r="B4" s="4">
        <v>5</v>
      </c>
      <c r="C4" s="4">
        <v>6</v>
      </c>
      <c r="D4" s="4">
        <v>6.5</v>
      </c>
      <c r="E4" s="4">
        <v>5.5</v>
      </c>
      <c r="F4" s="4">
        <v>1.5</v>
      </c>
    </row>
    <row r="5" spans="1:6" x14ac:dyDescent="0.3">
      <c r="A5" s="4">
        <v>21497</v>
      </c>
      <c r="B5" s="4">
        <v>1</v>
      </c>
      <c r="C5" s="4">
        <v>3</v>
      </c>
      <c r="D5" s="4">
        <v>4.5</v>
      </c>
      <c r="E5" s="4">
        <v>4</v>
      </c>
      <c r="F5" s="4">
        <v>2.5</v>
      </c>
    </row>
    <row r="6" spans="1:6" x14ac:dyDescent="0.3">
      <c r="A6" s="4">
        <v>21505</v>
      </c>
      <c r="B6" s="4">
        <v>2</v>
      </c>
      <c r="C6" s="4">
        <v>3</v>
      </c>
      <c r="D6" s="4">
        <v>7</v>
      </c>
      <c r="E6" s="4">
        <v>6</v>
      </c>
      <c r="F6" s="4">
        <v>3.5</v>
      </c>
    </row>
    <row r="7" spans="1:6" x14ac:dyDescent="0.3">
      <c r="A7" s="4">
        <v>21516</v>
      </c>
      <c r="B7" s="4">
        <v>2</v>
      </c>
      <c r="C7" s="4">
        <v>4.5</v>
      </c>
      <c r="D7" s="4">
        <v>1.5</v>
      </c>
      <c r="E7" s="4">
        <v>4</v>
      </c>
      <c r="F7" s="4">
        <v>2</v>
      </c>
    </row>
    <row r="8" spans="1:6" x14ac:dyDescent="0.3">
      <c r="A8" s="4">
        <v>21527</v>
      </c>
      <c r="B8" s="4">
        <v>6</v>
      </c>
      <c r="C8" s="4">
        <v>2.5</v>
      </c>
      <c r="D8" s="4">
        <v>6</v>
      </c>
      <c r="E8" s="4">
        <v>7</v>
      </c>
      <c r="F8" s="4">
        <v>6</v>
      </c>
    </row>
    <row r="9" spans="1:6" x14ac:dyDescent="0.3">
      <c r="A9" s="4">
        <v>21538</v>
      </c>
      <c r="B9" s="4">
        <v>4</v>
      </c>
      <c r="C9" s="4">
        <v>1</v>
      </c>
      <c r="D9" s="4">
        <v>3.5</v>
      </c>
      <c r="E9" s="4">
        <v>5</v>
      </c>
      <c r="F9" s="4">
        <v>6</v>
      </c>
    </row>
    <row r="10" spans="1:6" x14ac:dyDescent="0.3">
      <c r="A10" s="4">
        <v>21549</v>
      </c>
      <c r="B10" s="4">
        <v>4</v>
      </c>
      <c r="C10" s="4">
        <v>3.5</v>
      </c>
      <c r="D10" s="4">
        <v>3</v>
      </c>
      <c r="E10" s="4">
        <v>5</v>
      </c>
      <c r="F10" s="4">
        <v>1.5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10"/>
  <sheetViews>
    <sheetView zoomScale="130" zoomScaleNormal="130" workbookViewId="0"/>
  </sheetViews>
  <sheetFormatPr defaultColWidth="9.109375" defaultRowHeight="14.4" x14ac:dyDescent="0.3"/>
  <cols>
    <col min="1" max="1" width="17" style="1" bestFit="1" customWidth="1"/>
    <col min="2" max="16384" width="9.109375" style="1"/>
  </cols>
  <sheetData>
    <row r="1" spans="1:6" x14ac:dyDescent="0.3">
      <c r="B1" s="2" t="s">
        <v>6</v>
      </c>
      <c r="C1" s="2"/>
      <c r="D1" s="2"/>
      <c r="E1" s="2"/>
      <c r="F1" s="2"/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">
      <c r="A3" s="4">
        <v>21475</v>
      </c>
      <c r="B3" s="4">
        <v>2</v>
      </c>
      <c r="C3" s="4">
        <v>4</v>
      </c>
      <c r="D3" s="4">
        <v>5</v>
      </c>
      <c r="E3" s="4">
        <v>4</v>
      </c>
      <c r="F3" s="4">
        <v>2.5</v>
      </c>
    </row>
    <row r="4" spans="1:6" x14ac:dyDescent="0.3">
      <c r="A4" s="4">
        <v>21486</v>
      </c>
      <c r="B4" s="4">
        <v>5</v>
      </c>
      <c r="C4" s="4">
        <v>6</v>
      </c>
      <c r="D4" s="4">
        <v>6.5</v>
      </c>
      <c r="E4" s="4">
        <v>5.5</v>
      </c>
      <c r="F4" s="4">
        <v>1.5</v>
      </c>
    </row>
    <row r="5" spans="1:6" x14ac:dyDescent="0.3">
      <c r="A5" s="4">
        <v>21497</v>
      </c>
      <c r="B5" s="4">
        <v>1</v>
      </c>
      <c r="C5" s="4">
        <v>3</v>
      </c>
      <c r="D5" s="4">
        <v>4.5</v>
      </c>
      <c r="E5" s="4">
        <v>4</v>
      </c>
      <c r="F5" s="4">
        <v>2.5</v>
      </c>
    </row>
    <row r="6" spans="1:6" x14ac:dyDescent="0.3">
      <c r="A6" s="4">
        <v>21505</v>
      </c>
      <c r="B6" s="4">
        <v>2</v>
      </c>
      <c r="C6" s="4">
        <v>3</v>
      </c>
      <c r="D6" s="4">
        <v>7</v>
      </c>
      <c r="E6" s="4">
        <v>6</v>
      </c>
      <c r="F6" s="4">
        <v>3.5</v>
      </c>
    </row>
    <row r="7" spans="1:6" x14ac:dyDescent="0.3">
      <c r="A7" s="4">
        <v>21516</v>
      </c>
      <c r="B7" s="4">
        <v>2</v>
      </c>
      <c r="C7" s="4">
        <v>4.5</v>
      </c>
      <c r="D7" s="4">
        <v>1.5</v>
      </c>
      <c r="E7" s="4">
        <v>4</v>
      </c>
      <c r="F7" s="4">
        <v>2</v>
      </c>
    </row>
    <row r="8" spans="1:6" x14ac:dyDescent="0.3">
      <c r="A8" s="4">
        <v>21527</v>
      </c>
      <c r="B8" s="4">
        <v>6</v>
      </c>
      <c r="C8" s="4">
        <v>2.5</v>
      </c>
      <c r="D8" s="4">
        <v>6</v>
      </c>
      <c r="E8" s="4">
        <v>7</v>
      </c>
      <c r="F8" s="4">
        <v>6</v>
      </c>
    </row>
    <row r="9" spans="1:6" x14ac:dyDescent="0.3">
      <c r="A9" s="4">
        <v>21538</v>
      </c>
      <c r="B9" s="4">
        <v>4</v>
      </c>
      <c r="C9" s="4">
        <v>1</v>
      </c>
      <c r="D9" s="4">
        <v>3.5</v>
      </c>
      <c r="E9" s="4">
        <v>5</v>
      </c>
      <c r="F9" s="4">
        <v>6</v>
      </c>
    </row>
    <row r="10" spans="1:6" x14ac:dyDescent="0.3">
      <c r="A10" s="4">
        <v>21549</v>
      </c>
      <c r="B10" s="4">
        <v>4</v>
      </c>
      <c r="C10" s="4">
        <v>3.5</v>
      </c>
      <c r="D10" s="4">
        <v>3</v>
      </c>
      <c r="E10" s="4">
        <v>5</v>
      </c>
      <c r="F10" s="4">
        <v>1.5</v>
      </c>
    </row>
  </sheetData>
  <dataValidations count="1">
    <dataValidation type="decimal" allowBlank="1" showInputMessage="1" showErrorMessage="1" sqref="B3:F10" xr:uid="{00000000-0002-0000-0100-000000000000}">
      <formula1>1</formula1>
      <formula2>6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31"/>
  <sheetViews>
    <sheetView zoomScale="130" zoomScaleNormal="130" workbookViewId="0"/>
  </sheetViews>
  <sheetFormatPr defaultColWidth="12.6640625" defaultRowHeight="14.4" x14ac:dyDescent="0.3"/>
  <cols>
    <col min="1" max="16384" width="12.6640625" style="6"/>
  </cols>
  <sheetData>
    <row r="1" spans="1:7" x14ac:dyDescent="0.3">
      <c r="A1" s="5" t="s">
        <v>21</v>
      </c>
      <c r="B1" s="5"/>
      <c r="C1" s="5"/>
      <c r="D1" s="5"/>
    </row>
    <row r="2" spans="1:7" x14ac:dyDescent="0.3">
      <c r="A2" s="3" t="s">
        <v>22</v>
      </c>
      <c r="B2" s="3" t="s">
        <v>23</v>
      </c>
      <c r="C2" s="3" t="s">
        <v>24</v>
      </c>
      <c r="D2" s="3" t="s">
        <v>25</v>
      </c>
      <c r="F2" s="3" t="s">
        <v>26</v>
      </c>
      <c r="G2" s="3" t="s">
        <v>27</v>
      </c>
    </row>
    <row r="3" spans="1:7" x14ac:dyDescent="0.3">
      <c r="A3" s="7" t="s">
        <v>28</v>
      </c>
      <c r="B3" s="8"/>
      <c r="C3" s="7" t="s">
        <v>29</v>
      </c>
      <c r="D3" s="7">
        <v>7.5</v>
      </c>
      <c r="F3" s="8">
        <v>41944</v>
      </c>
      <c r="G3" s="9">
        <f>EOMONTH(F3,0)</f>
        <v>41973</v>
      </c>
    </row>
    <row r="4" spans="1:7" x14ac:dyDescent="0.3">
      <c r="A4" s="7" t="s">
        <v>30</v>
      </c>
      <c r="B4" s="8"/>
      <c r="C4" s="7" t="s">
        <v>31</v>
      </c>
      <c r="D4" s="7">
        <v>8.5</v>
      </c>
    </row>
    <row r="5" spans="1:7" x14ac:dyDescent="0.3">
      <c r="A5" s="7" t="s">
        <v>28</v>
      </c>
      <c r="B5" s="8"/>
      <c r="C5" s="7" t="s">
        <v>32</v>
      </c>
      <c r="D5" s="7">
        <v>10</v>
      </c>
    </row>
    <row r="6" spans="1:7" x14ac:dyDescent="0.3">
      <c r="A6" s="7" t="s">
        <v>28</v>
      </c>
      <c r="B6" s="8">
        <v>41982</v>
      </c>
      <c r="C6" s="7" t="s">
        <v>33</v>
      </c>
      <c r="D6" s="7">
        <v>7</v>
      </c>
    </row>
    <row r="7" spans="1:7" x14ac:dyDescent="0.3">
      <c r="A7" s="7" t="s">
        <v>30</v>
      </c>
      <c r="B7" s="8">
        <v>41935</v>
      </c>
      <c r="C7" s="7" t="s">
        <v>29</v>
      </c>
      <c r="D7" s="7">
        <v>8.5</v>
      </c>
    </row>
    <row r="8" spans="1:7" x14ac:dyDescent="0.3">
      <c r="A8" s="7" t="s">
        <v>30</v>
      </c>
      <c r="B8" s="8">
        <v>41939</v>
      </c>
      <c r="C8" s="7" t="s">
        <v>33</v>
      </c>
      <c r="D8" s="7">
        <v>10</v>
      </c>
    </row>
    <row r="9" spans="1:7" x14ac:dyDescent="0.3">
      <c r="A9" s="7" t="s">
        <v>34</v>
      </c>
      <c r="B9" s="8">
        <v>41956</v>
      </c>
      <c r="C9" s="7" t="s">
        <v>31</v>
      </c>
      <c r="D9" s="7">
        <v>8.5</v>
      </c>
    </row>
    <row r="10" spans="1:7" x14ac:dyDescent="0.3">
      <c r="A10" s="7" t="s">
        <v>34</v>
      </c>
      <c r="B10" s="8">
        <v>41938</v>
      </c>
      <c r="C10" s="7" t="s">
        <v>33</v>
      </c>
      <c r="D10" s="7">
        <v>7</v>
      </c>
      <c r="F10" s="10"/>
    </row>
    <row r="11" spans="1:7" x14ac:dyDescent="0.3">
      <c r="A11" s="7" t="s">
        <v>30</v>
      </c>
      <c r="B11" s="8">
        <v>41940</v>
      </c>
      <c r="C11" s="7" t="s">
        <v>31</v>
      </c>
      <c r="D11" s="7">
        <v>8.5</v>
      </c>
      <c r="F11" s="10"/>
    </row>
    <row r="12" spans="1:7" x14ac:dyDescent="0.3">
      <c r="A12" s="7" t="s">
        <v>34</v>
      </c>
      <c r="B12" s="8">
        <v>41945</v>
      </c>
      <c r="C12" s="7" t="s">
        <v>31</v>
      </c>
      <c r="D12" s="7">
        <v>8</v>
      </c>
    </row>
    <row r="13" spans="1:7" x14ac:dyDescent="0.3">
      <c r="A13" s="7" t="s">
        <v>30</v>
      </c>
      <c r="B13" s="8">
        <v>41957</v>
      </c>
      <c r="C13" s="7" t="s">
        <v>32</v>
      </c>
      <c r="D13" s="7">
        <v>9</v>
      </c>
    </row>
    <row r="14" spans="1:7" x14ac:dyDescent="0.3">
      <c r="A14" s="7" t="s">
        <v>35</v>
      </c>
      <c r="B14" s="8">
        <v>41969</v>
      </c>
      <c r="C14" s="7" t="s">
        <v>29</v>
      </c>
      <c r="D14" s="7">
        <v>8.5</v>
      </c>
    </row>
    <row r="15" spans="1:7" x14ac:dyDescent="0.3">
      <c r="A15" s="7" t="s">
        <v>35</v>
      </c>
      <c r="B15" s="8">
        <v>41974</v>
      </c>
      <c r="C15" s="7" t="s">
        <v>32</v>
      </c>
      <c r="D15" s="7">
        <v>7</v>
      </c>
    </row>
    <row r="16" spans="1:7" x14ac:dyDescent="0.3">
      <c r="A16" s="7" t="s">
        <v>30</v>
      </c>
      <c r="B16" s="8">
        <v>41953</v>
      </c>
      <c r="C16" s="7" t="s">
        <v>29</v>
      </c>
      <c r="D16" s="7">
        <v>8.5</v>
      </c>
    </row>
    <row r="17" spans="1:4" x14ac:dyDescent="0.3">
      <c r="A17" s="7" t="s">
        <v>30</v>
      </c>
      <c r="B17" s="8">
        <v>41979</v>
      </c>
      <c r="C17" s="7" t="s">
        <v>32</v>
      </c>
      <c r="D17" s="7">
        <v>8</v>
      </c>
    </row>
    <row r="18" spans="1:4" x14ac:dyDescent="0.3">
      <c r="A18" s="7" t="s">
        <v>35</v>
      </c>
      <c r="B18" s="8">
        <v>41981</v>
      </c>
      <c r="C18" s="7" t="s">
        <v>31</v>
      </c>
      <c r="D18" s="7">
        <v>8</v>
      </c>
    </row>
    <row r="19" spans="1:4" x14ac:dyDescent="0.3">
      <c r="A19" s="7" t="s">
        <v>34</v>
      </c>
      <c r="B19" s="8">
        <v>41967</v>
      </c>
      <c r="C19" s="7" t="s">
        <v>33</v>
      </c>
      <c r="D19" s="7">
        <v>9</v>
      </c>
    </row>
    <row r="20" spans="1:4" x14ac:dyDescent="0.3">
      <c r="A20" s="7" t="s">
        <v>35</v>
      </c>
      <c r="B20" s="8">
        <v>41958</v>
      </c>
      <c r="C20" s="7" t="s">
        <v>29</v>
      </c>
      <c r="D20" s="7">
        <v>9.5</v>
      </c>
    </row>
    <row r="21" spans="1:4" x14ac:dyDescent="0.3">
      <c r="A21" s="7" t="s">
        <v>28</v>
      </c>
      <c r="B21" s="8">
        <v>41966</v>
      </c>
      <c r="C21" s="7" t="s">
        <v>32</v>
      </c>
      <c r="D21" s="7">
        <v>9.5</v>
      </c>
    </row>
    <row r="22" spans="1:4" x14ac:dyDescent="0.3">
      <c r="A22" s="7" t="s">
        <v>35</v>
      </c>
      <c r="B22" s="8">
        <v>41935</v>
      </c>
      <c r="C22" s="7" t="s">
        <v>33</v>
      </c>
      <c r="D22" s="7">
        <v>9</v>
      </c>
    </row>
    <row r="23" spans="1:4" x14ac:dyDescent="0.3">
      <c r="A23" s="7" t="s">
        <v>28</v>
      </c>
      <c r="B23" s="8">
        <v>41949</v>
      </c>
      <c r="C23" s="7" t="s">
        <v>32</v>
      </c>
      <c r="D23" s="7">
        <v>7</v>
      </c>
    </row>
    <row r="24" spans="1:4" x14ac:dyDescent="0.3">
      <c r="A24" s="7" t="s">
        <v>35</v>
      </c>
      <c r="B24" s="8">
        <v>41965</v>
      </c>
      <c r="C24" s="7" t="s">
        <v>29</v>
      </c>
      <c r="D24" s="7">
        <v>7</v>
      </c>
    </row>
    <row r="25" spans="1:4" x14ac:dyDescent="0.3">
      <c r="A25" s="7" t="s">
        <v>28</v>
      </c>
      <c r="B25" s="8">
        <v>41960</v>
      </c>
      <c r="C25" s="7" t="s">
        <v>33</v>
      </c>
      <c r="D25" s="7">
        <v>7.5</v>
      </c>
    </row>
    <row r="26" spans="1:4" x14ac:dyDescent="0.3">
      <c r="A26" s="7" t="s">
        <v>35</v>
      </c>
      <c r="B26" s="8">
        <v>41953</v>
      </c>
      <c r="C26" s="7" t="s">
        <v>33</v>
      </c>
      <c r="D26" s="7">
        <v>9.5</v>
      </c>
    </row>
    <row r="27" spans="1:4" x14ac:dyDescent="0.3">
      <c r="A27" s="7" t="s">
        <v>35</v>
      </c>
      <c r="B27" s="8">
        <v>41974</v>
      </c>
      <c r="C27" s="7" t="s">
        <v>31</v>
      </c>
      <c r="D27" s="7">
        <v>8.5</v>
      </c>
    </row>
    <row r="28" spans="1:4" x14ac:dyDescent="0.3">
      <c r="A28" s="7" t="s">
        <v>28</v>
      </c>
      <c r="B28" s="8">
        <v>41949</v>
      </c>
      <c r="C28" s="7" t="s">
        <v>32</v>
      </c>
      <c r="D28" s="7">
        <v>9</v>
      </c>
    </row>
    <row r="29" spans="1:4" x14ac:dyDescent="0.3">
      <c r="A29" s="7" t="s">
        <v>34</v>
      </c>
      <c r="B29" s="8"/>
      <c r="C29" s="7" t="s">
        <v>32</v>
      </c>
      <c r="D29" s="7">
        <v>7.5</v>
      </c>
    </row>
    <row r="30" spans="1:4" x14ac:dyDescent="0.3">
      <c r="A30" s="7" t="s">
        <v>30</v>
      </c>
      <c r="B30" s="8"/>
      <c r="C30" s="7" t="s">
        <v>33</v>
      </c>
      <c r="D30" s="7">
        <v>9</v>
      </c>
    </row>
    <row r="31" spans="1:4" x14ac:dyDescent="0.3">
      <c r="A31" s="7" t="s">
        <v>28</v>
      </c>
      <c r="B31" s="8"/>
      <c r="C31" s="7" t="s">
        <v>29</v>
      </c>
      <c r="D31" s="7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31"/>
  <sheetViews>
    <sheetView zoomScale="130" zoomScaleNormal="130" workbookViewId="0"/>
  </sheetViews>
  <sheetFormatPr defaultColWidth="12.6640625" defaultRowHeight="14.4" x14ac:dyDescent="0.3"/>
  <cols>
    <col min="1" max="16384" width="12.6640625" style="6"/>
  </cols>
  <sheetData>
    <row r="1" spans="1:7" x14ac:dyDescent="0.3">
      <c r="A1" s="5" t="s">
        <v>21</v>
      </c>
      <c r="B1" s="5"/>
      <c r="C1" s="5"/>
      <c r="D1" s="5"/>
    </row>
    <row r="2" spans="1:7" x14ac:dyDescent="0.3">
      <c r="A2" s="3" t="s">
        <v>22</v>
      </c>
      <c r="B2" s="3" t="s">
        <v>23</v>
      </c>
      <c r="C2" s="3" t="s">
        <v>24</v>
      </c>
      <c r="D2" s="3" t="s">
        <v>25</v>
      </c>
      <c r="F2" s="3" t="s">
        <v>26</v>
      </c>
      <c r="G2" s="3" t="s">
        <v>27</v>
      </c>
    </row>
    <row r="3" spans="1:7" x14ac:dyDescent="0.3">
      <c r="A3" s="7" t="s">
        <v>28</v>
      </c>
      <c r="B3" s="8"/>
      <c r="C3" s="7" t="s">
        <v>29</v>
      </c>
      <c r="D3" s="7">
        <v>7.5</v>
      </c>
      <c r="F3" s="8">
        <v>41944</v>
      </c>
      <c r="G3" s="9">
        <f>EOMONTH(F3,0)</f>
        <v>41973</v>
      </c>
    </row>
    <row r="4" spans="1:7" x14ac:dyDescent="0.3">
      <c r="A4" s="7" t="s">
        <v>30</v>
      </c>
      <c r="B4" s="8"/>
      <c r="C4" s="7" t="s">
        <v>31</v>
      </c>
      <c r="D4" s="7">
        <v>8.5</v>
      </c>
    </row>
    <row r="5" spans="1:7" x14ac:dyDescent="0.3">
      <c r="A5" s="7" t="s">
        <v>28</v>
      </c>
      <c r="B5" s="8"/>
      <c r="C5" s="7" t="s">
        <v>32</v>
      </c>
      <c r="D5" s="7">
        <v>10</v>
      </c>
    </row>
    <row r="6" spans="1:7" x14ac:dyDescent="0.3">
      <c r="A6" s="7" t="s">
        <v>28</v>
      </c>
      <c r="B6" s="8">
        <v>41982</v>
      </c>
      <c r="C6" s="7" t="s">
        <v>33</v>
      </c>
      <c r="D6" s="7">
        <v>7</v>
      </c>
    </row>
    <row r="7" spans="1:7" x14ac:dyDescent="0.3">
      <c r="A7" s="7" t="s">
        <v>30</v>
      </c>
      <c r="B7" s="8">
        <v>41935</v>
      </c>
      <c r="C7" s="7" t="s">
        <v>29</v>
      </c>
      <c r="D7" s="7">
        <v>8.5</v>
      </c>
    </row>
    <row r="8" spans="1:7" x14ac:dyDescent="0.3">
      <c r="A8" s="7" t="s">
        <v>30</v>
      </c>
      <c r="B8" s="8">
        <v>41939</v>
      </c>
      <c r="C8" s="7" t="s">
        <v>33</v>
      </c>
      <c r="D8" s="7">
        <v>10</v>
      </c>
    </row>
    <row r="9" spans="1:7" x14ac:dyDescent="0.3">
      <c r="A9" s="7" t="s">
        <v>34</v>
      </c>
      <c r="B9" s="8">
        <v>41956</v>
      </c>
      <c r="C9" s="7" t="s">
        <v>31</v>
      </c>
      <c r="D9" s="7">
        <v>8.5</v>
      </c>
    </row>
    <row r="10" spans="1:7" x14ac:dyDescent="0.3">
      <c r="A10" s="7" t="s">
        <v>34</v>
      </c>
      <c r="B10" s="8">
        <v>41938</v>
      </c>
      <c r="C10" s="7" t="s">
        <v>33</v>
      </c>
      <c r="D10" s="7">
        <v>7</v>
      </c>
      <c r="F10" s="10"/>
    </row>
    <row r="11" spans="1:7" x14ac:dyDescent="0.3">
      <c r="A11" s="7" t="s">
        <v>30</v>
      </c>
      <c r="B11" s="8">
        <v>41940</v>
      </c>
      <c r="C11" s="7" t="s">
        <v>31</v>
      </c>
      <c r="D11" s="7">
        <v>8.5</v>
      </c>
      <c r="F11" s="10"/>
    </row>
    <row r="12" spans="1:7" x14ac:dyDescent="0.3">
      <c r="A12" s="7" t="s">
        <v>34</v>
      </c>
      <c r="B12" s="8">
        <v>41945</v>
      </c>
      <c r="C12" s="7" t="s">
        <v>31</v>
      </c>
      <c r="D12" s="7">
        <v>8</v>
      </c>
    </row>
    <row r="13" spans="1:7" x14ac:dyDescent="0.3">
      <c r="A13" s="7" t="s">
        <v>30</v>
      </c>
      <c r="B13" s="8">
        <v>41957</v>
      </c>
      <c r="C13" s="7" t="s">
        <v>32</v>
      </c>
      <c r="D13" s="7">
        <v>9</v>
      </c>
    </row>
    <row r="14" spans="1:7" x14ac:dyDescent="0.3">
      <c r="A14" s="7" t="s">
        <v>35</v>
      </c>
      <c r="B14" s="8">
        <v>41969</v>
      </c>
      <c r="C14" s="7" t="s">
        <v>29</v>
      </c>
      <c r="D14" s="7">
        <v>8.5</v>
      </c>
    </row>
    <row r="15" spans="1:7" x14ac:dyDescent="0.3">
      <c r="A15" s="7" t="s">
        <v>35</v>
      </c>
      <c r="B15" s="8">
        <v>41974</v>
      </c>
      <c r="C15" s="7" t="s">
        <v>32</v>
      </c>
      <c r="D15" s="7">
        <v>7</v>
      </c>
    </row>
    <row r="16" spans="1:7" x14ac:dyDescent="0.3">
      <c r="A16" s="7" t="s">
        <v>30</v>
      </c>
      <c r="B16" s="8">
        <v>41953</v>
      </c>
      <c r="C16" s="7" t="s">
        <v>29</v>
      </c>
      <c r="D16" s="7">
        <v>8.5</v>
      </c>
    </row>
    <row r="17" spans="1:4" x14ac:dyDescent="0.3">
      <c r="A17" s="7" t="s">
        <v>30</v>
      </c>
      <c r="B17" s="8">
        <v>41979</v>
      </c>
      <c r="C17" s="7" t="s">
        <v>32</v>
      </c>
      <c r="D17" s="7">
        <v>8</v>
      </c>
    </row>
    <row r="18" spans="1:4" x14ac:dyDescent="0.3">
      <c r="A18" s="7" t="s">
        <v>35</v>
      </c>
      <c r="B18" s="8">
        <v>41981</v>
      </c>
      <c r="C18" s="7" t="s">
        <v>31</v>
      </c>
      <c r="D18" s="7">
        <v>8</v>
      </c>
    </row>
    <row r="19" spans="1:4" x14ac:dyDescent="0.3">
      <c r="A19" s="7" t="s">
        <v>34</v>
      </c>
      <c r="B19" s="8">
        <v>41967</v>
      </c>
      <c r="C19" s="7" t="s">
        <v>33</v>
      </c>
      <c r="D19" s="7">
        <v>9</v>
      </c>
    </row>
    <row r="20" spans="1:4" x14ac:dyDescent="0.3">
      <c r="A20" s="7" t="s">
        <v>35</v>
      </c>
      <c r="B20" s="8">
        <v>41958</v>
      </c>
      <c r="C20" s="7" t="s">
        <v>29</v>
      </c>
      <c r="D20" s="7">
        <v>9.5</v>
      </c>
    </row>
    <row r="21" spans="1:4" x14ac:dyDescent="0.3">
      <c r="A21" s="7" t="s">
        <v>28</v>
      </c>
      <c r="B21" s="8">
        <v>41966</v>
      </c>
      <c r="C21" s="7" t="s">
        <v>32</v>
      </c>
      <c r="D21" s="7">
        <v>9.5</v>
      </c>
    </row>
    <row r="22" spans="1:4" x14ac:dyDescent="0.3">
      <c r="A22" s="7" t="s">
        <v>35</v>
      </c>
      <c r="B22" s="8">
        <v>41935</v>
      </c>
      <c r="C22" s="7" t="s">
        <v>33</v>
      </c>
      <c r="D22" s="7">
        <v>9</v>
      </c>
    </row>
    <row r="23" spans="1:4" x14ac:dyDescent="0.3">
      <c r="A23" s="7" t="s">
        <v>28</v>
      </c>
      <c r="B23" s="8">
        <v>41949</v>
      </c>
      <c r="C23" s="7" t="s">
        <v>32</v>
      </c>
      <c r="D23" s="7">
        <v>7</v>
      </c>
    </row>
    <row r="24" spans="1:4" x14ac:dyDescent="0.3">
      <c r="A24" s="7" t="s">
        <v>35</v>
      </c>
      <c r="B24" s="8">
        <v>41965</v>
      </c>
      <c r="C24" s="7" t="s">
        <v>29</v>
      </c>
      <c r="D24" s="7">
        <v>7</v>
      </c>
    </row>
    <row r="25" spans="1:4" x14ac:dyDescent="0.3">
      <c r="A25" s="7" t="s">
        <v>28</v>
      </c>
      <c r="B25" s="8">
        <v>41960</v>
      </c>
      <c r="C25" s="7" t="s">
        <v>33</v>
      </c>
      <c r="D25" s="7">
        <v>7.5</v>
      </c>
    </row>
    <row r="26" spans="1:4" x14ac:dyDescent="0.3">
      <c r="A26" s="7" t="s">
        <v>35</v>
      </c>
      <c r="B26" s="8">
        <v>41953</v>
      </c>
      <c r="C26" s="7" t="s">
        <v>33</v>
      </c>
      <c r="D26" s="7">
        <v>9.5</v>
      </c>
    </row>
    <row r="27" spans="1:4" x14ac:dyDescent="0.3">
      <c r="A27" s="7" t="s">
        <v>35</v>
      </c>
      <c r="B27" s="8">
        <v>41974</v>
      </c>
      <c r="C27" s="7" t="s">
        <v>31</v>
      </c>
      <c r="D27" s="7">
        <v>8.5</v>
      </c>
    </row>
    <row r="28" spans="1:4" x14ac:dyDescent="0.3">
      <c r="A28" s="7" t="s">
        <v>28</v>
      </c>
      <c r="B28" s="8">
        <v>41949</v>
      </c>
      <c r="C28" s="7" t="s">
        <v>32</v>
      </c>
      <c r="D28" s="7">
        <v>9</v>
      </c>
    </row>
    <row r="29" spans="1:4" x14ac:dyDescent="0.3">
      <c r="A29" s="7" t="s">
        <v>34</v>
      </c>
      <c r="B29" s="8"/>
      <c r="C29" s="7" t="s">
        <v>32</v>
      </c>
      <c r="D29" s="7">
        <v>7.5</v>
      </c>
    </row>
    <row r="30" spans="1:4" x14ac:dyDescent="0.3">
      <c r="A30" s="7" t="s">
        <v>30</v>
      </c>
      <c r="B30" s="8"/>
      <c r="C30" s="7" t="s">
        <v>33</v>
      </c>
      <c r="D30" s="7">
        <v>9</v>
      </c>
    </row>
    <row r="31" spans="1:4" x14ac:dyDescent="0.3">
      <c r="A31" s="7" t="s">
        <v>28</v>
      </c>
      <c r="B31" s="8"/>
      <c r="C31" s="7" t="s">
        <v>29</v>
      </c>
      <c r="D31" s="7">
        <v>8</v>
      </c>
    </row>
  </sheetData>
  <dataValidations count="1">
    <dataValidation type="date" errorStyle="warning" allowBlank="1" showInputMessage="1" showErrorMessage="1" errorTitle="Daty tylko z przedziału" error="Daty z przedziału z komórek F3 i G3" promptTitle="Daty tylko z przedziału" prompt="Daty z przedziału z komórek F3 i G3" sqref="B3:B31" xr:uid="{00000000-0002-0000-0300-000000000000}">
      <formula1>$F$3</formula1>
      <formula2>$G$3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"/>
  <sheetViews>
    <sheetView zoomScale="130" zoomScaleNormal="130" workbookViewId="0"/>
  </sheetViews>
  <sheetFormatPr defaultRowHeight="14.4" x14ac:dyDescent="0.3"/>
  <cols>
    <col min="1" max="16384" width="8.88671875" style="13"/>
  </cols>
  <sheetData>
    <row r="1" spans="1:1" x14ac:dyDescent="0.3">
      <c r="A1" s="12" t="s">
        <v>7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2"/>
  <sheetViews>
    <sheetView zoomScale="130" zoomScaleNormal="130" workbookViewId="0"/>
  </sheetViews>
  <sheetFormatPr defaultRowHeight="14.4" x14ac:dyDescent="0.3"/>
  <cols>
    <col min="1" max="16384" width="8.88671875" style="13"/>
  </cols>
  <sheetData>
    <row r="1" spans="1:1" x14ac:dyDescent="0.3">
      <c r="A1" s="12" t="s">
        <v>7</v>
      </c>
    </row>
    <row r="2" spans="1:1" x14ac:dyDescent="0.3">
      <c r="A2" s="13" t="s">
        <v>36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dataValidations count="1">
    <dataValidation type="list" allowBlank="1" showInputMessage="1" showErrorMessage="1" sqref="A2" xr:uid="{00000000-0002-0000-0500-000000000000}">
      <formula1>"Tak,Nie,Może"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"/>
  <sheetViews>
    <sheetView zoomScale="130" zoomScaleNormal="130" workbookViewId="0"/>
  </sheetViews>
  <sheetFormatPr defaultRowHeight="14.4" x14ac:dyDescent="0.3"/>
  <cols>
    <col min="1" max="16384" width="8.88671875" style="13"/>
  </cols>
  <sheetData>
    <row r="1" spans="1:1" x14ac:dyDescent="0.3">
      <c r="A1" s="12" t="s">
        <v>7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C13"/>
  <sheetViews>
    <sheetView zoomScale="130" zoomScaleNormal="130" workbookViewId="0"/>
  </sheetViews>
  <sheetFormatPr defaultRowHeight="14.4" x14ac:dyDescent="0.3"/>
  <cols>
    <col min="1" max="16384" width="8.88671875" style="13"/>
  </cols>
  <sheetData>
    <row r="1" spans="1:3" x14ac:dyDescent="0.3">
      <c r="A1" s="12" t="s">
        <v>7</v>
      </c>
      <c r="C1" s="12" t="s">
        <v>8</v>
      </c>
    </row>
    <row r="2" spans="1:3" x14ac:dyDescent="0.3">
      <c r="A2" s="13" t="s">
        <v>9</v>
      </c>
      <c r="C2" s="13" t="s">
        <v>10</v>
      </c>
    </row>
    <row r="3" spans="1:3" x14ac:dyDescent="0.3">
      <c r="C3" s="13" t="s">
        <v>11</v>
      </c>
    </row>
    <row r="4" spans="1:3" x14ac:dyDescent="0.3">
      <c r="C4" s="13" t="s">
        <v>12</v>
      </c>
    </row>
    <row r="5" spans="1:3" x14ac:dyDescent="0.3">
      <c r="C5" s="13" t="s">
        <v>13</v>
      </c>
    </row>
    <row r="6" spans="1:3" x14ac:dyDescent="0.3">
      <c r="C6" s="13" t="s">
        <v>9</v>
      </c>
    </row>
    <row r="7" spans="1:3" x14ac:dyDescent="0.3">
      <c r="C7" s="13" t="s">
        <v>14</v>
      </c>
    </row>
    <row r="8" spans="1:3" x14ac:dyDescent="0.3">
      <c r="C8" s="13" t="s">
        <v>15</v>
      </c>
    </row>
    <row r="9" spans="1:3" x14ac:dyDescent="0.3">
      <c r="C9" s="13" t="s">
        <v>16</v>
      </c>
    </row>
    <row r="10" spans="1:3" x14ac:dyDescent="0.3">
      <c r="C10" s="13" t="s">
        <v>17</v>
      </c>
    </row>
    <row r="11" spans="1:3" x14ac:dyDescent="0.3">
      <c r="C11" s="13" t="s">
        <v>18</v>
      </c>
    </row>
    <row r="12" spans="1:3" x14ac:dyDescent="0.3">
      <c r="C12" s="13" t="s">
        <v>19</v>
      </c>
    </row>
    <row r="13" spans="1:3" x14ac:dyDescent="0.3">
      <c r="C13" s="13" t="s">
        <v>20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dataValidations count="1">
    <dataValidation type="list" allowBlank="1" showInputMessage="1" showErrorMessage="1" sqref="A2" xr:uid="{00000000-0002-0000-0700-000000000000}">
      <formula1>$C$2:$C$13</formula1>
    </dataValidation>
  </dataValidations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"/>
  <sheetViews>
    <sheetView zoomScale="130" zoomScaleNormal="130" workbookViewId="0"/>
  </sheetViews>
  <sheetFormatPr defaultColWidth="9.109375" defaultRowHeight="14.4" x14ac:dyDescent="0.3"/>
  <cols>
    <col min="1" max="1" width="14" style="1" customWidth="1"/>
    <col min="2" max="16384" width="9.109375" style="1"/>
  </cols>
  <sheetData>
    <row r="1" spans="1:1" x14ac:dyDescent="0.3">
      <c r="A1" s="11" t="s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"/>
  <sheetViews>
    <sheetView zoomScale="130" zoomScaleNormal="130" workbookViewId="0"/>
  </sheetViews>
  <sheetFormatPr defaultColWidth="9.109375" defaultRowHeight="14.4" x14ac:dyDescent="0.3"/>
  <cols>
    <col min="1" max="1" width="14" style="1" customWidth="1"/>
    <col min="2" max="16384" width="9.109375" style="1"/>
  </cols>
  <sheetData>
    <row r="1" spans="1:1" x14ac:dyDescent="0.3">
      <c r="A1" s="11" t="s">
        <v>37</v>
      </c>
    </row>
  </sheetData>
  <dataValidations count="1">
    <dataValidation type="textLength" allowBlank="1" showInputMessage="1" showErrorMessage="1" sqref="A2" xr:uid="{00000000-0002-0000-0900-000000000000}">
      <formula1>4</formula1>
      <formula2>20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G31"/>
  <sheetViews>
    <sheetView zoomScale="130" zoomScaleNormal="130" workbookViewId="0"/>
  </sheetViews>
  <sheetFormatPr defaultColWidth="12.6640625" defaultRowHeight="14.4" x14ac:dyDescent="0.3"/>
  <cols>
    <col min="1" max="16384" width="12.6640625" style="6"/>
  </cols>
  <sheetData>
    <row r="1" spans="1:7" x14ac:dyDescent="0.3">
      <c r="A1" s="5" t="s">
        <v>21</v>
      </c>
      <c r="B1" s="5"/>
      <c r="C1" s="5"/>
      <c r="D1" s="5"/>
    </row>
    <row r="2" spans="1:7" x14ac:dyDescent="0.3">
      <c r="A2" s="3" t="s">
        <v>22</v>
      </c>
      <c r="B2" s="3" t="s">
        <v>23</v>
      </c>
      <c r="C2" s="3" t="s">
        <v>24</v>
      </c>
      <c r="D2" s="3" t="s">
        <v>25</v>
      </c>
      <c r="F2" s="3" t="s">
        <v>26</v>
      </c>
      <c r="G2" s="3" t="s">
        <v>27</v>
      </c>
    </row>
    <row r="3" spans="1:7" x14ac:dyDescent="0.3">
      <c r="A3" s="7" t="s">
        <v>28</v>
      </c>
      <c r="B3" s="8"/>
      <c r="C3" s="7" t="s">
        <v>29</v>
      </c>
      <c r="D3" s="7">
        <v>7.5</v>
      </c>
      <c r="F3" s="8">
        <v>41944</v>
      </c>
      <c r="G3" s="9">
        <f>EOMONTH(F3,0)</f>
        <v>41973</v>
      </c>
    </row>
    <row r="4" spans="1:7" x14ac:dyDescent="0.3">
      <c r="A4" s="7" t="s">
        <v>30</v>
      </c>
      <c r="B4" s="8"/>
      <c r="C4" s="7" t="s">
        <v>31</v>
      </c>
      <c r="D4" s="7">
        <v>8.5</v>
      </c>
    </row>
    <row r="5" spans="1:7" x14ac:dyDescent="0.3">
      <c r="A5" s="7" t="s">
        <v>28</v>
      </c>
      <c r="B5" s="8"/>
      <c r="C5" s="7" t="s">
        <v>32</v>
      </c>
      <c r="D5" s="7">
        <v>10</v>
      </c>
    </row>
    <row r="6" spans="1:7" x14ac:dyDescent="0.3">
      <c r="A6" s="7" t="s">
        <v>28</v>
      </c>
      <c r="B6" s="8">
        <v>41982</v>
      </c>
      <c r="C6" s="7" t="s">
        <v>33</v>
      </c>
      <c r="D6" s="7">
        <v>7</v>
      </c>
    </row>
    <row r="7" spans="1:7" x14ac:dyDescent="0.3">
      <c r="A7" s="7" t="s">
        <v>30</v>
      </c>
      <c r="B7" s="8">
        <v>41935</v>
      </c>
      <c r="C7" s="7" t="s">
        <v>29</v>
      </c>
      <c r="D7" s="7">
        <v>8.5</v>
      </c>
    </row>
    <row r="8" spans="1:7" x14ac:dyDescent="0.3">
      <c r="A8" s="7" t="s">
        <v>30</v>
      </c>
      <c r="B8" s="8">
        <v>41939</v>
      </c>
      <c r="C8" s="7" t="s">
        <v>33</v>
      </c>
      <c r="D8" s="7">
        <v>10</v>
      </c>
    </row>
    <row r="9" spans="1:7" x14ac:dyDescent="0.3">
      <c r="A9" s="7" t="s">
        <v>34</v>
      </c>
      <c r="B9" s="8">
        <v>41956</v>
      </c>
      <c r="C9" s="7" t="s">
        <v>31</v>
      </c>
      <c r="D9" s="7">
        <v>8.5</v>
      </c>
    </row>
    <row r="10" spans="1:7" x14ac:dyDescent="0.3">
      <c r="A10" s="7" t="s">
        <v>34</v>
      </c>
      <c r="B10" s="8">
        <v>41938</v>
      </c>
      <c r="C10" s="7" t="s">
        <v>33</v>
      </c>
      <c r="D10" s="7">
        <v>7</v>
      </c>
      <c r="F10" s="10"/>
    </row>
    <row r="11" spans="1:7" x14ac:dyDescent="0.3">
      <c r="A11" s="7" t="s">
        <v>30</v>
      </c>
      <c r="B11" s="8">
        <v>41940</v>
      </c>
      <c r="C11" s="7" t="s">
        <v>31</v>
      </c>
      <c r="D11" s="7">
        <v>8.5</v>
      </c>
      <c r="F11" s="10"/>
    </row>
    <row r="12" spans="1:7" x14ac:dyDescent="0.3">
      <c r="A12" s="7" t="s">
        <v>34</v>
      </c>
      <c r="B12" s="8">
        <v>41945</v>
      </c>
      <c r="C12" s="7" t="s">
        <v>31</v>
      </c>
      <c r="D12" s="7">
        <v>8</v>
      </c>
    </row>
    <row r="13" spans="1:7" x14ac:dyDescent="0.3">
      <c r="A13" s="7" t="s">
        <v>30</v>
      </c>
      <c r="B13" s="8">
        <v>41957</v>
      </c>
      <c r="C13" s="7" t="s">
        <v>32</v>
      </c>
      <c r="D13" s="7">
        <v>9</v>
      </c>
    </row>
    <row r="14" spans="1:7" x14ac:dyDescent="0.3">
      <c r="A14" s="7" t="s">
        <v>35</v>
      </c>
      <c r="B14" s="8">
        <v>41969</v>
      </c>
      <c r="C14" s="7" t="s">
        <v>29</v>
      </c>
      <c r="D14" s="7">
        <v>8.5</v>
      </c>
    </row>
    <row r="15" spans="1:7" x14ac:dyDescent="0.3">
      <c r="A15" s="7" t="s">
        <v>35</v>
      </c>
      <c r="B15" s="8">
        <v>41974</v>
      </c>
      <c r="C15" s="7" t="s">
        <v>32</v>
      </c>
      <c r="D15" s="7">
        <v>7</v>
      </c>
    </row>
    <row r="16" spans="1:7" x14ac:dyDescent="0.3">
      <c r="A16" s="7" t="s">
        <v>30</v>
      </c>
      <c r="B16" s="8">
        <v>41953</v>
      </c>
      <c r="C16" s="7" t="s">
        <v>29</v>
      </c>
      <c r="D16" s="7">
        <v>8.5</v>
      </c>
    </row>
    <row r="17" spans="1:4" x14ac:dyDescent="0.3">
      <c r="A17" s="7" t="s">
        <v>30</v>
      </c>
      <c r="B17" s="8">
        <v>41979</v>
      </c>
      <c r="C17" s="7" t="s">
        <v>32</v>
      </c>
      <c r="D17" s="7">
        <v>8</v>
      </c>
    </row>
    <row r="18" spans="1:4" x14ac:dyDescent="0.3">
      <c r="A18" s="7" t="s">
        <v>35</v>
      </c>
      <c r="B18" s="8">
        <v>41981</v>
      </c>
      <c r="C18" s="7" t="s">
        <v>31</v>
      </c>
      <c r="D18" s="7">
        <v>8</v>
      </c>
    </row>
    <row r="19" spans="1:4" x14ac:dyDescent="0.3">
      <c r="A19" s="7" t="s">
        <v>34</v>
      </c>
      <c r="B19" s="8">
        <v>41967</v>
      </c>
      <c r="C19" s="7" t="s">
        <v>33</v>
      </c>
      <c r="D19" s="7">
        <v>9</v>
      </c>
    </row>
    <row r="20" spans="1:4" x14ac:dyDescent="0.3">
      <c r="A20" s="7" t="s">
        <v>35</v>
      </c>
      <c r="B20" s="8">
        <v>41958</v>
      </c>
      <c r="C20" s="7" t="s">
        <v>29</v>
      </c>
      <c r="D20" s="7">
        <v>9.5</v>
      </c>
    </row>
    <row r="21" spans="1:4" x14ac:dyDescent="0.3">
      <c r="A21" s="7" t="s">
        <v>28</v>
      </c>
      <c r="B21" s="8">
        <v>41966</v>
      </c>
      <c r="C21" s="7" t="s">
        <v>32</v>
      </c>
      <c r="D21" s="7">
        <v>9.5</v>
      </c>
    </row>
    <row r="22" spans="1:4" x14ac:dyDescent="0.3">
      <c r="A22" s="7" t="s">
        <v>35</v>
      </c>
      <c r="B22" s="8">
        <v>41935</v>
      </c>
      <c r="C22" s="7" t="s">
        <v>33</v>
      </c>
      <c r="D22" s="7">
        <v>9</v>
      </c>
    </row>
    <row r="23" spans="1:4" x14ac:dyDescent="0.3">
      <c r="A23" s="7" t="s">
        <v>28</v>
      </c>
      <c r="B23" s="8">
        <v>41949</v>
      </c>
      <c r="C23" s="7" t="s">
        <v>32</v>
      </c>
      <c r="D23" s="7">
        <v>7</v>
      </c>
    </row>
    <row r="24" spans="1:4" x14ac:dyDescent="0.3">
      <c r="A24" s="7" t="s">
        <v>35</v>
      </c>
      <c r="B24" s="8">
        <v>41965</v>
      </c>
      <c r="C24" s="7" t="s">
        <v>29</v>
      </c>
      <c r="D24" s="7">
        <v>7</v>
      </c>
    </row>
    <row r="25" spans="1:4" x14ac:dyDescent="0.3">
      <c r="A25" s="7" t="s">
        <v>28</v>
      </c>
      <c r="B25" s="8">
        <v>41960</v>
      </c>
      <c r="C25" s="7" t="s">
        <v>33</v>
      </c>
      <c r="D25" s="7">
        <v>7.5</v>
      </c>
    </row>
    <row r="26" spans="1:4" x14ac:dyDescent="0.3">
      <c r="A26" s="7" t="s">
        <v>35</v>
      </c>
      <c r="B26" s="8">
        <v>41953</v>
      </c>
      <c r="C26" s="7" t="s">
        <v>33</v>
      </c>
      <c r="D26" s="7">
        <v>9.5</v>
      </c>
    </row>
    <row r="27" spans="1:4" x14ac:dyDescent="0.3">
      <c r="A27" s="7" t="s">
        <v>35</v>
      </c>
      <c r="B27" s="8">
        <v>41974</v>
      </c>
      <c r="C27" s="7" t="s">
        <v>31</v>
      </c>
      <c r="D27" s="7">
        <v>8.5</v>
      </c>
    </row>
    <row r="28" spans="1:4" x14ac:dyDescent="0.3">
      <c r="A28" s="7" t="s">
        <v>28</v>
      </c>
      <c r="B28" s="8">
        <v>41949</v>
      </c>
      <c r="C28" s="7" t="s">
        <v>32</v>
      </c>
      <c r="D28" s="7">
        <v>9</v>
      </c>
    </row>
    <row r="29" spans="1:4" x14ac:dyDescent="0.3">
      <c r="A29" s="7" t="s">
        <v>34</v>
      </c>
      <c r="B29" s="8"/>
      <c r="C29" s="7" t="s">
        <v>32</v>
      </c>
      <c r="D29" s="7">
        <v>7.5</v>
      </c>
    </row>
    <row r="30" spans="1:4" x14ac:dyDescent="0.3">
      <c r="A30" s="7" t="s">
        <v>30</v>
      </c>
      <c r="B30" s="8"/>
      <c r="C30" s="7" t="s">
        <v>33</v>
      </c>
      <c r="D30" s="7">
        <v>9</v>
      </c>
    </row>
    <row r="31" spans="1:4" x14ac:dyDescent="0.3">
      <c r="A31" s="7" t="s">
        <v>28</v>
      </c>
      <c r="B31" s="8"/>
      <c r="C31" s="7" t="s">
        <v>29</v>
      </c>
      <c r="D31" s="7">
        <v>8</v>
      </c>
    </row>
  </sheetData>
  <dataValidations count="1">
    <dataValidation type="date" errorStyle="warning" allowBlank="1" showInputMessage="1" showErrorMessage="1" errorTitle="Daty tylko z przedziału" error="Daty z przedziału z komórek F3 i G3" promptTitle="Daty tylko z przedziału" prompt="Daty z przedziału z komórek F3 i G3" sqref="B3:B31" xr:uid="{00000000-0002-0000-0A00-000000000000}">
      <formula1>$F$3</formula1>
      <formula2>$G$3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G31"/>
  <sheetViews>
    <sheetView zoomScale="130" zoomScaleNormal="130" workbookViewId="0"/>
  </sheetViews>
  <sheetFormatPr defaultColWidth="12.6640625" defaultRowHeight="14.4" x14ac:dyDescent="0.3"/>
  <cols>
    <col min="1" max="16384" width="12.6640625" style="6"/>
  </cols>
  <sheetData>
    <row r="1" spans="1:7" x14ac:dyDescent="0.3">
      <c r="A1" s="5" t="s">
        <v>21</v>
      </c>
      <c r="B1" s="5"/>
      <c r="C1" s="5"/>
      <c r="D1" s="5"/>
    </row>
    <row r="2" spans="1:7" x14ac:dyDescent="0.3">
      <c r="A2" s="3" t="s">
        <v>22</v>
      </c>
      <c r="B2" s="3" t="s">
        <v>23</v>
      </c>
      <c r="C2" s="3" t="s">
        <v>24</v>
      </c>
      <c r="D2" s="3" t="s">
        <v>25</v>
      </c>
      <c r="F2" s="3" t="s">
        <v>26</v>
      </c>
      <c r="G2" s="3" t="s">
        <v>27</v>
      </c>
    </row>
    <row r="3" spans="1:7" x14ac:dyDescent="0.3">
      <c r="A3" s="7" t="s">
        <v>28</v>
      </c>
      <c r="B3" s="8"/>
      <c r="C3" s="7" t="s">
        <v>29</v>
      </c>
      <c r="D3" s="7">
        <v>7.5</v>
      </c>
      <c r="F3" s="8">
        <v>41944</v>
      </c>
      <c r="G3" s="9">
        <f>EOMONTH(F3,0)</f>
        <v>41973</v>
      </c>
    </row>
    <row r="4" spans="1:7" x14ac:dyDescent="0.3">
      <c r="A4" s="7" t="s">
        <v>30</v>
      </c>
      <c r="B4" s="8"/>
      <c r="C4" s="7" t="s">
        <v>31</v>
      </c>
      <c r="D4" s="7">
        <v>8.5</v>
      </c>
    </row>
    <row r="5" spans="1:7" x14ac:dyDescent="0.3">
      <c r="A5" s="7" t="s">
        <v>28</v>
      </c>
      <c r="B5" s="8"/>
      <c r="C5" s="7" t="s">
        <v>32</v>
      </c>
      <c r="D5" s="7">
        <v>10</v>
      </c>
    </row>
    <row r="6" spans="1:7" x14ac:dyDescent="0.3">
      <c r="A6" s="7" t="s">
        <v>28</v>
      </c>
      <c r="B6" s="8">
        <v>41982</v>
      </c>
      <c r="C6" s="7" t="s">
        <v>33</v>
      </c>
      <c r="D6" s="7">
        <v>7</v>
      </c>
    </row>
    <row r="7" spans="1:7" x14ac:dyDescent="0.3">
      <c r="A7" s="7" t="s">
        <v>30</v>
      </c>
      <c r="B7" s="8">
        <v>41935</v>
      </c>
      <c r="C7" s="7" t="s">
        <v>29</v>
      </c>
      <c r="D7" s="7">
        <v>8.5</v>
      </c>
    </row>
    <row r="8" spans="1:7" x14ac:dyDescent="0.3">
      <c r="A8" s="7" t="s">
        <v>30</v>
      </c>
      <c r="B8" s="8">
        <v>41939</v>
      </c>
      <c r="C8" s="7" t="s">
        <v>33</v>
      </c>
      <c r="D8" s="7">
        <v>10</v>
      </c>
    </row>
    <row r="9" spans="1:7" x14ac:dyDescent="0.3">
      <c r="A9" s="7" t="s">
        <v>34</v>
      </c>
      <c r="B9" s="8">
        <v>41956</v>
      </c>
      <c r="C9" s="7" t="s">
        <v>31</v>
      </c>
      <c r="D9" s="7">
        <v>8.5</v>
      </c>
    </row>
    <row r="10" spans="1:7" x14ac:dyDescent="0.3">
      <c r="A10" s="7" t="s">
        <v>34</v>
      </c>
      <c r="B10" s="8">
        <v>41938</v>
      </c>
      <c r="C10" s="7" t="s">
        <v>33</v>
      </c>
      <c r="D10" s="7">
        <v>7</v>
      </c>
      <c r="F10" s="10"/>
    </row>
    <row r="11" spans="1:7" x14ac:dyDescent="0.3">
      <c r="A11" s="7" t="s">
        <v>30</v>
      </c>
      <c r="B11" s="8">
        <v>41940</v>
      </c>
      <c r="C11" s="7" t="s">
        <v>31</v>
      </c>
      <c r="D11" s="7">
        <v>8.5</v>
      </c>
      <c r="F11" s="10"/>
    </row>
    <row r="12" spans="1:7" x14ac:dyDescent="0.3">
      <c r="A12" s="7" t="s">
        <v>34</v>
      </c>
      <c r="B12" s="8">
        <v>41945</v>
      </c>
      <c r="C12" s="7" t="s">
        <v>31</v>
      </c>
      <c r="D12" s="7">
        <v>8</v>
      </c>
    </row>
    <row r="13" spans="1:7" x14ac:dyDescent="0.3">
      <c r="A13" s="7" t="s">
        <v>30</v>
      </c>
      <c r="B13" s="8">
        <v>41957</v>
      </c>
      <c r="C13" s="7" t="s">
        <v>32</v>
      </c>
      <c r="D13" s="7">
        <v>9</v>
      </c>
    </row>
    <row r="14" spans="1:7" x14ac:dyDescent="0.3">
      <c r="A14" s="7" t="s">
        <v>35</v>
      </c>
      <c r="B14" s="8">
        <v>41969</v>
      </c>
      <c r="C14" s="7" t="s">
        <v>29</v>
      </c>
      <c r="D14" s="7">
        <v>8.5</v>
      </c>
    </row>
    <row r="15" spans="1:7" x14ac:dyDescent="0.3">
      <c r="A15" s="7" t="s">
        <v>35</v>
      </c>
      <c r="B15" s="8">
        <v>41974</v>
      </c>
      <c r="C15" s="7" t="s">
        <v>32</v>
      </c>
      <c r="D15" s="7">
        <v>7</v>
      </c>
    </row>
    <row r="16" spans="1:7" x14ac:dyDescent="0.3">
      <c r="A16" s="7" t="s">
        <v>30</v>
      </c>
      <c r="B16" s="8">
        <v>41953</v>
      </c>
      <c r="C16" s="7" t="s">
        <v>29</v>
      </c>
      <c r="D16" s="7">
        <v>8.5</v>
      </c>
    </row>
    <row r="17" spans="1:4" x14ac:dyDescent="0.3">
      <c r="A17" s="7" t="s">
        <v>30</v>
      </c>
      <c r="B17" s="8">
        <v>41979</v>
      </c>
      <c r="C17" s="7" t="s">
        <v>32</v>
      </c>
      <c r="D17" s="7">
        <v>8</v>
      </c>
    </row>
    <row r="18" spans="1:4" x14ac:dyDescent="0.3">
      <c r="A18" s="7" t="s">
        <v>35</v>
      </c>
      <c r="B18" s="8">
        <v>41981</v>
      </c>
      <c r="C18" s="7" t="s">
        <v>31</v>
      </c>
      <c r="D18" s="7">
        <v>8</v>
      </c>
    </row>
    <row r="19" spans="1:4" x14ac:dyDescent="0.3">
      <c r="A19" s="7" t="s">
        <v>34</v>
      </c>
      <c r="B19" s="8">
        <v>41967</v>
      </c>
      <c r="C19" s="7" t="s">
        <v>33</v>
      </c>
      <c r="D19" s="7">
        <v>9</v>
      </c>
    </row>
    <row r="20" spans="1:4" x14ac:dyDescent="0.3">
      <c r="A20" s="7" t="s">
        <v>35</v>
      </c>
      <c r="B20" s="8">
        <v>41958</v>
      </c>
      <c r="C20" s="7" t="s">
        <v>29</v>
      </c>
      <c r="D20" s="7">
        <v>9.5</v>
      </c>
    </row>
    <row r="21" spans="1:4" x14ac:dyDescent="0.3">
      <c r="A21" s="7" t="s">
        <v>28</v>
      </c>
      <c r="B21" s="8">
        <v>41966</v>
      </c>
      <c r="C21" s="7" t="s">
        <v>32</v>
      </c>
      <c r="D21" s="7">
        <v>9.5</v>
      </c>
    </row>
    <row r="22" spans="1:4" x14ac:dyDescent="0.3">
      <c r="A22" s="7" t="s">
        <v>35</v>
      </c>
      <c r="B22" s="8">
        <v>41935</v>
      </c>
      <c r="C22" s="7" t="s">
        <v>33</v>
      </c>
      <c r="D22" s="7">
        <v>9</v>
      </c>
    </row>
    <row r="23" spans="1:4" x14ac:dyDescent="0.3">
      <c r="A23" s="7" t="s">
        <v>28</v>
      </c>
      <c r="B23" s="8">
        <v>41949</v>
      </c>
      <c r="C23" s="7" t="s">
        <v>32</v>
      </c>
      <c r="D23" s="7">
        <v>7</v>
      </c>
    </row>
    <row r="24" spans="1:4" x14ac:dyDescent="0.3">
      <c r="A24" s="7" t="s">
        <v>35</v>
      </c>
      <c r="B24" s="8">
        <v>41965</v>
      </c>
      <c r="C24" s="7" t="s">
        <v>29</v>
      </c>
      <c r="D24" s="7">
        <v>7</v>
      </c>
    </row>
    <row r="25" spans="1:4" x14ac:dyDescent="0.3">
      <c r="A25" s="7" t="s">
        <v>28</v>
      </c>
      <c r="B25" s="8">
        <v>41960</v>
      </c>
      <c r="C25" s="7" t="s">
        <v>33</v>
      </c>
      <c r="D25" s="7">
        <v>7.5</v>
      </c>
    </row>
    <row r="26" spans="1:4" x14ac:dyDescent="0.3">
      <c r="A26" s="7" t="s">
        <v>35</v>
      </c>
      <c r="B26" s="8">
        <v>41953</v>
      </c>
      <c r="C26" s="7" t="s">
        <v>33</v>
      </c>
      <c r="D26" s="7">
        <v>9.5</v>
      </c>
    </row>
    <row r="27" spans="1:4" x14ac:dyDescent="0.3">
      <c r="A27" s="7" t="s">
        <v>35</v>
      </c>
      <c r="B27" s="8">
        <v>41974</v>
      </c>
      <c r="C27" s="7" t="s">
        <v>31</v>
      </c>
      <c r="D27" s="7">
        <v>8.5</v>
      </c>
    </row>
    <row r="28" spans="1:4" x14ac:dyDescent="0.3">
      <c r="A28" s="7" t="s">
        <v>28</v>
      </c>
      <c r="B28" s="8">
        <v>41949</v>
      </c>
      <c r="C28" s="7" t="s">
        <v>32</v>
      </c>
      <c r="D28" s="7">
        <v>9</v>
      </c>
    </row>
    <row r="29" spans="1:4" x14ac:dyDescent="0.3">
      <c r="A29" s="7" t="s">
        <v>34</v>
      </c>
      <c r="B29" s="8"/>
      <c r="C29" s="7" t="s">
        <v>32</v>
      </c>
      <c r="D29" s="7">
        <v>7.5</v>
      </c>
    </row>
    <row r="30" spans="1:4" x14ac:dyDescent="0.3">
      <c r="A30" s="7" t="s">
        <v>30</v>
      </c>
      <c r="B30" s="8"/>
      <c r="C30" s="7" t="s">
        <v>33</v>
      </c>
      <c r="D30" s="7">
        <v>9</v>
      </c>
    </row>
    <row r="31" spans="1:4" x14ac:dyDescent="0.3">
      <c r="A31" s="7" t="s">
        <v>28</v>
      </c>
      <c r="B31" s="8"/>
      <c r="C31" s="7" t="s">
        <v>29</v>
      </c>
      <c r="D31" s="7">
        <v>8</v>
      </c>
    </row>
  </sheetData>
  <dataValidations count="1">
    <dataValidation type="date" errorStyle="warning" allowBlank="1" showInputMessage="1" showErrorMessage="1" errorTitle="Daty tylko z przedziału" error="Daty z przedziału z komórek F3 i G3" promptTitle="Daty tylko z przedziału" prompt="Daty z przedziału z komórek F3 i G3" sqref="B3:B31" xr:uid="{00000000-0002-0000-0B00-000000000000}">
      <formula1>$F$3</formula1>
      <formula2>$G$3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F10"/>
  <sheetViews>
    <sheetView zoomScale="130" zoomScaleNormal="130" workbookViewId="0"/>
  </sheetViews>
  <sheetFormatPr defaultColWidth="9.109375" defaultRowHeight="14.4" x14ac:dyDescent="0.3"/>
  <cols>
    <col min="1" max="1" width="20.88671875" style="1" bestFit="1" customWidth="1"/>
    <col min="2" max="16384" width="9.109375" style="1"/>
  </cols>
  <sheetData>
    <row r="1" spans="1:6" x14ac:dyDescent="0.3">
      <c r="B1" s="2" t="s">
        <v>6</v>
      </c>
      <c r="C1" s="2"/>
      <c r="D1" s="2"/>
      <c r="E1" s="2"/>
      <c r="F1" s="2"/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">
      <c r="A3" s="4">
        <v>21475</v>
      </c>
      <c r="B3" s="4">
        <v>2</v>
      </c>
      <c r="C3" s="4">
        <v>4</v>
      </c>
      <c r="D3" s="4">
        <v>5</v>
      </c>
      <c r="E3" s="4">
        <v>4</v>
      </c>
      <c r="F3" s="4">
        <v>2.5</v>
      </c>
    </row>
    <row r="4" spans="1:6" x14ac:dyDescent="0.3">
      <c r="A4" s="4">
        <v>21486</v>
      </c>
      <c r="B4" s="4">
        <v>5</v>
      </c>
      <c r="C4" s="4">
        <v>6</v>
      </c>
      <c r="D4" s="4">
        <v>6.5</v>
      </c>
      <c r="E4" s="4">
        <v>5.5</v>
      </c>
      <c r="F4" s="4">
        <v>1.5</v>
      </c>
    </row>
    <row r="5" spans="1:6" x14ac:dyDescent="0.3">
      <c r="A5" s="4">
        <v>21497</v>
      </c>
      <c r="B5" s="4">
        <v>1</v>
      </c>
      <c r="C5" s="4">
        <v>3</v>
      </c>
      <c r="D5" s="4">
        <v>4.5</v>
      </c>
      <c r="E5" s="4">
        <v>4</v>
      </c>
      <c r="F5" s="4">
        <v>2.5</v>
      </c>
    </row>
    <row r="6" spans="1:6" x14ac:dyDescent="0.3">
      <c r="A6" s="4">
        <v>21505</v>
      </c>
      <c r="B6" s="4">
        <v>2</v>
      </c>
      <c r="C6" s="4">
        <v>3</v>
      </c>
      <c r="D6" s="4">
        <v>7</v>
      </c>
      <c r="E6" s="4">
        <v>6</v>
      </c>
      <c r="F6" s="4">
        <v>3.5</v>
      </c>
    </row>
    <row r="7" spans="1:6" x14ac:dyDescent="0.3">
      <c r="A7" s="4">
        <v>21516</v>
      </c>
      <c r="B7" s="4">
        <v>2</v>
      </c>
      <c r="C7" s="4">
        <v>4.5</v>
      </c>
      <c r="D7" s="4">
        <v>1.5</v>
      </c>
      <c r="E7" s="4">
        <v>4</v>
      </c>
      <c r="F7" s="4">
        <v>2</v>
      </c>
    </row>
    <row r="8" spans="1:6" x14ac:dyDescent="0.3">
      <c r="A8" s="4">
        <v>21527</v>
      </c>
      <c r="B8" s="4">
        <v>6</v>
      </c>
      <c r="C8" s="4">
        <v>2.5</v>
      </c>
      <c r="D8" s="4">
        <v>6</v>
      </c>
      <c r="E8" s="4">
        <v>7</v>
      </c>
      <c r="F8" s="4">
        <v>6</v>
      </c>
    </row>
    <row r="9" spans="1:6" x14ac:dyDescent="0.3">
      <c r="A9" s="4">
        <v>21538</v>
      </c>
      <c r="B9" s="4">
        <v>4</v>
      </c>
      <c r="C9" s="4">
        <v>1</v>
      </c>
      <c r="D9" s="4">
        <v>3.5</v>
      </c>
      <c r="E9" s="4">
        <v>5</v>
      </c>
      <c r="F9" s="4">
        <v>6</v>
      </c>
    </row>
    <row r="10" spans="1:6" x14ac:dyDescent="0.3">
      <c r="A10" s="4">
        <v>21549</v>
      </c>
      <c r="B10" s="4">
        <v>4</v>
      </c>
      <c r="C10" s="4">
        <v>3.5</v>
      </c>
      <c r="D10" s="4">
        <v>3</v>
      </c>
      <c r="E10" s="4">
        <v>5</v>
      </c>
      <c r="F10" s="4">
        <v>1.5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H10"/>
  <sheetViews>
    <sheetView zoomScale="130" zoomScaleNormal="130" workbookViewId="0"/>
  </sheetViews>
  <sheetFormatPr defaultColWidth="9.109375" defaultRowHeight="14.4" x14ac:dyDescent="0.3"/>
  <cols>
    <col min="1" max="1" width="20.88671875" style="1" bestFit="1" customWidth="1"/>
    <col min="2" max="16384" width="9.109375" style="1"/>
  </cols>
  <sheetData>
    <row r="1" spans="1:8" x14ac:dyDescent="0.3">
      <c r="B1" s="2" t="s">
        <v>6</v>
      </c>
      <c r="C1" s="2"/>
      <c r="D1" s="2"/>
      <c r="E1" s="2"/>
      <c r="F1" s="2"/>
    </row>
    <row r="2" spans="1: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8" x14ac:dyDescent="0.3">
      <c r="A3" s="4">
        <v>21475</v>
      </c>
      <c r="B3" s="4">
        <v>2</v>
      </c>
      <c r="C3" s="4">
        <v>4</v>
      </c>
      <c r="D3" s="4">
        <v>5</v>
      </c>
      <c r="E3" s="4">
        <v>4</v>
      </c>
      <c r="F3" s="4">
        <v>2.5</v>
      </c>
      <c r="H3" s="1" t="b">
        <f>AND(MOD(B3/0.5,1)=0,B3&lt;=6,B3&gt;=1)</f>
        <v>1</v>
      </c>
    </row>
    <row r="4" spans="1:8" x14ac:dyDescent="0.3">
      <c r="A4" s="4">
        <v>21486</v>
      </c>
      <c r="B4" s="4">
        <v>5</v>
      </c>
      <c r="C4" s="4">
        <v>6</v>
      </c>
      <c r="D4" s="4">
        <v>6.5</v>
      </c>
      <c r="E4" s="4">
        <v>5.5</v>
      </c>
      <c r="F4" s="4">
        <v>1.5</v>
      </c>
    </row>
    <row r="5" spans="1:8" x14ac:dyDescent="0.3">
      <c r="A5" s="4">
        <v>21497</v>
      </c>
      <c r="B5" s="4">
        <v>1</v>
      </c>
      <c r="C5" s="4">
        <v>3</v>
      </c>
      <c r="D5" s="4">
        <v>4.5</v>
      </c>
      <c r="E5" s="4">
        <v>4</v>
      </c>
      <c r="F5" s="4">
        <v>2.5</v>
      </c>
    </row>
    <row r="6" spans="1:8" x14ac:dyDescent="0.3">
      <c r="A6" s="4">
        <v>21505</v>
      </c>
      <c r="B6" s="4">
        <v>2</v>
      </c>
      <c r="C6" s="4">
        <v>3</v>
      </c>
      <c r="D6" s="4">
        <v>7</v>
      </c>
      <c r="E6" s="4">
        <v>6</v>
      </c>
      <c r="F6" s="4">
        <v>3.5</v>
      </c>
    </row>
    <row r="7" spans="1:8" x14ac:dyDescent="0.3">
      <c r="A7" s="4">
        <v>21516</v>
      </c>
      <c r="B7" s="4">
        <v>2</v>
      </c>
      <c r="C7" s="4">
        <v>4.5</v>
      </c>
      <c r="D7" s="4">
        <v>1.5</v>
      </c>
      <c r="E7" s="4">
        <v>1</v>
      </c>
      <c r="F7" s="4">
        <v>2</v>
      </c>
    </row>
    <row r="8" spans="1:8" x14ac:dyDescent="0.3">
      <c r="A8" s="4">
        <v>21527</v>
      </c>
      <c r="B8" s="4">
        <v>6</v>
      </c>
      <c r="C8" s="4">
        <v>2.5</v>
      </c>
      <c r="D8" s="4">
        <v>6</v>
      </c>
      <c r="E8" s="4">
        <v>1.5</v>
      </c>
      <c r="F8" s="4">
        <v>6</v>
      </c>
    </row>
    <row r="9" spans="1:8" x14ac:dyDescent="0.3">
      <c r="A9" s="4">
        <v>21538</v>
      </c>
      <c r="B9" s="4">
        <v>4</v>
      </c>
      <c r="C9" s="4">
        <v>1</v>
      </c>
      <c r="D9" s="4">
        <v>3.5</v>
      </c>
      <c r="E9" s="4">
        <v>5</v>
      </c>
      <c r="F9" s="4">
        <v>6</v>
      </c>
    </row>
    <row r="10" spans="1:8" x14ac:dyDescent="0.3">
      <c r="A10" s="4">
        <v>21549</v>
      </c>
      <c r="B10" s="4">
        <v>4</v>
      </c>
      <c r="C10" s="4">
        <v>3.5</v>
      </c>
      <c r="D10" s="4">
        <v>3</v>
      </c>
      <c r="E10" s="4">
        <v>5</v>
      </c>
      <c r="F10" s="4">
        <v>1.5</v>
      </c>
    </row>
  </sheetData>
  <dataValidations count="1">
    <dataValidation type="custom" allowBlank="1" showInputMessage="1" showErrorMessage="1" sqref="B3:F10" xr:uid="{00000000-0002-0000-0D00-000000000000}">
      <formula1>AND(MOD(B3/0.5,1)=0,B3&lt;=6,B3&gt;=1)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14</vt:i4>
      </vt:variant>
    </vt:vector>
  </HeadingPairs>
  <TitlesOfParts>
    <vt:vector size="14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  <vt:lpstr>Ćw7</vt:lpstr>
      <vt:lpstr>Ćw7(Odp)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2019-08-19T20:00:41Z</dcterms:modified>
</cp:coreProperties>
</file>