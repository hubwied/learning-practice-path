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13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adam\OneDrive\Pulpit\Pliki Mistrz Excela new\Ćwiczenia\"/>
    </mc:Choice>
  </mc:AlternateContent>
  <xr:revisionPtr revIDLastSave="0" documentId="13_ncr:1_{B4BBAA6C-DA8B-4422-893E-701EA50C6C96}" xr6:coauthVersionLast="44" xr6:coauthVersionMax="44" xr10:uidLastSave="{00000000-0000-0000-0000-000000000000}"/>
  <bookViews>
    <workbookView xWindow="1416" yWindow="660" windowWidth="20916" windowHeight="11124" tabRatio="684" xr2:uid="{00000000-000D-0000-FFFF-FFFF00000000}"/>
  </bookViews>
  <sheets>
    <sheet name="Ćw1" sheetId="298" r:id="rId1"/>
    <sheet name="Ćw1(Odp)" sheetId="299" r:id="rId2"/>
    <sheet name="Ćw2" sheetId="342" r:id="rId3"/>
    <sheet name="Ćw2(Odp)" sheetId="343" r:id="rId4"/>
    <sheet name="Ćw3" sheetId="344" r:id="rId5"/>
    <sheet name="Ćw3(Odp)" sheetId="345" r:id="rId6"/>
    <sheet name="Ćw4" sheetId="340" r:id="rId7"/>
    <sheet name="Ćw4 (2)" sheetId="350" r:id="rId8"/>
    <sheet name="Ćw4(Odp)" sheetId="341" r:id="rId9"/>
    <sheet name="Ćw5" sheetId="327" r:id="rId10"/>
    <sheet name="Ćw5(Odp)" sheetId="328" r:id="rId11"/>
    <sheet name="Ćw6" sheetId="351" r:id="rId12"/>
    <sheet name="Ćw6(Odp)" sheetId="352" r:id="rId13"/>
    <sheet name="Ćw7" sheetId="348" r:id="rId14"/>
    <sheet name="Ćw7(Odp)" sheetId="349" r:id="rId15"/>
    <sheet name="Ćw8" sheetId="353" r:id="rId16"/>
    <sheet name="Ćw8 (2)" sheetId="354" r:id="rId17"/>
  </sheets>
  <definedNames>
    <definedName name="Data_2">'Ćw2(Odp)'!$B$3:$B$31</definedName>
    <definedName name="Fabryka_2">'Ćw2(Odp)'!$C$3:$C$31</definedName>
    <definedName name="Ilość_godzin_2">'Ćw2(Odp)'!$D$3:$D$31</definedName>
    <definedName name="ListaB_2">OFFSET('Ćw5(Odp)'!$A$2:$A$6,0,MATCH('Ćw5(Odp)'!$E$2,'Ćw5(Odp)'!$A$1:$C$1,0)-1)</definedName>
    <definedName name="ListaC_2">OFFSET('Ćw6(Odp)'!$A$2,0,MATCH('Ćw6(Odp)'!$E$2,'Ćw6(Odp)'!$A$1:$C$1,0)-1,COUNTA(OFFSET('Ćw6(Odp)'!$A$2:$A$100,0,MATCH('Ćw6(Odp)'!$E$2,'Ćw6(Odp)'!$A$1:$C$1,0)-1)),1)</definedName>
    <definedName name="Odejmij_2">'Ćw8 (2)'!XFD1-1</definedName>
    <definedName name="Pracownik_2">'Ćw2(Odp)'!$A$3:$A$31</definedName>
    <definedName name="Produkty_2">'Ćw4 (2)'!$C$2:$C$6</definedName>
    <definedName name="Prowizja">Ćw3!$A$2</definedName>
    <definedName name="Prowizja_2">'Ćw3(Odp)'!$A$2</definedName>
    <definedName name="StałaA_2">100</definedName>
    <definedName name="StałaB_2">220</definedName>
    <definedName name="VAT23_2">'Ćw1(Odp)'!$B$3</definedName>
    <definedName name="VAT5_2">'Ćw1(Odp)'!$B$1</definedName>
    <definedName name="VAT7_2">'Ćw1(Odp)'!$B$2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354" l="1"/>
  <c r="C2" i="354" s="1"/>
  <c r="D2" i="354" s="1"/>
  <c r="E2" i="354" s="1"/>
  <c r="F2" i="354" s="1"/>
  <c r="G2" i="354" s="1"/>
  <c r="H2" i="354" s="1"/>
  <c r="I2" i="354" s="1"/>
  <c r="J2" i="354" s="1"/>
  <c r="K2" i="354" s="1"/>
  <c r="B3" i="354"/>
  <c r="C3" i="354" s="1"/>
  <c r="D3" i="354" s="1"/>
  <c r="E3" i="354" s="1"/>
  <c r="F3" i="354" s="1"/>
  <c r="G3" i="354" s="1"/>
  <c r="H3" i="354" s="1"/>
  <c r="I3" i="354" s="1"/>
  <c r="J3" i="354" s="1"/>
  <c r="K3" i="354" s="1"/>
  <c r="B4" i="354"/>
  <c r="C4" i="354" s="1"/>
  <c r="D4" i="354" s="1"/>
  <c r="E4" i="354" s="1"/>
  <c r="F4" i="354" s="1"/>
  <c r="G4" i="354" s="1"/>
  <c r="H4" i="354" s="1"/>
  <c r="I4" i="354" s="1"/>
  <c r="J4" i="354" s="1"/>
  <c r="K4" i="354" s="1"/>
  <c r="B5" i="354"/>
  <c r="C5" i="354" s="1"/>
  <c r="D5" i="354" s="1"/>
  <c r="E5" i="354" s="1"/>
  <c r="F5" i="354" s="1"/>
  <c r="G5" i="354" s="1"/>
  <c r="H5" i="354" s="1"/>
  <c r="I5" i="354" s="1"/>
  <c r="J5" i="354" s="1"/>
  <c r="K5" i="354" s="1"/>
  <c r="B6" i="354"/>
  <c r="C6" i="354" s="1"/>
  <c r="D6" i="354" s="1"/>
  <c r="E6" i="354" s="1"/>
  <c r="F6" i="354" s="1"/>
  <c r="G6" i="354" s="1"/>
  <c r="H6" i="354" s="1"/>
  <c r="I6" i="354" s="1"/>
  <c r="J6" i="354" s="1"/>
  <c r="K6" i="354" s="1"/>
  <c r="B1" i="354"/>
  <c r="C1" i="354" s="1"/>
  <c r="D1" i="354" s="1"/>
  <c r="E1" i="354" s="1"/>
  <c r="F1" i="354" s="1"/>
  <c r="G1" i="354" s="1"/>
  <c r="H1" i="354" s="1"/>
  <c r="I1" i="354" s="1"/>
  <c r="J1" i="354" s="1"/>
  <c r="K1" i="354" s="1"/>
  <c r="F5" i="352"/>
  <c r="F5" i="328"/>
  <c r="D7" i="345"/>
  <c r="D6" i="345"/>
  <c r="D5" i="345"/>
  <c r="D4" i="345"/>
  <c r="D3" i="345"/>
  <c r="D2" i="345"/>
  <c r="D3" i="344"/>
  <c r="D4" i="344"/>
  <c r="D5" i="344"/>
  <c r="D6" i="344"/>
  <c r="D7" i="344"/>
  <c r="D2" i="344"/>
</calcChain>
</file>

<file path=xl/sharedStrings.xml><?xml version="1.0" encoding="utf-8"?>
<sst xmlns="http://schemas.openxmlformats.org/spreadsheetml/2006/main" count="255" uniqueCount="62">
  <si>
    <t>Raport z przepracowanych godzin</t>
  </si>
  <si>
    <t>Pracownik</t>
  </si>
  <si>
    <t>Data</t>
  </si>
  <si>
    <t>Fabryka</t>
  </si>
  <si>
    <t>Ilość godzin</t>
  </si>
  <si>
    <t>Dawid</t>
  </si>
  <si>
    <t>Stonoga</t>
  </si>
  <si>
    <t>Natalia</t>
  </si>
  <si>
    <t>Żuczek</t>
  </si>
  <si>
    <t>Motylek</t>
  </si>
  <si>
    <t>Ptaszek</t>
  </si>
  <si>
    <t>Szczepan</t>
  </si>
  <si>
    <t>Gabriel</t>
  </si>
  <si>
    <t>VAT5</t>
  </si>
  <si>
    <t>VAT7</t>
  </si>
  <si>
    <t>VAT23</t>
  </si>
  <si>
    <t>VAT5_2</t>
  </si>
  <si>
    <t>VAT7_2</t>
  </si>
  <si>
    <t>VAT23_2</t>
  </si>
  <si>
    <t>Pracownik_2</t>
  </si>
  <si>
    <t>Data_2</t>
  </si>
  <si>
    <t>Fabryka_2</t>
  </si>
  <si>
    <t>Ilość godzin_2</t>
  </si>
  <si>
    <t>Prowizja</t>
  </si>
  <si>
    <t>Sprzedaż</t>
  </si>
  <si>
    <t>Prowizja_2</t>
  </si>
  <si>
    <t>Produkty</t>
  </si>
  <si>
    <t>Produkty_2</t>
  </si>
  <si>
    <t>Wybierz produkt</t>
  </si>
  <si>
    <t>Biedronka</t>
  </si>
  <si>
    <t>Wróbel</t>
  </si>
  <si>
    <t>Bocian</t>
  </si>
  <si>
    <t>Sikorka</t>
  </si>
  <si>
    <t>Gil</t>
  </si>
  <si>
    <t>Dudek</t>
  </si>
  <si>
    <t>Sroka</t>
  </si>
  <si>
    <t>Pies</t>
  </si>
  <si>
    <t>Kot</t>
  </si>
  <si>
    <t>Mrówka</t>
  </si>
  <si>
    <t>Chomik</t>
  </si>
  <si>
    <t>Świnka morska</t>
  </si>
  <si>
    <t>Papuga</t>
  </si>
  <si>
    <t>Ryby</t>
  </si>
  <si>
    <t>Węgorz</t>
  </si>
  <si>
    <t>Okoń</t>
  </si>
  <si>
    <t>Łosoś</t>
  </si>
  <si>
    <t>Miś</t>
  </si>
  <si>
    <t>Sarna</t>
  </si>
  <si>
    <t>Jeleń</t>
  </si>
  <si>
    <t>Łoś</t>
  </si>
  <si>
    <t>Karp</t>
  </si>
  <si>
    <t>Błazenek</t>
  </si>
  <si>
    <t>Lista A</t>
  </si>
  <si>
    <t>lista B</t>
  </si>
  <si>
    <t>Ptak</t>
  </si>
  <si>
    <t>Zwierzę</t>
  </si>
  <si>
    <t>lista C</t>
  </si>
  <si>
    <t>&lt;- przykładowa formuła</t>
  </si>
  <si>
    <t>StałaA</t>
  </si>
  <si>
    <t>StałaB</t>
  </si>
  <si>
    <t>StałaA_2</t>
  </si>
  <si>
    <t>StałaB_2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</si>
</sst>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#,##0.00\ &quot;zł&quot;;[Red]\-#,##0.00\ &quot;zł&quot;"/>
    <numFmt numFmtId="164" formatCode="&quot;$&quot;#,##0,"/>
    <numFmt numFmtId="165" formatCode="d\-mmm\-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7">
    <xf numFmtId="0" fontId="0" fillId="0" borderId="0"/>
    <xf numFmtId="164" fontId="4" fillId="0" borderId="0"/>
    <xf numFmtId="165" fontId="5" fillId="0" borderId="0" applyFont="0" applyFill="0" applyBorder="0" applyProtection="0">
      <alignment horizontal="center"/>
    </xf>
    <xf numFmtId="0" fontId="6" fillId="0" borderId="0"/>
    <xf numFmtId="0" fontId="6" fillId="0" borderId="0">
      <alignment wrapText="1"/>
    </xf>
    <xf numFmtId="0" fontId="8" fillId="5" borderId="0" applyNumberFormat="0" applyBorder="0" applyAlignment="0" applyProtection="0"/>
    <xf numFmtId="8" fontId="9" fillId="3" borderId="1"/>
    <xf numFmtId="0" fontId="9" fillId="2" borderId="2" applyBorder="0"/>
    <xf numFmtId="0" fontId="7" fillId="5" borderId="1"/>
    <xf numFmtId="0" fontId="7" fillId="4" borderId="0"/>
    <xf numFmtId="0" fontId="9" fillId="2" borderId="2"/>
    <xf numFmtId="0" fontId="3" fillId="0" borderId="0"/>
    <xf numFmtId="0" fontId="2" fillId="0" borderId="0"/>
    <xf numFmtId="0" fontId="1" fillId="0" borderId="0"/>
    <xf numFmtId="0" fontId="1" fillId="0" borderId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18">
    <xf numFmtId="0" fontId="0" fillId="0" borderId="0" xfId="0"/>
    <xf numFmtId="0" fontId="10" fillId="6" borderId="1" xfId="5" applyFont="1" applyFill="1" applyBorder="1" applyAlignment="1">
      <alignment horizontal="center" vertical="center"/>
    </xf>
    <xf numFmtId="0" fontId="11" fillId="0" borderId="1" xfId="11" applyFont="1" applyBorder="1"/>
    <xf numFmtId="0" fontId="11" fillId="0" borderId="0" xfId="11" applyFont="1"/>
    <xf numFmtId="0" fontId="11" fillId="0" borderId="1" xfId="0" applyFont="1" applyBorder="1"/>
    <xf numFmtId="0" fontId="10" fillId="5" borderId="1" xfId="5" applyFont="1" applyBorder="1" applyAlignment="1">
      <alignment horizontal="center"/>
    </xf>
    <xf numFmtId="0" fontId="11" fillId="0" borderId="0" xfId="0" applyFont="1"/>
    <xf numFmtId="0" fontId="10" fillId="5" borderId="5" xfId="5" applyFont="1" applyBorder="1" applyAlignment="1">
      <alignment horizontal="center"/>
    </xf>
    <xf numFmtId="0" fontId="11" fillId="0" borderId="4" xfId="0" applyFont="1" applyBorder="1"/>
    <xf numFmtId="0" fontId="11" fillId="0" borderId="6" xfId="0" applyFont="1" applyBorder="1"/>
    <xf numFmtId="10" fontId="11" fillId="0" borderId="1" xfId="0" applyNumberFormat="1" applyFont="1" applyBorder="1"/>
    <xf numFmtId="8" fontId="11" fillId="0" borderId="1" xfId="0" applyNumberFormat="1" applyFont="1" applyBorder="1"/>
    <xf numFmtId="0" fontId="10" fillId="4" borderId="0" xfId="12" applyFont="1" applyFill="1" applyAlignment="1">
      <alignment horizontal="centerContinuous"/>
    </xf>
    <xf numFmtId="0" fontId="11" fillId="0" borderId="0" xfId="12" applyFont="1"/>
    <xf numFmtId="0" fontId="10" fillId="6" borderId="3" xfId="5" applyFont="1" applyFill="1" applyBorder="1" applyAlignment="1">
      <alignment horizontal="center" vertical="center"/>
    </xf>
    <xf numFmtId="0" fontId="11" fillId="0" borderId="1" xfId="12" applyFont="1" applyBorder="1"/>
    <xf numFmtId="14" fontId="11" fillId="0" borderId="1" xfId="12" applyNumberFormat="1" applyFont="1" applyBorder="1"/>
    <xf numFmtId="9" fontId="11" fillId="0" borderId="1" xfId="11" applyNumberFormat="1" applyFont="1" applyBorder="1"/>
  </cellXfs>
  <cellStyles count="17">
    <cellStyle name="Akcent 1" xfId="5" builtinId="29"/>
    <cellStyle name="Currency Round to thousands" xfId="1" xr:uid="{00000000-0005-0000-0000-000001000000}"/>
    <cellStyle name="Czarny" xfId="9" xr:uid="{00000000-0005-0000-0000-000002000000}"/>
    <cellStyle name="Formuła" xfId="6" xr:uid="{00000000-0005-0000-0000-000003000000}"/>
    <cellStyle name="Four-Digit Year" xfId="2" xr:uid="{00000000-0005-0000-0000-000004000000}"/>
    <cellStyle name="Hiperłącze 2" xfId="15" xr:uid="{6F114B2D-F6F0-4A69-AB79-80E126C4218D}"/>
    <cellStyle name="Hiperłącze 2 3" xfId="16" xr:uid="{73FE92C7-B82C-48D7-9299-048FB146441A}"/>
    <cellStyle name="Informacja" xfId="7" xr:uid="{00000000-0005-0000-0000-000005000000}"/>
    <cellStyle name="Nagłówek" xfId="8" xr:uid="{00000000-0005-0000-0000-000006000000}"/>
    <cellStyle name="Normal 2" xfId="3" xr:uid="{00000000-0005-0000-0000-000007000000}"/>
    <cellStyle name="Normalny" xfId="0" builtinId="0"/>
    <cellStyle name="Normalny 2" xfId="11" xr:uid="{00000000-0005-0000-0000-000009000000}"/>
    <cellStyle name="Normalny 2 2" xfId="12" xr:uid="{00000000-0005-0000-0000-00000A000000}"/>
    <cellStyle name="Normalny 2 3" xfId="13" xr:uid="{921357C2-8EED-46A0-882C-956E887EF06F}"/>
    <cellStyle name="Normalny 4" xfId="14" xr:uid="{D63693D9-3814-48E0-A8D4-A8F4D899E6A5}"/>
    <cellStyle name="Wrap Text" xfId="4" xr:uid="{00000000-0005-0000-0000-00000B000000}"/>
    <cellStyle name="ziel" xfId="10" xr:uid="{00000000-0005-0000-0000-00000C000000}"/>
  </cellStyles>
  <dxfs count="9"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alignment horizontal="center" vertical="bottom" textRotation="0" wrapText="0" indent="0" justifyLastLine="0" shrinkToFit="0" readingOrder="0"/>
    </dxf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8"/>
      <tableStyleElement type="totalRow" dxfId="7"/>
    </tableStyle>
    <tableStyle name="Table Style 1" pivot="0" count="2" xr9:uid="{00000000-0011-0000-FFFF-FFFF01000000}">
      <tableStyleElement type="wholeTable" dxfId="6"/>
      <tableStyleElement type="headerRow" dxfId="5"/>
    </tableStyle>
  </tableStyles>
  <colors>
    <mruColors>
      <color rgb="FF0000FF"/>
      <color rgb="FF99FF99"/>
      <color rgb="FF00FF00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161192</xdr:colOff>
      <xdr:row>1</xdr:row>
      <xdr:rowOff>7327</xdr:rowOff>
    </xdr:from>
    <xdr:to>
      <xdr:col>6</xdr:col>
      <xdr:colOff>190499</xdr:colOff>
      <xdr:row>5</xdr:row>
      <xdr:rowOff>7326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377461" y="197827"/>
          <a:ext cx="2461846" cy="7619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Nazwij poszczególne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komórki B1:B3, według nazw z komórek A1:A3. Skorzystaj z pola nazwy.</a:t>
          </a:r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146539</xdr:colOff>
      <xdr:row>0</xdr:row>
      <xdr:rowOff>168518</xdr:rowOff>
    </xdr:from>
    <xdr:to>
      <xdr:col>6</xdr:col>
      <xdr:colOff>175846</xdr:colOff>
      <xdr:row>6</xdr:row>
      <xdr:rowOff>7325</xdr:rowOff>
    </xdr:to>
    <xdr:sp macro="" textlink="">
      <xdr:nvSpPr>
        <xdr:cNvPr id="5" name="Prostokąt zaokrąglony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362808" y="168518"/>
          <a:ext cx="2461846" cy="98180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Ponieważ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staramy się, żeby nie było dwóch takich samych nazw w Excelu dlatego w odpowiedzi są nazwy z końcówką _2</a:t>
          </a:r>
          <a:endParaRPr lang="pl-P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593480</xdr:colOff>
      <xdr:row>2</xdr:row>
      <xdr:rowOff>21979</xdr:rowOff>
    </xdr:from>
    <xdr:to>
      <xdr:col>7</xdr:col>
      <xdr:colOff>131563</xdr:colOff>
      <xdr:row>7</xdr:row>
      <xdr:rowOff>124556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993172" y="402979"/>
          <a:ext cx="2087853" cy="105507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Nadaj nazwy kolumną na podstawie nagłówków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kolumn. Wykorzystaj odpowiednie polecenie z karty Formuły.</a:t>
          </a:r>
          <a:endParaRPr lang="pl-P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271094</xdr:colOff>
      <xdr:row>1</xdr:row>
      <xdr:rowOff>14655</xdr:rowOff>
    </xdr:from>
    <xdr:to>
      <xdr:col>9</xdr:col>
      <xdr:colOff>263767</xdr:colOff>
      <xdr:row>5</xdr:row>
      <xdr:rowOff>87924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703632" y="205155"/>
          <a:ext cx="3033347" cy="83526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Podmień odwołanie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 komórki na odwołanie do nazwy korzystając z odpowiedniego polecenia z karty Formuły.</a:t>
          </a:r>
          <a:endParaRPr lang="pl-P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278424</xdr:colOff>
      <xdr:row>1</xdr:row>
      <xdr:rowOff>36634</xdr:rowOff>
    </xdr:from>
    <xdr:to>
      <xdr:col>9</xdr:col>
      <xdr:colOff>271097</xdr:colOff>
      <xdr:row>5</xdr:row>
      <xdr:rowOff>109903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806212" y="227134"/>
          <a:ext cx="3033347" cy="83526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Rozwiń polecenie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Definiuj nazwę z karty Formuły i wybierz polecenie Zastosuj nazwy.</a:t>
          </a:r>
          <a:endParaRPr lang="pl-P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527537</xdr:colOff>
      <xdr:row>1</xdr:row>
      <xdr:rowOff>139212</xdr:rowOff>
    </xdr:from>
    <xdr:to>
      <xdr:col>7</xdr:col>
      <xdr:colOff>520210</xdr:colOff>
      <xdr:row>7</xdr:row>
      <xdr:rowOff>80596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853710" y="329712"/>
          <a:ext cx="3033346" cy="108438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 podstawie danych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z arkusza obok (żółty) stwórz listy rozwijane produktów (zakres B2:B4), które będą się powiększać. (potrzebujesz tabeli i nazwy). Pamietaj chcemy odwoływać się po nazwie.</a:t>
          </a:r>
        </a:p>
        <a:p>
          <a:pPr algn="ctr"/>
          <a:endParaRPr lang="pl-PL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51289</xdr:colOff>
      <xdr:row>7</xdr:row>
      <xdr:rowOff>73270</xdr:rowOff>
    </xdr:from>
    <xdr:to>
      <xdr:col>8</xdr:col>
      <xdr:colOff>168519</xdr:colOff>
      <xdr:row>11</xdr:row>
      <xdr:rowOff>87924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2505808" y="1406770"/>
          <a:ext cx="3209192" cy="77665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formułę, którą nazwiesz i wykorzystasz do listy rozwijanej B, która pozwoli wybrać Ci odpowiednie stworzenia.</a:t>
          </a:r>
          <a:endParaRPr lang="pl-P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498231</xdr:colOff>
      <xdr:row>5</xdr:row>
      <xdr:rowOff>153865</xdr:rowOff>
    </xdr:from>
    <xdr:to>
      <xdr:col>11</xdr:col>
      <xdr:colOff>7328</xdr:colOff>
      <xdr:row>8</xdr:row>
      <xdr:rowOff>139212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861289" y="1106365"/>
          <a:ext cx="3157904" cy="55684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Nazwa formuły to ListaB_2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344366</xdr:colOff>
      <xdr:row>6</xdr:row>
      <xdr:rowOff>168518</xdr:rowOff>
    </xdr:from>
    <xdr:to>
      <xdr:col>7</xdr:col>
      <xdr:colOff>190500</xdr:colOff>
      <xdr:row>12</xdr:row>
      <xdr:rowOff>80595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919654" y="1311518"/>
          <a:ext cx="3209192" cy="105507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formułę, którą nazwiesz i wykorzystasz do listy rozwijanej , która pozwoli wybrać Ci odpowiednie stworzenia. Trudniej bo listy są różnej długości.</a:t>
          </a:r>
          <a:endParaRPr lang="pl-PL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9</xdr:col>
      <xdr:colOff>65943</xdr:colOff>
      <xdr:row>9</xdr:row>
      <xdr:rowOff>175847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3062654" y="1333500"/>
          <a:ext cx="3157904" cy="55684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Nazwa formuły to ListaC_2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6</xdr:col>
      <xdr:colOff>29306</xdr:colOff>
      <xdr:row>7</xdr:row>
      <xdr:rowOff>175846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216269" y="571500"/>
          <a:ext cx="2461845" cy="93784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Przypisz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te wartości na stałe do zmienny, a nie jako odwołanie do komórki.</a:t>
          </a:r>
          <a:endParaRPr lang="pl-PL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58615</xdr:colOff>
      <xdr:row>2</xdr:row>
      <xdr:rowOff>175845</xdr:rowOff>
    </xdr:from>
    <xdr:to>
      <xdr:col>7</xdr:col>
      <xdr:colOff>87922</xdr:colOff>
      <xdr:row>6</xdr:row>
      <xdr:rowOff>153864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1883019" y="556845"/>
          <a:ext cx="2461845" cy="74001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nazwaną formułę Odejmi, która będzie odejmowałe 1 od wartości na lewo.</a:t>
          </a:r>
          <a:endParaRPr lang="pl-PL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461596</xdr:colOff>
      <xdr:row>7</xdr:row>
      <xdr:rowOff>73268</xdr:rowOff>
    </xdr:from>
    <xdr:to>
      <xdr:col>6</xdr:col>
      <xdr:colOff>490902</xdr:colOff>
      <xdr:row>11</xdr:row>
      <xdr:rowOff>51287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1677865" y="1406768"/>
          <a:ext cx="2461845" cy="74001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Nazwa Odejmij_2</a:t>
          </a:r>
          <a:endParaRPr lang="pl-PL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C1:C6" totalsRowShown="0" headerRowDxfId="4" headerRowBorderDxfId="3" tableBorderDxfId="2" totalsRowBorderDxfId="1" headerRowCellStyle="Akcent 1">
  <autoFilter ref="C1:C6" xr:uid="{00000000-0009-0000-0100-000001000000}"/>
  <tableColumns count="1">
    <tableColumn id="1" xr3:uid="{00000000-0010-0000-0000-000001000000}" name="Produkty_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B3"/>
  <sheetViews>
    <sheetView tabSelected="1" zoomScale="130" zoomScaleNormal="130" workbookViewId="0"/>
  </sheetViews>
  <sheetFormatPr defaultColWidth="9.109375" defaultRowHeight="14.4" x14ac:dyDescent="0.3"/>
  <cols>
    <col min="1" max="16384" width="9.109375" style="3"/>
  </cols>
  <sheetData>
    <row r="1" spans="1:2" x14ac:dyDescent="0.3">
      <c r="A1" s="1" t="s">
        <v>13</v>
      </c>
      <c r="B1" s="17">
        <v>0.05</v>
      </c>
    </row>
    <row r="2" spans="1:2" x14ac:dyDescent="0.3">
      <c r="A2" s="1" t="s">
        <v>14</v>
      </c>
      <c r="B2" s="17">
        <v>7.0000000000000007E-2</v>
      </c>
    </row>
    <row r="3" spans="1:2" x14ac:dyDescent="0.3">
      <c r="A3" s="1" t="s">
        <v>15</v>
      </c>
      <c r="B3" s="17">
        <v>0.23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3"/>
  <sheetViews>
    <sheetView zoomScale="130" zoomScaleNormal="130" workbookViewId="0"/>
  </sheetViews>
  <sheetFormatPr defaultColWidth="9.109375" defaultRowHeight="14.4" x14ac:dyDescent="0.3"/>
  <cols>
    <col min="1" max="16384" width="9.109375" style="3"/>
  </cols>
  <sheetData>
    <row r="1" spans="1:2" x14ac:dyDescent="0.3">
      <c r="A1" s="1" t="s">
        <v>16</v>
      </c>
      <c r="B1" s="17">
        <v>0.05</v>
      </c>
    </row>
    <row r="2" spans="1:2" x14ac:dyDescent="0.3">
      <c r="A2" s="1" t="s">
        <v>17</v>
      </c>
      <c r="B2" s="17">
        <v>7.0000000000000007E-2</v>
      </c>
    </row>
    <row r="3" spans="1:2" x14ac:dyDescent="0.3">
      <c r="A3" s="1" t="s">
        <v>18</v>
      </c>
      <c r="B3" s="17">
        <v>0.23</v>
      </c>
    </row>
  </sheetData>
  <dataValidations count="1">
    <dataValidation type="decimal" allowBlank="1" showInputMessage="1" showErrorMessage="1" sqref="B3:F10" xr:uid="{00000000-0002-0000-0100-000000000000}">
      <formula1>1</formula1>
      <formula2>6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D31"/>
  <sheetViews>
    <sheetView topLeftCell="A2" zoomScale="130" zoomScaleNormal="130" workbookViewId="0"/>
  </sheetViews>
  <sheetFormatPr defaultColWidth="12.6640625" defaultRowHeight="14.4" x14ac:dyDescent="0.3"/>
  <cols>
    <col min="1" max="16384" width="12.6640625" style="13"/>
  </cols>
  <sheetData>
    <row r="1" spans="1:4" x14ac:dyDescent="0.3">
      <c r="A1" s="12" t="s">
        <v>0</v>
      </c>
      <c r="B1" s="12"/>
      <c r="C1" s="12"/>
      <c r="D1" s="12"/>
    </row>
    <row r="2" spans="1:4" x14ac:dyDescent="0.3">
      <c r="A2" s="14" t="s">
        <v>1</v>
      </c>
      <c r="B2" s="14" t="s">
        <v>2</v>
      </c>
      <c r="C2" s="14" t="s">
        <v>3</v>
      </c>
      <c r="D2" s="1" t="s">
        <v>4</v>
      </c>
    </row>
    <row r="3" spans="1:4" x14ac:dyDescent="0.3">
      <c r="A3" s="15" t="s">
        <v>5</v>
      </c>
      <c r="B3" s="16">
        <v>41977</v>
      </c>
      <c r="C3" s="15" t="s">
        <v>6</v>
      </c>
      <c r="D3" s="15">
        <v>7.5</v>
      </c>
    </row>
    <row r="4" spans="1:4" x14ac:dyDescent="0.3">
      <c r="A4" s="15" t="s">
        <v>7</v>
      </c>
      <c r="B4" s="16">
        <v>41978</v>
      </c>
      <c r="C4" s="15" t="s">
        <v>8</v>
      </c>
      <c r="D4" s="15">
        <v>8.5</v>
      </c>
    </row>
    <row r="5" spans="1:4" x14ac:dyDescent="0.3">
      <c r="A5" s="15" t="s">
        <v>5</v>
      </c>
      <c r="B5" s="16">
        <v>41981</v>
      </c>
      <c r="C5" s="15" t="s">
        <v>9</v>
      </c>
      <c r="D5" s="15">
        <v>10</v>
      </c>
    </row>
    <row r="6" spans="1:4" x14ac:dyDescent="0.3">
      <c r="A6" s="15" t="s">
        <v>5</v>
      </c>
      <c r="B6" s="16">
        <v>41982</v>
      </c>
      <c r="C6" s="15" t="s">
        <v>10</v>
      </c>
      <c r="D6" s="15">
        <v>7</v>
      </c>
    </row>
    <row r="7" spans="1:4" x14ac:dyDescent="0.3">
      <c r="A7" s="15" t="s">
        <v>7</v>
      </c>
      <c r="B7" s="16">
        <v>41935</v>
      </c>
      <c r="C7" s="15" t="s">
        <v>6</v>
      </c>
      <c r="D7" s="15">
        <v>8.5</v>
      </c>
    </row>
    <row r="8" spans="1:4" x14ac:dyDescent="0.3">
      <c r="A8" s="15" t="s">
        <v>7</v>
      </c>
      <c r="B8" s="16">
        <v>41939</v>
      </c>
      <c r="C8" s="15" t="s">
        <v>10</v>
      </c>
      <c r="D8" s="15">
        <v>10</v>
      </c>
    </row>
    <row r="9" spans="1:4" x14ac:dyDescent="0.3">
      <c r="A9" s="15" t="s">
        <v>11</v>
      </c>
      <c r="B9" s="16">
        <v>41956</v>
      </c>
      <c r="C9" s="15" t="s">
        <v>8</v>
      </c>
      <c r="D9" s="15">
        <v>8.5</v>
      </c>
    </row>
    <row r="10" spans="1:4" x14ac:dyDescent="0.3">
      <c r="A10" s="15" t="s">
        <v>11</v>
      </c>
      <c r="B10" s="16">
        <v>41938</v>
      </c>
      <c r="C10" s="15" t="s">
        <v>10</v>
      </c>
      <c r="D10" s="15">
        <v>7</v>
      </c>
    </row>
    <row r="11" spans="1:4" x14ac:dyDescent="0.3">
      <c r="A11" s="15" t="s">
        <v>7</v>
      </c>
      <c r="B11" s="16">
        <v>41940</v>
      </c>
      <c r="C11" s="15" t="s">
        <v>8</v>
      </c>
      <c r="D11" s="15">
        <v>8.5</v>
      </c>
    </row>
    <row r="12" spans="1:4" x14ac:dyDescent="0.3">
      <c r="A12" s="15" t="s">
        <v>11</v>
      </c>
      <c r="B12" s="16">
        <v>41945</v>
      </c>
      <c r="C12" s="15" t="s">
        <v>8</v>
      </c>
      <c r="D12" s="15">
        <v>8</v>
      </c>
    </row>
    <row r="13" spans="1:4" x14ac:dyDescent="0.3">
      <c r="A13" s="15" t="s">
        <v>7</v>
      </c>
      <c r="B13" s="16">
        <v>41957</v>
      </c>
      <c r="C13" s="15" t="s">
        <v>9</v>
      </c>
      <c r="D13" s="15">
        <v>9</v>
      </c>
    </row>
    <row r="14" spans="1:4" x14ac:dyDescent="0.3">
      <c r="A14" s="15" t="s">
        <v>12</v>
      </c>
      <c r="B14" s="16">
        <v>41969</v>
      </c>
      <c r="C14" s="15" t="s">
        <v>6</v>
      </c>
      <c r="D14" s="15">
        <v>8.5</v>
      </c>
    </row>
    <row r="15" spans="1:4" x14ac:dyDescent="0.3">
      <c r="A15" s="15" t="s">
        <v>12</v>
      </c>
      <c r="B15" s="16">
        <v>41974</v>
      </c>
      <c r="C15" s="15" t="s">
        <v>9</v>
      </c>
      <c r="D15" s="15">
        <v>7</v>
      </c>
    </row>
    <row r="16" spans="1:4" x14ac:dyDescent="0.3">
      <c r="A16" s="15" t="s">
        <v>7</v>
      </c>
      <c r="B16" s="16">
        <v>41953</v>
      </c>
      <c r="C16" s="15" t="s">
        <v>6</v>
      </c>
      <c r="D16" s="15">
        <v>8.5</v>
      </c>
    </row>
    <row r="17" spans="1:4" x14ac:dyDescent="0.3">
      <c r="A17" s="15" t="s">
        <v>7</v>
      </c>
      <c r="B17" s="16">
        <v>41979</v>
      </c>
      <c r="C17" s="15" t="s">
        <v>9</v>
      </c>
      <c r="D17" s="15">
        <v>8</v>
      </c>
    </row>
    <row r="18" spans="1:4" x14ac:dyDescent="0.3">
      <c r="A18" s="15" t="s">
        <v>12</v>
      </c>
      <c r="B18" s="16">
        <v>41981</v>
      </c>
      <c r="C18" s="15" t="s">
        <v>8</v>
      </c>
      <c r="D18" s="15">
        <v>8</v>
      </c>
    </row>
    <row r="19" spans="1:4" x14ac:dyDescent="0.3">
      <c r="A19" s="15" t="s">
        <v>11</v>
      </c>
      <c r="B19" s="16">
        <v>41967</v>
      </c>
      <c r="C19" s="15" t="s">
        <v>10</v>
      </c>
      <c r="D19" s="15">
        <v>9</v>
      </c>
    </row>
    <row r="20" spans="1:4" x14ac:dyDescent="0.3">
      <c r="A20" s="15" t="s">
        <v>12</v>
      </c>
      <c r="B20" s="16">
        <v>41958</v>
      </c>
      <c r="C20" s="15" t="s">
        <v>6</v>
      </c>
      <c r="D20" s="15">
        <v>9.5</v>
      </c>
    </row>
    <row r="21" spans="1:4" x14ac:dyDescent="0.3">
      <c r="A21" s="15" t="s">
        <v>5</v>
      </c>
      <c r="B21" s="16">
        <v>41966</v>
      </c>
      <c r="C21" s="15" t="s">
        <v>9</v>
      </c>
      <c r="D21" s="15">
        <v>9.5</v>
      </c>
    </row>
    <row r="22" spans="1:4" x14ac:dyDescent="0.3">
      <c r="A22" s="15" t="s">
        <v>12</v>
      </c>
      <c r="B22" s="16">
        <v>41935</v>
      </c>
      <c r="C22" s="15" t="s">
        <v>10</v>
      </c>
      <c r="D22" s="15">
        <v>9</v>
      </c>
    </row>
    <row r="23" spans="1:4" x14ac:dyDescent="0.3">
      <c r="A23" s="15" t="s">
        <v>5</v>
      </c>
      <c r="B23" s="16">
        <v>41949</v>
      </c>
      <c r="C23" s="15" t="s">
        <v>9</v>
      </c>
      <c r="D23" s="15">
        <v>7</v>
      </c>
    </row>
    <row r="24" spans="1:4" x14ac:dyDescent="0.3">
      <c r="A24" s="15" t="s">
        <v>12</v>
      </c>
      <c r="B24" s="16">
        <v>41965</v>
      </c>
      <c r="C24" s="15" t="s">
        <v>6</v>
      </c>
      <c r="D24" s="15">
        <v>7</v>
      </c>
    </row>
    <row r="25" spans="1:4" x14ac:dyDescent="0.3">
      <c r="A25" s="15" t="s">
        <v>5</v>
      </c>
      <c r="B25" s="16">
        <v>41960</v>
      </c>
      <c r="C25" s="15" t="s">
        <v>10</v>
      </c>
      <c r="D25" s="15">
        <v>7.5</v>
      </c>
    </row>
    <row r="26" spans="1:4" x14ac:dyDescent="0.3">
      <c r="A26" s="15" t="s">
        <v>12</v>
      </c>
      <c r="B26" s="16">
        <v>41953</v>
      </c>
      <c r="C26" s="15" t="s">
        <v>10</v>
      </c>
      <c r="D26" s="15">
        <v>9.5</v>
      </c>
    </row>
    <row r="27" spans="1:4" x14ac:dyDescent="0.3">
      <c r="A27" s="15" t="s">
        <v>12</v>
      </c>
      <c r="B27" s="16">
        <v>41974</v>
      </c>
      <c r="C27" s="15" t="s">
        <v>8</v>
      </c>
      <c r="D27" s="15">
        <v>8.5</v>
      </c>
    </row>
    <row r="28" spans="1:4" x14ac:dyDescent="0.3">
      <c r="A28" s="15" t="s">
        <v>5</v>
      </c>
      <c r="B28" s="16">
        <v>41949</v>
      </c>
      <c r="C28" s="15" t="s">
        <v>9</v>
      </c>
      <c r="D28" s="15">
        <v>9</v>
      </c>
    </row>
    <row r="29" spans="1:4" x14ac:dyDescent="0.3">
      <c r="A29" s="15" t="s">
        <v>11</v>
      </c>
      <c r="B29" s="16">
        <v>41950</v>
      </c>
      <c r="C29" s="15" t="s">
        <v>9</v>
      </c>
      <c r="D29" s="15">
        <v>7.5</v>
      </c>
    </row>
    <row r="30" spans="1:4" x14ac:dyDescent="0.3">
      <c r="A30" s="15" t="s">
        <v>7</v>
      </c>
      <c r="B30" s="16">
        <v>41953</v>
      </c>
      <c r="C30" s="15" t="s">
        <v>10</v>
      </c>
      <c r="D30" s="15">
        <v>9</v>
      </c>
    </row>
    <row r="31" spans="1:4" x14ac:dyDescent="0.3">
      <c r="A31" s="15" t="s">
        <v>5</v>
      </c>
      <c r="B31" s="16">
        <v>41954</v>
      </c>
      <c r="C31" s="15" t="s">
        <v>6</v>
      </c>
      <c r="D31" s="15">
        <v>8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D31"/>
  <sheetViews>
    <sheetView zoomScale="130" zoomScaleNormal="130" workbookViewId="0"/>
  </sheetViews>
  <sheetFormatPr defaultColWidth="12.6640625" defaultRowHeight="14.4" x14ac:dyDescent="0.3"/>
  <cols>
    <col min="1" max="16384" width="12.6640625" style="13"/>
  </cols>
  <sheetData>
    <row r="1" spans="1:4" x14ac:dyDescent="0.3">
      <c r="A1" s="12" t="s">
        <v>0</v>
      </c>
      <c r="B1" s="12"/>
      <c r="C1" s="12"/>
      <c r="D1" s="12"/>
    </row>
    <row r="2" spans="1:4" x14ac:dyDescent="0.3">
      <c r="A2" s="14" t="s">
        <v>19</v>
      </c>
      <c r="B2" s="14" t="s">
        <v>20</v>
      </c>
      <c r="C2" s="14" t="s">
        <v>21</v>
      </c>
      <c r="D2" s="14" t="s">
        <v>22</v>
      </c>
    </row>
    <row r="3" spans="1:4" x14ac:dyDescent="0.3">
      <c r="A3" s="15" t="s">
        <v>5</v>
      </c>
      <c r="B3" s="16">
        <v>41977</v>
      </c>
      <c r="C3" s="15" t="s">
        <v>6</v>
      </c>
      <c r="D3" s="15">
        <v>7.5</v>
      </c>
    </row>
    <row r="4" spans="1:4" x14ac:dyDescent="0.3">
      <c r="A4" s="15" t="s">
        <v>7</v>
      </c>
      <c r="B4" s="16">
        <v>41978</v>
      </c>
      <c r="C4" s="15" t="s">
        <v>8</v>
      </c>
      <c r="D4" s="15">
        <v>8.5</v>
      </c>
    </row>
    <row r="5" spans="1:4" x14ac:dyDescent="0.3">
      <c r="A5" s="15" t="s">
        <v>5</v>
      </c>
      <c r="B5" s="16">
        <v>41981</v>
      </c>
      <c r="C5" s="15" t="s">
        <v>9</v>
      </c>
      <c r="D5" s="15">
        <v>10</v>
      </c>
    </row>
    <row r="6" spans="1:4" x14ac:dyDescent="0.3">
      <c r="A6" s="15" t="s">
        <v>5</v>
      </c>
      <c r="B6" s="16">
        <v>41982</v>
      </c>
      <c r="C6" s="15" t="s">
        <v>10</v>
      </c>
      <c r="D6" s="15">
        <v>7</v>
      </c>
    </row>
    <row r="7" spans="1:4" x14ac:dyDescent="0.3">
      <c r="A7" s="15" t="s">
        <v>7</v>
      </c>
      <c r="B7" s="16">
        <v>41935</v>
      </c>
      <c r="C7" s="15" t="s">
        <v>6</v>
      </c>
      <c r="D7" s="15">
        <v>8.5</v>
      </c>
    </row>
    <row r="8" spans="1:4" x14ac:dyDescent="0.3">
      <c r="A8" s="15" t="s">
        <v>7</v>
      </c>
      <c r="B8" s="16">
        <v>41939</v>
      </c>
      <c r="C8" s="15" t="s">
        <v>10</v>
      </c>
      <c r="D8" s="15">
        <v>10</v>
      </c>
    </row>
    <row r="9" spans="1:4" x14ac:dyDescent="0.3">
      <c r="A9" s="15" t="s">
        <v>11</v>
      </c>
      <c r="B9" s="16">
        <v>41956</v>
      </c>
      <c r="C9" s="15" t="s">
        <v>8</v>
      </c>
      <c r="D9" s="15">
        <v>8.5</v>
      </c>
    </row>
    <row r="10" spans="1:4" x14ac:dyDescent="0.3">
      <c r="A10" s="15" t="s">
        <v>11</v>
      </c>
      <c r="B10" s="16">
        <v>41938</v>
      </c>
      <c r="C10" s="15" t="s">
        <v>10</v>
      </c>
      <c r="D10" s="15">
        <v>7</v>
      </c>
    </row>
    <row r="11" spans="1:4" x14ac:dyDescent="0.3">
      <c r="A11" s="15" t="s">
        <v>7</v>
      </c>
      <c r="B11" s="16">
        <v>41940</v>
      </c>
      <c r="C11" s="15" t="s">
        <v>8</v>
      </c>
      <c r="D11" s="15">
        <v>8.5</v>
      </c>
    </row>
    <row r="12" spans="1:4" x14ac:dyDescent="0.3">
      <c r="A12" s="15" t="s">
        <v>11</v>
      </c>
      <c r="B12" s="16">
        <v>41945</v>
      </c>
      <c r="C12" s="15" t="s">
        <v>8</v>
      </c>
      <c r="D12" s="15">
        <v>8</v>
      </c>
    </row>
    <row r="13" spans="1:4" x14ac:dyDescent="0.3">
      <c r="A13" s="15" t="s">
        <v>7</v>
      </c>
      <c r="B13" s="16">
        <v>41957</v>
      </c>
      <c r="C13" s="15" t="s">
        <v>9</v>
      </c>
      <c r="D13" s="15">
        <v>9</v>
      </c>
    </row>
    <row r="14" spans="1:4" x14ac:dyDescent="0.3">
      <c r="A14" s="15" t="s">
        <v>12</v>
      </c>
      <c r="B14" s="16">
        <v>41969</v>
      </c>
      <c r="C14" s="15" t="s">
        <v>6</v>
      </c>
      <c r="D14" s="15">
        <v>8.5</v>
      </c>
    </row>
    <row r="15" spans="1:4" x14ac:dyDescent="0.3">
      <c r="A15" s="15" t="s">
        <v>12</v>
      </c>
      <c r="B15" s="16">
        <v>41974</v>
      </c>
      <c r="C15" s="15" t="s">
        <v>9</v>
      </c>
      <c r="D15" s="15">
        <v>7</v>
      </c>
    </row>
    <row r="16" spans="1:4" x14ac:dyDescent="0.3">
      <c r="A16" s="15" t="s">
        <v>7</v>
      </c>
      <c r="B16" s="16">
        <v>41953</v>
      </c>
      <c r="C16" s="15" t="s">
        <v>6</v>
      </c>
      <c r="D16" s="15">
        <v>8.5</v>
      </c>
    </row>
    <row r="17" spans="1:4" x14ac:dyDescent="0.3">
      <c r="A17" s="15" t="s">
        <v>7</v>
      </c>
      <c r="B17" s="16">
        <v>41979</v>
      </c>
      <c r="C17" s="15" t="s">
        <v>9</v>
      </c>
      <c r="D17" s="15">
        <v>8</v>
      </c>
    </row>
    <row r="18" spans="1:4" x14ac:dyDescent="0.3">
      <c r="A18" s="15" t="s">
        <v>12</v>
      </c>
      <c r="B18" s="16">
        <v>41981</v>
      </c>
      <c r="C18" s="15" t="s">
        <v>8</v>
      </c>
      <c r="D18" s="15">
        <v>8</v>
      </c>
    </row>
    <row r="19" spans="1:4" x14ac:dyDescent="0.3">
      <c r="A19" s="15" t="s">
        <v>11</v>
      </c>
      <c r="B19" s="16">
        <v>41967</v>
      </c>
      <c r="C19" s="15" t="s">
        <v>10</v>
      </c>
      <c r="D19" s="15">
        <v>9</v>
      </c>
    </row>
    <row r="20" spans="1:4" x14ac:dyDescent="0.3">
      <c r="A20" s="15" t="s">
        <v>12</v>
      </c>
      <c r="B20" s="16">
        <v>41958</v>
      </c>
      <c r="C20" s="15" t="s">
        <v>6</v>
      </c>
      <c r="D20" s="15">
        <v>9.5</v>
      </c>
    </row>
    <row r="21" spans="1:4" x14ac:dyDescent="0.3">
      <c r="A21" s="15" t="s">
        <v>5</v>
      </c>
      <c r="B21" s="16">
        <v>41966</v>
      </c>
      <c r="C21" s="15" t="s">
        <v>9</v>
      </c>
      <c r="D21" s="15">
        <v>9.5</v>
      </c>
    </row>
    <row r="22" spans="1:4" x14ac:dyDescent="0.3">
      <c r="A22" s="15" t="s">
        <v>12</v>
      </c>
      <c r="B22" s="16">
        <v>41935</v>
      </c>
      <c r="C22" s="15" t="s">
        <v>10</v>
      </c>
      <c r="D22" s="15">
        <v>9</v>
      </c>
    </row>
    <row r="23" spans="1:4" x14ac:dyDescent="0.3">
      <c r="A23" s="15" t="s">
        <v>5</v>
      </c>
      <c r="B23" s="16">
        <v>41949</v>
      </c>
      <c r="C23" s="15" t="s">
        <v>9</v>
      </c>
      <c r="D23" s="15">
        <v>7</v>
      </c>
    </row>
    <row r="24" spans="1:4" x14ac:dyDescent="0.3">
      <c r="A24" s="15" t="s">
        <v>12</v>
      </c>
      <c r="B24" s="16">
        <v>41965</v>
      </c>
      <c r="C24" s="15" t="s">
        <v>6</v>
      </c>
      <c r="D24" s="15">
        <v>7</v>
      </c>
    </row>
    <row r="25" spans="1:4" x14ac:dyDescent="0.3">
      <c r="A25" s="15" t="s">
        <v>5</v>
      </c>
      <c r="B25" s="16">
        <v>41960</v>
      </c>
      <c r="C25" s="15" t="s">
        <v>10</v>
      </c>
      <c r="D25" s="15">
        <v>7.5</v>
      </c>
    </row>
    <row r="26" spans="1:4" x14ac:dyDescent="0.3">
      <c r="A26" s="15" t="s">
        <v>12</v>
      </c>
      <c r="B26" s="16">
        <v>41953</v>
      </c>
      <c r="C26" s="15" t="s">
        <v>10</v>
      </c>
      <c r="D26" s="15">
        <v>9.5</v>
      </c>
    </row>
    <row r="27" spans="1:4" x14ac:dyDescent="0.3">
      <c r="A27" s="15" t="s">
        <v>12</v>
      </c>
      <c r="B27" s="16">
        <v>41974</v>
      </c>
      <c r="C27" s="15" t="s">
        <v>8</v>
      </c>
      <c r="D27" s="15">
        <v>8.5</v>
      </c>
    </row>
    <row r="28" spans="1:4" x14ac:dyDescent="0.3">
      <c r="A28" s="15" t="s">
        <v>5</v>
      </c>
      <c r="B28" s="16">
        <v>41949</v>
      </c>
      <c r="C28" s="15" t="s">
        <v>9</v>
      </c>
      <c r="D28" s="15">
        <v>9</v>
      </c>
    </row>
    <row r="29" spans="1:4" x14ac:dyDescent="0.3">
      <c r="A29" s="15" t="s">
        <v>11</v>
      </c>
      <c r="B29" s="16">
        <v>41950</v>
      </c>
      <c r="C29" s="15" t="s">
        <v>9</v>
      </c>
      <c r="D29" s="15">
        <v>7.5</v>
      </c>
    </row>
    <row r="30" spans="1:4" x14ac:dyDescent="0.3">
      <c r="A30" s="15" t="s">
        <v>7</v>
      </c>
      <c r="B30" s="16">
        <v>41953</v>
      </c>
      <c r="C30" s="15" t="s">
        <v>10</v>
      </c>
      <c r="D30" s="15">
        <v>9</v>
      </c>
    </row>
    <row r="31" spans="1:4" x14ac:dyDescent="0.3">
      <c r="A31" s="15" t="s">
        <v>5</v>
      </c>
      <c r="B31" s="16">
        <v>41954</v>
      </c>
      <c r="C31" s="15" t="s">
        <v>6</v>
      </c>
      <c r="D31" s="15">
        <v>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D7"/>
  <sheetViews>
    <sheetView zoomScale="130" zoomScaleNormal="130" workbookViewId="0"/>
  </sheetViews>
  <sheetFormatPr defaultRowHeight="14.4" x14ac:dyDescent="0.3"/>
  <cols>
    <col min="1" max="16384" width="8.88671875" style="6"/>
  </cols>
  <sheetData>
    <row r="1" spans="1:4" x14ac:dyDescent="0.3">
      <c r="A1" s="5" t="s">
        <v>23</v>
      </c>
      <c r="C1" s="5" t="s">
        <v>24</v>
      </c>
      <c r="D1" s="5" t="s">
        <v>23</v>
      </c>
    </row>
    <row r="2" spans="1:4" x14ac:dyDescent="0.3">
      <c r="A2" s="10">
        <v>1.4E-2</v>
      </c>
      <c r="C2" s="11">
        <v>100</v>
      </c>
      <c r="D2" s="11">
        <f>C2*$A$2</f>
        <v>1.4000000000000001</v>
      </c>
    </row>
    <row r="3" spans="1:4" x14ac:dyDescent="0.3">
      <c r="C3" s="11">
        <v>200</v>
      </c>
      <c r="D3" s="11">
        <f t="shared" ref="D3:D7" si="0">C3*$A$2</f>
        <v>2.8000000000000003</v>
      </c>
    </row>
    <row r="4" spans="1:4" x14ac:dyDescent="0.3">
      <c r="C4" s="11">
        <v>500</v>
      </c>
      <c r="D4" s="11">
        <f t="shared" si="0"/>
        <v>7</v>
      </c>
    </row>
    <row r="5" spans="1:4" x14ac:dyDescent="0.3">
      <c r="C5" s="11">
        <v>800</v>
      </c>
      <c r="D5" s="11">
        <f t="shared" si="0"/>
        <v>11.200000000000001</v>
      </c>
    </row>
    <row r="6" spans="1:4" x14ac:dyDescent="0.3">
      <c r="C6" s="11">
        <v>600</v>
      </c>
      <c r="D6" s="11">
        <f t="shared" si="0"/>
        <v>8.4</v>
      </c>
    </row>
    <row r="7" spans="1:4" x14ac:dyDescent="0.3">
      <c r="C7" s="11">
        <v>300</v>
      </c>
      <c r="D7" s="11">
        <f t="shared" si="0"/>
        <v>4.2</v>
      </c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D7"/>
  <sheetViews>
    <sheetView zoomScale="130" zoomScaleNormal="130" workbookViewId="0"/>
  </sheetViews>
  <sheetFormatPr defaultRowHeight="14.4" x14ac:dyDescent="0.3"/>
  <cols>
    <col min="1" max="1" width="10.5546875" style="6" bestFit="1" customWidth="1"/>
    <col min="2" max="16384" width="8.88671875" style="6"/>
  </cols>
  <sheetData>
    <row r="1" spans="1:4" x14ac:dyDescent="0.3">
      <c r="A1" s="5" t="s">
        <v>25</v>
      </c>
      <c r="C1" s="5" t="s">
        <v>24</v>
      </c>
      <c r="D1" s="5" t="s">
        <v>23</v>
      </c>
    </row>
    <row r="2" spans="1:4" x14ac:dyDescent="0.3">
      <c r="A2" s="10">
        <v>1.4E-2</v>
      </c>
      <c r="C2" s="11">
        <v>100</v>
      </c>
      <c r="D2" s="11">
        <f t="shared" ref="D2:D7" si="0">C2*Prowizja_2</f>
        <v>1.4000000000000001</v>
      </c>
    </row>
    <row r="3" spans="1:4" x14ac:dyDescent="0.3">
      <c r="C3" s="11">
        <v>200</v>
      </c>
      <c r="D3" s="11">
        <f t="shared" si="0"/>
        <v>2.8000000000000003</v>
      </c>
    </row>
    <row r="4" spans="1:4" x14ac:dyDescent="0.3">
      <c r="C4" s="11">
        <v>500</v>
      </c>
      <c r="D4" s="11">
        <f t="shared" si="0"/>
        <v>7</v>
      </c>
    </row>
    <row r="5" spans="1:4" x14ac:dyDescent="0.3">
      <c r="C5" s="11">
        <v>800</v>
      </c>
      <c r="D5" s="11">
        <f t="shared" si="0"/>
        <v>11.200000000000001</v>
      </c>
    </row>
    <row r="6" spans="1:4" x14ac:dyDescent="0.3">
      <c r="C6" s="11">
        <v>600</v>
      </c>
      <c r="D6" s="11">
        <f t="shared" si="0"/>
        <v>8.4</v>
      </c>
    </row>
    <row r="7" spans="1:4" x14ac:dyDescent="0.3">
      <c r="C7" s="11">
        <v>300</v>
      </c>
      <c r="D7" s="11">
        <f t="shared" si="0"/>
        <v>4.2</v>
      </c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B4"/>
  <sheetViews>
    <sheetView zoomScale="130" zoomScaleNormal="130" workbookViewId="0"/>
  </sheetViews>
  <sheetFormatPr defaultRowHeight="14.4" x14ac:dyDescent="0.3"/>
  <cols>
    <col min="1" max="1" width="3.88671875" style="6" customWidth="1"/>
    <col min="2" max="2" width="16" style="6" customWidth="1"/>
    <col min="3" max="16384" width="8.88671875" style="6"/>
  </cols>
  <sheetData>
    <row r="1" spans="1:2" x14ac:dyDescent="0.3">
      <c r="A1" s="4"/>
      <c r="B1" s="5" t="s">
        <v>28</v>
      </c>
    </row>
    <row r="2" spans="1:2" x14ac:dyDescent="0.3">
      <c r="A2" s="4">
        <v>1</v>
      </c>
      <c r="B2" s="4"/>
    </row>
    <row r="3" spans="1:2" x14ac:dyDescent="0.3">
      <c r="A3" s="4">
        <v>2</v>
      </c>
      <c r="B3" s="4"/>
    </row>
    <row r="4" spans="1:2" x14ac:dyDescent="0.3">
      <c r="A4" s="4">
        <v>3</v>
      </c>
      <c r="B4" s="4"/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C6"/>
  <sheetViews>
    <sheetView zoomScale="130" zoomScaleNormal="130" workbookViewId="0"/>
  </sheetViews>
  <sheetFormatPr defaultRowHeight="14.4" x14ac:dyDescent="0.3"/>
  <cols>
    <col min="1" max="2" width="8.88671875" style="6"/>
    <col min="3" max="3" width="15.5546875" style="6" bestFit="1" customWidth="1"/>
    <col min="4" max="16384" width="8.88671875" style="6"/>
  </cols>
  <sheetData>
    <row r="1" spans="1:3" x14ac:dyDescent="0.3">
      <c r="A1" s="5" t="s">
        <v>26</v>
      </c>
      <c r="C1" s="7" t="s">
        <v>27</v>
      </c>
    </row>
    <row r="2" spans="1:3" x14ac:dyDescent="0.3">
      <c r="A2" s="4" t="s">
        <v>8</v>
      </c>
      <c r="C2" s="8" t="s">
        <v>8</v>
      </c>
    </row>
    <row r="3" spans="1:3" x14ac:dyDescent="0.3">
      <c r="A3" s="4" t="s">
        <v>6</v>
      </c>
      <c r="C3" s="8" t="s">
        <v>6</v>
      </c>
    </row>
    <row r="4" spans="1:3" x14ac:dyDescent="0.3">
      <c r="A4" s="4" t="s">
        <v>10</v>
      </c>
      <c r="C4" s="8" t="s">
        <v>10</v>
      </c>
    </row>
    <row r="5" spans="1:3" x14ac:dyDescent="0.3">
      <c r="A5" s="4" t="s">
        <v>9</v>
      </c>
      <c r="C5" s="9" t="s">
        <v>9</v>
      </c>
    </row>
    <row r="6" spans="1:3" x14ac:dyDescent="0.3">
      <c r="C6" s="9" t="s">
        <v>29</v>
      </c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B4"/>
  <sheetViews>
    <sheetView zoomScale="130" zoomScaleNormal="130" workbookViewId="0"/>
  </sheetViews>
  <sheetFormatPr defaultRowHeight="14.4" x14ac:dyDescent="0.3"/>
  <cols>
    <col min="1" max="1" width="3.88671875" style="6" customWidth="1"/>
    <col min="2" max="2" width="16" style="6" customWidth="1"/>
    <col min="3" max="16384" width="8.88671875" style="6"/>
  </cols>
  <sheetData>
    <row r="1" spans="1:2" x14ac:dyDescent="0.3">
      <c r="A1" s="4"/>
      <c r="B1" s="5" t="s">
        <v>28</v>
      </c>
    </row>
    <row r="2" spans="1:2" x14ac:dyDescent="0.3">
      <c r="A2" s="4">
        <v>1</v>
      </c>
      <c r="B2" s="4" t="s">
        <v>6</v>
      </c>
    </row>
    <row r="3" spans="1:2" x14ac:dyDescent="0.3">
      <c r="A3" s="4">
        <v>2</v>
      </c>
      <c r="B3" s="4" t="s">
        <v>29</v>
      </c>
    </row>
    <row r="4" spans="1:2" x14ac:dyDescent="0.3">
      <c r="A4" s="4">
        <v>3</v>
      </c>
      <c r="B4" s="4" t="s">
        <v>6</v>
      </c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dataValidations count="2">
    <dataValidation type="list" allowBlank="1" showInputMessage="1" showErrorMessage="1" sqref="A2" xr:uid="{00000000-0002-0000-0800-000000000000}">
      <formula1>$C$2:$C$13</formula1>
    </dataValidation>
    <dataValidation type="list" allowBlank="1" showInputMessage="1" showErrorMessage="1" sqref="B2:B4" xr:uid="{00000000-0002-0000-0800-000001000000}">
      <formula1>Produkty_2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FF"/>
  </sheetPr>
  <dimension ref="A1:F6"/>
  <sheetViews>
    <sheetView zoomScale="130" zoomScaleNormal="130" workbookViewId="0"/>
  </sheetViews>
  <sheetFormatPr defaultColWidth="9.109375" defaultRowHeight="14.4" x14ac:dyDescent="0.3"/>
  <cols>
    <col min="1" max="1" width="14" style="3" customWidth="1"/>
    <col min="2" max="2" width="9.6640625" style="3" bestFit="1" customWidth="1"/>
    <col min="3" max="3" width="13.109375" style="3" bestFit="1" customWidth="1"/>
    <col min="4" max="4" width="9.109375" style="3"/>
    <col min="5" max="5" width="9.88671875" style="3" customWidth="1"/>
    <col min="6" max="16384" width="9.109375" style="3"/>
  </cols>
  <sheetData>
    <row r="1" spans="1:6" x14ac:dyDescent="0.3">
      <c r="A1" s="1" t="s">
        <v>55</v>
      </c>
      <c r="B1" s="1" t="s">
        <v>54</v>
      </c>
      <c r="C1" s="1" t="s">
        <v>42</v>
      </c>
      <c r="E1" s="1" t="s">
        <v>52</v>
      </c>
      <c r="F1" s="1" t="s">
        <v>53</v>
      </c>
    </row>
    <row r="2" spans="1:6" x14ac:dyDescent="0.3">
      <c r="A2" s="2" t="s">
        <v>36</v>
      </c>
      <c r="B2" s="2" t="s">
        <v>30</v>
      </c>
      <c r="C2" s="2" t="s">
        <v>43</v>
      </c>
      <c r="E2" s="3" t="s">
        <v>55</v>
      </c>
    </row>
    <row r="3" spans="1:6" x14ac:dyDescent="0.3">
      <c r="A3" s="2" t="s">
        <v>37</v>
      </c>
      <c r="B3" s="2" t="s">
        <v>31</v>
      </c>
      <c r="C3" s="2" t="s">
        <v>44</v>
      </c>
    </row>
    <row r="4" spans="1:6" x14ac:dyDescent="0.3">
      <c r="A4" s="2" t="s">
        <v>38</v>
      </c>
      <c r="B4" s="2" t="s">
        <v>32</v>
      </c>
      <c r="C4" s="2" t="s">
        <v>45</v>
      </c>
    </row>
    <row r="5" spans="1:6" x14ac:dyDescent="0.3">
      <c r="A5" s="2" t="s">
        <v>39</v>
      </c>
      <c r="B5" s="2" t="s">
        <v>33</v>
      </c>
      <c r="C5" s="2" t="s">
        <v>50</v>
      </c>
    </row>
    <row r="6" spans="1:6" x14ac:dyDescent="0.3">
      <c r="A6" s="2" t="s">
        <v>40</v>
      </c>
      <c r="B6" s="2" t="s">
        <v>34</v>
      </c>
      <c r="C6" s="2" t="s">
        <v>51</v>
      </c>
    </row>
  </sheetData>
  <dataValidations count="2">
    <dataValidation type="list" allowBlank="1" showInputMessage="1" showErrorMessage="1" sqref="E2" xr:uid="{00000000-0002-0000-0900-000000000000}">
      <formula1>$A$1:$C$1</formula1>
    </dataValidation>
    <dataValidation type="textLength" allowBlank="1" showInputMessage="1" showErrorMessage="1" sqref="A2" xr:uid="{00000000-0002-0000-0900-000001000000}">
      <formula1>4</formula1>
      <formula2>20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F6"/>
  <sheetViews>
    <sheetView zoomScale="130" zoomScaleNormal="130" workbookViewId="0"/>
  </sheetViews>
  <sheetFormatPr defaultColWidth="9.109375" defaultRowHeight="14.4" x14ac:dyDescent="0.3"/>
  <cols>
    <col min="1" max="1" width="14" style="3" customWidth="1"/>
    <col min="2" max="16384" width="9.109375" style="3"/>
  </cols>
  <sheetData>
    <row r="1" spans="1:6" x14ac:dyDescent="0.3">
      <c r="A1" s="1" t="s">
        <v>55</v>
      </c>
      <c r="B1" s="1" t="s">
        <v>54</v>
      </c>
      <c r="C1" s="1" t="s">
        <v>42</v>
      </c>
      <c r="E1" s="1" t="s">
        <v>52</v>
      </c>
      <c r="F1" s="1" t="s">
        <v>53</v>
      </c>
    </row>
    <row r="2" spans="1:6" x14ac:dyDescent="0.3">
      <c r="A2" s="2" t="s">
        <v>36</v>
      </c>
      <c r="B2" s="2" t="s">
        <v>30</v>
      </c>
      <c r="C2" s="2" t="s">
        <v>43</v>
      </c>
      <c r="E2" s="3" t="s">
        <v>55</v>
      </c>
      <c r="F2" s="3" t="s">
        <v>36</v>
      </c>
    </row>
    <row r="3" spans="1:6" x14ac:dyDescent="0.3">
      <c r="A3" s="2" t="s">
        <v>37</v>
      </c>
      <c r="B3" s="2" t="s">
        <v>31</v>
      </c>
      <c r="C3" s="2" t="s">
        <v>44</v>
      </c>
    </row>
    <row r="4" spans="1:6" x14ac:dyDescent="0.3">
      <c r="A4" s="2" t="s">
        <v>38</v>
      </c>
      <c r="B4" s="2" t="s">
        <v>32</v>
      </c>
      <c r="C4" s="2" t="s">
        <v>45</v>
      </c>
    </row>
    <row r="5" spans="1:6" x14ac:dyDescent="0.3">
      <c r="A5" s="2" t="s">
        <v>39</v>
      </c>
      <c r="B5" s="2" t="s">
        <v>33</v>
      </c>
      <c r="C5" s="2" t="s">
        <v>50</v>
      </c>
      <c r="F5" s="3" t="str">
        <f ca="1">OFFSET($A$2:$A$6,0,MATCH($E$2,$A$1:$C$1,0)-1)</f>
        <v>Chomik</v>
      </c>
    </row>
    <row r="6" spans="1:6" x14ac:dyDescent="0.3">
      <c r="A6" s="2" t="s">
        <v>40</v>
      </c>
      <c r="B6" s="2" t="s">
        <v>34</v>
      </c>
      <c r="C6" s="2" t="s">
        <v>51</v>
      </c>
    </row>
  </sheetData>
  <dataValidations count="3">
    <dataValidation type="textLength" allowBlank="1" showInputMessage="1" showErrorMessage="1" sqref="A2" xr:uid="{00000000-0002-0000-0A00-000000000000}">
      <formula1>4</formula1>
      <formula2>20</formula2>
    </dataValidation>
    <dataValidation type="list" allowBlank="1" showInputMessage="1" showErrorMessage="1" sqref="E2" xr:uid="{00000000-0002-0000-0A00-000001000000}">
      <formula1>$A$1:$C$1</formula1>
    </dataValidation>
    <dataValidation type="list" allowBlank="1" showInputMessage="1" showErrorMessage="1" sqref="F2" xr:uid="{00000000-0002-0000-0A00-000002000000}">
      <formula1>ListaB_2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FF"/>
  </sheetPr>
  <dimension ref="A1:F10"/>
  <sheetViews>
    <sheetView zoomScale="130" zoomScaleNormal="130" workbookViewId="0"/>
  </sheetViews>
  <sheetFormatPr defaultColWidth="9.109375" defaultRowHeight="14.4" x14ac:dyDescent="0.3"/>
  <cols>
    <col min="1" max="1" width="14" style="3" customWidth="1"/>
    <col min="2" max="2" width="9.6640625" style="3" bestFit="1" customWidth="1"/>
    <col min="3" max="3" width="13.109375" style="3" bestFit="1" customWidth="1"/>
    <col min="4" max="4" width="9.109375" style="3"/>
    <col min="5" max="5" width="9.88671875" style="3" customWidth="1"/>
    <col min="6" max="16384" width="9.109375" style="3"/>
  </cols>
  <sheetData>
    <row r="1" spans="1:6" x14ac:dyDescent="0.3">
      <c r="A1" s="1" t="s">
        <v>55</v>
      </c>
      <c r="B1" s="1" t="s">
        <v>54</v>
      </c>
      <c r="C1" s="1" t="s">
        <v>42</v>
      </c>
      <c r="E1" s="1" t="s">
        <v>52</v>
      </c>
      <c r="F1" s="1" t="s">
        <v>56</v>
      </c>
    </row>
    <row r="2" spans="1:6" x14ac:dyDescent="0.3">
      <c r="A2" s="2" t="s">
        <v>36</v>
      </c>
      <c r="B2" s="2" t="s">
        <v>30</v>
      </c>
      <c r="C2" s="2" t="s">
        <v>43</v>
      </c>
      <c r="E2" s="3" t="s">
        <v>55</v>
      </c>
    </row>
    <row r="3" spans="1:6" x14ac:dyDescent="0.3">
      <c r="A3" s="2" t="s">
        <v>37</v>
      </c>
      <c r="B3" s="2" t="s">
        <v>31</v>
      </c>
      <c r="C3" s="2" t="s">
        <v>44</v>
      </c>
    </row>
    <row r="4" spans="1:6" x14ac:dyDescent="0.3">
      <c r="A4" s="2" t="s">
        <v>38</v>
      </c>
      <c r="B4" s="2" t="s">
        <v>32</v>
      </c>
      <c r="C4" s="2" t="s">
        <v>45</v>
      </c>
    </row>
    <row r="5" spans="1:6" x14ac:dyDescent="0.3">
      <c r="A5" s="2" t="s">
        <v>39</v>
      </c>
      <c r="B5" s="2" t="s">
        <v>33</v>
      </c>
      <c r="C5" s="2" t="s">
        <v>50</v>
      </c>
    </row>
    <row r="6" spans="1:6" x14ac:dyDescent="0.3">
      <c r="A6" s="2" t="s">
        <v>40</v>
      </c>
      <c r="B6" s="2" t="s">
        <v>34</v>
      </c>
    </row>
    <row r="7" spans="1:6" x14ac:dyDescent="0.3">
      <c r="A7" s="2" t="s">
        <v>46</v>
      </c>
      <c r="B7" s="2" t="s">
        <v>35</v>
      </c>
    </row>
    <row r="8" spans="1:6" x14ac:dyDescent="0.3">
      <c r="A8" s="2" t="s">
        <v>47</v>
      </c>
      <c r="B8" s="2" t="s">
        <v>41</v>
      </c>
    </row>
    <row r="9" spans="1:6" x14ac:dyDescent="0.3">
      <c r="A9" s="2" t="s">
        <v>48</v>
      </c>
    </row>
    <row r="10" spans="1:6" x14ac:dyDescent="0.3">
      <c r="A10" s="2" t="s">
        <v>49</v>
      </c>
    </row>
  </sheetData>
  <dataValidations count="1">
    <dataValidation type="list" allowBlank="1" showInputMessage="1" showErrorMessage="1" sqref="E2" xr:uid="{00000000-0002-0000-0B00-000000000000}">
      <formula1>$A$1:$C$1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G10"/>
  <sheetViews>
    <sheetView zoomScale="130" zoomScaleNormal="130" workbookViewId="0"/>
  </sheetViews>
  <sheetFormatPr defaultColWidth="9.109375" defaultRowHeight="14.4" x14ac:dyDescent="0.3"/>
  <cols>
    <col min="1" max="1" width="14" style="3" customWidth="1"/>
    <col min="2" max="2" width="9.6640625" style="3" bestFit="1" customWidth="1"/>
    <col min="3" max="3" width="13.109375" style="3" bestFit="1" customWidth="1"/>
    <col min="4" max="4" width="9.109375" style="3"/>
    <col min="5" max="5" width="9.88671875" style="3" customWidth="1"/>
    <col min="6" max="16384" width="9.109375" style="3"/>
  </cols>
  <sheetData>
    <row r="1" spans="1:7" x14ac:dyDescent="0.3">
      <c r="A1" s="1" t="s">
        <v>55</v>
      </c>
      <c r="B1" s="1" t="s">
        <v>54</v>
      </c>
      <c r="C1" s="1" t="s">
        <v>42</v>
      </c>
      <c r="E1" s="1" t="s">
        <v>52</v>
      </c>
      <c r="F1" s="1" t="s">
        <v>56</v>
      </c>
    </row>
    <row r="2" spans="1:7" x14ac:dyDescent="0.3">
      <c r="A2" s="2" t="s">
        <v>36</v>
      </c>
      <c r="B2" s="2" t="s">
        <v>30</v>
      </c>
      <c r="C2" s="2" t="s">
        <v>43</v>
      </c>
      <c r="E2" s="3" t="s">
        <v>54</v>
      </c>
      <c r="F2" s="3" t="s">
        <v>34</v>
      </c>
    </row>
    <row r="3" spans="1:7" x14ac:dyDescent="0.3">
      <c r="A3" s="2" t="s">
        <v>37</v>
      </c>
      <c r="B3" s="2" t="s">
        <v>31</v>
      </c>
      <c r="C3" s="2" t="s">
        <v>44</v>
      </c>
    </row>
    <row r="4" spans="1:7" x14ac:dyDescent="0.3">
      <c r="A4" s="2" t="s">
        <v>38</v>
      </c>
      <c r="B4" s="2" t="s">
        <v>32</v>
      </c>
      <c r="C4" s="2" t="s">
        <v>45</v>
      </c>
    </row>
    <row r="5" spans="1:7" x14ac:dyDescent="0.3">
      <c r="A5" s="2" t="s">
        <v>39</v>
      </c>
      <c r="B5" s="2" t="s">
        <v>33</v>
      </c>
      <c r="C5" s="2" t="s">
        <v>50</v>
      </c>
      <c r="F5" s="3" t="str">
        <f ca="1">OFFSET($A$2,0,MATCH($E$2,$A$1:$C$1,0)-1,COUNTA(OFFSET($A$2:$A$100,0,MATCH($E$2,$A$1:$C$1,0)-1)),1)</f>
        <v>Gil</v>
      </c>
      <c r="G5" s="3" t="s">
        <v>57</v>
      </c>
    </row>
    <row r="6" spans="1:7" x14ac:dyDescent="0.3">
      <c r="A6" s="2" t="s">
        <v>40</v>
      </c>
      <c r="B6" s="2" t="s">
        <v>34</v>
      </c>
    </row>
    <row r="7" spans="1:7" x14ac:dyDescent="0.3">
      <c r="A7" s="2" t="s">
        <v>46</v>
      </c>
      <c r="B7" s="2" t="s">
        <v>35</v>
      </c>
    </row>
    <row r="8" spans="1:7" x14ac:dyDescent="0.3">
      <c r="A8" s="2" t="s">
        <v>47</v>
      </c>
      <c r="B8" s="2" t="s">
        <v>41</v>
      </c>
    </row>
    <row r="9" spans="1:7" x14ac:dyDescent="0.3">
      <c r="A9" s="2" t="s">
        <v>48</v>
      </c>
    </row>
    <row r="10" spans="1:7" x14ac:dyDescent="0.3">
      <c r="A10" s="2" t="s">
        <v>49</v>
      </c>
    </row>
  </sheetData>
  <dataValidations count="2">
    <dataValidation type="list" allowBlank="1" showInputMessage="1" showErrorMessage="1" sqref="E2" xr:uid="{00000000-0002-0000-0C00-000000000000}">
      <formula1>$A$1:$C$1</formula1>
    </dataValidation>
    <dataValidation type="list" allowBlank="1" showInputMessage="1" showErrorMessage="1" sqref="F2" xr:uid="{00000000-0002-0000-0C00-000001000000}">
      <formula1>ListaC_2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00FF"/>
  </sheetPr>
  <dimension ref="A1:B2"/>
  <sheetViews>
    <sheetView zoomScale="130" zoomScaleNormal="130" workbookViewId="0"/>
  </sheetViews>
  <sheetFormatPr defaultColWidth="9.109375" defaultRowHeight="14.4" x14ac:dyDescent="0.3"/>
  <cols>
    <col min="1" max="16384" width="9.109375" style="3"/>
  </cols>
  <sheetData>
    <row r="1" spans="1:2" x14ac:dyDescent="0.3">
      <c r="A1" s="1" t="s">
        <v>58</v>
      </c>
      <c r="B1" s="2">
        <v>100</v>
      </c>
    </row>
    <row r="2" spans="1:2" x14ac:dyDescent="0.3">
      <c r="A2" s="1" t="s">
        <v>59</v>
      </c>
      <c r="B2" s="2">
        <v>220</v>
      </c>
    </row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B2"/>
  <sheetViews>
    <sheetView zoomScale="130" zoomScaleNormal="130" workbookViewId="0"/>
  </sheetViews>
  <sheetFormatPr defaultColWidth="9.109375" defaultRowHeight="14.4" x14ac:dyDescent="0.3"/>
  <cols>
    <col min="1" max="16384" width="9.109375" style="3"/>
  </cols>
  <sheetData>
    <row r="1" spans="1:2" x14ac:dyDescent="0.3">
      <c r="A1" s="1" t="s">
        <v>60</v>
      </c>
      <c r="B1" s="2">
        <v>100</v>
      </c>
    </row>
    <row r="2" spans="1:2" x14ac:dyDescent="0.3">
      <c r="A2" s="1" t="s">
        <v>61</v>
      </c>
      <c r="B2" s="2">
        <v>220</v>
      </c>
    </row>
  </sheetData>
  <dataValidations count="1">
    <dataValidation type="custom" allowBlank="1" showInputMessage="1" showErrorMessage="1" sqref="B3:F10" xr:uid="{00000000-0002-0000-0E00-000000000000}">
      <formula1>AND(MOD(B3/0.5,1)=0,B3&lt;=6,B3&gt;=1)</formula1>
    </dataValidation>
  </dataValidation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00FF"/>
  </sheetPr>
  <dimension ref="A1:B6"/>
  <sheetViews>
    <sheetView zoomScale="130" zoomScaleNormal="130" workbookViewId="0"/>
  </sheetViews>
  <sheetFormatPr defaultColWidth="9.109375" defaultRowHeight="14.4" x14ac:dyDescent="0.3"/>
  <cols>
    <col min="1" max="16384" width="9.109375" style="3"/>
  </cols>
  <sheetData>
    <row r="1" spans="1:2" x14ac:dyDescent="0.3">
      <c r="A1" s="1">
        <v>10</v>
      </c>
      <c r="B1" s="2"/>
    </row>
    <row r="2" spans="1:2" x14ac:dyDescent="0.3">
      <c r="A2" s="1">
        <v>9</v>
      </c>
      <c r="B2" s="2"/>
    </row>
    <row r="3" spans="1:2" x14ac:dyDescent="0.3">
      <c r="A3" s="1">
        <v>8</v>
      </c>
      <c r="B3" s="2"/>
    </row>
    <row r="4" spans="1:2" x14ac:dyDescent="0.3">
      <c r="A4" s="1">
        <v>7</v>
      </c>
      <c r="B4" s="2"/>
    </row>
    <row r="5" spans="1:2" x14ac:dyDescent="0.3">
      <c r="A5" s="1">
        <v>6</v>
      </c>
      <c r="B5" s="2"/>
    </row>
    <row r="6" spans="1:2" x14ac:dyDescent="0.3">
      <c r="A6" s="1">
        <v>5</v>
      </c>
      <c r="B6" s="2"/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K6"/>
  <sheetViews>
    <sheetView zoomScale="130" zoomScaleNormal="130" workbookViewId="0"/>
  </sheetViews>
  <sheetFormatPr defaultColWidth="9.109375" defaultRowHeight="14.4" x14ac:dyDescent="0.3"/>
  <cols>
    <col min="1" max="16384" width="9.109375" style="3"/>
  </cols>
  <sheetData>
    <row r="1" spans="1:11" x14ac:dyDescent="0.3">
      <c r="A1" s="1">
        <v>10</v>
      </c>
      <c r="B1" s="2">
        <f t="shared" ref="B1:K6" si="0">Odejmij_2</f>
        <v>9</v>
      </c>
      <c r="C1" s="2">
        <f t="shared" si="0"/>
        <v>8</v>
      </c>
      <c r="D1" s="2">
        <f t="shared" si="0"/>
        <v>7</v>
      </c>
      <c r="E1" s="2">
        <f t="shared" si="0"/>
        <v>6</v>
      </c>
      <c r="F1" s="2">
        <f t="shared" si="0"/>
        <v>5</v>
      </c>
      <c r="G1" s="2">
        <f t="shared" si="0"/>
        <v>4</v>
      </c>
      <c r="H1" s="2">
        <f t="shared" si="0"/>
        <v>3</v>
      </c>
      <c r="I1" s="2">
        <f t="shared" si="0"/>
        <v>2</v>
      </c>
      <c r="J1" s="2">
        <f t="shared" si="0"/>
        <v>1</v>
      </c>
      <c r="K1" s="2">
        <f t="shared" si="0"/>
        <v>0</v>
      </c>
    </row>
    <row r="2" spans="1:11" x14ac:dyDescent="0.3">
      <c r="A2" s="1">
        <v>9</v>
      </c>
      <c r="B2" s="2">
        <f t="shared" si="0"/>
        <v>8</v>
      </c>
      <c r="C2" s="2">
        <f t="shared" si="0"/>
        <v>7</v>
      </c>
      <c r="D2" s="2">
        <f t="shared" si="0"/>
        <v>6</v>
      </c>
      <c r="E2" s="2">
        <f t="shared" si="0"/>
        <v>5</v>
      </c>
      <c r="F2" s="2">
        <f t="shared" si="0"/>
        <v>4</v>
      </c>
      <c r="G2" s="2">
        <f t="shared" si="0"/>
        <v>3</v>
      </c>
      <c r="H2" s="2">
        <f t="shared" si="0"/>
        <v>2</v>
      </c>
      <c r="I2" s="2">
        <f t="shared" si="0"/>
        <v>1</v>
      </c>
      <c r="J2" s="2">
        <f t="shared" si="0"/>
        <v>0</v>
      </c>
      <c r="K2" s="2">
        <f t="shared" si="0"/>
        <v>-1</v>
      </c>
    </row>
    <row r="3" spans="1:11" x14ac:dyDescent="0.3">
      <c r="A3" s="1">
        <v>8</v>
      </c>
      <c r="B3" s="2">
        <f t="shared" si="0"/>
        <v>7</v>
      </c>
      <c r="C3" s="2">
        <f t="shared" si="0"/>
        <v>6</v>
      </c>
      <c r="D3" s="2">
        <f t="shared" si="0"/>
        <v>5</v>
      </c>
      <c r="E3" s="2">
        <f t="shared" si="0"/>
        <v>4</v>
      </c>
      <c r="F3" s="2">
        <f t="shared" si="0"/>
        <v>3</v>
      </c>
      <c r="G3" s="2">
        <f t="shared" si="0"/>
        <v>2</v>
      </c>
      <c r="H3" s="2">
        <f t="shared" si="0"/>
        <v>1</v>
      </c>
      <c r="I3" s="2">
        <f t="shared" si="0"/>
        <v>0</v>
      </c>
      <c r="J3" s="2">
        <f t="shared" si="0"/>
        <v>-1</v>
      </c>
      <c r="K3" s="2">
        <f t="shared" si="0"/>
        <v>-2</v>
      </c>
    </row>
    <row r="4" spans="1:11" x14ac:dyDescent="0.3">
      <c r="A4" s="1">
        <v>7</v>
      </c>
      <c r="B4" s="2">
        <f t="shared" si="0"/>
        <v>6</v>
      </c>
      <c r="C4" s="2">
        <f t="shared" si="0"/>
        <v>5</v>
      </c>
      <c r="D4" s="2">
        <f t="shared" si="0"/>
        <v>4</v>
      </c>
      <c r="E4" s="2">
        <f t="shared" si="0"/>
        <v>3</v>
      </c>
      <c r="F4" s="2">
        <f t="shared" si="0"/>
        <v>2</v>
      </c>
      <c r="G4" s="2">
        <f t="shared" si="0"/>
        <v>1</v>
      </c>
      <c r="H4" s="2">
        <f t="shared" si="0"/>
        <v>0</v>
      </c>
      <c r="I4" s="2">
        <f t="shared" si="0"/>
        <v>-1</v>
      </c>
      <c r="J4" s="2">
        <f t="shared" si="0"/>
        <v>-2</v>
      </c>
      <c r="K4" s="2">
        <f t="shared" si="0"/>
        <v>-3</v>
      </c>
    </row>
    <row r="5" spans="1:11" x14ac:dyDescent="0.3">
      <c r="A5" s="1">
        <v>6</v>
      </c>
      <c r="B5" s="2">
        <f t="shared" si="0"/>
        <v>5</v>
      </c>
      <c r="C5" s="2">
        <f t="shared" si="0"/>
        <v>4</v>
      </c>
      <c r="D5" s="2">
        <f t="shared" si="0"/>
        <v>3</v>
      </c>
      <c r="E5" s="2">
        <f t="shared" si="0"/>
        <v>2</v>
      </c>
      <c r="F5" s="2">
        <f t="shared" si="0"/>
        <v>1</v>
      </c>
      <c r="G5" s="2">
        <f t="shared" si="0"/>
        <v>0</v>
      </c>
      <c r="H5" s="2">
        <f t="shared" si="0"/>
        <v>-1</v>
      </c>
      <c r="I5" s="2">
        <f t="shared" si="0"/>
        <v>-2</v>
      </c>
      <c r="J5" s="2">
        <f t="shared" si="0"/>
        <v>-3</v>
      </c>
      <c r="K5" s="2">
        <f t="shared" si="0"/>
        <v>-4</v>
      </c>
    </row>
    <row r="6" spans="1:11" x14ac:dyDescent="0.3">
      <c r="A6" s="1">
        <v>5</v>
      </c>
      <c r="B6" s="2">
        <f t="shared" si="0"/>
        <v>4</v>
      </c>
      <c r="C6" s="2">
        <f t="shared" si="0"/>
        <v>3</v>
      </c>
      <c r="D6" s="2">
        <f t="shared" si="0"/>
        <v>2</v>
      </c>
      <c r="E6" s="2">
        <f t="shared" si="0"/>
        <v>1</v>
      </c>
      <c r="F6" s="2">
        <f t="shared" si="0"/>
        <v>0</v>
      </c>
      <c r="G6" s="2">
        <f t="shared" si="0"/>
        <v>-1</v>
      </c>
      <c r="H6" s="2">
        <f t="shared" si="0"/>
        <v>-2</v>
      </c>
      <c r="I6" s="2">
        <f t="shared" si="0"/>
        <v>-3</v>
      </c>
      <c r="J6" s="2">
        <f t="shared" si="0"/>
        <v>-4</v>
      </c>
      <c r="K6" s="2">
        <f t="shared" si="0"/>
        <v>-5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17</vt:i4>
      </vt:variant>
      <vt:variant>
        <vt:lpstr>Nazwane zakresy</vt:lpstr>
      </vt:variant>
      <vt:variant>
        <vt:i4>10</vt:i4>
      </vt:variant>
    </vt:vector>
  </HeadingPairs>
  <TitlesOfParts>
    <vt:vector size="27" baseType="lpstr">
      <vt:lpstr>Ćw1</vt:lpstr>
      <vt:lpstr>Ćw1(Odp)</vt:lpstr>
      <vt:lpstr>Ćw2</vt:lpstr>
      <vt:lpstr>Ćw2(Odp)</vt:lpstr>
      <vt:lpstr>Ćw3</vt:lpstr>
      <vt:lpstr>Ćw3(Odp)</vt:lpstr>
      <vt:lpstr>Ćw4</vt:lpstr>
      <vt:lpstr>Ćw4 (2)</vt:lpstr>
      <vt:lpstr>Ćw4(Odp)</vt:lpstr>
      <vt:lpstr>Ćw5</vt:lpstr>
      <vt:lpstr>Ćw5(Odp)</vt:lpstr>
      <vt:lpstr>Ćw6</vt:lpstr>
      <vt:lpstr>Ćw6(Odp)</vt:lpstr>
      <vt:lpstr>Ćw7</vt:lpstr>
      <vt:lpstr>Ćw7(Odp)</vt:lpstr>
      <vt:lpstr>Ćw8</vt:lpstr>
      <vt:lpstr>Ćw8 (2)</vt:lpstr>
      <vt:lpstr>Data_2</vt:lpstr>
      <vt:lpstr>Fabryka_2</vt:lpstr>
      <vt:lpstr>Ilość_godzin_2</vt:lpstr>
      <vt:lpstr>Pracownik_2</vt:lpstr>
      <vt:lpstr>Produkty_2</vt:lpstr>
      <vt:lpstr>Prowizja</vt:lpstr>
      <vt:lpstr>Prowizja_2</vt:lpstr>
      <vt:lpstr>VAT23_2</vt:lpstr>
      <vt:lpstr>VAT5_2</vt:lpstr>
      <vt:lpstr>VAT7_2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Adam Kop</cp:lastModifiedBy>
  <cp:lastPrinted>2013-08-28T23:00:25Z</cp:lastPrinted>
  <dcterms:created xsi:type="dcterms:W3CDTF">2013-08-21T20:08:04Z</dcterms:created>
  <dcterms:modified xsi:type="dcterms:W3CDTF">2019-08-19T20:00:53Z</dcterms:modified>
</cp:coreProperties>
</file>