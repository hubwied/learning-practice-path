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DDFBC441-9C88-4806-9266-53CAF6260572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294" r:id="rId3"/>
    <sheet name="Ćw2(Odp)" sheetId="295" r:id="rId4"/>
    <sheet name="Ćw3" sheetId="323" r:id="rId5"/>
    <sheet name="Ćw3(Odp)" sheetId="324" r:id="rId6"/>
    <sheet name="Ćw4" sheetId="325" r:id="rId7"/>
    <sheet name="Ćw4(Odp)" sheetId="326" r:id="rId8"/>
    <sheet name="Ćw5" sheetId="327" r:id="rId9"/>
    <sheet name="Ćw5(Odp)" sheetId="328" r:id="rId10"/>
    <sheet name="Ćw6" sheetId="329" r:id="rId11"/>
    <sheet name="Ćw6(Odp)" sheetId="330" r:id="rId12"/>
    <sheet name="Ćw7" sheetId="306" r:id="rId13"/>
    <sheet name="Ćw7(Odp)" sheetId="331" r:id="rId14"/>
    <sheet name="Ćw8" sheetId="332" r:id="rId15"/>
    <sheet name="Ćw8(Odp)" sheetId="333" r:id="rId16"/>
    <sheet name="Ćw9" sheetId="334" r:id="rId17"/>
    <sheet name="Ćw9(Odp)" sheetId="335" r:id="rId18"/>
    <sheet name="Ćw10" sheetId="336" r:id="rId19"/>
    <sheet name="Ćw10(Odp)" sheetId="337" r:id="rId20"/>
  </sheets>
  <definedNames>
    <definedName name="_xlnm._FilterDatabase" localSheetId="18" hidden="1">Ćw10!#REF!</definedName>
    <definedName name="_xlnm._FilterDatabase" localSheetId="19" hidden="1">'Ćw10(Odp)'!#REF!</definedName>
    <definedName name="_xlnm._FilterDatabase" localSheetId="12" hidden="1">Ćw7!#REF!</definedName>
    <definedName name="_xlnm._FilterDatabase" localSheetId="13" hidden="1">'Ćw7(Odp)'!#REF!</definedName>
    <definedName name="_xlnm._FilterDatabase" localSheetId="14" hidden="1">Ćw8!#REF!</definedName>
    <definedName name="_xlnm._FilterDatabase" localSheetId="15" hidden="1">'Ćw8(Odp)'!#REF!</definedName>
    <definedName name="_xlnm._FilterDatabase" localSheetId="16" hidden="1">Ćw9!#REF!</definedName>
    <definedName name="_xlnm._FilterDatabase" localSheetId="17" hidden="1">'Ćw9(Odp)'!#REF!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5" i="337" l="1"/>
  <c r="B14" i="337"/>
  <c r="B13" i="337"/>
  <c r="B12" i="337"/>
  <c r="B11" i="337"/>
  <c r="B10" i="337"/>
  <c r="B9" i="337"/>
  <c r="B8" i="337"/>
  <c r="B7" i="337"/>
  <c r="B6" i="337"/>
  <c r="B5" i="337"/>
  <c r="B4" i="337"/>
  <c r="B3" i="337"/>
  <c r="B2" i="337"/>
  <c r="A6" i="335"/>
  <c r="C2" i="335" s="1"/>
  <c r="A6" i="334"/>
  <c r="E3" i="333"/>
  <c r="E4" i="333"/>
  <c r="E5" i="333"/>
  <c r="E6" i="333"/>
  <c r="E7" i="333"/>
  <c r="E8" i="333"/>
  <c r="E9" i="333"/>
  <c r="E10" i="333"/>
  <c r="E11" i="333"/>
  <c r="E12" i="333"/>
  <c r="E13" i="333"/>
  <c r="E14" i="333"/>
  <c r="E15" i="333"/>
  <c r="E2" i="333"/>
  <c r="D3" i="333"/>
  <c r="D4" i="333"/>
  <c r="D5" i="333"/>
  <c r="D6" i="333"/>
  <c r="D7" i="333"/>
  <c r="D8" i="333"/>
  <c r="D9" i="333"/>
  <c r="D10" i="333"/>
  <c r="D11" i="333"/>
  <c r="D12" i="333"/>
  <c r="D13" i="333"/>
  <c r="D14" i="333"/>
  <c r="D15" i="333"/>
  <c r="D2" i="333"/>
  <c r="C3" i="333"/>
  <c r="C4" i="333"/>
  <c r="C5" i="333"/>
  <c r="C6" i="333"/>
  <c r="C7" i="333"/>
  <c r="C8" i="333"/>
  <c r="C9" i="333"/>
  <c r="C10" i="333"/>
  <c r="C11" i="333"/>
  <c r="C12" i="333"/>
  <c r="C13" i="333"/>
  <c r="C14" i="333"/>
  <c r="C15" i="333"/>
  <c r="C2" i="333"/>
  <c r="D3" i="330"/>
  <c r="D4" i="330"/>
  <c r="D5" i="330"/>
  <c r="D6" i="330"/>
  <c r="D7" i="330"/>
  <c r="D8" i="330"/>
  <c r="D9" i="330"/>
  <c r="D10" i="330"/>
  <c r="D11" i="330"/>
  <c r="D12" i="330"/>
  <c r="D13" i="330"/>
  <c r="D14" i="330"/>
  <c r="D15" i="330"/>
  <c r="D2" i="330"/>
  <c r="C3" i="330"/>
  <c r="C4" i="330"/>
  <c r="C5" i="330"/>
  <c r="C6" i="330"/>
  <c r="C7" i="330"/>
  <c r="C8" i="330"/>
  <c r="C9" i="330"/>
  <c r="C10" i="330"/>
  <c r="C11" i="330"/>
  <c r="C12" i="330"/>
  <c r="C13" i="330"/>
  <c r="C14" i="330"/>
  <c r="C15" i="330"/>
  <c r="C2" i="330"/>
  <c r="E14" i="326"/>
  <c r="E13" i="326"/>
  <c r="E12" i="326"/>
  <c r="E11" i="326"/>
  <c r="E10" i="326"/>
  <c r="E9" i="326"/>
  <c r="E8" i="326"/>
  <c r="E7" i="326"/>
  <c r="E6" i="326"/>
  <c r="E5" i="326"/>
  <c r="E4" i="326"/>
  <c r="E3" i="326"/>
  <c r="E2" i="326"/>
  <c r="D3" i="295"/>
  <c r="D4" i="295"/>
  <c r="D5" i="295"/>
  <c r="D6" i="295"/>
  <c r="D7" i="295"/>
  <c r="D8" i="295"/>
  <c r="D9" i="295"/>
  <c r="D10" i="295"/>
  <c r="D11" i="295"/>
  <c r="D12" i="295"/>
  <c r="D13" i="295"/>
  <c r="D14" i="295"/>
  <c r="D2" i="295"/>
  <c r="C3" i="295"/>
  <c r="C4" i="295"/>
  <c r="C5" i="295"/>
  <c r="C6" i="295"/>
  <c r="C7" i="295"/>
  <c r="C8" i="295"/>
  <c r="C9" i="295"/>
  <c r="C10" i="295"/>
  <c r="C11" i="295"/>
  <c r="C12" i="295"/>
  <c r="C13" i="295"/>
  <c r="C14" i="295"/>
  <c r="C2" i="295"/>
</calcChain>
</file>

<file path=xl/sharedStrings.xml><?xml version="1.0" encoding="utf-8"?>
<sst xmlns="http://schemas.openxmlformats.org/spreadsheetml/2006/main" count="426" uniqueCount="108">
  <si>
    <t>Data</t>
  </si>
  <si>
    <t>Ewa</t>
  </si>
  <si>
    <t>Połączone dane</t>
  </si>
  <si>
    <t>Motylek;Tadeusz;110</t>
  </si>
  <si>
    <t>Ptaszek;Maria;124</t>
  </si>
  <si>
    <t>Żuczek;Olga;109</t>
  </si>
  <si>
    <t>Żuczek;Ewa;139</t>
  </si>
  <si>
    <t>Ptaszek;Zbigniew;122</t>
  </si>
  <si>
    <t>Stonoga;Olga;134</t>
  </si>
  <si>
    <t>Motylek;Ewa;143</t>
  </si>
  <si>
    <t>Motylek;Zbigniew;120</t>
  </si>
  <si>
    <t>Żuczek;Zbigniew;115</t>
  </si>
  <si>
    <t>Motylek;Tadeusz;131</t>
  </si>
  <si>
    <t>Ptaszek;Maria;150</t>
  </si>
  <si>
    <t>Żuczek;Robert;114</t>
  </si>
  <si>
    <t>Motylek;Olga;143</t>
  </si>
  <si>
    <t>Fabryka</t>
  </si>
  <si>
    <t>Pracownik</t>
  </si>
  <si>
    <t>Ilość sztuk</t>
  </si>
  <si>
    <t>Motylek</t>
  </si>
  <si>
    <t>Tadeusz</t>
  </si>
  <si>
    <t>Ptaszek</t>
  </si>
  <si>
    <t>Maria</t>
  </si>
  <si>
    <t>Żuczek</t>
  </si>
  <si>
    <t>Olga</t>
  </si>
  <si>
    <t>Zbigniew</t>
  </si>
  <si>
    <t>Stonoga</t>
  </si>
  <si>
    <t>Robert</t>
  </si>
  <si>
    <t>Motylek;Tadeusz</t>
  </si>
  <si>
    <t>Ptaszek;Maria</t>
  </si>
  <si>
    <t>Żuczek;Olga</t>
  </si>
  <si>
    <t>Żuczek;Ewa</t>
  </si>
  <si>
    <t>Ptaszek;Zbigniew</t>
  </si>
  <si>
    <t>Stonoga;Olga</t>
  </si>
  <si>
    <t>Motylek;Ewa</t>
  </si>
  <si>
    <t>Motylek;Zbigniew</t>
  </si>
  <si>
    <t>Żuczek;Zbigniew</t>
  </si>
  <si>
    <t>Żuczek;Robert</t>
  </si>
  <si>
    <t>Motylek;Olga</t>
  </si>
  <si>
    <t>Robert Mistrz-Motylek-Q</t>
  </si>
  <si>
    <t>Ewa Fretka-Motylek-V</t>
  </si>
  <si>
    <t>Ewa Fretka-Motylek-D</t>
  </si>
  <si>
    <t>Robert Mistrz-Żuczek-M</t>
  </si>
  <si>
    <t>Zbigniew Radosny-Żuczek-L</t>
  </si>
  <si>
    <t>Ewa Fretka-Żuczek-C</t>
  </si>
  <si>
    <t>Zbigniew Radosny-Stonoga-D</t>
  </si>
  <si>
    <t>Maria Poranna-Żuczek-T</t>
  </si>
  <si>
    <t>Maria Poranna-Ptaszek-K</t>
  </si>
  <si>
    <t>Robert Mistrz-Żuczek-V</t>
  </si>
  <si>
    <t>Robert Mistrz-Żuczek-U</t>
  </si>
  <si>
    <t>Robert Mistrz-Żuczek-F</t>
  </si>
  <si>
    <t>Maria Poranna-Stonoga-G</t>
  </si>
  <si>
    <t>Robert Mistrz</t>
  </si>
  <si>
    <t>Ewa Fretka</t>
  </si>
  <si>
    <t>Zbigniew Radosny</t>
  </si>
  <si>
    <t>Maria Poranna</t>
  </si>
  <si>
    <t>Q</t>
  </si>
  <si>
    <t>V</t>
  </si>
  <si>
    <t>D</t>
  </si>
  <si>
    <t>M</t>
  </si>
  <si>
    <t>L</t>
  </si>
  <si>
    <t>C</t>
  </si>
  <si>
    <t>T</t>
  </si>
  <si>
    <t>K</t>
  </si>
  <si>
    <t>U</t>
  </si>
  <si>
    <t>F</t>
  </si>
  <si>
    <t>G</t>
  </si>
  <si>
    <t>Połączone</t>
  </si>
  <si>
    <t>20021115</t>
  </si>
  <si>
    <t>20130730</t>
  </si>
  <si>
    <t>20090523</t>
  </si>
  <si>
    <t>20071217</t>
  </si>
  <si>
    <t>20180313</t>
  </si>
  <si>
    <t>20060803</t>
  </si>
  <si>
    <t>20160302</t>
  </si>
  <si>
    <t>20170419</t>
  </si>
  <si>
    <t>20060908</t>
  </si>
  <si>
    <t>20170131</t>
  </si>
  <si>
    <t>20041224</t>
  </si>
  <si>
    <t>20050927</t>
  </si>
  <si>
    <t>20150906</t>
  </si>
  <si>
    <t>Małe litery</t>
  </si>
  <si>
    <t>Wielkie litery</t>
  </si>
  <si>
    <t>Zbignie Radosny-Żuczek-T</t>
  </si>
  <si>
    <t>MOT</t>
  </si>
  <si>
    <t>PTA</t>
  </si>
  <si>
    <t>ŻUC</t>
  </si>
  <si>
    <t>STO</t>
  </si>
  <si>
    <t>Dane</t>
  </si>
  <si>
    <t>ŻUC20021115-3</t>
  </si>
  <si>
    <t>STO20130730-2</t>
  </si>
  <si>
    <t>PTA20090523-1</t>
  </si>
  <si>
    <t>ŻUC20071217-3</t>
  </si>
  <si>
    <t>PTA20180313-2</t>
  </si>
  <si>
    <t>MOT20060803-1</t>
  </si>
  <si>
    <t>MOT20160302-1</t>
  </si>
  <si>
    <t>ŻUC20170419-1</t>
  </si>
  <si>
    <t>ŻUC20060908-2</t>
  </si>
  <si>
    <t>ŻUC20170131-1</t>
  </si>
  <si>
    <t>PTA20041224-1</t>
  </si>
  <si>
    <t>ŻUC20050927-3</t>
  </si>
  <si>
    <t>STO20150906-3</t>
  </si>
  <si>
    <t>ŻUC20150430-1</t>
  </si>
  <si>
    <t>Zmiana</t>
  </si>
  <si>
    <t>Pożyczasz</t>
  </si>
  <si>
    <t>Zwracasz</t>
  </si>
  <si>
    <t>Wskaźnik</t>
  </si>
  <si>
    <t>Jeśli pożyczysz 1000 zł, to będziesz musiał zwrócić 2000 zł, czyli 2 razy więcej.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</si>
</sst>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#,##0\ &quot;zł&quot;;[Red]\-#,##0\ &quot;zł&quot;"/>
    <numFmt numFmtId="8" formatCode="#,##0.00\ &quot;zł&quot;;[Red]\-#,##0.00\ &quot;zł&quot;"/>
    <numFmt numFmtId="164" formatCode="&quot;$&quot;#,##0,"/>
    <numFmt numFmtId="165" formatCode="d\-mmm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CFF1D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64" fontId="3" fillId="0" borderId="0"/>
    <xf numFmtId="165" fontId="4" fillId="0" borderId="0" applyFont="0" applyFill="0" applyBorder="0" applyProtection="0">
      <alignment horizontal="center"/>
    </xf>
    <xf numFmtId="0" fontId="5" fillId="0" borderId="0"/>
    <xf numFmtId="0" fontId="5" fillId="0" borderId="0">
      <alignment wrapText="1"/>
    </xf>
    <xf numFmtId="0" fontId="7" fillId="5" borderId="0" applyNumberFormat="0" applyBorder="0" applyAlignment="0" applyProtection="0"/>
    <xf numFmtId="8" fontId="8" fillId="3" borderId="1"/>
    <xf numFmtId="0" fontId="8" fillId="2" borderId="2" applyBorder="0"/>
    <xf numFmtId="0" fontId="6" fillId="5" borderId="1"/>
    <xf numFmtId="0" fontId="6" fillId="4" borderId="0"/>
    <xf numFmtId="0" fontId="8" fillId="2" borderId="2"/>
    <xf numFmtId="0" fontId="2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">
    <xf numFmtId="0" fontId="0" fillId="0" borderId="0" xfId="0"/>
    <xf numFmtId="0" fontId="9" fillId="6" borderId="1" xfId="5" applyFont="1" applyFill="1" applyBorder="1" applyAlignment="1">
      <alignment horizontal="center" vertical="center"/>
    </xf>
    <xf numFmtId="0" fontId="10" fillId="0" borderId="0" xfId="0" applyFont="1"/>
    <xf numFmtId="0" fontId="10" fillId="0" borderId="1" xfId="0" applyFont="1" applyBorder="1"/>
    <xf numFmtId="0" fontId="10" fillId="7" borderId="1" xfId="11" applyNumberFormat="1" applyFont="1" applyFill="1" applyBorder="1" applyAlignment="1"/>
    <xf numFmtId="6" fontId="10" fillId="0" borderId="0" xfId="0" applyNumberFormat="1" applyFont="1"/>
    <xf numFmtId="14" fontId="10" fillId="7" borderId="1" xfId="11" applyNumberFormat="1" applyFont="1" applyFill="1" applyBorder="1" applyAlignment="1"/>
    <xf numFmtId="14" fontId="10" fillId="0" borderId="0" xfId="0" applyNumberFormat="1" applyFont="1"/>
    <xf numFmtId="0" fontId="10" fillId="0" borderId="0" xfId="11" applyFont="1"/>
    <xf numFmtId="0" fontId="10" fillId="0" borderId="1" xfId="11" applyFont="1" applyBorder="1"/>
    <xf numFmtId="8" fontId="10" fillId="7" borderId="1" xfId="11" applyNumberFormat="1" applyFont="1" applyFill="1" applyBorder="1" applyAlignment="1"/>
    <xf numFmtId="14" fontId="10" fillId="0" borderId="0" xfId="11" applyNumberFormat="1" applyFont="1"/>
    <xf numFmtId="0" fontId="10" fillId="0" borderId="0" xfId="11" applyFont="1" applyBorder="1"/>
    <xf numFmtId="0" fontId="9" fillId="6" borderId="0" xfId="5" applyFont="1" applyFill="1" applyBorder="1" applyAlignment="1">
      <alignment horizontal="center" vertical="center"/>
    </xf>
  </cellXfs>
  <cellStyles count="16">
    <cellStyle name="Akcent 1" xfId="5" builtinId="29"/>
    <cellStyle name="Currency Round to thousands" xfId="1" xr:uid="{00000000-0005-0000-0000-000001000000}"/>
    <cellStyle name="Czarny" xfId="9" xr:uid="{00000000-0005-0000-0000-000002000000}"/>
    <cellStyle name="Formuła" xfId="6" xr:uid="{00000000-0005-0000-0000-000003000000}"/>
    <cellStyle name="Four-Digit Year" xfId="2" xr:uid="{00000000-0005-0000-0000-000004000000}"/>
    <cellStyle name="Hiperłącze 2" xfId="14" xr:uid="{36EA3813-9B37-4BBA-A811-C2E8A080DB40}"/>
    <cellStyle name="Hiperłącze 2 3" xfId="15" xr:uid="{7138956B-2C7C-4684-A8D4-2DA3655C1C81}"/>
    <cellStyle name="Informacja" xfId="7" xr:uid="{00000000-0005-0000-0000-000005000000}"/>
    <cellStyle name="Nagłówek" xfId="8" xr:uid="{00000000-0005-0000-0000-000006000000}"/>
    <cellStyle name="Normal 2" xfId="3" xr:uid="{00000000-0005-0000-0000-000007000000}"/>
    <cellStyle name="Normalny" xfId="0" builtinId="0"/>
    <cellStyle name="Normalny 2" xfId="11" xr:uid="{00000000-0005-0000-0000-000009000000}"/>
    <cellStyle name="Normalny 2 3" xfId="12" xr:uid="{0AF430F7-E3C7-4B89-B91C-A6E95D263C73}"/>
    <cellStyle name="Normalny 4" xfId="13" xr:uid="{E132F7C1-2686-4580-9F65-FCCDDB47C4CD}"/>
    <cellStyle name="Wrap Text" xfId="4" xr:uid="{00000000-0005-0000-0000-00000A000000}"/>
    <cellStyle name="ziel" xfId="10" xr:uid="{00000000-0005-0000-0000-00000B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0000FF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359019</xdr:colOff>
      <xdr:row>10</xdr:row>
      <xdr:rowOff>117231</xdr:rowOff>
    </xdr:from>
    <xdr:to>
      <xdr:col>8</xdr:col>
      <xdr:colOff>65943</xdr:colOff>
      <xdr:row>14</xdr:row>
      <xdr:rowOff>117230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86807" y="2022231"/>
          <a:ext cx="2872155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Rozdziel dane za pomocą polecenia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Tekst jako kolumny ewentualnie FlashFill (od 2013).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</xdr:rowOff>
    </xdr:from>
    <xdr:to>
      <xdr:col>5</xdr:col>
      <xdr:colOff>454270</xdr:colOff>
      <xdr:row>7</xdr:row>
      <xdr:rowOff>43963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392115" y="952501"/>
          <a:ext cx="2872155" cy="4249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Rozdziel dane za pomocą formuł.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483577</xdr:colOff>
      <xdr:row>10</xdr:row>
      <xdr:rowOff>117231</xdr:rowOff>
    </xdr:from>
    <xdr:to>
      <xdr:col>5</xdr:col>
      <xdr:colOff>0</xdr:colOff>
      <xdr:row>14</xdr:row>
      <xdr:rowOff>117230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315308" y="2022231"/>
          <a:ext cx="2139461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Rozdziel dane tak jak potrafisz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Np za</a:t>
          </a:r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pomocą polecenia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Tekst jako kolumny ewentualnie FlashFill (od 2013).</a:t>
          </a:r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4</xdr:col>
      <xdr:colOff>190500</xdr:colOff>
      <xdr:row>8</xdr:row>
      <xdr:rowOff>190499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150327" y="952500"/>
          <a:ext cx="2139461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Połącz tekst z 3 kolumn mylśnikami.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5</xdr:col>
      <xdr:colOff>315057</xdr:colOff>
      <xdr:row>7</xdr:row>
      <xdr:rowOff>190499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333500" y="762000"/>
          <a:ext cx="2139461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Napraw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daty, żeby Excel rozpoznawał je jako daty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5</xdr:col>
      <xdr:colOff>315057</xdr:colOff>
      <xdr:row>7</xdr:row>
      <xdr:rowOff>117231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392115" y="762000"/>
          <a:ext cx="2139461" cy="68873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Np: Tekst jako kolumny.</a:t>
          </a:r>
        </a:p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Polecenie schowek (rozdział 18) też może pomóc.</a:t>
          </a:r>
          <a:endParaRPr lang="pl-P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307731</xdr:colOff>
      <xdr:row>7</xdr:row>
      <xdr:rowOff>124558</xdr:rowOff>
    </xdr:from>
    <xdr:to>
      <xdr:col>0</xdr:col>
      <xdr:colOff>1780441</xdr:colOff>
      <xdr:row>11</xdr:row>
      <xdr:rowOff>124557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07731" y="1458058"/>
          <a:ext cx="1472710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Napisz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wszystko małymi oraz wielkimi literami.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307731</xdr:colOff>
      <xdr:row>7</xdr:row>
      <xdr:rowOff>124558</xdr:rowOff>
    </xdr:from>
    <xdr:to>
      <xdr:col>0</xdr:col>
      <xdr:colOff>1780441</xdr:colOff>
      <xdr:row>11</xdr:row>
      <xdr:rowOff>124557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307731" y="1458058"/>
          <a:ext cx="1472710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Napisz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wszystko małymi oraz wielkimi literami.</a:t>
          </a:r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269327</xdr:colOff>
      <xdr:row>7</xdr:row>
      <xdr:rowOff>137948</xdr:rowOff>
    </xdr:from>
    <xdr:to>
      <xdr:col>7</xdr:col>
      <xdr:colOff>164223</xdr:colOff>
      <xdr:row>12</xdr:row>
      <xdr:rowOff>91966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2529051" y="1471448"/>
          <a:ext cx="2338551" cy="90651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Podziel dane 3 pierwsze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znaki to symbol fabryki, kolejne do mylśnika to data, a ostatni to zmian. Tekst jako kolumny lub FlashFill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269327</xdr:colOff>
      <xdr:row>7</xdr:row>
      <xdr:rowOff>137948</xdr:rowOff>
    </xdr:from>
    <xdr:to>
      <xdr:col>7</xdr:col>
      <xdr:colOff>164223</xdr:colOff>
      <xdr:row>12</xdr:row>
      <xdr:rowOff>91966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2526752" y="1471448"/>
          <a:ext cx="2438071" cy="90651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Podziel dane 3 pierwsze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znaki to symbol fabryki, kolejne do mylśnika to data, a ostatni to zmian. Tekst jako kolumny lub FlashFill</a:t>
          </a:r>
          <a:endParaRPr lang="pl-PL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197069</xdr:colOff>
      <xdr:row>0</xdr:row>
      <xdr:rowOff>157654</xdr:rowOff>
    </xdr:from>
    <xdr:to>
      <xdr:col>9</xdr:col>
      <xdr:colOff>197069</xdr:colOff>
      <xdr:row>7</xdr:row>
      <xdr:rowOff>151086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783724" y="157654"/>
          <a:ext cx="2443655" cy="132693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Podziel dane 3 pierwsze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znaki to symbol fabryki, kolejne do mylśnika to data, a ostatni to zmian. Użyj formuł. Do daty będziesz potrzebował funkcji DATA</a:t>
          </a:r>
          <a:endParaRPr lang="pl-PL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578069</xdr:colOff>
      <xdr:row>2</xdr:row>
      <xdr:rowOff>151085</xdr:rowOff>
    </xdr:from>
    <xdr:to>
      <xdr:col>6</xdr:col>
      <xdr:colOff>578069</xdr:colOff>
      <xdr:row>9</xdr:row>
      <xdr:rowOff>144517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2226879" y="532085"/>
          <a:ext cx="2443656" cy="132693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Spraw, żeby tekst w komórce C1 (możesz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napisać formułę w komórce C2) był dynamiczny, zależny od wartości z komórek A2, A4 i A6</a:t>
          </a:r>
          <a:endParaRPr lang="pl-PL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420414</xdr:colOff>
      <xdr:row>2</xdr:row>
      <xdr:rowOff>183930</xdr:rowOff>
    </xdr:from>
    <xdr:to>
      <xdr:col>7</xdr:col>
      <xdr:colOff>420415</xdr:colOff>
      <xdr:row>9</xdr:row>
      <xdr:rowOff>177362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2680138" y="564930"/>
          <a:ext cx="2443656" cy="132693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Spraw, żeby tekst w komórce C1 (możesz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napisać formułę w komórce C2) był dynamiczny, zależny od wartości z komórek A2, A4 i A6</a:t>
          </a:r>
          <a:endParaRPr lang="pl-PL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578069</xdr:colOff>
      <xdr:row>2</xdr:row>
      <xdr:rowOff>151085</xdr:rowOff>
    </xdr:from>
    <xdr:to>
      <xdr:col>6</xdr:col>
      <xdr:colOff>124810</xdr:colOff>
      <xdr:row>5</xdr:row>
      <xdr:rowOff>157655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2594741" y="532085"/>
          <a:ext cx="1990397" cy="5780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Zamień za pomocą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formuły tekst ŻUC na ŻUK</a:t>
          </a:r>
          <a:endParaRPr lang="pl-PL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578069</xdr:colOff>
      <xdr:row>2</xdr:row>
      <xdr:rowOff>151085</xdr:rowOff>
    </xdr:from>
    <xdr:to>
      <xdr:col>6</xdr:col>
      <xdr:colOff>124810</xdr:colOff>
      <xdr:row>5</xdr:row>
      <xdr:rowOff>157655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2597369" y="532085"/>
          <a:ext cx="1985141" cy="5780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Zamień za pomocą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formuły tekst ŻUC na ŻUK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9.xml"/><Relationship Id="rId4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11.xml"/><Relationship Id="rId4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4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13.xml"/><Relationship Id="rId4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14.xml"/><Relationship Id="rId4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SortFiltr_koniec.xlsx" TargetMode="External"/><Relationship Id="rId2" Type="http://schemas.openxmlformats.org/officeDocument/2006/relationships/externalLinkPath" Target="file:///C:\Users\PC\Dysk%20Google\ksiazka%20na%20googledrive\&#262;wiczenia\SortFiltr_koniec.xlsx" TargetMode="External"/><Relationship Id="rId1" Type="http://schemas.openxmlformats.org/officeDocument/2006/relationships/externalLinkPath" Target="file:///C:\Users\PC\Dysk%20Google\ksiazka%20na%20googledrive\&#262;wiczenia\SortFiltr_koniec.xlsx" TargetMode="External"/><Relationship Id="rId5" Type="http://schemas.openxmlformats.org/officeDocument/2006/relationships/drawing" Target="../drawings/drawing15.xml"/><Relationship Id="rId4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E14"/>
  <sheetViews>
    <sheetView tabSelected="1" zoomScale="130" zoomScaleNormal="130" workbookViewId="0"/>
  </sheetViews>
  <sheetFormatPr defaultColWidth="9.109375" defaultRowHeight="14.4" x14ac:dyDescent="0.3"/>
  <cols>
    <col min="1" max="1" width="20.88671875" style="8" bestFit="1" customWidth="1"/>
    <col min="2" max="2" width="9.109375" style="8"/>
    <col min="3" max="3" width="7.88671875" style="8" bestFit="1" customWidth="1"/>
    <col min="4" max="4" width="10.109375" style="8" bestFit="1" customWidth="1"/>
    <col min="5" max="5" width="10" style="8" bestFit="1" customWidth="1"/>
    <col min="6" max="16384" width="9.109375" style="8"/>
  </cols>
  <sheetData>
    <row r="1" spans="1:5" x14ac:dyDescent="0.3">
      <c r="A1" s="1" t="s">
        <v>2</v>
      </c>
      <c r="C1" s="1" t="s">
        <v>16</v>
      </c>
      <c r="D1" s="1" t="s">
        <v>17</v>
      </c>
      <c r="E1" s="1" t="s">
        <v>18</v>
      </c>
    </row>
    <row r="2" spans="1:5" x14ac:dyDescent="0.3">
      <c r="A2" s="9" t="s">
        <v>3</v>
      </c>
    </row>
    <row r="3" spans="1:5" x14ac:dyDescent="0.3">
      <c r="A3" s="9" t="s">
        <v>4</v>
      </c>
    </row>
    <row r="4" spans="1:5" x14ac:dyDescent="0.3">
      <c r="A4" s="9" t="s">
        <v>5</v>
      </c>
    </row>
    <row r="5" spans="1:5" x14ac:dyDescent="0.3">
      <c r="A5" s="9" t="s">
        <v>6</v>
      </c>
    </row>
    <row r="6" spans="1:5" x14ac:dyDescent="0.3">
      <c r="A6" s="9" t="s">
        <v>7</v>
      </c>
    </row>
    <row r="7" spans="1:5" x14ac:dyDescent="0.3">
      <c r="A7" s="9" t="s">
        <v>8</v>
      </c>
    </row>
    <row r="8" spans="1:5" x14ac:dyDescent="0.3">
      <c r="A8" s="9" t="s">
        <v>9</v>
      </c>
    </row>
    <row r="9" spans="1:5" x14ac:dyDescent="0.3">
      <c r="A9" s="9" t="s">
        <v>10</v>
      </c>
    </row>
    <row r="10" spans="1:5" x14ac:dyDescent="0.3">
      <c r="A10" s="9" t="s">
        <v>11</v>
      </c>
    </row>
    <row r="11" spans="1:5" x14ac:dyDescent="0.3">
      <c r="A11" s="9" t="s">
        <v>12</v>
      </c>
    </row>
    <row r="12" spans="1:5" x14ac:dyDescent="0.3">
      <c r="A12" s="9" t="s">
        <v>13</v>
      </c>
    </row>
    <row r="13" spans="1:5" x14ac:dyDescent="0.3">
      <c r="A13" s="9" t="s">
        <v>14</v>
      </c>
    </row>
    <row r="14" spans="1:5" x14ac:dyDescent="0.3">
      <c r="A14" s="9" t="s">
        <v>15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E14"/>
  <sheetViews>
    <sheetView zoomScale="130" zoomScaleNormal="130" workbookViewId="0"/>
  </sheetViews>
  <sheetFormatPr defaultColWidth="9.109375" defaultRowHeight="14.4" x14ac:dyDescent="0.3"/>
  <cols>
    <col min="1" max="1" width="20.88671875" style="8" bestFit="1" customWidth="1"/>
    <col min="2" max="2" width="9.109375" style="8"/>
    <col min="3" max="3" width="7.88671875" style="8" bestFit="1" customWidth="1"/>
    <col min="4" max="4" width="10.109375" style="8" bestFit="1" customWidth="1"/>
    <col min="5" max="5" width="10" style="8" bestFit="1" customWidth="1"/>
    <col min="6" max="16384" width="9.109375" style="8"/>
  </cols>
  <sheetData>
    <row r="1" spans="1:5" x14ac:dyDescent="0.3">
      <c r="A1" s="1" t="s">
        <v>2</v>
      </c>
      <c r="C1" s="1" t="s">
        <v>16</v>
      </c>
      <c r="D1" s="1" t="s">
        <v>17</v>
      </c>
      <c r="E1" s="1" t="s">
        <v>18</v>
      </c>
    </row>
    <row r="2" spans="1:5" x14ac:dyDescent="0.3">
      <c r="A2" s="9" t="s">
        <v>3</v>
      </c>
      <c r="C2" s="8" t="s">
        <v>19</v>
      </c>
      <c r="D2" s="8" t="s">
        <v>20</v>
      </c>
      <c r="E2" s="8">
        <v>110</v>
      </c>
    </row>
    <row r="3" spans="1:5" x14ac:dyDescent="0.3">
      <c r="A3" s="9" t="s">
        <v>4</v>
      </c>
      <c r="C3" s="8" t="s">
        <v>21</v>
      </c>
      <c r="D3" s="8" t="s">
        <v>22</v>
      </c>
      <c r="E3" s="8">
        <v>124</v>
      </c>
    </row>
    <row r="4" spans="1:5" x14ac:dyDescent="0.3">
      <c r="A4" s="9" t="s">
        <v>5</v>
      </c>
      <c r="C4" s="8" t="s">
        <v>23</v>
      </c>
      <c r="D4" s="8" t="s">
        <v>24</v>
      </c>
      <c r="E4" s="8">
        <v>109</v>
      </c>
    </row>
    <row r="5" spans="1:5" x14ac:dyDescent="0.3">
      <c r="A5" s="9" t="s">
        <v>6</v>
      </c>
      <c r="C5" s="8" t="s">
        <v>23</v>
      </c>
      <c r="D5" s="8" t="s">
        <v>1</v>
      </c>
      <c r="E5" s="8">
        <v>139</v>
      </c>
    </row>
    <row r="6" spans="1:5" x14ac:dyDescent="0.3">
      <c r="A6" s="9" t="s">
        <v>7</v>
      </c>
      <c r="C6" s="8" t="s">
        <v>21</v>
      </c>
      <c r="D6" s="8" t="s">
        <v>25</v>
      </c>
      <c r="E6" s="8">
        <v>122</v>
      </c>
    </row>
    <row r="7" spans="1:5" x14ac:dyDescent="0.3">
      <c r="A7" s="9" t="s">
        <v>8</v>
      </c>
      <c r="C7" s="8" t="s">
        <v>26</v>
      </c>
      <c r="D7" s="8" t="s">
        <v>24</v>
      </c>
      <c r="E7" s="8">
        <v>134</v>
      </c>
    </row>
    <row r="8" spans="1:5" x14ac:dyDescent="0.3">
      <c r="A8" s="9" t="s">
        <v>9</v>
      </c>
      <c r="C8" s="8" t="s">
        <v>19</v>
      </c>
      <c r="D8" s="8" t="s">
        <v>1</v>
      </c>
      <c r="E8" s="8">
        <v>143</v>
      </c>
    </row>
    <row r="9" spans="1:5" x14ac:dyDescent="0.3">
      <c r="A9" s="9" t="s">
        <v>10</v>
      </c>
      <c r="C9" s="8" t="s">
        <v>19</v>
      </c>
      <c r="D9" s="8" t="s">
        <v>25</v>
      </c>
      <c r="E9" s="8">
        <v>120</v>
      </c>
    </row>
    <row r="10" spans="1:5" x14ac:dyDescent="0.3">
      <c r="A10" s="9" t="s">
        <v>11</v>
      </c>
      <c r="C10" s="8" t="s">
        <v>23</v>
      </c>
      <c r="D10" s="8" t="s">
        <v>25</v>
      </c>
      <c r="E10" s="8">
        <v>115</v>
      </c>
    </row>
    <row r="11" spans="1:5" x14ac:dyDescent="0.3">
      <c r="A11" s="9" t="s">
        <v>12</v>
      </c>
      <c r="C11" s="8" t="s">
        <v>19</v>
      </c>
      <c r="D11" s="8" t="s">
        <v>20</v>
      </c>
      <c r="E11" s="8">
        <v>131</v>
      </c>
    </row>
    <row r="12" spans="1:5" x14ac:dyDescent="0.3">
      <c r="A12" s="9" t="s">
        <v>13</v>
      </c>
      <c r="C12" s="8" t="s">
        <v>21</v>
      </c>
      <c r="D12" s="8" t="s">
        <v>22</v>
      </c>
      <c r="E12" s="8">
        <v>150</v>
      </c>
    </row>
    <row r="13" spans="1:5" x14ac:dyDescent="0.3">
      <c r="A13" s="9" t="s">
        <v>14</v>
      </c>
      <c r="C13" s="8" t="s">
        <v>23</v>
      </c>
      <c r="D13" s="8" t="s">
        <v>27</v>
      </c>
      <c r="E13" s="8">
        <v>114</v>
      </c>
    </row>
    <row r="14" spans="1:5" x14ac:dyDescent="0.3">
      <c r="A14" s="9" t="s">
        <v>15</v>
      </c>
      <c r="C14" s="8" t="s">
        <v>19</v>
      </c>
      <c r="D14" s="8" t="s">
        <v>24</v>
      </c>
      <c r="E14" s="8">
        <v>143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D14"/>
  <sheetViews>
    <sheetView zoomScale="130" zoomScaleNormal="130" workbookViewId="0"/>
  </sheetViews>
  <sheetFormatPr defaultColWidth="9.109375" defaultRowHeight="14.4" x14ac:dyDescent="0.3"/>
  <cols>
    <col min="1" max="1" width="20.88671875" style="8" bestFit="1" customWidth="1"/>
    <col min="2" max="2" width="9.109375" style="8"/>
    <col min="3" max="3" width="7.88671875" style="8" bestFit="1" customWidth="1"/>
    <col min="4" max="4" width="10.109375" style="8" bestFit="1" customWidth="1"/>
    <col min="5" max="16384" width="9.109375" style="8"/>
  </cols>
  <sheetData>
    <row r="1" spans="1:4" x14ac:dyDescent="0.3">
      <c r="A1" s="1" t="s">
        <v>2</v>
      </c>
      <c r="C1" s="1" t="s">
        <v>16</v>
      </c>
      <c r="D1" s="1" t="s">
        <v>17</v>
      </c>
    </row>
    <row r="2" spans="1:4" x14ac:dyDescent="0.3">
      <c r="A2" s="9" t="s">
        <v>28</v>
      </c>
    </row>
    <row r="3" spans="1:4" x14ac:dyDescent="0.3">
      <c r="A3" s="9" t="s">
        <v>29</v>
      </c>
    </row>
    <row r="4" spans="1:4" x14ac:dyDescent="0.3">
      <c r="A4" s="9" t="s">
        <v>30</v>
      </c>
    </row>
    <row r="5" spans="1:4" x14ac:dyDescent="0.3">
      <c r="A5" s="9" t="s">
        <v>31</v>
      </c>
    </row>
    <row r="6" spans="1:4" x14ac:dyDescent="0.3">
      <c r="A6" s="9" t="s">
        <v>32</v>
      </c>
    </row>
    <row r="7" spans="1:4" x14ac:dyDescent="0.3">
      <c r="A7" s="9" t="s">
        <v>33</v>
      </c>
    </row>
    <row r="8" spans="1:4" x14ac:dyDescent="0.3">
      <c r="A8" s="9" t="s">
        <v>34</v>
      </c>
    </row>
    <row r="9" spans="1:4" x14ac:dyDescent="0.3">
      <c r="A9" s="9" t="s">
        <v>35</v>
      </c>
    </row>
    <row r="10" spans="1:4" x14ac:dyDescent="0.3">
      <c r="A10" s="9" t="s">
        <v>36</v>
      </c>
    </row>
    <row r="11" spans="1:4" x14ac:dyDescent="0.3">
      <c r="A11" s="9" t="s">
        <v>28</v>
      </c>
    </row>
    <row r="12" spans="1:4" x14ac:dyDescent="0.3">
      <c r="A12" s="9" t="s">
        <v>29</v>
      </c>
    </row>
    <row r="13" spans="1:4" x14ac:dyDescent="0.3">
      <c r="A13" s="9" t="s">
        <v>37</v>
      </c>
    </row>
    <row r="14" spans="1:4" x14ac:dyDescent="0.3">
      <c r="A14" s="9" t="s">
        <v>38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14"/>
  <sheetViews>
    <sheetView zoomScale="130" zoomScaleNormal="130" workbookViewId="0"/>
  </sheetViews>
  <sheetFormatPr defaultColWidth="9.109375" defaultRowHeight="14.4" x14ac:dyDescent="0.3"/>
  <cols>
    <col min="1" max="1" width="20.88671875" style="8" bestFit="1" customWidth="1"/>
    <col min="2" max="2" width="9.109375" style="8"/>
    <col min="3" max="3" width="8.88671875" style="8" customWidth="1"/>
    <col min="4" max="4" width="10.109375" style="8" bestFit="1" customWidth="1"/>
    <col min="5" max="16384" width="9.109375" style="8"/>
  </cols>
  <sheetData>
    <row r="1" spans="1:4" x14ac:dyDescent="0.3">
      <c r="A1" s="1" t="s">
        <v>2</v>
      </c>
      <c r="C1" s="1" t="s">
        <v>16</v>
      </c>
      <c r="D1" s="1" t="s">
        <v>17</v>
      </c>
    </row>
    <row r="2" spans="1:4" x14ac:dyDescent="0.3">
      <c r="A2" s="9" t="s">
        <v>28</v>
      </c>
      <c r="C2" s="10" t="str">
        <f>LEFT(A2,FIND(";",A2)-1)</f>
        <v>Motylek</v>
      </c>
      <c r="D2" s="10" t="str">
        <f>RIGHT(A2,LEN(A2)-FIND(";",A2))</f>
        <v>Tadeusz</v>
      </c>
    </row>
    <row r="3" spans="1:4" x14ac:dyDescent="0.3">
      <c r="A3" s="9" t="s">
        <v>29</v>
      </c>
      <c r="C3" s="10" t="str">
        <f t="shared" ref="C3:C14" si="0">LEFT(A3,FIND(";",A3)-1)</f>
        <v>Ptaszek</v>
      </c>
      <c r="D3" s="10" t="str">
        <f t="shared" ref="D3:D14" si="1">RIGHT(A3,LEN(A3)-FIND(";",A3))</f>
        <v>Maria</v>
      </c>
    </row>
    <row r="4" spans="1:4" x14ac:dyDescent="0.3">
      <c r="A4" s="9" t="s">
        <v>30</v>
      </c>
      <c r="C4" s="10" t="str">
        <f t="shared" si="0"/>
        <v>Żuczek</v>
      </c>
      <c r="D4" s="10" t="str">
        <f t="shared" si="1"/>
        <v>Olga</v>
      </c>
    </row>
    <row r="5" spans="1:4" x14ac:dyDescent="0.3">
      <c r="A5" s="9" t="s">
        <v>31</v>
      </c>
      <c r="C5" s="10" t="str">
        <f t="shared" si="0"/>
        <v>Żuczek</v>
      </c>
      <c r="D5" s="10" t="str">
        <f t="shared" si="1"/>
        <v>Ewa</v>
      </c>
    </row>
    <row r="6" spans="1:4" x14ac:dyDescent="0.3">
      <c r="A6" s="9" t="s">
        <v>32</v>
      </c>
      <c r="C6" s="10" t="str">
        <f t="shared" si="0"/>
        <v>Ptaszek</v>
      </c>
      <c r="D6" s="10" t="str">
        <f t="shared" si="1"/>
        <v>Zbigniew</v>
      </c>
    </row>
    <row r="7" spans="1:4" x14ac:dyDescent="0.3">
      <c r="A7" s="9" t="s">
        <v>33</v>
      </c>
      <c r="C7" s="10" t="str">
        <f t="shared" si="0"/>
        <v>Stonoga</v>
      </c>
      <c r="D7" s="10" t="str">
        <f t="shared" si="1"/>
        <v>Olga</v>
      </c>
    </row>
    <row r="8" spans="1:4" x14ac:dyDescent="0.3">
      <c r="A8" s="9" t="s">
        <v>34</v>
      </c>
      <c r="C8" s="10" t="str">
        <f t="shared" si="0"/>
        <v>Motylek</v>
      </c>
      <c r="D8" s="10" t="str">
        <f t="shared" si="1"/>
        <v>Ewa</v>
      </c>
    </row>
    <row r="9" spans="1:4" x14ac:dyDescent="0.3">
      <c r="A9" s="9" t="s">
        <v>35</v>
      </c>
      <c r="C9" s="10" t="str">
        <f t="shared" si="0"/>
        <v>Motylek</v>
      </c>
      <c r="D9" s="10" t="str">
        <f t="shared" si="1"/>
        <v>Zbigniew</v>
      </c>
    </row>
    <row r="10" spans="1:4" x14ac:dyDescent="0.3">
      <c r="A10" s="9" t="s">
        <v>36</v>
      </c>
      <c r="C10" s="10" t="str">
        <f t="shared" si="0"/>
        <v>Żuczek</v>
      </c>
      <c r="D10" s="10" t="str">
        <f t="shared" si="1"/>
        <v>Zbigniew</v>
      </c>
    </row>
    <row r="11" spans="1:4" x14ac:dyDescent="0.3">
      <c r="A11" s="9" t="s">
        <v>28</v>
      </c>
      <c r="C11" s="10" t="str">
        <f t="shared" si="0"/>
        <v>Motylek</v>
      </c>
      <c r="D11" s="10" t="str">
        <f t="shared" si="1"/>
        <v>Tadeusz</v>
      </c>
    </row>
    <row r="12" spans="1:4" x14ac:dyDescent="0.3">
      <c r="A12" s="9" t="s">
        <v>29</v>
      </c>
      <c r="C12" s="10" t="str">
        <f t="shared" si="0"/>
        <v>Ptaszek</v>
      </c>
      <c r="D12" s="10" t="str">
        <f t="shared" si="1"/>
        <v>Maria</v>
      </c>
    </row>
    <row r="13" spans="1:4" x14ac:dyDescent="0.3">
      <c r="A13" s="9" t="s">
        <v>37</v>
      </c>
      <c r="C13" s="10" t="str">
        <f t="shared" si="0"/>
        <v>Żuczek</v>
      </c>
      <c r="D13" s="10" t="str">
        <f t="shared" si="1"/>
        <v>Robert</v>
      </c>
    </row>
    <row r="14" spans="1:4" x14ac:dyDescent="0.3">
      <c r="A14" s="9" t="s">
        <v>38</v>
      </c>
      <c r="C14" s="10" t="str">
        <f t="shared" si="0"/>
        <v>Motylek</v>
      </c>
      <c r="D14" s="10" t="str">
        <f t="shared" si="1"/>
        <v>Olga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E14"/>
  <sheetViews>
    <sheetView zoomScale="130" zoomScaleNormal="130" workbookViewId="0"/>
  </sheetViews>
  <sheetFormatPr defaultColWidth="9.109375" defaultRowHeight="14.4" x14ac:dyDescent="0.3"/>
  <cols>
    <col min="1" max="1" width="27.44140625" style="8" bestFit="1" customWidth="1"/>
    <col min="2" max="2" width="9.109375" style="8"/>
    <col min="3" max="4" width="10.109375" style="8" bestFit="1" customWidth="1"/>
    <col min="5" max="5" width="10" style="8" bestFit="1" customWidth="1"/>
    <col min="6" max="16384" width="9.109375" style="8"/>
  </cols>
  <sheetData>
    <row r="1" spans="1:5" x14ac:dyDescent="0.3">
      <c r="A1" s="1" t="s">
        <v>2</v>
      </c>
      <c r="C1" s="1" t="s">
        <v>17</v>
      </c>
      <c r="D1" s="1" t="s">
        <v>16</v>
      </c>
      <c r="E1" s="1" t="s">
        <v>18</v>
      </c>
    </row>
    <row r="2" spans="1:5" x14ac:dyDescent="0.3">
      <c r="A2" s="9" t="s">
        <v>39</v>
      </c>
    </row>
    <row r="3" spans="1:5" x14ac:dyDescent="0.3">
      <c r="A3" s="9" t="s">
        <v>40</v>
      </c>
    </row>
    <row r="4" spans="1:5" x14ac:dyDescent="0.3">
      <c r="A4" s="9" t="s">
        <v>41</v>
      </c>
    </row>
    <row r="5" spans="1:5" x14ac:dyDescent="0.3">
      <c r="A5" s="9" t="s">
        <v>42</v>
      </c>
    </row>
    <row r="6" spans="1:5" x14ac:dyDescent="0.3">
      <c r="A6" s="9" t="s">
        <v>43</v>
      </c>
    </row>
    <row r="7" spans="1:5" x14ac:dyDescent="0.3">
      <c r="A7" s="9" t="s">
        <v>44</v>
      </c>
    </row>
    <row r="8" spans="1:5" x14ac:dyDescent="0.3">
      <c r="A8" s="9" t="s">
        <v>45</v>
      </c>
    </row>
    <row r="9" spans="1:5" x14ac:dyDescent="0.3">
      <c r="A9" s="9" t="s">
        <v>46</v>
      </c>
    </row>
    <row r="10" spans="1:5" x14ac:dyDescent="0.3">
      <c r="A10" s="9" t="s">
        <v>47</v>
      </c>
    </row>
    <row r="11" spans="1:5" x14ac:dyDescent="0.3">
      <c r="A11" s="9" t="s">
        <v>48</v>
      </c>
    </row>
    <row r="12" spans="1:5" x14ac:dyDescent="0.3">
      <c r="A12" s="9" t="s">
        <v>49</v>
      </c>
    </row>
    <row r="13" spans="1:5" x14ac:dyDescent="0.3">
      <c r="A13" s="9" t="s">
        <v>50</v>
      </c>
    </row>
    <row r="14" spans="1:5" x14ac:dyDescent="0.3">
      <c r="A14" s="9" t="s">
        <v>51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E14"/>
  <sheetViews>
    <sheetView zoomScale="130" zoomScaleNormal="130" workbookViewId="0"/>
  </sheetViews>
  <sheetFormatPr defaultColWidth="9.109375" defaultRowHeight="14.4" x14ac:dyDescent="0.3"/>
  <cols>
    <col min="1" max="1" width="27.44140625" style="8" bestFit="1" customWidth="1"/>
    <col min="2" max="2" width="6.109375" style="2" customWidth="1"/>
    <col min="3" max="3" width="17.33203125" style="12" bestFit="1" customWidth="1"/>
    <col min="4" max="4" width="10.109375" style="8" bestFit="1" customWidth="1"/>
    <col min="5" max="5" width="10" style="8" bestFit="1" customWidth="1"/>
    <col min="6" max="16384" width="9.109375" style="8"/>
  </cols>
  <sheetData>
    <row r="1" spans="1:5" x14ac:dyDescent="0.3">
      <c r="A1" s="1" t="s">
        <v>2</v>
      </c>
      <c r="C1" s="13" t="s">
        <v>17</v>
      </c>
      <c r="D1" s="1" t="s">
        <v>16</v>
      </c>
      <c r="E1" s="1" t="s">
        <v>18</v>
      </c>
    </row>
    <row r="2" spans="1:5" x14ac:dyDescent="0.3">
      <c r="A2" s="9" t="s">
        <v>39</v>
      </c>
      <c r="C2" s="12" t="s">
        <v>52</v>
      </c>
      <c r="D2" s="8" t="s">
        <v>19</v>
      </c>
      <c r="E2" s="8" t="s">
        <v>56</v>
      </c>
    </row>
    <row r="3" spans="1:5" x14ac:dyDescent="0.3">
      <c r="A3" s="9" t="s">
        <v>40</v>
      </c>
      <c r="C3" s="12" t="s">
        <v>53</v>
      </c>
      <c r="D3" s="8" t="s">
        <v>19</v>
      </c>
      <c r="E3" s="8" t="s">
        <v>57</v>
      </c>
    </row>
    <row r="4" spans="1:5" x14ac:dyDescent="0.3">
      <c r="A4" s="9" t="s">
        <v>41</v>
      </c>
      <c r="C4" s="12" t="s">
        <v>53</v>
      </c>
      <c r="D4" s="8" t="s">
        <v>19</v>
      </c>
      <c r="E4" s="8" t="s">
        <v>58</v>
      </c>
    </row>
    <row r="5" spans="1:5" x14ac:dyDescent="0.3">
      <c r="A5" s="9" t="s">
        <v>42</v>
      </c>
      <c r="C5" s="12" t="s">
        <v>52</v>
      </c>
      <c r="D5" s="8" t="s">
        <v>23</v>
      </c>
      <c r="E5" s="8" t="s">
        <v>59</v>
      </c>
    </row>
    <row r="6" spans="1:5" x14ac:dyDescent="0.3">
      <c r="A6" s="9" t="s">
        <v>43</v>
      </c>
      <c r="C6" s="12" t="s">
        <v>54</v>
      </c>
      <c r="D6" s="8" t="s">
        <v>23</v>
      </c>
      <c r="E6" s="8" t="s">
        <v>60</v>
      </c>
    </row>
    <row r="7" spans="1:5" x14ac:dyDescent="0.3">
      <c r="A7" s="9" t="s">
        <v>44</v>
      </c>
      <c r="C7" s="12" t="s">
        <v>53</v>
      </c>
      <c r="D7" s="8" t="s">
        <v>23</v>
      </c>
      <c r="E7" s="8" t="s">
        <v>61</v>
      </c>
    </row>
    <row r="8" spans="1:5" x14ac:dyDescent="0.3">
      <c r="A8" s="9" t="s">
        <v>45</v>
      </c>
      <c r="C8" s="12" t="s">
        <v>54</v>
      </c>
      <c r="D8" s="8" t="s">
        <v>26</v>
      </c>
      <c r="E8" s="8" t="s">
        <v>58</v>
      </c>
    </row>
    <row r="9" spans="1:5" x14ac:dyDescent="0.3">
      <c r="A9" s="9" t="s">
        <v>46</v>
      </c>
      <c r="C9" s="12" t="s">
        <v>55</v>
      </c>
      <c r="D9" s="8" t="s">
        <v>23</v>
      </c>
      <c r="E9" s="8" t="s">
        <v>62</v>
      </c>
    </row>
    <row r="10" spans="1:5" x14ac:dyDescent="0.3">
      <c r="A10" s="9" t="s">
        <v>47</v>
      </c>
      <c r="C10" s="12" t="s">
        <v>55</v>
      </c>
      <c r="D10" s="8" t="s">
        <v>21</v>
      </c>
      <c r="E10" s="8" t="s">
        <v>63</v>
      </c>
    </row>
    <row r="11" spans="1:5" x14ac:dyDescent="0.3">
      <c r="A11" s="9" t="s">
        <v>48</v>
      </c>
      <c r="C11" s="12" t="s">
        <v>52</v>
      </c>
      <c r="D11" s="8" t="s">
        <v>23</v>
      </c>
      <c r="E11" s="8" t="s">
        <v>57</v>
      </c>
    </row>
    <row r="12" spans="1:5" x14ac:dyDescent="0.3">
      <c r="A12" s="9" t="s">
        <v>49</v>
      </c>
      <c r="C12" s="12" t="s">
        <v>52</v>
      </c>
      <c r="D12" s="8" t="s">
        <v>23</v>
      </c>
      <c r="E12" s="8" t="s">
        <v>64</v>
      </c>
    </row>
    <row r="13" spans="1:5" x14ac:dyDescent="0.3">
      <c r="A13" s="9" t="s">
        <v>50</v>
      </c>
      <c r="C13" s="12" t="s">
        <v>52</v>
      </c>
      <c r="D13" s="8" t="s">
        <v>23</v>
      </c>
      <c r="E13" s="8" t="s">
        <v>65</v>
      </c>
    </row>
    <row r="14" spans="1:5" x14ac:dyDescent="0.3">
      <c r="A14" s="9" t="s">
        <v>51</v>
      </c>
      <c r="C14" s="12" t="s">
        <v>55</v>
      </c>
      <c r="D14" s="8" t="s">
        <v>26</v>
      </c>
      <c r="E14" s="8" t="s">
        <v>66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E14"/>
  <sheetViews>
    <sheetView zoomScale="130" zoomScaleNormal="130" workbookViewId="0"/>
  </sheetViews>
  <sheetFormatPr defaultColWidth="9.109375" defaultRowHeight="14.4" x14ac:dyDescent="0.3"/>
  <cols>
    <col min="1" max="1" width="17.33203125" style="12" bestFit="1" customWidth="1"/>
    <col min="2" max="2" width="10.109375" style="8" bestFit="1" customWidth="1"/>
    <col min="3" max="3" width="10" style="8" bestFit="1" customWidth="1"/>
    <col min="4" max="4" width="9.109375" style="8"/>
    <col min="5" max="5" width="30.6640625" style="8" customWidth="1"/>
    <col min="6" max="16384" width="9.109375" style="8"/>
  </cols>
  <sheetData>
    <row r="1" spans="1:5" x14ac:dyDescent="0.3">
      <c r="A1" s="1" t="s">
        <v>17</v>
      </c>
      <c r="B1" s="1" t="s">
        <v>16</v>
      </c>
      <c r="C1" s="1" t="s">
        <v>18</v>
      </c>
      <c r="E1" s="1" t="s">
        <v>67</v>
      </c>
    </row>
    <row r="2" spans="1:5" x14ac:dyDescent="0.3">
      <c r="A2" s="12" t="s">
        <v>52</v>
      </c>
      <c r="B2" s="8" t="s">
        <v>19</v>
      </c>
      <c r="C2" s="8" t="s">
        <v>56</v>
      </c>
      <c r="E2" s="10"/>
    </row>
    <row r="3" spans="1:5" x14ac:dyDescent="0.3">
      <c r="A3" s="12" t="s">
        <v>53</v>
      </c>
      <c r="B3" s="8" t="s">
        <v>19</v>
      </c>
      <c r="C3" s="8" t="s">
        <v>57</v>
      </c>
      <c r="E3" s="10"/>
    </row>
    <row r="4" spans="1:5" x14ac:dyDescent="0.3">
      <c r="A4" s="12" t="s">
        <v>53</v>
      </c>
      <c r="B4" s="8" t="s">
        <v>19</v>
      </c>
      <c r="C4" s="8" t="s">
        <v>58</v>
      </c>
      <c r="E4" s="10"/>
    </row>
    <row r="5" spans="1:5" x14ac:dyDescent="0.3">
      <c r="A5" s="12" t="s">
        <v>52</v>
      </c>
      <c r="B5" s="8" t="s">
        <v>23</v>
      </c>
      <c r="C5" s="8" t="s">
        <v>59</v>
      </c>
      <c r="E5" s="10"/>
    </row>
    <row r="6" spans="1:5" x14ac:dyDescent="0.3">
      <c r="A6" s="12" t="s">
        <v>54</v>
      </c>
      <c r="B6" s="8" t="s">
        <v>23</v>
      </c>
      <c r="C6" s="8" t="s">
        <v>60</v>
      </c>
      <c r="E6" s="10"/>
    </row>
    <row r="7" spans="1:5" x14ac:dyDescent="0.3">
      <c r="A7" s="12" t="s">
        <v>53</v>
      </c>
      <c r="B7" s="8" t="s">
        <v>23</v>
      </c>
      <c r="C7" s="8" t="s">
        <v>61</v>
      </c>
      <c r="E7" s="10"/>
    </row>
    <row r="8" spans="1:5" x14ac:dyDescent="0.3">
      <c r="A8" s="12" t="s">
        <v>54</v>
      </c>
      <c r="B8" s="8" t="s">
        <v>26</v>
      </c>
      <c r="C8" s="8" t="s">
        <v>58</v>
      </c>
      <c r="E8" s="10"/>
    </row>
    <row r="9" spans="1:5" x14ac:dyDescent="0.3">
      <c r="A9" s="12" t="s">
        <v>55</v>
      </c>
      <c r="B9" s="8" t="s">
        <v>23</v>
      </c>
      <c r="C9" s="8" t="s">
        <v>62</v>
      </c>
      <c r="E9" s="10"/>
    </row>
    <row r="10" spans="1:5" x14ac:dyDescent="0.3">
      <c r="A10" s="12" t="s">
        <v>55</v>
      </c>
      <c r="B10" s="8" t="s">
        <v>21</v>
      </c>
      <c r="C10" s="8" t="s">
        <v>63</v>
      </c>
      <c r="E10" s="10"/>
    </row>
    <row r="11" spans="1:5" x14ac:dyDescent="0.3">
      <c r="A11" s="12" t="s">
        <v>52</v>
      </c>
      <c r="B11" s="8" t="s">
        <v>23</v>
      </c>
      <c r="C11" s="8" t="s">
        <v>57</v>
      </c>
      <c r="E11" s="10"/>
    </row>
    <row r="12" spans="1:5" x14ac:dyDescent="0.3">
      <c r="A12" s="12" t="s">
        <v>52</v>
      </c>
      <c r="B12" s="8" t="s">
        <v>23</v>
      </c>
      <c r="C12" s="8" t="s">
        <v>64</v>
      </c>
      <c r="E12" s="10"/>
    </row>
    <row r="13" spans="1:5" x14ac:dyDescent="0.3">
      <c r="A13" s="12" t="s">
        <v>52</v>
      </c>
      <c r="B13" s="8" t="s">
        <v>23</v>
      </c>
      <c r="C13" s="8" t="s">
        <v>65</v>
      </c>
      <c r="E13" s="10"/>
    </row>
    <row r="14" spans="1:5" x14ac:dyDescent="0.3">
      <c r="A14" s="12" t="s">
        <v>55</v>
      </c>
      <c r="B14" s="8" t="s">
        <v>26</v>
      </c>
      <c r="C14" s="8" t="s">
        <v>66</v>
      </c>
      <c r="E14" s="10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E14"/>
  <sheetViews>
    <sheetView zoomScale="130" zoomScaleNormal="130" workbookViewId="0"/>
  </sheetViews>
  <sheetFormatPr defaultColWidth="9.109375" defaultRowHeight="14.4" x14ac:dyDescent="0.3"/>
  <cols>
    <col min="1" max="1" width="17.33203125" style="12" bestFit="1" customWidth="1"/>
    <col min="2" max="2" width="10.109375" style="8" bestFit="1" customWidth="1"/>
    <col min="3" max="3" width="10" style="8" bestFit="1" customWidth="1"/>
    <col min="4" max="4" width="9.109375" style="8"/>
    <col min="5" max="5" width="30.6640625" style="8" customWidth="1"/>
    <col min="6" max="16384" width="9.109375" style="8"/>
  </cols>
  <sheetData>
    <row r="1" spans="1:5" x14ac:dyDescent="0.3">
      <c r="A1" s="1" t="s">
        <v>17</v>
      </c>
      <c r="B1" s="1" t="s">
        <v>16</v>
      </c>
      <c r="C1" s="1" t="s">
        <v>18</v>
      </c>
      <c r="E1" s="1" t="s">
        <v>67</v>
      </c>
    </row>
    <row r="2" spans="1:5" x14ac:dyDescent="0.3">
      <c r="A2" s="12" t="s">
        <v>52</v>
      </c>
      <c r="B2" s="8" t="s">
        <v>19</v>
      </c>
      <c r="C2" s="8" t="s">
        <v>56</v>
      </c>
      <c r="E2" s="10" t="str">
        <f>A2&amp;"-"&amp;B2&amp;"-"&amp;C2</f>
        <v>Robert Mistrz-Motylek-Q</v>
      </c>
    </row>
    <row r="3" spans="1:5" x14ac:dyDescent="0.3">
      <c r="A3" s="12" t="s">
        <v>53</v>
      </c>
      <c r="B3" s="8" t="s">
        <v>19</v>
      </c>
      <c r="C3" s="8" t="s">
        <v>57</v>
      </c>
      <c r="E3" s="10" t="str">
        <f t="shared" ref="E3:E14" si="0">A3&amp;"-"&amp;B3&amp;"-"&amp;C3</f>
        <v>Ewa Fretka-Motylek-V</v>
      </c>
    </row>
    <row r="4" spans="1:5" x14ac:dyDescent="0.3">
      <c r="A4" s="12" t="s">
        <v>53</v>
      </c>
      <c r="B4" s="8" t="s">
        <v>19</v>
      </c>
      <c r="C4" s="8" t="s">
        <v>58</v>
      </c>
      <c r="E4" s="10" t="str">
        <f t="shared" si="0"/>
        <v>Ewa Fretka-Motylek-D</v>
      </c>
    </row>
    <row r="5" spans="1:5" x14ac:dyDescent="0.3">
      <c r="A5" s="12" t="s">
        <v>52</v>
      </c>
      <c r="B5" s="8" t="s">
        <v>23</v>
      </c>
      <c r="C5" s="8" t="s">
        <v>59</v>
      </c>
      <c r="E5" s="10" t="str">
        <f t="shared" si="0"/>
        <v>Robert Mistrz-Żuczek-M</v>
      </c>
    </row>
    <row r="6" spans="1:5" x14ac:dyDescent="0.3">
      <c r="A6" s="12" t="s">
        <v>54</v>
      </c>
      <c r="B6" s="8" t="s">
        <v>23</v>
      </c>
      <c r="C6" s="8" t="s">
        <v>60</v>
      </c>
      <c r="E6" s="10" t="str">
        <f t="shared" si="0"/>
        <v>Zbigniew Radosny-Żuczek-L</v>
      </c>
    </row>
    <row r="7" spans="1:5" x14ac:dyDescent="0.3">
      <c r="A7" s="12" t="s">
        <v>53</v>
      </c>
      <c r="B7" s="8" t="s">
        <v>23</v>
      </c>
      <c r="C7" s="8" t="s">
        <v>61</v>
      </c>
      <c r="E7" s="10" t="str">
        <f t="shared" si="0"/>
        <v>Ewa Fretka-Żuczek-C</v>
      </c>
    </row>
    <row r="8" spans="1:5" x14ac:dyDescent="0.3">
      <c r="A8" s="12" t="s">
        <v>54</v>
      </c>
      <c r="B8" s="8" t="s">
        <v>26</v>
      </c>
      <c r="C8" s="8" t="s">
        <v>58</v>
      </c>
      <c r="E8" s="10" t="str">
        <f t="shared" si="0"/>
        <v>Zbigniew Radosny-Stonoga-D</v>
      </c>
    </row>
    <row r="9" spans="1:5" x14ac:dyDescent="0.3">
      <c r="A9" s="12" t="s">
        <v>55</v>
      </c>
      <c r="B9" s="8" t="s">
        <v>23</v>
      </c>
      <c r="C9" s="8" t="s">
        <v>62</v>
      </c>
      <c r="E9" s="10" t="str">
        <f t="shared" si="0"/>
        <v>Maria Poranna-Żuczek-T</v>
      </c>
    </row>
    <row r="10" spans="1:5" x14ac:dyDescent="0.3">
      <c r="A10" s="12" t="s">
        <v>55</v>
      </c>
      <c r="B10" s="8" t="s">
        <v>21</v>
      </c>
      <c r="C10" s="8" t="s">
        <v>63</v>
      </c>
      <c r="E10" s="10" t="str">
        <f t="shared" si="0"/>
        <v>Maria Poranna-Ptaszek-K</v>
      </c>
    </row>
    <row r="11" spans="1:5" x14ac:dyDescent="0.3">
      <c r="A11" s="12" t="s">
        <v>52</v>
      </c>
      <c r="B11" s="8" t="s">
        <v>23</v>
      </c>
      <c r="C11" s="8" t="s">
        <v>57</v>
      </c>
      <c r="E11" s="10" t="str">
        <f t="shared" si="0"/>
        <v>Robert Mistrz-Żuczek-V</v>
      </c>
    </row>
    <row r="12" spans="1:5" x14ac:dyDescent="0.3">
      <c r="A12" s="12" t="s">
        <v>52</v>
      </c>
      <c r="B12" s="8" t="s">
        <v>23</v>
      </c>
      <c r="C12" s="8" t="s">
        <v>64</v>
      </c>
      <c r="E12" s="10" t="str">
        <f t="shared" si="0"/>
        <v>Robert Mistrz-Żuczek-U</v>
      </c>
    </row>
    <row r="13" spans="1:5" x14ac:dyDescent="0.3">
      <c r="A13" s="12" t="s">
        <v>52</v>
      </c>
      <c r="B13" s="8" t="s">
        <v>23</v>
      </c>
      <c r="C13" s="8" t="s">
        <v>65</v>
      </c>
      <c r="E13" s="10" t="str">
        <f t="shared" si="0"/>
        <v>Robert Mistrz-Żuczek-F</v>
      </c>
    </row>
    <row r="14" spans="1:5" x14ac:dyDescent="0.3">
      <c r="A14" s="12" t="s">
        <v>55</v>
      </c>
      <c r="B14" s="8" t="s">
        <v>26</v>
      </c>
      <c r="C14" s="8" t="s">
        <v>66</v>
      </c>
      <c r="E14" s="10" t="str">
        <f t="shared" si="0"/>
        <v>Maria Poranna-Stonoga-G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A14"/>
  <sheetViews>
    <sheetView zoomScale="130" zoomScaleNormal="130" workbookViewId="0"/>
  </sheetViews>
  <sheetFormatPr defaultColWidth="9.109375" defaultRowHeight="14.4" x14ac:dyDescent="0.3"/>
  <cols>
    <col min="1" max="1" width="14" style="8" customWidth="1"/>
    <col min="2" max="16384" width="9.109375" style="8"/>
  </cols>
  <sheetData>
    <row r="1" spans="1:1" x14ac:dyDescent="0.3">
      <c r="A1" s="1" t="s">
        <v>0</v>
      </c>
    </row>
    <row r="2" spans="1:1" x14ac:dyDescent="0.3">
      <c r="A2" s="8" t="s">
        <v>68</v>
      </c>
    </row>
    <row r="3" spans="1:1" x14ac:dyDescent="0.3">
      <c r="A3" s="8" t="s">
        <v>69</v>
      </c>
    </row>
    <row r="4" spans="1:1" x14ac:dyDescent="0.3">
      <c r="A4" s="8" t="s">
        <v>70</v>
      </c>
    </row>
    <row r="5" spans="1:1" x14ac:dyDescent="0.3">
      <c r="A5" s="8" t="s">
        <v>71</v>
      </c>
    </row>
    <row r="6" spans="1:1" x14ac:dyDescent="0.3">
      <c r="A6" s="8" t="s">
        <v>72</v>
      </c>
    </row>
    <row r="7" spans="1:1" x14ac:dyDescent="0.3">
      <c r="A7" s="8" t="s">
        <v>73</v>
      </c>
    </row>
    <row r="8" spans="1:1" x14ac:dyDescent="0.3">
      <c r="A8" s="8" t="s">
        <v>74</v>
      </c>
    </row>
    <row r="9" spans="1:1" x14ac:dyDescent="0.3">
      <c r="A9" s="8" t="s">
        <v>75</v>
      </c>
    </row>
    <row r="10" spans="1:1" x14ac:dyDescent="0.3">
      <c r="A10" s="8" t="s">
        <v>76</v>
      </c>
    </row>
    <row r="11" spans="1:1" x14ac:dyDescent="0.3">
      <c r="A11" s="8" t="s">
        <v>77</v>
      </c>
    </row>
    <row r="12" spans="1:1" x14ac:dyDescent="0.3">
      <c r="A12" s="8" t="s">
        <v>78</v>
      </c>
    </row>
    <row r="13" spans="1:1" x14ac:dyDescent="0.3">
      <c r="A13" s="8" t="s">
        <v>79</v>
      </c>
    </row>
    <row r="14" spans="1:1" x14ac:dyDescent="0.3">
      <c r="A14" s="8" t="s">
        <v>80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14"/>
  <sheetViews>
    <sheetView zoomScale="130" zoomScaleNormal="130" workbookViewId="0"/>
  </sheetViews>
  <sheetFormatPr defaultColWidth="9.109375" defaultRowHeight="14.4" x14ac:dyDescent="0.3"/>
  <cols>
    <col min="1" max="1" width="11.6640625" style="8" customWidth="1"/>
    <col min="2" max="16384" width="9.109375" style="8"/>
  </cols>
  <sheetData>
    <row r="1" spans="1:1" x14ac:dyDescent="0.3">
      <c r="A1" s="1" t="s">
        <v>0</v>
      </c>
    </row>
    <row r="2" spans="1:1" x14ac:dyDescent="0.3">
      <c r="A2" s="11">
        <v>37575</v>
      </c>
    </row>
    <row r="3" spans="1:1" x14ac:dyDescent="0.3">
      <c r="A3" s="11">
        <v>41485</v>
      </c>
    </row>
    <row r="4" spans="1:1" x14ac:dyDescent="0.3">
      <c r="A4" s="11">
        <v>39956</v>
      </c>
    </row>
    <row r="5" spans="1:1" x14ac:dyDescent="0.3">
      <c r="A5" s="11">
        <v>39433</v>
      </c>
    </row>
    <row r="6" spans="1:1" x14ac:dyDescent="0.3">
      <c r="A6" s="11">
        <v>43172</v>
      </c>
    </row>
    <row r="7" spans="1:1" x14ac:dyDescent="0.3">
      <c r="A7" s="11">
        <v>38932</v>
      </c>
    </row>
    <row r="8" spans="1:1" x14ac:dyDescent="0.3">
      <c r="A8" s="11">
        <v>42431</v>
      </c>
    </row>
    <row r="9" spans="1:1" x14ac:dyDescent="0.3">
      <c r="A9" s="11">
        <v>42844</v>
      </c>
    </row>
    <row r="10" spans="1:1" x14ac:dyDescent="0.3">
      <c r="A10" s="11">
        <v>38968</v>
      </c>
    </row>
    <row r="11" spans="1:1" x14ac:dyDescent="0.3">
      <c r="A11" s="11">
        <v>42766</v>
      </c>
    </row>
    <row r="12" spans="1:1" x14ac:dyDescent="0.3">
      <c r="A12" s="11">
        <v>38345</v>
      </c>
    </row>
    <row r="13" spans="1:1" x14ac:dyDescent="0.3">
      <c r="A13" s="11">
        <v>38622</v>
      </c>
    </row>
    <row r="14" spans="1:1" x14ac:dyDescent="0.3">
      <c r="A14" s="11">
        <v>42253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D15"/>
  <sheetViews>
    <sheetView zoomScale="130" zoomScaleNormal="130" workbookViewId="0"/>
  </sheetViews>
  <sheetFormatPr defaultColWidth="9.109375" defaultRowHeight="14.4" x14ac:dyDescent="0.3"/>
  <cols>
    <col min="1" max="1" width="27.44140625" style="8" bestFit="1" customWidth="1"/>
    <col min="2" max="2" width="9.109375" style="8"/>
    <col min="3" max="3" width="10.6640625" style="8" bestFit="1" customWidth="1"/>
    <col min="4" max="4" width="13.33203125" style="8" bestFit="1" customWidth="1"/>
    <col min="5" max="16384" width="9.109375" style="8"/>
  </cols>
  <sheetData>
    <row r="1" spans="1:4" x14ac:dyDescent="0.3">
      <c r="A1" s="1" t="s">
        <v>2</v>
      </c>
      <c r="C1" s="1" t="s">
        <v>81</v>
      </c>
      <c r="D1" s="1" t="s">
        <v>82</v>
      </c>
    </row>
    <row r="2" spans="1:4" x14ac:dyDescent="0.3">
      <c r="A2" s="9" t="s">
        <v>39</v>
      </c>
      <c r="C2" s="10"/>
      <c r="D2" s="10"/>
    </row>
    <row r="3" spans="1:4" x14ac:dyDescent="0.3">
      <c r="A3" s="9" t="s">
        <v>40</v>
      </c>
      <c r="C3" s="10"/>
      <c r="D3" s="10"/>
    </row>
    <row r="4" spans="1:4" x14ac:dyDescent="0.3">
      <c r="A4" s="9" t="s">
        <v>41</v>
      </c>
      <c r="C4" s="10"/>
      <c r="D4" s="10"/>
    </row>
    <row r="5" spans="1:4" x14ac:dyDescent="0.3">
      <c r="A5" s="9" t="s">
        <v>42</v>
      </c>
      <c r="C5" s="10"/>
      <c r="D5" s="10"/>
    </row>
    <row r="6" spans="1:4" x14ac:dyDescent="0.3">
      <c r="A6" s="9" t="s">
        <v>43</v>
      </c>
      <c r="C6" s="10"/>
      <c r="D6" s="10"/>
    </row>
    <row r="7" spans="1:4" x14ac:dyDescent="0.3">
      <c r="A7" s="9" t="s">
        <v>44</v>
      </c>
      <c r="C7" s="10"/>
      <c r="D7" s="10"/>
    </row>
    <row r="8" spans="1:4" x14ac:dyDescent="0.3">
      <c r="A8" s="9" t="s">
        <v>45</v>
      </c>
      <c r="C8" s="10"/>
      <c r="D8" s="10"/>
    </row>
    <row r="9" spans="1:4" x14ac:dyDescent="0.3">
      <c r="A9" s="9" t="s">
        <v>46</v>
      </c>
      <c r="C9" s="10"/>
      <c r="D9" s="10"/>
    </row>
    <row r="10" spans="1:4" x14ac:dyDescent="0.3">
      <c r="A10" s="9" t="s">
        <v>47</v>
      </c>
      <c r="C10" s="10"/>
      <c r="D10" s="10"/>
    </row>
    <row r="11" spans="1:4" x14ac:dyDescent="0.3">
      <c r="A11" s="9" t="s">
        <v>48</v>
      </c>
      <c r="C11" s="10"/>
      <c r="D11" s="10"/>
    </row>
    <row r="12" spans="1:4" x14ac:dyDescent="0.3">
      <c r="A12" s="9" t="s">
        <v>49</v>
      </c>
      <c r="C12" s="10"/>
      <c r="D12" s="10"/>
    </row>
    <row r="13" spans="1:4" x14ac:dyDescent="0.3">
      <c r="A13" s="9" t="s">
        <v>50</v>
      </c>
      <c r="C13" s="10"/>
      <c r="D13" s="10"/>
    </row>
    <row r="14" spans="1:4" x14ac:dyDescent="0.3">
      <c r="A14" s="9" t="s">
        <v>51</v>
      </c>
      <c r="C14" s="10"/>
      <c r="D14" s="10"/>
    </row>
    <row r="15" spans="1:4" x14ac:dyDescent="0.3">
      <c r="A15" s="9" t="s">
        <v>83</v>
      </c>
      <c r="C15" s="10"/>
      <c r="D15" s="10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D15"/>
  <sheetViews>
    <sheetView zoomScale="130" zoomScaleNormal="130" workbookViewId="0"/>
  </sheetViews>
  <sheetFormatPr defaultColWidth="9.109375" defaultRowHeight="14.4" x14ac:dyDescent="0.3"/>
  <cols>
    <col min="1" max="1" width="27.44140625" style="8" bestFit="1" customWidth="1"/>
    <col min="2" max="2" width="9.109375" style="8"/>
    <col min="3" max="3" width="26.5546875" style="8" bestFit="1" customWidth="1"/>
    <col min="4" max="4" width="31.109375" style="8" bestFit="1" customWidth="1"/>
    <col min="5" max="16384" width="9.109375" style="8"/>
  </cols>
  <sheetData>
    <row r="1" spans="1:4" x14ac:dyDescent="0.3">
      <c r="A1" s="1" t="s">
        <v>2</v>
      </c>
      <c r="C1" s="1" t="s">
        <v>81</v>
      </c>
      <c r="D1" s="1" t="s">
        <v>82</v>
      </c>
    </row>
    <row r="2" spans="1:4" x14ac:dyDescent="0.3">
      <c r="A2" s="9" t="s">
        <v>39</v>
      </c>
      <c r="C2" s="10" t="str">
        <f>LOWER(A2)</f>
        <v>robert mistrz-motylek-q</v>
      </c>
      <c r="D2" s="10" t="str">
        <f>UPPER(A2)</f>
        <v>ROBERT MISTRZ-MOTYLEK-Q</v>
      </c>
    </row>
    <row r="3" spans="1:4" x14ac:dyDescent="0.3">
      <c r="A3" s="9" t="s">
        <v>40</v>
      </c>
      <c r="C3" s="10" t="str">
        <f t="shared" ref="C3:C15" si="0">LOWER(A3)</f>
        <v>ewa fretka-motylek-v</v>
      </c>
      <c r="D3" s="10" t="str">
        <f t="shared" ref="D3:D15" si="1">UPPER(A3)</f>
        <v>EWA FRETKA-MOTYLEK-V</v>
      </c>
    </row>
    <row r="4" spans="1:4" x14ac:dyDescent="0.3">
      <c r="A4" s="9" t="s">
        <v>41</v>
      </c>
      <c r="C4" s="10" t="str">
        <f t="shared" si="0"/>
        <v>ewa fretka-motylek-d</v>
      </c>
      <c r="D4" s="10" t="str">
        <f t="shared" si="1"/>
        <v>EWA FRETKA-MOTYLEK-D</v>
      </c>
    </row>
    <row r="5" spans="1:4" x14ac:dyDescent="0.3">
      <c r="A5" s="9" t="s">
        <v>42</v>
      </c>
      <c r="C5" s="10" t="str">
        <f t="shared" si="0"/>
        <v>robert mistrz-żuczek-m</v>
      </c>
      <c r="D5" s="10" t="str">
        <f t="shared" si="1"/>
        <v>ROBERT MISTRZ-ŻUCZEK-M</v>
      </c>
    </row>
    <row r="6" spans="1:4" x14ac:dyDescent="0.3">
      <c r="A6" s="9" t="s">
        <v>43</v>
      </c>
      <c r="C6" s="10" t="str">
        <f t="shared" si="0"/>
        <v>zbigniew radosny-żuczek-l</v>
      </c>
      <c r="D6" s="10" t="str">
        <f t="shared" si="1"/>
        <v>ZBIGNIEW RADOSNY-ŻUCZEK-L</v>
      </c>
    </row>
    <row r="7" spans="1:4" x14ac:dyDescent="0.3">
      <c r="A7" s="9" t="s">
        <v>44</v>
      </c>
      <c r="C7" s="10" t="str">
        <f t="shared" si="0"/>
        <v>ewa fretka-żuczek-c</v>
      </c>
      <c r="D7" s="10" t="str">
        <f t="shared" si="1"/>
        <v>EWA FRETKA-ŻUCZEK-C</v>
      </c>
    </row>
    <row r="8" spans="1:4" x14ac:dyDescent="0.3">
      <c r="A8" s="9" t="s">
        <v>45</v>
      </c>
      <c r="C8" s="10" t="str">
        <f t="shared" si="0"/>
        <v>zbigniew radosny-stonoga-d</v>
      </c>
      <c r="D8" s="10" t="str">
        <f t="shared" si="1"/>
        <v>ZBIGNIEW RADOSNY-STONOGA-D</v>
      </c>
    </row>
    <row r="9" spans="1:4" x14ac:dyDescent="0.3">
      <c r="A9" s="9" t="s">
        <v>46</v>
      </c>
      <c r="C9" s="10" t="str">
        <f t="shared" si="0"/>
        <v>maria poranna-żuczek-t</v>
      </c>
      <c r="D9" s="10" t="str">
        <f t="shared" si="1"/>
        <v>MARIA PORANNA-ŻUCZEK-T</v>
      </c>
    </row>
    <row r="10" spans="1:4" x14ac:dyDescent="0.3">
      <c r="A10" s="9" t="s">
        <v>47</v>
      </c>
      <c r="C10" s="10" t="str">
        <f t="shared" si="0"/>
        <v>maria poranna-ptaszek-k</v>
      </c>
      <c r="D10" s="10" t="str">
        <f t="shared" si="1"/>
        <v>MARIA PORANNA-PTASZEK-K</v>
      </c>
    </row>
    <row r="11" spans="1:4" x14ac:dyDescent="0.3">
      <c r="A11" s="9" t="s">
        <v>48</v>
      </c>
      <c r="C11" s="10" t="str">
        <f t="shared" si="0"/>
        <v>robert mistrz-żuczek-v</v>
      </c>
      <c r="D11" s="10" t="str">
        <f t="shared" si="1"/>
        <v>ROBERT MISTRZ-ŻUCZEK-V</v>
      </c>
    </row>
    <row r="12" spans="1:4" x14ac:dyDescent="0.3">
      <c r="A12" s="9" t="s">
        <v>49</v>
      </c>
      <c r="C12" s="10" t="str">
        <f t="shared" si="0"/>
        <v>robert mistrz-żuczek-u</v>
      </c>
      <c r="D12" s="10" t="str">
        <f t="shared" si="1"/>
        <v>ROBERT MISTRZ-ŻUCZEK-U</v>
      </c>
    </row>
    <row r="13" spans="1:4" x14ac:dyDescent="0.3">
      <c r="A13" s="9" t="s">
        <v>50</v>
      </c>
      <c r="C13" s="10" t="str">
        <f t="shared" si="0"/>
        <v>robert mistrz-żuczek-f</v>
      </c>
      <c r="D13" s="10" t="str">
        <f t="shared" si="1"/>
        <v>ROBERT MISTRZ-ŻUCZEK-F</v>
      </c>
    </row>
    <row r="14" spans="1:4" x14ac:dyDescent="0.3">
      <c r="A14" s="9" t="s">
        <v>51</v>
      </c>
      <c r="C14" s="10" t="str">
        <f t="shared" si="0"/>
        <v>maria poranna-stonoga-g</v>
      </c>
      <c r="D14" s="10" t="str">
        <f t="shared" si="1"/>
        <v>MARIA PORANNA-STONOGA-G</v>
      </c>
    </row>
    <row r="15" spans="1:4" x14ac:dyDescent="0.3">
      <c r="A15" s="9" t="s">
        <v>83</v>
      </c>
      <c r="C15" s="10" t="str">
        <f t="shared" si="0"/>
        <v>zbignie radosny-żuczek-t</v>
      </c>
      <c r="D15" s="10" t="str">
        <f t="shared" si="1"/>
        <v>ZBIGNIE RADOSNY-ŻUCZEK-T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E15"/>
  <sheetViews>
    <sheetView zoomScale="145" zoomScaleNormal="145" workbookViewId="0"/>
  </sheetViews>
  <sheetFormatPr defaultRowHeight="14.4" x14ac:dyDescent="0.3"/>
  <cols>
    <col min="1" max="1" width="15.5546875" style="2" bestFit="1" customWidth="1"/>
    <col min="2" max="3" width="8.88671875" style="2"/>
    <col min="4" max="4" width="10.6640625" style="2" bestFit="1" customWidth="1"/>
    <col min="5" max="16384" width="8.88671875" style="2"/>
  </cols>
  <sheetData>
    <row r="1" spans="1:5" x14ac:dyDescent="0.3">
      <c r="A1" s="1" t="s">
        <v>88</v>
      </c>
      <c r="C1" s="1" t="s">
        <v>16</v>
      </c>
      <c r="D1" s="1" t="s">
        <v>0</v>
      </c>
      <c r="E1" s="1" t="s">
        <v>103</v>
      </c>
    </row>
    <row r="2" spans="1:5" x14ac:dyDescent="0.3">
      <c r="A2" s="2" t="s">
        <v>89</v>
      </c>
      <c r="D2" s="7"/>
    </row>
    <row r="3" spans="1:5" x14ac:dyDescent="0.3">
      <c r="A3" s="2" t="s">
        <v>90</v>
      </c>
      <c r="D3" s="7"/>
    </row>
    <row r="4" spans="1:5" x14ac:dyDescent="0.3">
      <c r="A4" s="2" t="s">
        <v>91</v>
      </c>
      <c r="D4" s="7"/>
    </row>
    <row r="5" spans="1:5" x14ac:dyDescent="0.3">
      <c r="A5" s="2" t="s">
        <v>92</v>
      </c>
      <c r="D5" s="7"/>
    </row>
    <row r="6" spans="1:5" x14ac:dyDescent="0.3">
      <c r="A6" s="2" t="s">
        <v>93</v>
      </c>
      <c r="D6" s="7"/>
    </row>
    <row r="7" spans="1:5" x14ac:dyDescent="0.3">
      <c r="A7" s="2" t="s">
        <v>94</v>
      </c>
      <c r="D7" s="7"/>
    </row>
    <row r="8" spans="1:5" x14ac:dyDescent="0.3">
      <c r="A8" s="2" t="s">
        <v>95</v>
      </c>
      <c r="D8" s="7"/>
    </row>
    <row r="9" spans="1:5" x14ac:dyDescent="0.3">
      <c r="A9" s="2" t="s">
        <v>96</v>
      </c>
      <c r="D9" s="7"/>
    </row>
    <row r="10" spans="1:5" x14ac:dyDescent="0.3">
      <c r="A10" s="2" t="s">
        <v>97</v>
      </c>
      <c r="D10" s="7"/>
    </row>
    <row r="11" spans="1:5" x14ac:dyDescent="0.3">
      <c r="A11" s="2" t="s">
        <v>98</v>
      </c>
      <c r="D11" s="7"/>
    </row>
    <row r="12" spans="1:5" x14ac:dyDescent="0.3">
      <c r="A12" s="2" t="s">
        <v>99</v>
      </c>
      <c r="D12" s="7"/>
    </row>
    <row r="13" spans="1:5" x14ac:dyDescent="0.3">
      <c r="A13" s="2" t="s">
        <v>100</v>
      </c>
      <c r="D13" s="7"/>
    </row>
    <row r="14" spans="1:5" x14ac:dyDescent="0.3">
      <c r="A14" s="2" t="s">
        <v>101</v>
      </c>
      <c r="D14" s="7"/>
    </row>
    <row r="15" spans="1:5" x14ac:dyDescent="0.3">
      <c r="A15" s="2" t="s">
        <v>102</v>
      </c>
      <c r="D15" s="7"/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E15"/>
  <sheetViews>
    <sheetView zoomScale="145" zoomScaleNormal="145" workbookViewId="0"/>
  </sheetViews>
  <sheetFormatPr defaultRowHeight="14.4" x14ac:dyDescent="0.3"/>
  <cols>
    <col min="1" max="1" width="15.5546875" style="2" bestFit="1" customWidth="1"/>
    <col min="2" max="3" width="8.88671875" style="2"/>
    <col min="4" max="4" width="10.6640625" style="2" bestFit="1" customWidth="1"/>
    <col min="5" max="16384" width="8.88671875" style="2"/>
  </cols>
  <sheetData>
    <row r="1" spans="1:5" x14ac:dyDescent="0.3">
      <c r="A1" s="1" t="s">
        <v>88</v>
      </c>
      <c r="C1" s="1" t="s">
        <v>16</v>
      </c>
      <c r="D1" s="1" t="s">
        <v>0</v>
      </c>
      <c r="E1" s="1" t="s">
        <v>103</v>
      </c>
    </row>
    <row r="2" spans="1:5" x14ac:dyDescent="0.3">
      <c r="A2" s="2" t="s">
        <v>89</v>
      </c>
      <c r="C2" s="2" t="s">
        <v>86</v>
      </c>
      <c r="D2" s="7">
        <v>37575</v>
      </c>
      <c r="E2" s="2">
        <v>3</v>
      </c>
    </row>
    <row r="3" spans="1:5" x14ac:dyDescent="0.3">
      <c r="A3" s="2" t="s">
        <v>90</v>
      </c>
      <c r="C3" s="2" t="s">
        <v>87</v>
      </c>
      <c r="D3" s="7">
        <v>41485</v>
      </c>
      <c r="E3" s="2">
        <v>2</v>
      </c>
    </row>
    <row r="4" spans="1:5" x14ac:dyDescent="0.3">
      <c r="A4" s="2" t="s">
        <v>91</v>
      </c>
      <c r="C4" s="2" t="s">
        <v>85</v>
      </c>
      <c r="D4" s="7">
        <v>39956</v>
      </c>
      <c r="E4" s="2">
        <v>1</v>
      </c>
    </row>
    <row r="5" spans="1:5" x14ac:dyDescent="0.3">
      <c r="A5" s="2" t="s">
        <v>92</v>
      </c>
      <c r="C5" s="2" t="s">
        <v>86</v>
      </c>
      <c r="D5" s="7">
        <v>39433</v>
      </c>
      <c r="E5" s="2">
        <v>3</v>
      </c>
    </row>
    <row r="6" spans="1:5" x14ac:dyDescent="0.3">
      <c r="A6" s="2" t="s">
        <v>93</v>
      </c>
      <c r="C6" s="2" t="s">
        <v>85</v>
      </c>
      <c r="D6" s="7">
        <v>43172</v>
      </c>
      <c r="E6" s="2">
        <v>2</v>
      </c>
    </row>
    <row r="7" spans="1:5" x14ac:dyDescent="0.3">
      <c r="A7" s="2" t="s">
        <v>94</v>
      </c>
      <c r="C7" s="2" t="s">
        <v>84</v>
      </c>
      <c r="D7" s="7">
        <v>38932</v>
      </c>
      <c r="E7" s="2">
        <v>1</v>
      </c>
    </row>
    <row r="8" spans="1:5" x14ac:dyDescent="0.3">
      <c r="A8" s="2" t="s">
        <v>95</v>
      </c>
      <c r="C8" s="2" t="s">
        <v>84</v>
      </c>
      <c r="D8" s="7">
        <v>42431</v>
      </c>
      <c r="E8" s="2">
        <v>1</v>
      </c>
    </row>
    <row r="9" spans="1:5" x14ac:dyDescent="0.3">
      <c r="A9" s="2" t="s">
        <v>96</v>
      </c>
      <c r="C9" s="2" t="s">
        <v>86</v>
      </c>
      <c r="D9" s="7">
        <v>42844</v>
      </c>
      <c r="E9" s="2">
        <v>1</v>
      </c>
    </row>
    <row r="10" spans="1:5" x14ac:dyDescent="0.3">
      <c r="A10" s="2" t="s">
        <v>97</v>
      </c>
      <c r="C10" s="2" t="s">
        <v>86</v>
      </c>
      <c r="D10" s="7">
        <v>38968</v>
      </c>
      <c r="E10" s="2">
        <v>2</v>
      </c>
    </row>
    <row r="11" spans="1:5" x14ac:dyDescent="0.3">
      <c r="A11" s="2" t="s">
        <v>98</v>
      </c>
      <c r="C11" s="2" t="s">
        <v>86</v>
      </c>
      <c r="D11" s="7">
        <v>42766</v>
      </c>
      <c r="E11" s="2">
        <v>1</v>
      </c>
    </row>
    <row r="12" spans="1:5" x14ac:dyDescent="0.3">
      <c r="A12" s="2" t="s">
        <v>99</v>
      </c>
      <c r="C12" s="2" t="s">
        <v>85</v>
      </c>
      <c r="D12" s="7">
        <v>38345</v>
      </c>
      <c r="E12" s="2">
        <v>1</v>
      </c>
    </row>
    <row r="13" spans="1:5" x14ac:dyDescent="0.3">
      <c r="A13" s="2" t="s">
        <v>100</v>
      </c>
      <c r="C13" s="2" t="s">
        <v>86</v>
      </c>
      <c r="D13" s="7">
        <v>38622</v>
      </c>
      <c r="E13" s="2">
        <v>3</v>
      </c>
    </row>
    <row r="14" spans="1:5" x14ac:dyDescent="0.3">
      <c r="A14" s="2" t="s">
        <v>101</v>
      </c>
      <c r="C14" s="2" t="s">
        <v>87</v>
      </c>
      <c r="D14" s="7">
        <v>42253</v>
      </c>
      <c r="E14" s="2">
        <v>3</v>
      </c>
    </row>
    <row r="15" spans="1:5" x14ac:dyDescent="0.3">
      <c r="A15" s="2" t="s">
        <v>102</v>
      </c>
      <c r="C15" s="2" t="s">
        <v>86</v>
      </c>
      <c r="D15" s="7">
        <v>42124</v>
      </c>
      <c r="E15" s="2">
        <v>1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</sheetPr>
  <dimension ref="A1:E15"/>
  <sheetViews>
    <sheetView zoomScale="145" zoomScaleNormal="145" workbookViewId="0"/>
  </sheetViews>
  <sheetFormatPr defaultRowHeight="14.4" x14ac:dyDescent="0.3"/>
  <cols>
    <col min="1" max="1" width="15.5546875" style="2" bestFit="1" customWidth="1"/>
    <col min="2" max="3" width="8.88671875" style="2"/>
    <col min="4" max="4" width="10.6640625" style="2" bestFit="1" customWidth="1"/>
    <col min="5" max="16384" width="8.88671875" style="2"/>
  </cols>
  <sheetData>
    <row r="1" spans="1:5" x14ac:dyDescent="0.3">
      <c r="A1" s="1" t="s">
        <v>88</v>
      </c>
      <c r="C1" s="1" t="s">
        <v>16</v>
      </c>
      <c r="D1" s="1" t="s">
        <v>0</v>
      </c>
      <c r="E1" s="1" t="s">
        <v>103</v>
      </c>
    </row>
    <row r="2" spans="1:5" x14ac:dyDescent="0.3">
      <c r="A2" s="2" t="s">
        <v>89</v>
      </c>
      <c r="C2" s="4"/>
      <c r="D2" s="6"/>
      <c r="E2" s="4"/>
    </row>
    <row r="3" spans="1:5" x14ac:dyDescent="0.3">
      <c r="A3" s="2" t="s">
        <v>90</v>
      </c>
      <c r="C3" s="4"/>
      <c r="D3" s="6"/>
      <c r="E3" s="4"/>
    </row>
    <row r="4" spans="1:5" x14ac:dyDescent="0.3">
      <c r="A4" s="2" t="s">
        <v>91</v>
      </c>
      <c r="C4" s="4"/>
      <c r="D4" s="6"/>
      <c r="E4" s="4"/>
    </row>
    <row r="5" spans="1:5" x14ac:dyDescent="0.3">
      <c r="A5" s="2" t="s">
        <v>92</v>
      </c>
      <c r="C5" s="4"/>
      <c r="D5" s="6"/>
      <c r="E5" s="4"/>
    </row>
    <row r="6" spans="1:5" x14ac:dyDescent="0.3">
      <c r="A6" s="2" t="s">
        <v>93</v>
      </c>
      <c r="C6" s="4"/>
      <c r="D6" s="6"/>
      <c r="E6" s="4"/>
    </row>
    <row r="7" spans="1:5" x14ac:dyDescent="0.3">
      <c r="A7" s="2" t="s">
        <v>94</v>
      </c>
      <c r="C7" s="4"/>
      <c r="D7" s="6"/>
      <c r="E7" s="4"/>
    </row>
    <row r="8" spans="1:5" x14ac:dyDescent="0.3">
      <c r="A8" s="2" t="s">
        <v>95</v>
      </c>
      <c r="C8" s="4"/>
      <c r="D8" s="6"/>
      <c r="E8" s="4"/>
    </row>
    <row r="9" spans="1:5" x14ac:dyDescent="0.3">
      <c r="A9" s="2" t="s">
        <v>96</v>
      </c>
      <c r="C9" s="4"/>
      <c r="D9" s="6"/>
      <c r="E9" s="4"/>
    </row>
    <row r="10" spans="1:5" x14ac:dyDescent="0.3">
      <c r="A10" s="2" t="s">
        <v>97</v>
      </c>
      <c r="C10" s="4"/>
      <c r="D10" s="6"/>
      <c r="E10" s="4"/>
    </row>
    <row r="11" spans="1:5" x14ac:dyDescent="0.3">
      <c r="A11" s="2" t="s">
        <v>98</v>
      </c>
      <c r="C11" s="4"/>
      <c r="D11" s="6"/>
      <c r="E11" s="4"/>
    </row>
    <row r="12" spans="1:5" x14ac:dyDescent="0.3">
      <c r="A12" s="2" t="s">
        <v>99</v>
      </c>
      <c r="C12" s="4"/>
      <c r="D12" s="6"/>
      <c r="E12" s="4"/>
    </row>
    <row r="13" spans="1:5" x14ac:dyDescent="0.3">
      <c r="A13" s="2" t="s">
        <v>100</v>
      </c>
      <c r="C13" s="4"/>
      <c r="D13" s="6"/>
      <c r="E13" s="4"/>
    </row>
    <row r="14" spans="1:5" x14ac:dyDescent="0.3">
      <c r="A14" s="2" t="s">
        <v>101</v>
      </c>
      <c r="C14" s="4"/>
      <c r="D14" s="6"/>
      <c r="E14" s="4"/>
    </row>
    <row r="15" spans="1:5" x14ac:dyDescent="0.3">
      <c r="A15" s="2" t="s">
        <v>102</v>
      </c>
      <c r="C15" s="4"/>
      <c r="D15" s="6"/>
      <c r="E15" s="4"/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E15"/>
  <sheetViews>
    <sheetView zoomScale="145" zoomScaleNormal="145" workbookViewId="0"/>
  </sheetViews>
  <sheetFormatPr defaultRowHeight="14.4" x14ac:dyDescent="0.3"/>
  <cols>
    <col min="1" max="1" width="15.5546875" style="2" bestFit="1" customWidth="1"/>
    <col min="2" max="3" width="8.88671875" style="2"/>
    <col min="4" max="4" width="14" style="2" customWidth="1"/>
    <col min="5" max="16384" width="8.88671875" style="2"/>
  </cols>
  <sheetData>
    <row r="1" spans="1:5" x14ac:dyDescent="0.3">
      <c r="A1" s="1" t="s">
        <v>88</v>
      </c>
      <c r="C1" s="1" t="s">
        <v>16</v>
      </c>
      <c r="D1" s="1" t="s">
        <v>0</v>
      </c>
      <c r="E1" s="1" t="s">
        <v>103</v>
      </c>
    </row>
    <row r="2" spans="1:5" x14ac:dyDescent="0.3">
      <c r="A2" s="2" t="s">
        <v>89</v>
      </c>
      <c r="C2" s="4" t="str">
        <f>LEFT(A2,3)</f>
        <v>ŻUC</v>
      </c>
      <c r="D2" s="6">
        <f>DATE(MID(A2,4,4),MID(A2,8,2),MID(A2,10,2))</f>
        <v>37575</v>
      </c>
      <c r="E2" s="4">
        <f>RIGHT(A2)+0</f>
        <v>3</v>
      </c>
    </row>
    <row r="3" spans="1:5" x14ac:dyDescent="0.3">
      <c r="A3" s="2" t="s">
        <v>90</v>
      </c>
      <c r="C3" s="4" t="str">
        <f t="shared" ref="C3:C15" si="0">LEFT(A3,3)</f>
        <v>STO</v>
      </c>
      <c r="D3" s="6">
        <f t="shared" ref="D3:D15" si="1">DATE(MID(A3,4,4),MID(A3,8,2),MID(A3,10,2))</f>
        <v>41485</v>
      </c>
      <c r="E3" s="4">
        <f t="shared" ref="E3:E15" si="2">RIGHT(A3)+0</f>
        <v>2</v>
      </c>
    </row>
    <row r="4" spans="1:5" x14ac:dyDescent="0.3">
      <c r="A4" s="2" t="s">
        <v>91</v>
      </c>
      <c r="C4" s="4" t="str">
        <f t="shared" si="0"/>
        <v>PTA</v>
      </c>
      <c r="D4" s="6">
        <f t="shared" si="1"/>
        <v>39956</v>
      </c>
      <c r="E4" s="4">
        <f t="shared" si="2"/>
        <v>1</v>
      </c>
    </row>
    <row r="5" spans="1:5" x14ac:dyDescent="0.3">
      <c r="A5" s="2" t="s">
        <v>92</v>
      </c>
      <c r="C5" s="4" t="str">
        <f t="shared" si="0"/>
        <v>ŻUC</v>
      </c>
      <c r="D5" s="6">
        <f t="shared" si="1"/>
        <v>39433</v>
      </c>
      <c r="E5" s="4">
        <f t="shared" si="2"/>
        <v>3</v>
      </c>
    </row>
    <row r="6" spans="1:5" x14ac:dyDescent="0.3">
      <c r="A6" s="2" t="s">
        <v>93</v>
      </c>
      <c r="C6" s="4" t="str">
        <f t="shared" si="0"/>
        <v>PTA</v>
      </c>
      <c r="D6" s="6">
        <f t="shared" si="1"/>
        <v>43172</v>
      </c>
      <c r="E6" s="4">
        <f t="shared" si="2"/>
        <v>2</v>
      </c>
    </row>
    <row r="7" spans="1:5" x14ac:dyDescent="0.3">
      <c r="A7" s="2" t="s">
        <v>94</v>
      </c>
      <c r="C7" s="4" t="str">
        <f t="shared" si="0"/>
        <v>MOT</v>
      </c>
      <c r="D7" s="6">
        <f t="shared" si="1"/>
        <v>38932</v>
      </c>
      <c r="E7" s="4">
        <f t="shared" si="2"/>
        <v>1</v>
      </c>
    </row>
    <row r="8" spans="1:5" x14ac:dyDescent="0.3">
      <c r="A8" s="2" t="s">
        <v>95</v>
      </c>
      <c r="C8" s="4" t="str">
        <f t="shared" si="0"/>
        <v>MOT</v>
      </c>
      <c r="D8" s="6">
        <f t="shared" si="1"/>
        <v>42431</v>
      </c>
      <c r="E8" s="4">
        <f t="shared" si="2"/>
        <v>1</v>
      </c>
    </row>
    <row r="9" spans="1:5" x14ac:dyDescent="0.3">
      <c r="A9" s="2" t="s">
        <v>96</v>
      </c>
      <c r="C9" s="4" t="str">
        <f t="shared" si="0"/>
        <v>ŻUC</v>
      </c>
      <c r="D9" s="6">
        <f t="shared" si="1"/>
        <v>42844</v>
      </c>
      <c r="E9" s="4">
        <f t="shared" si="2"/>
        <v>1</v>
      </c>
    </row>
    <row r="10" spans="1:5" x14ac:dyDescent="0.3">
      <c r="A10" s="2" t="s">
        <v>97</v>
      </c>
      <c r="C10" s="4" t="str">
        <f t="shared" si="0"/>
        <v>ŻUC</v>
      </c>
      <c r="D10" s="6">
        <f t="shared" si="1"/>
        <v>38968</v>
      </c>
      <c r="E10" s="4">
        <f t="shared" si="2"/>
        <v>2</v>
      </c>
    </row>
    <row r="11" spans="1:5" x14ac:dyDescent="0.3">
      <c r="A11" s="2" t="s">
        <v>98</v>
      </c>
      <c r="C11" s="4" t="str">
        <f t="shared" si="0"/>
        <v>ŻUC</v>
      </c>
      <c r="D11" s="6">
        <f t="shared" si="1"/>
        <v>42766</v>
      </c>
      <c r="E11" s="4">
        <f t="shared" si="2"/>
        <v>1</v>
      </c>
    </row>
    <row r="12" spans="1:5" x14ac:dyDescent="0.3">
      <c r="A12" s="2" t="s">
        <v>99</v>
      </c>
      <c r="C12" s="4" t="str">
        <f t="shared" si="0"/>
        <v>PTA</v>
      </c>
      <c r="D12" s="6">
        <f t="shared" si="1"/>
        <v>38345</v>
      </c>
      <c r="E12" s="4">
        <f t="shared" si="2"/>
        <v>1</v>
      </c>
    </row>
    <row r="13" spans="1:5" x14ac:dyDescent="0.3">
      <c r="A13" s="2" t="s">
        <v>100</v>
      </c>
      <c r="C13" s="4" t="str">
        <f t="shared" si="0"/>
        <v>ŻUC</v>
      </c>
      <c r="D13" s="6">
        <f t="shared" si="1"/>
        <v>38622</v>
      </c>
      <c r="E13" s="4">
        <f t="shared" si="2"/>
        <v>3</v>
      </c>
    </row>
    <row r="14" spans="1:5" x14ac:dyDescent="0.3">
      <c r="A14" s="2" t="s">
        <v>101</v>
      </c>
      <c r="C14" s="4" t="str">
        <f t="shared" si="0"/>
        <v>STO</v>
      </c>
      <c r="D14" s="6">
        <f t="shared" si="1"/>
        <v>42253</v>
      </c>
      <c r="E14" s="4">
        <f t="shared" si="2"/>
        <v>3</v>
      </c>
    </row>
    <row r="15" spans="1:5" x14ac:dyDescent="0.3">
      <c r="A15" s="2" t="s">
        <v>102</v>
      </c>
      <c r="C15" s="4" t="str">
        <f t="shared" si="0"/>
        <v>ŻUC</v>
      </c>
      <c r="D15" s="6">
        <f t="shared" si="1"/>
        <v>42124</v>
      </c>
      <c r="E15" s="4">
        <f t="shared" si="2"/>
        <v>1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</sheetPr>
  <dimension ref="A1:C6"/>
  <sheetViews>
    <sheetView zoomScale="145" zoomScaleNormal="145" workbookViewId="0"/>
  </sheetViews>
  <sheetFormatPr defaultRowHeight="14.4" x14ac:dyDescent="0.3"/>
  <cols>
    <col min="1" max="1" width="15.5546875" style="2" bestFit="1" customWidth="1"/>
    <col min="2" max="16384" width="8.88671875" style="2"/>
  </cols>
  <sheetData>
    <row r="1" spans="1:3" x14ac:dyDescent="0.3">
      <c r="A1" s="1" t="s">
        <v>104</v>
      </c>
      <c r="C1" s="2" t="s">
        <v>107</v>
      </c>
    </row>
    <row r="2" spans="1:3" x14ac:dyDescent="0.3">
      <c r="A2" s="5">
        <v>1000</v>
      </c>
    </row>
    <row r="3" spans="1:3" x14ac:dyDescent="0.3">
      <c r="A3" s="1" t="s">
        <v>106</v>
      </c>
    </row>
    <row r="4" spans="1:3" x14ac:dyDescent="0.3">
      <c r="A4" s="2">
        <v>2</v>
      </c>
    </row>
    <row r="5" spans="1:3" x14ac:dyDescent="0.3">
      <c r="A5" s="1" t="s">
        <v>105</v>
      </c>
    </row>
    <row r="6" spans="1:3" x14ac:dyDescent="0.3">
      <c r="A6" s="5">
        <f>A2*A4</f>
        <v>2000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C6"/>
  <sheetViews>
    <sheetView zoomScale="145" zoomScaleNormal="145" workbookViewId="0"/>
  </sheetViews>
  <sheetFormatPr defaultRowHeight="14.4" x14ac:dyDescent="0.3"/>
  <cols>
    <col min="1" max="1" width="15.5546875" style="2" bestFit="1" customWidth="1"/>
    <col min="2" max="16384" width="8.88671875" style="2"/>
  </cols>
  <sheetData>
    <row r="1" spans="1:3" x14ac:dyDescent="0.3">
      <c r="A1" s="1" t="s">
        <v>104</v>
      </c>
      <c r="C1" s="2" t="s">
        <v>107</v>
      </c>
    </row>
    <row r="2" spans="1:3" x14ac:dyDescent="0.3">
      <c r="A2" s="5">
        <v>1500</v>
      </c>
      <c r="C2" s="2" t="str">
        <f>"Jeśli pożyczysz "&amp;TEXT(A2,"0 zł")&amp;", to będziesz musiał zwrócić "&amp;A6&amp;" zł, czyli "&amp;A4&amp;" razy więcej."</f>
        <v>Jeśli pożyczysz 1500 zł, to będziesz musiał zwrócić 3450 zł, czyli 2,3 razy więcej.</v>
      </c>
    </row>
    <row r="3" spans="1:3" x14ac:dyDescent="0.3">
      <c r="A3" s="1" t="s">
        <v>106</v>
      </c>
    </row>
    <row r="4" spans="1:3" x14ac:dyDescent="0.3">
      <c r="A4" s="2">
        <v>2.2999999999999998</v>
      </c>
    </row>
    <row r="5" spans="1:3" x14ac:dyDescent="0.3">
      <c r="A5" s="1" t="s">
        <v>105</v>
      </c>
    </row>
    <row r="6" spans="1:3" x14ac:dyDescent="0.3">
      <c r="A6" s="5">
        <f>A2*A4</f>
        <v>3449.9999999999995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00FF"/>
  </sheetPr>
  <dimension ref="A1:B15"/>
  <sheetViews>
    <sheetView zoomScale="145" zoomScaleNormal="145" workbookViewId="0"/>
  </sheetViews>
  <sheetFormatPr defaultRowHeight="14.4" x14ac:dyDescent="0.3"/>
  <cols>
    <col min="1" max="1" width="15.5546875" style="2" bestFit="1" customWidth="1"/>
    <col min="2" max="2" width="14.6640625" style="2" bestFit="1" customWidth="1"/>
    <col min="3" max="16384" width="8.88671875" style="2"/>
  </cols>
  <sheetData>
    <row r="1" spans="1:2" x14ac:dyDescent="0.3">
      <c r="A1" s="1" t="s">
        <v>88</v>
      </c>
      <c r="B1" s="1" t="s">
        <v>103</v>
      </c>
    </row>
    <row r="2" spans="1:2" x14ac:dyDescent="0.3">
      <c r="A2" s="3" t="s">
        <v>89</v>
      </c>
      <c r="B2" s="4"/>
    </row>
    <row r="3" spans="1:2" x14ac:dyDescent="0.3">
      <c r="A3" s="3" t="s">
        <v>90</v>
      </c>
      <c r="B3" s="4"/>
    </row>
    <row r="4" spans="1:2" x14ac:dyDescent="0.3">
      <c r="A4" s="3" t="s">
        <v>91</v>
      </c>
      <c r="B4" s="4"/>
    </row>
    <row r="5" spans="1:2" x14ac:dyDescent="0.3">
      <c r="A5" s="3" t="s">
        <v>92</v>
      </c>
      <c r="B5" s="4"/>
    </row>
    <row r="6" spans="1:2" x14ac:dyDescent="0.3">
      <c r="A6" s="3" t="s">
        <v>93</v>
      </c>
      <c r="B6" s="4"/>
    </row>
    <row r="7" spans="1:2" x14ac:dyDescent="0.3">
      <c r="A7" s="3" t="s">
        <v>94</v>
      </c>
      <c r="B7" s="4"/>
    </row>
    <row r="8" spans="1:2" x14ac:dyDescent="0.3">
      <c r="A8" s="3" t="s">
        <v>95</v>
      </c>
      <c r="B8" s="4"/>
    </row>
    <row r="9" spans="1:2" x14ac:dyDescent="0.3">
      <c r="A9" s="3" t="s">
        <v>96</v>
      </c>
      <c r="B9" s="4"/>
    </row>
    <row r="10" spans="1:2" x14ac:dyDescent="0.3">
      <c r="A10" s="3" t="s">
        <v>97</v>
      </c>
      <c r="B10" s="4"/>
    </row>
    <row r="11" spans="1:2" x14ac:dyDescent="0.3">
      <c r="A11" s="3" t="s">
        <v>98</v>
      </c>
      <c r="B11" s="4"/>
    </row>
    <row r="12" spans="1:2" x14ac:dyDescent="0.3">
      <c r="A12" s="3" t="s">
        <v>99</v>
      </c>
      <c r="B12" s="4"/>
    </row>
    <row r="13" spans="1:2" x14ac:dyDescent="0.3">
      <c r="A13" s="3" t="s">
        <v>100</v>
      </c>
      <c r="B13" s="4"/>
    </row>
    <row r="14" spans="1:2" x14ac:dyDescent="0.3">
      <c r="A14" s="3" t="s">
        <v>101</v>
      </c>
      <c r="B14" s="4"/>
    </row>
    <row r="15" spans="1:2" x14ac:dyDescent="0.3">
      <c r="A15" s="3" t="s">
        <v>102</v>
      </c>
      <c r="B15" s="4"/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B15"/>
  <sheetViews>
    <sheetView zoomScale="145" zoomScaleNormal="145" workbookViewId="0"/>
  </sheetViews>
  <sheetFormatPr defaultRowHeight="14.4" x14ac:dyDescent="0.3"/>
  <cols>
    <col min="1" max="2" width="15.5546875" style="2" bestFit="1" customWidth="1"/>
    <col min="3" max="16384" width="8.88671875" style="2"/>
  </cols>
  <sheetData>
    <row r="1" spans="1:2" x14ac:dyDescent="0.3">
      <c r="A1" s="1" t="s">
        <v>88</v>
      </c>
      <c r="B1" s="1" t="s">
        <v>103</v>
      </c>
    </row>
    <row r="2" spans="1:2" x14ac:dyDescent="0.3">
      <c r="A2" s="3" t="s">
        <v>89</v>
      </c>
      <c r="B2" s="4" t="str">
        <f>SUBSTITUTE(A2,"ŻUC","ŻUK")</f>
        <v>ŻUK20021115-3</v>
      </c>
    </row>
    <row r="3" spans="1:2" x14ac:dyDescent="0.3">
      <c r="A3" s="3" t="s">
        <v>90</v>
      </c>
      <c r="B3" s="4" t="str">
        <f t="shared" ref="B3:B15" si="0">SUBSTITUTE(A3,"ŻUC","ŻUK")</f>
        <v>STO20130730-2</v>
      </c>
    </row>
    <row r="4" spans="1:2" x14ac:dyDescent="0.3">
      <c r="A4" s="3" t="s">
        <v>91</v>
      </c>
      <c r="B4" s="4" t="str">
        <f t="shared" si="0"/>
        <v>PTA20090523-1</v>
      </c>
    </row>
    <row r="5" spans="1:2" x14ac:dyDescent="0.3">
      <c r="A5" s="3" t="s">
        <v>92</v>
      </c>
      <c r="B5" s="4" t="str">
        <f t="shared" si="0"/>
        <v>ŻUK20071217-3</v>
      </c>
    </row>
    <row r="6" spans="1:2" x14ac:dyDescent="0.3">
      <c r="A6" s="3" t="s">
        <v>93</v>
      </c>
      <c r="B6" s="4" t="str">
        <f t="shared" si="0"/>
        <v>PTA20180313-2</v>
      </c>
    </row>
    <row r="7" spans="1:2" x14ac:dyDescent="0.3">
      <c r="A7" s="3" t="s">
        <v>94</v>
      </c>
      <c r="B7" s="4" t="str">
        <f t="shared" si="0"/>
        <v>MOT20060803-1</v>
      </c>
    </row>
    <row r="8" spans="1:2" x14ac:dyDescent="0.3">
      <c r="A8" s="3" t="s">
        <v>95</v>
      </c>
      <c r="B8" s="4" t="str">
        <f t="shared" si="0"/>
        <v>MOT20160302-1</v>
      </c>
    </row>
    <row r="9" spans="1:2" x14ac:dyDescent="0.3">
      <c r="A9" s="3" t="s">
        <v>96</v>
      </c>
      <c r="B9" s="4" t="str">
        <f t="shared" si="0"/>
        <v>ŻUK20170419-1</v>
      </c>
    </row>
    <row r="10" spans="1:2" x14ac:dyDescent="0.3">
      <c r="A10" s="3" t="s">
        <v>97</v>
      </c>
      <c r="B10" s="4" t="str">
        <f t="shared" si="0"/>
        <v>ŻUK20060908-2</v>
      </c>
    </row>
    <row r="11" spans="1:2" x14ac:dyDescent="0.3">
      <c r="A11" s="3" t="s">
        <v>98</v>
      </c>
      <c r="B11" s="4" t="str">
        <f t="shared" si="0"/>
        <v>ŻUK20170131-1</v>
      </c>
    </row>
    <row r="12" spans="1:2" x14ac:dyDescent="0.3">
      <c r="A12" s="3" t="s">
        <v>99</v>
      </c>
      <c r="B12" s="4" t="str">
        <f t="shared" si="0"/>
        <v>PTA20041224-1</v>
      </c>
    </row>
    <row r="13" spans="1:2" x14ac:dyDescent="0.3">
      <c r="A13" s="3" t="s">
        <v>100</v>
      </c>
      <c r="B13" s="4" t="str">
        <f t="shared" si="0"/>
        <v>ŻUK20050927-3</v>
      </c>
    </row>
    <row r="14" spans="1:2" x14ac:dyDescent="0.3">
      <c r="A14" s="3" t="s">
        <v>101</v>
      </c>
      <c r="B14" s="4" t="str">
        <f t="shared" si="0"/>
        <v>STO20150906-3</v>
      </c>
    </row>
    <row r="15" spans="1:2" x14ac:dyDescent="0.3">
      <c r="A15" s="3" t="s">
        <v>102</v>
      </c>
      <c r="B15" s="4" t="str">
        <f t="shared" si="0"/>
        <v>ŻUK20150430-1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20</vt:i4>
      </vt:variant>
    </vt:vector>
  </HeadingPairs>
  <TitlesOfParts>
    <vt:vector size="20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Ćw6</vt:lpstr>
      <vt:lpstr>Ćw6(Odp)</vt:lpstr>
      <vt:lpstr>Ćw7</vt:lpstr>
      <vt:lpstr>Ćw7(Odp)</vt:lpstr>
      <vt:lpstr>Ćw8</vt:lpstr>
      <vt:lpstr>Ćw8(Odp)</vt:lpstr>
      <vt:lpstr>Ćw9</vt:lpstr>
      <vt:lpstr>Ćw9(Odp)</vt:lpstr>
      <vt:lpstr>Ćw10</vt:lpstr>
      <vt:lpstr>Ćw10(Odp)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2013-08-28T23:00:25Z</cp:lastPrinted>
  <dcterms:created xsi:type="dcterms:W3CDTF">2013-08-21T20:08:04Z</dcterms:created>
  <dcterms:modified xsi:type="dcterms:W3CDTF">2019-08-19T19:59:39Z</dcterms:modified>
</cp:coreProperties>
</file>