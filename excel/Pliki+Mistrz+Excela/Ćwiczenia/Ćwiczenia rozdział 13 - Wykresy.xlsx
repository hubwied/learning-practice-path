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5641A9BE-01C5-437C-BC73-8EE46CD68E6A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342" r:id="rId3"/>
    <sheet name="Ćw2(Odp)" sheetId="343" r:id="rId4"/>
    <sheet name="Ćw3" sheetId="344" r:id="rId5"/>
    <sheet name="Ćw3(Odp)" sheetId="345" r:id="rId6"/>
    <sheet name="Ćw4" sheetId="340" r:id="rId7"/>
    <sheet name="Ćw4(Odp)" sheetId="341" r:id="rId8"/>
    <sheet name="Ćw5" sheetId="327" r:id="rId9"/>
    <sheet name="Ćw5(Odp)" sheetId="328" r:id="rId10"/>
    <sheet name="Ćw6" sheetId="355" r:id="rId11"/>
    <sheet name="Ćw6(Odp)" sheetId="356" r:id="rId12"/>
    <sheet name="Ćw7" sheetId="348" r:id="rId13"/>
    <sheet name="Ćw7(Odp)" sheetId="349" r:id="rId14"/>
    <sheet name="Ćw8" sheetId="353" r:id="rId15"/>
    <sheet name="Ćw8 (2)" sheetId="354" r:id="rId16"/>
    <sheet name="Ćw9" sheetId="357" r:id="rId17"/>
    <sheet name="Ćw9(Odp)" sheetId="358" r:id="rId18"/>
    <sheet name="Ćw10" sheetId="359" r:id="rId19"/>
    <sheet name="Ćw10(Odp)" sheetId="360" r:id="rId20"/>
    <sheet name="Ćw11" sheetId="361" r:id="rId21"/>
    <sheet name="Ćw11(Odp)" sheetId="363" r:id="rId22"/>
  </sheets>
  <definedNames>
    <definedName name="_xlnm._FilterDatabase" localSheetId="10" hidden="1">Ćw6!$A$2:$A$49</definedName>
    <definedName name="_xlnm._FilterDatabase" localSheetId="11" hidden="1">'Ćw6(Odp)'!$A$2:$A$49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2" i="361" l="1"/>
  <c r="B101" i="361"/>
  <c r="B100" i="361"/>
  <c r="B99" i="361"/>
  <c r="B98" i="361"/>
  <c r="B97" i="361"/>
  <c r="B96" i="361"/>
  <c r="B95" i="361"/>
  <c r="B94" i="361"/>
  <c r="B93" i="361"/>
  <c r="B92" i="361"/>
  <c r="B91" i="361"/>
  <c r="B90" i="361"/>
  <c r="B89" i="361"/>
  <c r="B88" i="361"/>
  <c r="B87" i="361"/>
  <c r="B86" i="361"/>
  <c r="B85" i="361"/>
  <c r="B84" i="361"/>
  <c r="B83" i="361"/>
  <c r="B82" i="361"/>
  <c r="B81" i="361"/>
  <c r="B80" i="361"/>
  <c r="B79" i="361"/>
  <c r="B78" i="361"/>
  <c r="B77" i="361"/>
  <c r="B76" i="361"/>
  <c r="B75" i="361"/>
  <c r="B74" i="361"/>
  <c r="B73" i="361"/>
  <c r="B72" i="361"/>
  <c r="B71" i="361"/>
  <c r="B70" i="361"/>
  <c r="B69" i="361"/>
  <c r="B68" i="361"/>
  <c r="B67" i="361"/>
  <c r="B66" i="361"/>
  <c r="B65" i="361"/>
  <c r="B64" i="361"/>
  <c r="B63" i="361"/>
  <c r="B62" i="361"/>
  <c r="B61" i="361"/>
  <c r="B60" i="361"/>
  <c r="B59" i="361"/>
  <c r="B58" i="361"/>
  <c r="B57" i="361"/>
  <c r="B56" i="361"/>
  <c r="B55" i="361"/>
  <c r="B54" i="361"/>
  <c r="B53" i="361"/>
  <c r="B52" i="361"/>
  <c r="B51" i="361"/>
  <c r="B50" i="361"/>
  <c r="B49" i="361"/>
  <c r="B48" i="361"/>
  <c r="B47" i="361"/>
  <c r="B46" i="361"/>
  <c r="B45" i="361"/>
  <c r="B44" i="361"/>
  <c r="B43" i="361"/>
  <c r="B42" i="361"/>
  <c r="B41" i="361"/>
  <c r="B40" i="361"/>
  <c r="B39" i="361"/>
  <c r="B38" i="361"/>
  <c r="B37" i="361"/>
  <c r="B36" i="361"/>
  <c r="B35" i="361"/>
  <c r="B34" i="361"/>
  <c r="B33" i="361"/>
  <c r="B32" i="361"/>
  <c r="B31" i="361"/>
  <c r="B30" i="361"/>
  <c r="B29" i="361"/>
  <c r="B28" i="361"/>
  <c r="B27" i="361"/>
  <c r="B26" i="361"/>
  <c r="B25" i="361"/>
  <c r="B24" i="361"/>
  <c r="B23" i="361"/>
  <c r="B22" i="361"/>
  <c r="B21" i="361"/>
  <c r="B20" i="361"/>
  <c r="B19" i="361"/>
  <c r="B18" i="361"/>
  <c r="B17" i="361"/>
  <c r="B16" i="361"/>
  <c r="B15" i="361"/>
  <c r="B14" i="361"/>
  <c r="B13" i="361"/>
  <c r="B12" i="361"/>
  <c r="B11" i="361"/>
  <c r="B10" i="361"/>
  <c r="B9" i="361"/>
  <c r="B8" i="361"/>
  <c r="B7" i="361"/>
  <c r="B6" i="361"/>
  <c r="B5" i="361"/>
  <c r="B4" i="361"/>
  <c r="B3" i="361"/>
  <c r="B2" i="361"/>
  <c r="C3" i="356"/>
  <c r="D3" i="356" s="1"/>
  <c r="E3" i="356" s="1"/>
  <c r="C3" i="355"/>
  <c r="F3" i="356" l="1"/>
  <c r="C4" i="356"/>
  <c r="D3" i="355"/>
  <c r="D4" i="356" l="1"/>
  <c r="F4" i="356" s="1"/>
  <c r="E3" i="355"/>
  <c r="C4" i="355"/>
  <c r="F3" i="355"/>
  <c r="E4" i="356" l="1"/>
  <c r="C5" i="356"/>
  <c r="D4" i="355"/>
  <c r="D5" i="356" l="1"/>
  <c r="F5" i="356" s="1"/>
  <c r="C5" i="355"/>
  <c r="E4" i="355"/>
  <c r="F4" i="355"/>
  <c r="E5" i="356" l="1"/>
  <c r="C6" i="356"/>
  <c r="D5" i="355"/>
  <c r="D6" i="356" l="1"/>
  <c r="E6" i="356" s="1"/>
  <c r="C6" i="355"/>
  <c r="F5" i="355"/>
  <c r="E5" i="355"/>
  <c r="F6" i="356" l="1"/>
  <c r="C7" i="356"/>
  <c r="D6" i="355"/>
  <c r="F6" i="355" s="1"/>
  <c r="D7" i="356" l="1"/>
  <c r="F7" i="356" s="1"/>
  <c r="C7" i="355"/>
  <c r="E6" i="355"/>
  <c r="E7" i="356" l="1"/>
  <c r="C8" i="356"/>
  <c r="D7" i="355"/>
  <c r="E7" i="355" s="1"/>
  <c r="D8" i="356" l="1"/>
  <c r="C9" i="356" s="1"/>
  <c r="C8" i="355"/>
  <c r="F7" i="355"/>
  <c r="E8" i="356" l="1"/>
  <c r="F8" i="356"/>
  <c r="D9" i="356"/>
  <c r="C10" i="356" s="1"/>
  <c r="D8" i="355"/>
  <c r="C9" i="355" s="1"/>
  <c r="E9" i="356" l="1"/>
  <c r="F9" i="356"/>
  <c r="D10" i="356"/>
  <c r="C11" i="356" s="1"/>
  <c r="E8" i="355"/>
  <c r="D9" i="355"/>
  <c r="C10" i="355" s="1"/>
  <c r="F8" i="355"/>
  <c r="F9" i="355" l="1"/>
  <c r="E10" i="356"/>
  <c r="F10" i="356"/>
  <c r="D11" i="356"/>
  <c r="C12" i="356" s="1"/>
  <c r="D10" i="355"/>
  <c r="C11" i="355" s="1"/>
  <c r="E9" i="355"/>
  <c r="E11" i="356" l="1"/>
  <c r="F11" i="356"/>
  <c r="D12" i="356"/>
  <c r="F12" i="356" s="1"/>
  <c r="F10" i="355"/>
  <c r="D11" i="355"/>
  <c r="C12" i="355" s="1"/>
  <c r="E10" i="355"/>
  <c r="E12" i="356" l="1"/>
  <c r="C13" i="356"/>
  <c r="G3" i="356" a="1"/>
  <c r="F11" i="355"/>
  <c r="D12" i="355"/>
  <c r="F12" i="355" s="1"/>
  <c r="E11" i="355"/>
  <c r="E13" i="356" l="1"/>
  <c r="D13" i="356"/>
  <c r="F13" i="356" s="1"/>
  <c r="G13" i="356"/>
  <c r="G9" i="356"/>
  <c r="G5" i="356"/>
  <c r="G12" i="356"/>
  <c r="G8" i="356"/>
  <c r="G4" i="356"/>
  <c r="G11" i="356"/>
  <c r="G7" i="356"/>
  <c r="G10" i="356"/>
  <c r="G6" i="356"/>
  <c r="G3" i="356"/>
  <c r="C13" i="355"/>
  <c r="G3" i="355" a="1"/>
  <c r="E12" i="355"/>
  <c r="E13" i="355" l="1"/>
  <c r="D13" i="355"/>
  <c r="F13" i="355" s="1"/>
  <c r="G13" i="355"/>
  <c r="G9" i="355"/>
  <c r="G5" i="355"/>
  <c r="G11" i="355"/>
  <c r="G3" i="355"/>
  <c r="G12" i="355"/>
  <c r="G8" i="355"/>
  <c r="G4" i="355"/>
  <c r="G7" i="355"/>
  <c r="G10" i="355"/>
  <c r="G6" i="355"/>
  <c r="B102" i="341" l="1"/>
  <c r="B101" i="341"/>
  <c r="B100" i="341"/>
  <c r="B99" i="341"/>
  <c r="B98" i="341"/>
  <c r="B97" i="341"/>
  <c r="B96" i="341"/>
  <c r="B95" i="341"/>
  <c r="B94" i="341"/>
  <c r="B93" i="341"/>
  <c r="B92" i="341"/>
  <c r="B91" i="341"/>
  <c r="B90" i="341"/>
  <c r="B89" i="341"/>
  <c r="B88" i="341"/>
  <c r="B87" i="341"/>
  <c r="B86" i="341"/>
  <c r="B85" i="341"/>
  <c r="B84" i="341"/>
  <c r="B83" i="341"/>
  <c r="B82" i="341"/>
  <c r="B81" i="341"/>
  <c r="B80" i="341"/>
  <c r="B79" i="341"/>
  <c r="B78" i="341"/>
  <c r="B77" i="341"/>
  <c r="B76" i="341"/>
  <c r="B75" i="341"/>
  <c r="B74" i="341"/>
  <c r="B73" i="341"/>
  <c r="B72" i="341"/>
  <c r="B71" i="341"/>
  <c r="B70" i="341"/>
  <c r="B69" i="341"/>
  <c r="B68" i="341"/>
  <c r="B67" i="341"/>
  <c r="B66" i="341"/>
  <c r="B65" i="341"/>
  <c r="B64" i="341"/>
  <c r="B63" i="341"/>
  <c r="B62" i="341"/>
  <c r="B61" i="341"/>
  <c r="B60" i="341"/>
  <c r="B59" i="341"/>
  <c r="B58" i="341"/>
  <c r="B57" i="341"/>
  <c r="B56" i="341"/>
  <c r="B55" i="341"/>
  <c r="B54" i="341"/>
  <c r="B53" i="341"/>
  <c r="B52" i="341"/>
  <c r="B51" i="341"/>
  <c r="B50" i="341"/>
  <c r="B49" i="341"/>
  <c r="B48" i="341"/>
  <c r="B47" i="341"/>
  <c r="B46" i="341"/>
  <c r="B45" i="341"/>
  <c r="B44" i="341"/>
  <c r="B43" i="341"/>
  <c r="B42" i="341"/>
  <c r="B41" i="341"/>
  <c r="B40" i="341"/>
  <c r="B39" i="341"/>
  <c r="B38" i="341"/>
  <c r="B37" i="341"/>
  <c r="B36" i="341"/>
  <c r="B35" i="341"/>
  <c r="B34" i="341"/>
  <c r="B33" i="341"/>
  <c r="B32" i="341"/>
  <c r="B31" i="341"/>
  <c r="B30" i="341"/>
  <c r="B29" i="341"/>
  <c r="B28" i="341"/>
  <c r="B27" i="341"/>
  <c r="B26" i="341"/>
  <c r="B25" i="341"/>
  <c r="B24" i="341"/>
  <c r="B23" i="341"/>
  <c r="B22" i="341"/>
  <c r="B21" i="341"/>
  <c r="B20" i="341"/>
  <c r="B19" i="341"/>
  <c r="B18" i="341"/>
  <c r="B17" i="341"/>
  <c r="B16" i="341"/>
  <c r="B15" i="341"/>
  <c r="B14" i="341"/>
  <c r="B13" i="341"/>
  <c r="B12" i="341"/>
  <c r="B11" i="341"/>
  <c r="B10" i="341"/>
  <c r="B9" i="341"/>
  <c r="B8" i="341"/>
  <c r="B7" i="341"/>
  <c r="B6" i="341"/>
  <c r="B5" i="341"/>
  <c r="B4" i="341"/>
  <c r="B3" i="341"/>
  <c r="B2" i="341"/>
  <c r="B3" i="340"/>
  <c r="B4" i="340"/>
  <c r="B5" i="340"/>
  <c r="B6" i="340"/>
  <c r="B7" i="340"/>
  <c r="B8" i="340"/>
  <c r="B9" i="340"/>
  <c r="B10" i="340"/>
  <c r="B11" i="340"/>
  <c r="B12" i="340"/>
  <c r="B13" i="340"/>
  <c r="B14" i="340"/>
  <c r="B15" i="340"/>
  <c r="B16" i="340"/>
  <c r="B17" i="340"/>
  <c r="B18" i="340"/>
  <c r="B19" i="340"/>
  <c r="B20" i="340"/>
  <c r="B21" i="340"/>
  <c r="B22" i="340"/>
  <c r="B23" i="340"/>
  <c r="B24" i="340"/>
  <c r="B25" i="340"/>
  <c r="B26" i="340"/>
  <c r="B27" i="340"/>
  <c r="B28" i="340"/>
  <c r="B29" i="340"/>
  <c r="B30" i="340"/>
  <c r="B31" i="340"/>
  <c r="B32" i="340"/>
  <c r="B33" i="340"/>
  <c r="B34" i="340"/>
  <c r="B35" i="340"/>
  <c r="B36" i="340"/>
  <c r="B37" i="340"/>
  <c r="B38" i="340"/>
  <c r="B39" i="340"/>
  <c r="B40" i="340"/>
  <c r="B41" i="340"/>
  <c r="B42" i="340"/>
  <c r="B43" i="340"/>
  <c r="B44" i="340"/>
  <c r="B45" i="340"/>
  <c r="B46" i="340"/>
  <c r="B47" i="340"/>
  <c r="B48" i="340"/>
  <c r="B49" i="340"/>
  <c r="B50" i="340"/>
  <c r="B51" i="340"/>
  <c r="B52" i="340"/>
  <c r="B53" i="340"/>
  <c r="B54" i="340"/>
  <c r="B55" i="340"/>
  <c r="B56" i="340"/>
  <c r="B57" i="340"/>
  <c r="B58" i="340"/>
  <c r="B59" i="340"/>
  <c r="B60" i="340"/>
  <c r="B61" i="340"/>
  <c r="B62" i="340"/>
  <c r="B63" i="340"/>
  <c r="B64" i="340"/>
  <c r="B65" i="340"/>
  <c r="B66" i="340"/>
  <c r="B67" i="340"/>
  <c r="B68" i="340"/>
  <c r="B69" i="340"/>
  <c r="B70" i="340"/>
  <c r="B71" i="340"/>
  <c r="B72" i="340"/>
  <c r="B73" i="340"/>
  <c r="B74" i="340"/>
  <c r="B75" i="340"/>
  <c r="B76" i="340"/>
  <c r="B77" i="340"/>
  <c r="B78" i="340"/>
  <c r="B79" i="340"/>
  <c r="B80" i="340"/>
  <c r="B81" i="340"/>
  <c r="B82" i="340"/>
  <c r="B83" i="340"/>
  <c r="B84" i="340"/>
  <c r="B85" i="340"/>
  <c r="B86" i="340"/>
  <c r="B87" i="340"/>
  <c r="B88" i="340"/>
  <c r="B89" i="340"/>
  <c r="B90" i="340"/>
  <c r="B91" i="340"/>
  <c r="B92" i="340"/>
  <c r="B93" i="340"/>
  <c r="B94" i="340"/>
  <c r="B95" i="340"/>
  <c r="B96" i="340"/>
  <c r="B97" i="340"/>
  <c r="B98" i="340"/>
  <c r="B99" i="340"/>
  <c r="B100" i="340"/>
  <c r="B101" i="340"/>
  <c r="B102" i="340"/>
  <c r="B2" i="340"/>
</calcChain>
</file>

<file path=xl/sharedStrings.xml><?xml version="1.0" encoding="utf-8"?>
<sst xmlns="http://schemas.openxmlformats.org/spreadsheetml/2006/main" count="140" uniqueCount="51">
  <si>
    <t>Polski</t>
  </si>
  <si>
    <t>Fizyka</t>
  </si>
  <si>
    <t>Biologia</t>
  </si>
  <si>
    <t>Chemia</t>
  </si>
  <si>
    <t>Historia</t>
  </si>
  <si>
    <t>Data</t>
  </si>
  <si>
    <t>Ilość godzin</t>
  </si>
  <si>
    <t>Nazwa</t>
  </si>
  <si>
    <t>Sprzedaż</t>
  </si>
  <si>
    <t>Pies</t>
  </si>
  <si>
    <t>Kot</t>
  </si>
  <si>
    <t>Mrówka</t>
  </si>
  <si>
    <t>Chomik</t>
  </si>
  <si>
    <t>Świnka morska</t>
  </si>
  <si>
    <t>Miś</t>
  </si>
  <si>
    <t>Sarna</t>
  </si>
  <si>
    <t>Jeleń</t>
  </si>
  <si>
    <t>Łoś</t>
  </si>
  <si>
    <t>Matematyk</t>
  </si>
  <si>
    <t>Angielski</t>
  </si>
  <si>
    <t>W-f</t>
  </si>
  <si>
    <t>Uczeń A</t>
  </si>
  <si>
    <t>Uczeń B</t>
  </si>
  <si>
    <t>Uczeń C</t>
  </si>
  <si>
    <t>"Populacja"</t>
  </si>
  <si>
    <t>x</t>
  </si>
  <si>
    <t>F(x)</t>
  </si>
  <si>
    <t>Założenia</t>
  </si>
  <si>
    <t>Wynik egzaminu</t>
  </si>
  <si>
    <t>Dół</t>
  </si>
  <si>
    <t>Góra</t>
  </si>
  <si>
    <t>Zakresy punktowe</t>
  </si>
  <si>
    <t>Ile uczniów osiągnęło wynik z podanym zakresie</t>
  </si>
  <si>
    <t>CZĘSTOŚĆ</t>
  </si>
  <si>
    <t>Start</t>
  </si>
  <si>
    <t>Wielkość grupy</t>
  </si>
  <si>
    <t>Zawodnik nr</t>
  </si>
  <si>
    <t>Czas</t>
  </si>
  <si>
    <t>Czas1</t>
  </si>
  <si>
    <t>Czas2</t>
  </si>
  <si>
    <t>Czas3</t>
  </si>
  <si>
    <t>Czas4</t>
  </si>
  <si>
    <t>Czas5</t>
  </si>
  <si>
    <t>Czas6</t>
  </si>
  <si>
    <t>Czas7</t>
  </si>
  <si>
    <t>Czas8</t>
  </si>
  <si>
    <t>Czas9</t>
  </si>
  <si>
    <t>Czas10</t>
  </si>
  <si>
    <t>Pracownik nr</t>
  </si>
  <si>
    <t>Ilość sztuk</t>
  </si>
  <si>
    <t>Ilość wyprodukowanych sztuk w czasie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</si>
</sst>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#,##0\ &quot;zł&quot;;[Red]\-#,##0\ &quot;zł&quot;"/>
    <numFmt numFmtId="8" formatCode="#,##0.00\ &quot;zł&quot;;[Red]\-#,##0.00\ &quot;zł&quot;"/>
    <numFmt numFmtId="164" formatCode="&quot;$&quot;#,##0,"/>
    <numFmt numFmtId="165" formatCode="d\-mmm\-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sz val="10.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EA3F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5" fillId="0" borderId="0"/>
    <xf numFmtId="165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0" fontId="9" fillId="5" borderId="0" applyNumberFormat="0" applyBorder="0" applyAlignment="0" applyProtection="0"/>
    <xf numFmtId="8" fontId="10" fillId="3" borderId="1"/>
    <xf numFmtId="0" fontId="10" fillId="2" borderId="2" applyBorder="0"/>
    <xf numFmtId="0" fontId="8" fillId="5" borderId="1"/>
    <xf numFmtId="0" fontId="8" fillId="4" borderId="0"/>
    <xf numFmtId="0" fontId="10" fillId="2" borderId="2"/>
    <xf numFmtId="0" fontId="4" fillId="0" borderId="0"/>
    <xf numFmtId="0" fontId="3" fillId="0" borderId="0"/>
    <xf numFmtId="0" fontId="11" fillId="0" borderId="0"/>
    <xf numFmtId="0" fontId="2" fillId="0" borderId="0"/>
    <xf numFmtId="8" fontId="10" fillId="3" borderId="1" applyNumberFormat="0" applyAlignment="0"/>
    <xf numFmtId="0" fontId="1" fillId="0" borderId="0"/>
    <xf numFmtId="0" fontId="1" fillId="0" borderId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11"/>
    <xf numFmtId="0" fontId="12" fillId="6" borderId="1" xfId="5" applyFont="1" applyFill="1" applyBorder="1" applyAlignment="1">
      <alignment horizontal="center" vertical="center"/>
    </xf>
    <xf numFmtId="0" fontId="13" fillId="0" borderId="0" xfId="11" applyFont="1"/>
    <xf numFmtId="0" fontId="13" fillId="0" borderId="1" xfId="11" applyNumberFormat="1" applyFont="1" applyBorder="1"/>
    <xf numFmtId="0" fontId="14" fillId="6" borderId="1" xfId="5" applyFont="1" applyFill="1" applyBorder="1" applyAlignment="1">
      <alignment horizontal="center" vertical="center"/>
    </xf>
    <xf numFmtId="0" fontId="15" fillId="0" borderId="0" xfId="0" applyFont="1"/>
    <xf numFmtId="0" fontId="15" fillId="0" borderId="1" xfId="11" applyFont="1" applyBorder="1"/>
    <xf numFmtId="0" fontId="15" fillId="0" borderId="1" xfId="0" applyFont="1" applyBorder="1"/>
    <xf numFmtId="0" fontId="15" fillId="0" borderId="0" xfId="11" applyFont="1"/>
    <xf numFmtId="0" fontId="14" fillId="5" borderId="1" xfId="5" applyFont="1" applyBorder="1" applyAlignment="1">
      <alignment horizontal="center"/>
    </xf>
    <xf numFmtId="14" fontId="13" fillId="0" borderId="1" xfId="11" applyNumberFormat="1" applyFont="1" applyBorder="1"/>
    <xf numFmtId="6" fontId="13" fillId="0" borderId="1" xfId="11" applyNumberFormat="1" applyFont="1" applyBorder="1"/>
    <xf numFmtId="0" fontId="15" fillId="0" borderId="0" xfId="13" applyFont="1"/>
    <xf numFmtId="0" fontId="14" fillId="8" borderId="2" xfId="13" applyFont="1" applyFill="1" applyBorder="1" applyAlignment="1">
      <alignment horizontal="centerContinuous"/>
    </xf>
    <xf numFmtId="0" fontId="14" fillId="8" borderId="3" xfId="13" applyFont="1" applyFill="1" applyBorder="1" applyAlignment="1">
      <alignment horizontal="centerContinuous"/>
    </xf>
    <xf numFmtId="0" fontId="16" fillId="9" borderId="1" xfId="14" applyFont="1" applyFill="1" applyBorder="1" applyAlignment="1">
      <alignment horizontal="center" vertical="center" wrapText="1"/>
    </xf>
    <xf numFmtId="0" fontId="14" fillId="6" borderId="1" xfId="5" applyFont="1" applyFill="1" applyBorder="1" applyAlignment="1">
      <alignment horizontal="center" vertical="center" wrapText="1"/>
    </xf>
    <xf numFmtId="0" fontId="15" fillId="0" borderId="1" xfId="13" applyFont="1" applyBorder="1"/>
    <xf numFmtId="0" fontId="17" fillId="7" borderId="1" xfId="15" applyNumberFormat="1" applyFont="1" applyFill="1"/>
    <xf numFmtId="0" fontId="15" fillId="0" borderId="0" xfId="13" applyFont="1" applyBorder="1"/>
    <xf numFmtId="45" fontId="13" fillId="0" borderId="1" xfId="11" applyNumberFormat="1" applyFont="1" applyBorder="1"/>
    <xf numFmtId="20" fontId="13" fillId="0" borderId="0" xfId="11" applyNumberFormat="1" applyFont="1"/>
    <xf numFmtId="0" fontId="12" fillId="4" borderId="0" xfId="11" applyFont="1" applyFill="1" applyAlignment="1">
      <alignment horizontal="centerContinuous"/>
    </xf>
    <xf numFmtId="0" fontId="13" fillId="0" borderId="1" xfId="11" applyFont="1" applyBorder="1"/>
  </cellXfs>
  <cellStyles count="20">
    <cellStyle name="Akcent 1" xfId="5" builtinId="29"/>
    <cellStyle name="Currency Round to thousands" xfId="1" xr:uid="{00000000-0005-0000-0000-000001000000}"/>
    <cellStyle name="Czarny" xfId="9" xr:uid="{00000000-0005-0000-0000-000002000000}"/>
    <cellStyle name="Formuła" xfId="6" xr:uid="{00000000-0005-0000-0000-000003000000}"/>
    <cellStyle name="Formuła 3" xfId="15" xr:uid="{00000000-0005-0000-0000-000004000000}"/>
    <cellStyle name="Four-Digit Year" xfId="2" xr:uid="{00000000-0005-0000-0000-000005000000}"/>
    <cellStyle name="Hiperłącze 2" xfId="18" xr:uid="{6BFEB4DF-2384-4B65-8BE3-18ADC942EF00}"/>
    <cellStyle name="Hiperłącze 2 3" xfId="19" xr:uid="{DC2379D9-2105-4FB6-B059-EF28DA363B89}"/>
    <cellStyle name="Informacja" xfId="7" xr:uid="{00000000-0005-0000-0000-000006000000}"/>
    <cellStyle name="Nagłówek" xfId="8" xr:uid="{00000000-0005-0000-0000-000007000000}"/>
    <cellStyle name="Normal 2" xfId="3" xr:uid="{00000000-0005-0000-0000-000008000000}"/>
    <cellStyle name="Normalny" xfId="0" builtinId="0"/>
    <cellStyle name="Normalny 2" xfId="11" xr:uid="{00000000-0005-0000-0000-00000A000000}"/>
    <cellStyle name="Normalny 2 2" xfId="12" xr:uid="{00000000-0005-0000-0000-00000B000000}"/>
    <cellStyle name="Normalny 2 3" xfId="13" xr:uid="{00000000-0005-0000-0000-00000C000000}"/>
    <cellStyle name="Normalny 2 3 2" xfId="16" xr:uid="{CFE93CDB-EF9E-4519-B9D9-F76196B8F324}"/>
    <cellStyle name="Normalny 3" xfId="14" xr:uid="{00000000-0005-0000-0000-00000D000000}"/>
    <cellStyle name="Normalny 4" xfId="17" xr:uid="{7A585B8F-D326-4C9B-BD2B-9B86B5BC18D6}"/>
    <cellStyle name="Wrap Text" xfId="4" xr:uid="{00000000-0005-0000-0000-00000E000000}"/>
    <cellStyle name="ziel" xfId="10" xr:uid="{00000000-0005-0000-0000-00000F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Oceny z przedmiotów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'Ćw1(Odp)'!$B$1</c:f>
              <c:strCache>
                <c:ptCount val="1"/>
                <c:pt idx="0">
                  <c:v>Uczeń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'Ćw1(Odp)'!$A$2:$A$9</c:f>
              <c:strCache>
                <c:ptCount val="8"/>
                <c:pt idx="0">
                  <c:v>Polski</c:v>
                </c:pt>
                <c:pt idx="1">
                  <c:v>Matematyk</c:v>
                </c:pt>
                <c:pt idx="2">
                  <c:v>Angielski</c:v>
                </c:pt>
                <c:pt idx="3">
                  <c:v>Chemia</c:v>
                </c:pt>
                <c:pt idx="4">
                  <c:v>Fizyka</c:v>
                </c:pt>
                <c:pt idx="5">
                  <c:v>W-f</c:v>
                </c:pt>
                <c:pt idx="6">
                  <c:v>Historia</c:v>
                </c:pt>
                <c:pt idx="7">
                  <c:v>Biologia</c:v>
                </c:pt>
              </c:strCache>
            </c:strRef>
          </c:cat>
          <c:val>
            <c:numRef>
              <c:f>'Ćw1(Odp)'!$B$2:$B$9</c:f>
              <c:numCache>
                <c:formatCode>General</c:formatCode>
                <c:ptCount val="8"/>
                <c:pt idx="0">
                  <c:v>4.5</c:v>
                </c:pt>
                <c:pt idx="1">
                  <c:v>5</c:v>
                </c:pt>
                <c:pt idx="2">
                  <c:v>3.5</c:v>
                </c:pt>
                <c:pt idx="3">
                  <c:v>3.5</c:v>
                </c:pt>
                <c:pt idx="4">
                  <c:v>4.5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3-493C-8904-BF171FDC27E9}"/>
            </c:ext>
          </c:extLst>
        </c:ser>
        <c:ser>
          <c:idx val="1"/>
          <c:order val="1"/>
          <c:tx>
            <c:strRef>
              <c:f>'Ćw1(Odp)'!$C$1</c:f>
              <c:strCache>
                <c:ptCount val="1"/>
                <c:pt idx="0">
                  <c:v>Uczeń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'Ćw1(Odp)'!$A$2:$A$9</c:f>
              <c:strCache>
                <c:ptCount val="8"/>
                <c:pt idx="0">
                  <c:v>Polski</c:v>
                </c:pt>
                <c:pt idx="1">
                  <c:v>Matematyk</c:v>
                </c:pt>
                <c:pt idx="2">
                  <c:v>Angielski</c:v>
                </c:pt>
                <c:pt idx="3">
                  <c:v>Chemia</c:v>
                </c:pt>
                <c:pt idx="4">
                  <c:v>Fizyka</c:v>
                </c:pt>
                <c:pt idx="5">
                  <c:v>W-f</c:v>
                </c:pt>
                <c:pt idx="6">
                  <c:v>Historia</c:v>
                </c:pt>
                <c:pt idx="7">
                  <c:v>Biologia</c:v>
                </c:pt>
              </c:strCache>
            </c:strRef>
          </c:cat>
          <c:val>
            <c:numRef>
              <c:f>'Ćw1(Odp)'!$C$2:$C$9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2.5</c:v>
                </c:pt>
                <c:pt idx="6">
                  <c:v>4.5</c:v>
                </c:pt>
                <c:pt idx="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63-493C-8904-BF171FDC27E9}"/>
            </c:ext>
          </c:extLst>
        </c:ser>
        <c:ser>
          <c:idx val="2"/>
          <c:order val="2"/>
          <c:tx>
            <c:strRef>
              <c:f>'Ćw1(Odp)'!$D$1</c:f>
              <c:strCache>
                <c:ptCount val="1"/>
                <c:pt idx="0">
                  <c:v>Uczeń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'Ćw1(Odp)'!$A$2:$A$9</c:f>
              <c:strCache>
                <c:ptCount val="8"/>
                <c:pt idx="0">
                  <c:v>Polski</c:v>
                </c:pt>
                <c:pt idx="1">
                  <c:v>Matematyk</c:v>
                </c:pt>
                <c:pt idx="2">
                  <c:v>Angielski</c:v>
                </c:pt>
                <c:pt idx="3">
                  <c:v>Chemia</c:v>
                </c:pt>
                <c:pt idx="4">
                  <c:v>Fizyka</c:v>
                </c:pt>
                <c:pt idx="5">
                  <c:v>W-f</c:v>
                </c:pt>
                <c:pt idx="6">
                  <c:v>Historia</c:v>
                </c:pt>
                <c:pt idx="7">
                  <c:v>Biologia</c:v>
                </c:pt>
              </c:strCache>
            </c:strRef>
          </c:cat>
          <c:val>
            <c:numRef>
              <c:f>'Ćw1(Odp)'!$D$2:$D$9</c:f>
              <c:numCache>
                <c:formatCode>General</c:formatCode>
                <c:ptCount val="8"/>
                <c:pt idx="0">
                  <c:v>2</c:v>
                </c:pt>
                <c:pt idx="1">
                  <c:v>6</c:v>
                </c:pt>
                <c:pt idx="2">
                  <c:v>4.5</c:v>
                </c:pt>
                <c:pt idx="3">
                  <c:v>4.5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63-493C-8904-BF171FDC2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093672"/>
        <c:axId val="702093280"/>
      </c:barChart>
      <c:catAx>
        <c:axId val="70209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3280"/>
        <c:crosses val="autoZero"/>
        <c:auto val="1"/>
        <c:lblAlgn val="ctr"/>
        <c:lblOffset val="100"/>
        <c:noMultiLvlLbl val="0"/>
      </c:catAx>
      <c:valAx>
        <c:axId val="7020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3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'Ćw2(Odp)'!$B$1</c:f>
              <c:strCache>
                <c:ptCount val="1"/>
                <c:pt idx="0">
                  <c:v>Uczeń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'Ćw2(Odp)'!$A$2:$A$9</c:f>
              <c:strCache>
                <c:ptCount val="8"/>
                <c:pt idx="0">
                  <c:v>Polski</c:v>
                </c:pt>
                <c:pt idx="1">
                  <c:v>Matematyk</c:v>
                </c:pt>
                <c:pt idx="2">
                  <c:v>Angielski</c:v>
                </c:pt>
                <c:pt idx="3">
                  <c:v>Chemia</c:v>
                </c:pt>
                <c:pt idx="4">
                  <c:v>Fizyka</c:v>
                </c:pt>
                <c:pt idx="5">
                  <c:v>W-f</c:v>
                </c:pt>
                <c:pt idx="6">
                  <c:v>Historia</c:v>
                </c:pt>
                <c:pt idx="7">
                  <c:v>Biologia</c:v>
                </c:pt>
              </c:strCache>
            </c:strRef>
          </c:cat>
          <c:val>
            <c:numRef>
              <c:f>'Ćw2(Odp)'!$B$2:$B$9</c:f>
              <c:numCache>
                <c:formatCode>General</c:formatCode>
                <c:ptCount val="8"/>
                <c:pt idx="0">
                  <c:v>4.5</c:v>
                </c:pt>
                <c:pt idx="1">
                  <c:v>5</c:v>
                </c:pt>
                <c:pt idx="2">
                  <c:v>3.5</c:v>
                </c:pt>
                <c:pt idx="3">
                  <c:v>3.5</c:v>
                </c:pt>
                <c:pt idx="4">
                  <c:v>4.5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9-49C8-B0E0-8B8E8D61B2C4}"/>
            </c:ext>
          </c:extLst>
        </c:ser>
        <c:ser>
          <c:idx val="1"/>
          <c:order val="1"/>
          <c:tx>
            <c:strRef>
              <c:f>'Ćw2(Odp)'!$C$1</c:f>
              <c:strCache>
                <c:ptCount val="1"/>
                <c:pt idx="0">
                  <c:v>Uczeń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'Ćw2(Odp)'!$A$2:$A$9</c:f>
              <c:strCache>
                <c:ptCount val="8"/>
                <c:pt idx="0">
                  <c:v>Polski</c:v>
                </c:pt>
                <c:pt idx="1">
                  <c:v>Matematyk</c:v>
                </c:pt>
                <c:pt idx="2">
                  <c:v>Angielski</c:v>
                </c:pt>
                <c:pt idx="3">
                  <c:v>Chemia</c:v>
                </c:pt>
                <c:pt idx="4">
                  <c:v>Fizyka</c:v>
                </c:pt>
                <c:pt idx="5">
                  <c:v>W-f</c:v>
                </c:pt>
                <c:pt idx="6">
                  <c:v>Historia</c:v>
                </c:pt>
                <c:pt idx="7">
                  <c:v>Biologia</c:v>
                </c:pt>
              </c:strCache>
            </c:strRef>
          </c:cat>
          <c:val>
            <c:numRef>
              <c:f>'Ćw2(Odp)'!$C$2:$C$9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  <c:pt idx="4">
                  <c:v>5</c:v>
                </c:pt>
                <c:pt idx="5">
                  <c:v>2.5</c:v>
                </c:pt>
                <c:pt idx="6">
                  <c:v>4.5</c:v>
                </c:pt>
                <c:pt idx="7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9-49C8-B0E0-8B8E8D61B2C4}"/>
            </c:ext>
          </c:extLst>
        </c:ser>
        <c:ser>
          <c:idx val="2"/>
          <c:order val="2"/>
          <c:tx>
            <c:strRef>
              <c:f>'Ćw2(Odp)'!$D$1</c:f>
              <c:strCache>
                <c:ptCount val="1"/>
                <c:pt idx="0">
                  <c:v>Uczeń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'Ćw2(Odp)'!$A$2:$A$9</c:f>
              <c:strCache>
                <c:ptCount val="8"/>
                <c:pt idx="0">
                  <c:v>Polski</c:v>
                </c:pt>
                <c:pt idx="1">
                  <c:v>Matematyk</c:v>
                </c:pt>
                <c:pt idx="2">
                  <c:v>Angielski</c:v>
                </c:pt>
                <c:pt idx="3">
                  <c:v>Chemia</c:v>
                </c:pt>
                <c:pt idx="4">
                  <c:v>Fizyka</c:v>
                </c:pt>
                <c:pt idx="5">
                  <c:v>W-f</c:v>
                </c:pt>
                <c:pt idx="6">
                  <c:v>Historia</c:v>
                </c:pt>
                <c:pt idx="7">
                  <c:v>Biologia</c:v>
                </c:pt>
              </c:strCache>
            </c:strRef>
          </c:cat>
          <c:val>
            <c:numRef>
              <c:f>'Ćw2(Odp)'!$D$2:$D$9</c:f>
              <c:numCache>
                <c:formatCode>General</c:formatCode>
                <c:ptCount val="8"/>
                <c:pt idx="0">
                  <c:v>2</c:v>
                </c:pt>
                <c:pt idx="1">
                  <c:v>6</c:v>
                </c:pt>
                <c:pt idx="2">
                  <c:v>4.5</c:v>
                </c:pt>
                <c:pt idx="3">
                  <c:v>4.5</c:v>
                </c:pt>
                <c:pt idx="4">
                  <c:v>4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9-49C8-B0E0-8B8E8D61B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2094456"/>
        <c:axId val="702094848"/>
      </c:barChart>
      <c:catAx>
        <c:axId val="702094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4848"/>
        <c:crosses val="autoZero"/>
        <c:auto val="1"/>
        <c:lblAlgn val="ctr"/>
        <c:lblOffset val="100"/>
        <c:noMultiLvlLbl val="0"/>
      </c:catAx>
      <c:valAx>
        <c:axId val="70209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9.583333333333334E-2"/>
          <c:y val="0.22876895596383789"/>
          <c:w val="0.81388888888888888"/>
          <c:h val="0.6654946777486147"/>
        </c:manualLayout>
      </c:layout>
      <c:ofPieChart>
        <c:ofPieType val="pie"/>
        <c:varyColors val="1"/>
        <c:ser>
          <c:idx val="0"/>
          <c:order val="0"/>
          <c:tx>
            <c:strRef>
              <c:f>'Ćw3(Odp)'!$B$1</c:f>
              <c:strCache>
                <c:ptCount val="1"/>
                <c:pt idx="0">
                  <c:v>"Populacja"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6-4601-B817-4D42BFE20E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6-4601-B817-4D42BFE20E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6-4601-B817-4D42BFE20E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D6-4601-B817-4D42BFE20E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0D6-4601-B817-4D42BFE20E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0D6-4601-B817-4D42BFE20E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0D6-4601-B817-4D42BFE20E9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0D6-4601-B817-4D42BFE20E9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0D6-4601-B817-4D42BFE20E9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0D6-4601-B817-4D42BFE20E94}"/>
              </c:ext>
            </c:extLst>
          </c:dPt>
          <c:dLbls>
            <c:dLbl>
              <c:idx val="3"/>
              <c:layout>
                <c:manualLayout>
                  <c:x val="-5.8333333333333334E-2"/>
                  <c:y val="-2.314814814814815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D6-4601-B817-4D42BFE20E94}"/>
                </c:ext>
              </c:extLst>
            </c:dLbl>
            <c:dLbl>
              <c:idx val="5"/>
              <c:layout>
                <c:manualLayout>
                  <c:x val="1.1111111111111009E-2"/>
                  <c:y val="-3.24074074074074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0D6-4601-B817-4D42BFE20E94}"/>
                </c:ext>
              </c:extLst>
            </c:dLbl>
            <c:dLbl>
              <c:idx val="9"/>
              <c:layout>
                <c:manualLayout>
                  <c:x val="0"/>
                  <c:y val="0.143518518518518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0D6-4601-B817-4D42BFE20E9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'Ćw3(Odp)'!$A$2:$A$10</c:f>
              <c:strCache>
                <c:ptCount val="9"/>
                <c:pt idx="0">
                  <c:v>Mrówka</c:v>
                </c:pt>
                <c:pt idx="1">
                  <c:v>Pies</c:v>
                </c:pt>
                <c:pt idx="2">
                  <c:v>Kot</c:v>
                </c:pt>
                <c:pt idx="3">
                  <c:v>Chomik</c:v>
                </c:pt>
                <c:pt idx="4">
                  <c:v>Świnka morska</c:v>
                </c:pt>
                <c:pt idx="5">
                  <c:v>Miś</c:v>
                </c:pt>
                <c:pt idx="6">
                  <c:v>Sarna</c:v>
                </c:pt>
                <c:pt idx="7">
                  <c:v>Jeleń</c:v>
                </c:pt>
                <c:pt idx="8">
                  <c:v>Łoś</c:v>
                </c:pt>
              </c:strCache>
            </c:strRef>
          </c:cat>
          <c:val>
            <c:numRef>
              <c:f>'Ćw3(Odp)'!$B$2:$B$10</c:f>
              <c:numCache>
                <c:formatCode>General</c:formatCode>
                <c:ptCount val="9"/>
                <c:pt idx="0">
                  <c:v>1655</c:v>
                </c:pt>
                <c:pt idx="1">
                  <c:v>958</c:v>
                </c:pt>
                <c:pt idx="2">
                  <c:v>822</c:v>
                </c:pt>
                <c:pt idx="3">
                  <c:v>481</c:v>
                </c:pt>
                <c:pt idx="4">
                  <c:v>470</c:v>
                </c:pt>
                <c:pt idx="5">
                  <c:v>321</c:v>
                </c:pt>
                <c:pt idx="6">
                  <c:v>88</c:v>
                </c:pt>
                <c:pt idx="7">
                  <c:v>24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0D6-4601-B817-4D42BFE2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3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'Ćw4(Odp)'!$B$1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'Ćw4(Odp)'!$A$2:$A$102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'Ćw4(Odp)'!$B$2:$B$102</c:f>
              <c:numCache>
                <c:formatCode>General</c:formatCode>
                <c:ptCount val="101"/>
                <c:pt idx="0">
                  <c:v>13</c:v>
                </c:pt>
                <c:pt idx="1">
                  <c:v>11.52000000000001</c:v>
                </c:pt>
                <c:pt idx="2">
                  <c:v>10.079999999999998</c:v>
                </c:pt>
                <c:pt idx="3">
                  <c:v>8.6800000000000068</c:v>
                </c:pt>
                <c:pt idx="4">
                  <c:v>7.3199999999999932</c:v>
                </c:pt>
                <c:pt idx="5">
                  <c:v>6</c:v>
                </c:pt>
                <c:pt idx="6">
                  <c:v>4.720000000000006</c:v>
                </c:pt>
                <c:pt idx="7">
                  <c:v>3.4799999999999969</c:v>
                </c:pt>
                <c:pt idx="8">
                  <c:v>2.2800000000000011</c:v>
                </c:pt>
                <c:pt idx="9">
                  <c:v>1.1199999999999974</c:v>
                </c:pt>
                <c:pt idx="10">
                  <c:v>0</c:v>
                </c:pt>
                <c:pt idx="11">
                  <c:v>-1.0800000000000018</c:v>
                </c:pt>
                <c:pt idx="12">
                  <c:v>-2.120000000000001</c:v>
                </c:pt>
                <c:pt idx="13">
                  <c:v>-3.1199999999999974</c:v>
                </c:pt>
                <c:pt idx="14">
                  <c:v>-4.0799999999999983</c:v>
                </c:pt>
                <c:pt idx="15">
                  <c:v>-4.9999999999999076</c:v>
                </c:pt>
                <c:pt idx="16">
                  <c:v>-5.8799999999999137</c:v>
                </c:pt>
                <c:pt idx="17">
                  <c:v>-6.7199999999999172</c:v>
                </c:pt>
                <c:pt idx="18">
                  <c:v>-7.5199999999999214</c:v>
                </c:pt>
                <c:pt idx="19">
                  <c:v>-8.2799999999999265</c:v>
                </c:pt>
                <c:pt idx="20">
                  <c:v>-8.9999999999999307</c:v>
                </c:pt>
                <c:pt idx="21">
                  <c:v>-9.6799999999999322</c:v>
                </c:pt>
                <c:pt idx="22">
                  <c:v>-10.319999999999938</c:v>
                </c:pt>
                <c:pt idx="23">
                  <c:v>-10.919999999999943</c:v>
                </c:pt>
                <c:pt idx="24">
                  <c:v>-11.479999999999947</c:v>
                </c:pt>
                <c:pt idx="25">
                  <c:v>-11.999999999999948</c:v>
                </c:pt>
                <c:pt idx="26">
                  <c:v>-12.479999999999952</c:v>
                </c:pt>
                <c:pt idx="27">
                  <c:v>-12.919999999999957</c:v>
                </c:pt>
                <c:pt idx="28">
                  <c:v>-13.319999999999963</c:v>
                </c:pt>
                <c:pt idx="29">
                  <c:v>-13.679999999999968</c:v>
                </c:pt>
                <c:pt idx="30">
                  <c:v>-13.99999999999997</c:v>
                </c:pt>
                <c:pt idx="31">
                  <c:v>-14.279999999999974</c:v>
                </c:pt>
                <c:pt idx="32">
                  <c:v>-14.519999999999978</c:v>
                </c:pt>
                <c:pt idx="33">
                  <c:v>-14.719999999999981</c:v>
                </c:pt>
                <c:pt idx="34">
                  <c:v>-14.879999999999985</c:v>
                </c:pt>
                <c:pt idx="35">
                  <c:v>-14.999999999999989</c:v>
                </c:pt>
                <c:pt idx="36">
                  <c:v>-15.079999999999995</c:v>
                </c:pt>
                <c:pt idx="37">
                  <c:v>-15.119999999999997</c:v>
                </c:pt>
                <c:pt idx="38">
                  <c:v>-15.120000000000001</c:v>
                </c:pt>
                <c:pt idx="39">
                  <c:v>-15.080000000000005</c:v>
                </c:pt>
                <c:pt idx="40">
                  <c:v>-15.000000000000011</c:v>
                </c:pt>
                <c:pt idx="41">
                  <c:v>-14.880000000000013</c:v>
                </c:pt>
                <c:pt idx="42">
                  <c:v>-14.720000000000017</c:v>
                </c:pt>
                <c:pt idx="43">
                  <c:v>-14.520000000000044</c:v>
                </c:pt>
                <c:pt idx="44">
                  <c:v>-14.280000000000051</c:v>
                </c:pt>
                <c:pt idx="45">
                  <c:v>-14.00000000000006</c:v>
                </c:pt>
                <c:pt idx="46">
                  <c:v>-13.680000000000067</c:v>
                </c:pt>
                <c:pt idx="47">
                  <c:v>-13.320000000000077</c:v>
                </c:pt>
                <c:pt idx="48">
                  <c:v>-12.920000000000083</c:v>
                </c:pt>
                <c:pt idx="49">
                  <c:v>-12.480000000000093</c:v>
                </c:pt>
                <c:pt idx="50">
                  <c:v>-12.000000000000103</c:v>
                </c:pt>
                <c:pt idx="51">
                  <c:v>-11.480000000000107</c:v>
                </c:pt>
                <c:pt idx="52">
                  <c:v>-10.920000000000115</c:v>
                </c:pt>
                <c:pt idx="53">
                  <c:v>-10.320000000000125</c:v>
                </c:pt>
                <c:pt idx="54">
                  <c:v>-9.6800000000001312</c:v>
                </c:pt>
                <c:pt idx="55">
                  <c:v>-9.0000000000001403</c:v>
                </c:pt>
                <c:pt idx="56">
                  <c:v>-8.2800000000001468</c:v>
                </c:pt>
                <c:pt idx="57">
                  <c:v>-7.5200000000001568</c:v>
                </c:pt>
                <c:pt idx="58">
                  <c:v>-6.7200000000001641</c:v>
                </c:pt>
                <c:pt idx="59">
                  <c:v>-5.8800000000001713</c:v>
                </c:pt>
                <c:pt idx="60">
                  <c:v>-5.0000000000001794</c:v>
                </c:pt>
                <c:pt idx="61">
                  <c:v>-4.0800000000001866</c:v>
                </c:pt>
                <c:pt idx="62">
                  <c:v>-3.1200000000001964</c:v>
                </c:pt>
                <c:pt idx="63">
                  <c:v>-2.1200000000002035</c:v>
                </c:pt>
                <c:pt idx="64">
                  <c:v>-1.0800000000002132</c:v>
                </c:pt>
                <c:pt idx="65">
                  <c:v>-2.2026824808563106E-13</c:v>
                </c:pt>
                <c:pt idx="66">
                  <c:v>1.1199999999997736</c:v>
                </c:pt>
                <c:pt idx="67">
                  <c:v>2.2799999999997631</c:v>
                </c:pt>
                <c:pt idx="68">
                  <c:v>3.4799999999997571</c:v>
                </c:pt>
                <c:pt idx="69">
                  <c:v>4.7199999999997502</c:v>
                </c:pt>
                <c:pt idx="70">
                  <c:v>5.9999999999997407</c:v>
                </c:pt>
                <c:pt idx="71">
                  <c:v>7.3199999999995953</c:v>
                </c:pt>
                <c:pt idx="72">
                  <c:v>8.6799999999995876</c:v>
                </c:pt>
                <c:pt idx="73">
                  <c:v>10.079999999999576</c:v>
                </c:pt>
                <c:pt idx="74">
                  <c:v>11.519999999999563</c:v>
                </c:pt>
                <c:pt idx="75">
                  <c:v>12.999999999999545</c:v>
                </c:pt>
                <c:pt idx="76">
                  <c:v>14.519999999999534</c:v>
                </c:pt>
                <c:pt idx="77">
                  <c:v>16.079999999999526</c:v>
                </c:pt>
                <c:pt idx="78">
                  <c:v>17.679999999999517</c:v>
                </c:pt>
                <c:pt idx="79">
                  <c:v>19.319999999999503</c:v>
                </c:pt>
                <c:pt idx="80">
                  <c:v>20.999999999999488</c:v>
                </c:pt>
                <c:pt idx="81">
                  <c:v>22.719999999999473</c:v>
                </c:pt>
                <c:pt idx="82">
                  <c:v>24.479999999999464</c:v>
                </c:pt>
                <c:pt idx="83">
                  <c:v>26.279999999999454</c:v>
                </c:pt>
                <c:pt idx="84">
                  <c:v>28.119999999999443</c:v>
                </c:pt>
                <c:pt idx="85">
                  <c:v>29.999999999999432</c:v>
                </c:pt>
                <c:pt idx="86">
                  <c:v>31.919999999999419</c:v>
                </c:pt>
                <c:pt idx="87">
                  <c:v>33.879999999999406</c:v>
                </c:pt>
                <c:pt idx="88">
                  <c:v>35.879999999999399</c:v>
                </c:pt>
                <c:pt idx="89">
                  <c:v>37.919999999999384</c:v>
                </c:pt>
                <c:pt idx="90">
                  <c:v>39.999999999999368</c:v>
                </c:pt>
                <c:pt idx="91">
                  <c:v>42.119999999999365</c:v>
                </c:pt>
                <c:pt idx="92">
                  <c:v>44.279999999999347</c:v>
                </c:pt>
                <c:pt idx="93">
                  <c:v>46.479999999999322</c:v>
                </c:pt>
                <c:pt idx="94">
                  <c:v>48.719999999999324</c:v>
                </c:pt>
                <c:pt idx="95">
                  <c:v>50.999999999999311</c:v>
                </c:pt>
                <c:pt idx="96">
                  <c:v>53.319999999999311</c:v>
                </c:pt>
                <c:pt idx="97">
                  <c:v>55.679999999999296</c:v>
                </c:pt>
                <c:pt idx="98">
                  <c:v>58.079999999999259</c:v>
                </c:pt>
                <c:pt idx="99">
                  <c:v>60.519999999999015</c:v>
                </c:pt>
                <c:pt idx="100">
                  <c:v>62.999999999999005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73-4D67-895F-7E0E2026D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096024"/>
        <c:axId val="702096416"/>
      </c:scatterChart>
      <c:valAx>
        <c:axId val="702096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6416"/>
        <c:crosses val="autoZero"/>
        <c:crossBetween val="midCat"/>
      </c:valAx>
      <c:valAx>
        <c:axId val="70209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6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'Ćw5(Odp)'!$B$1</c:f>
              <c:strCache>
                <c:ptCount val="1"/>
                <c:pt idx="0">
                  <c:v>Sprzedaż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'Ćw5(Odp)'!$A$2:$A$7</c:f>
              <c:numCache>
                <c:formatCode>m/d/yyyy</c:formatCode>
                <c:ptCount val="6"/>
                <c:pt idx="0">
                  <c:v>42095</c:v>
                </c:pt>
                <c:pt idx="1">
                  <c:v>42099</c:v>
                </c:pt>
                <c:pt idx="2">
                  <c:v>42100</c:v>
                </c:pt>
                <c:pt idx="3">
                  <c:v>42103</c:v>
                </c:pt>
                <c:pt idx="4">
                  <c:v>42109</c:v>
                </c:pt>
                <c:pt idx="5">
                  <c:v>42116</c:v>
                </c:pt>
              </c:numCache>
            </c:numRef>
          </c:cat>
          <c:val>
            <c:numRef>
              <c:f>'Ćw5(Odp)'!$B$2:$B$7</c:f>
              <c:numCache>
                <c:formatCode>"zł"#,##0_);[Red]\("zł"#,##0\)</c:formatCode>
                <c:ptCount val="6"/>
                <c:pt idx="0">
                  <c:v>1884</c:v>
                </c:pt>
                <c:pt idx="1">
                  <c:v>1743</c:v>
                </c:pt>
                <c:pt idx="2">
                  <c:v>1584</c:v>
                </c:pt>
                <c:pt idx="3">
                  <c:v>1907</c:v>
                </c:pt>
                <c:pt idx="4">
                  <c:v>1931</c:v>
                </c:pt>
                <c:pt idx="5">
                  <c:v>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5-4C2E-B392-244E97AD3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097200"/>
        <c:axId val="702097592"/>
      </c:lineChart>
      <c:dateAx>
        <c:axId val="702097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7592"/>
        <c:crosses val="autoZero"/>
        <c:auto val="1"/>
        <c:lblOffset val="100"/>
        <c:baseTimeUnit val="days"/>
      </c:dateAx>
      <c:valAx>
        <c:axId val="702097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'Ćw5(Odp)'!$B$1</c:f>
              <c:strCache>
                <c:ptCount val="1"/>
                <c:pt idx="0">
                  <c:v>Sprzedaż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'Ćw5(Odp)'!$A$2:$A$7</c:f>
              <c:numCache>
                <c:formatCode>m/d/yyyy</c:formatCode>
                <c:ptCount val="6"/>
                <c:pt idx="0">
                  <c:v>42095</c:v>
                </c:pt>
                <c:pt idx="1">
                  <c:v>42099</c:v>
                </c:pt>
                <c:pt idx="2">
                  <c:v>42100</c:v>
                </c:pt>
                <c:pt idx="3">
                  <c:v>42103</c:v>
                </c:pt>
                <c:pt idx="4">
                  <c:v>42109</c:v>
                </c:pt>
                <c:pt idx="5">
                  <c:v>42116</c:v>
                </c:pt>
              </c:numCache>
            </c:numRef>
          </c:cat>
          <c:val>
            <c:numRef>
              <c:f>'Ćw5(Odp)'!$B$2:$B$7</c:f>
              <c:numCache>
                <c:formatCode>"zł"#,##0_);[Red]\("zł"#,##0\)</c:formatCode>
                <c:ptCount val="6"/>
                <c:pt idx="0">
                  <c:v>1884</c:v>
                </c:pt>
                <c:pt idx="1">
                  <c:v>1743</c:v>
                </c:pt>
                <c:pt idx="2">
                  <c:v>1584</c:v>
                </c:pt>
                <c:pt idx="3">
                  <c:v>1907</c:v>
                </c:pt>
                <c:pt idx="4">
                  <c:v>1931</c:v>
                </c:pt>
                <c:pt idx="5">
                  <c:v>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3-4D75-AE96-D6536D8FF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098376"/>
        <c:axId val="702098768"/>
      </c:barChart>
      <c:dateAx>
        <c:axId val="7020983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8768"/>
        <c:crosses val="autoZero"/>
        <c:auto val="1"/>
        <c:lblOffset val="100"/>
        <c:baseTimeUnit val="days"/>
      </c:dateAx>
      <c:valAx>
        <c:axId val="70209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zł&quot;#,##0_);[Red]\(&quot;zł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8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'Ćw6(Odp)'!$G$2</c:f>
              <c:strCache>
                <c:ptCount val="1"/>
                <c:pt idx="0">
                  <c:v>CZĘSTOŚĆ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0D-498C-A8D0-240EB38ADF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0D-498C-A8D0-240EB38ADF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A0D-498C-A8D0-240EB38ADF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A0D-498C-A8D0-240EB38ADF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A0D-498C-A8D0-240EB38ADF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A0D-498C-A8D0-240EB38ADF8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A0D-498C-A8D0-240EB38ADF8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A0D-498C-A8D0-240EB38ADF8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A0D-498C-A8D0-240EB38ADF8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A0D-498C-A8D0-240EB38ADF83}"/>
              </c:ext>
            </c:extLst>
          </c:dPt>
          <c:cat>
            <c:strRef>
              <c:f>'Ćw6(Odp)'!$E$3:$E$12</c:f>
              <c:strCache>
                <c:ptCount val="10"/>
                <c:pt idx="0">
                  <c:v> &lt;=10</c:v>
                </c:pt>
                <c:pt idx="1">
                  <c:v> &gt;10 ORAZ &lt;=20</c:v>
                </c:pt>
                <c:pt idx="2">
                  <c:v> &gt;20 ORAZ &lt;=30</c:v>
                </c:pt>
                <c:pt idx="3">
                  <c:v> &gt;30 ORAZ &lt;=40</c:v>
                </c:pt>
                <c:pt idx="4">
                  <c:v> &gt;40 ORAZ &lt;=50</c:v>
                </c:pt>
                <c:pt idx="5">
                  <c:v> &gt;50 ORAZ &lt;=60</c:v>
                </c:pt>
                <c:pt idx="6">
                  <c:v> &gt;60 ORAZ &lt;=70</c:v>
                </c:pt>
                <c:pt idx="7">
                  <c:v> &gt;70 ORAZ &lt;=80</c:v>
                </c:pt>
                <c:pt idx="8">
                  <c:v> &gt;80 ORAZ &lt;=90</c:v>
                </c:pt>
                <c:pt idx="9">
                  <c:v> &gt;90 ORAZ &lt;=100</c:v>
                </c:pt>
              </c:strCache>
            </c:strRef>
          </c:cat>
          <c:val>
            <c:numRef>
              <c:f>'Ćw6(Odp)'!$G$3:$G$12</c:f>
              <c:numCache>
                <c:formatCode>General</c:formatCode>
                <c:ptCount val="10"/>
                <c:pt idx="0">
                  <c:v>1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A0D-498C-A8D0-240EB38AD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02099552"/>
        <c:axId val="702099944"/>
      </c:barChart>
      <c:catAx>
        <c:axId val="70209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9944"/>
        <c:crosses val="autoZero"/>
        <c:auto val="1"/>
        <c:lblAlgn val="ctr"/>
        <c:lblOffset val="100"/>
        <c:noMultiLvlLbl val="0"/>
      </c:catAx>
      <c:valAx>
        <c:axId val="70209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09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'Ćw7(Odp)'!$B$1</c:f>
              <c:strCache>
                <c:ptCount val="1"/>
                <c:pt idx="0">
                  <c:v>Czas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'Ćw7(Odp)'!$A$2:$A$6</c:f>
              <c:numCache>
                <c:formatCode>General</c:formatCode>
                <c:ptCount val="5"/>
                <c:pt idx="0">
                  <c:v>109</c:v>
                </c:pt>
                <c:pt idx="1">
                  <c:v>210</c:v>
                </c:pt>
                <c:pt idx="2">
                  <c:v>197</c:v>
                </c:pt>
                <c:pt idx="3">
                  <c:v>165</c:v>
                </c:pt>
                <c:pt idx="4">
                  <c:v>202</c:v>
                </c:pt>
              </c:numCache>
            </c:numRef>
          </c:cat>
          <c:val>
            <c:numRef>
              <c:f>'Ćw7(Odp)'!$B$2:$B$6</c:f>
              <c:numCache>
                <c:formatCode>mm:ss</c:formatCode>
                <c:ptCount val="5"/>
                <c:pt idx="0">
                  <c:v>7.6388888888888893E-4</c:v>
                </c:pt>
                <c:pt idx="1">
                  <c:v>1.2037037037037038E-3</c:v>
                </c:pt>
                <c:pt idx="2">
                  <c:v>7.291666666666667E-4</c:v>
                </c:pt>
                <c:pt idx="3">
                  <c:v>1.2905092592592593E-3</c:v>
                </c:pt>
                <c:pt idx="4">
                  <c:v>1.1400462962962963E-3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B1-42E0-A405-0FDAF3331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2100728"/>
        <c:axId val="702101120"/>
      </c:lineChart>
      <c:catAx>
        <c:axId val="70210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101120"/>
        <c:crosses val="autoZero"/>
        <c:auto val="1"/>
        <c:lblAlgn val="ctr"/>
        <c:lblOffset val="100"/>
        <c:noMultiLvlLbl val="0"/>
      </c:catAx>
      <c:valAx>
        <c:axId val="7021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10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'Ćw10(Odp)'!$A$1</c:f>
          <c:strCache>
            <c:ptCount val="1"/>
            <c:pt idx="0">
              <c:v>Ilość wyprodukowanych sztuk w czasie</c:v>
            </c:pt>
          </c:strCache>
        </c:strRef>
      </c:tx>
      <c:layout>
        <c:manualLayout>
          <c:xMode val="edge"/>
          <c:yMode val="edge"/>
          <c:x val="0.16694444444444445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'Ćw10(Odp)'!$B$2</c:f>
              <c:strCache>
                <c:ptCount val="1"/>
                <c:pt idx="0">
                  <c:v>Ilość sztuk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'Ćw10(Odp)'!$A$3:$A$7</c:f>
              <c:numCache>
                <c:formatCode>General</c:formatCode>
                <c:ptCount val="5"/>
                <c:pt idx="0">
                  <c:v>109</c:v>
                </c:pt>
                <c:pt idx="1">
                  <c:v>210</c:v>
                </c:pt>
                <c:pt idx="2">
                  <c:v>197</c:v>
                </c:pt>
                <c:pt idx="3">
                  <c:v>165</c:v>
                </c:pt>
                <c:pt idx="4">
                  <c:v>202</c:v>
                </c:pt>
              </c:numCache>
            </c:numRef>
          </c:cat>
          <c:val>
            <c:numRef>
              <c:f>'Ćw10(Odp)'!$B$3:$B$7</c:f>
              <c:numCache>
                <c:formatCode>General</c:formatCode>
                <c:ptCount val="5"/>
                <c:pt idx="0">
                  <c:v>3651</c:v>
                </c:pt>
                <c:pt idx="1">
                  <c:v>2613</c:v>
                </c:pt>
                <c:pt idx="2">
                  <c:v>3110</c:v>
                </c:pt>
                <c:pt idx="3">
                  <c:v>3045</c:v>
                </c:pt>
                <c:pt idx="4">
                  <c:v>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1-4581-B4A6-62C206F8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101904"/>
        <c:axId val="767762704"/>
      </c:barChart>
      <c:lineChart>
        <c:grouping val="standard"/>
        <c:varyColors val="0"/>
        <c:ser>
          <c:idx val="2"/>
          <c:order val="1"/>
          <c:tx>
            <c:strRef>
              <c:f>'Ćw10(Odp)'!$C$2</c:f>
              <c:strCache>
                <c:ptCount val="1"/>
                <c:pt idx="0">
                  <c:v>Ilość godzin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'Ćw10(Odp)'!$C$3:$C$7</c:f>
              <c:numCache>
                <c:formatCode>General</c:formatCode>
                <c:ptCount val="5"/>
                <c:pt idx="0">
                  <c:v>48</c:v>
                </c:pt>
                <c:pt idx="1">
                  <c:v>21</c:v>
                </c:pt>
                <c:pt idx="2">
                  <c:v>33</c:v>
                </c:pt>
                <c:pt idx="3">
                  <c:v>24</c:v>
                </c:pt>
                <c:pt idx="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D1-4581-B4A6-62C206F8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761528"/>
        <c:axId val="767762312"/>
      </c:lineChart>
      <c:catAx>
        <c:axId val="70210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7762704"/>
        <c:crosses val="autoZero"/>
        <c:auto val="1"/>
        <c:lblAlgn val="ctr"/>
        <c:lblOffset val="100"/>
        <c:noMultiLvlLbl val="0"/>
      </c:catAx>
      <c:valAx>
        <c:axId val="7677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2101904"/>
        <c:crosses val="autoZero"/>
        <c:crossBetween val="between"/>
      </c:valAx>
      <c:valAx>
        <c:axId val="76776231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7761528"/>
        <c:crosses val="max"/>
        <c:crossBetween val="between"/>
      </c:valAx>
      <c:catAx>
        <c:axId val="767761528"/>
        <c:scaling>
          <c:orientation val="minMax"/>
        </c:scaling>
        <c:delete val="1"/>
        <c:axPos val="b"/>
        <c:majorTickMark val="none"/>
        <c:minorTickMark val="none"/>
        <c:tickLblPos val="nextTo"/>
        <c:crossAx val="767762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Ćw11!$B$1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Ćw11!$A$2:$A$102</c:f>
              <c:numCache>
                <c:formatCode>General</c:formatCode>
                <c:ptCount val="101"/>
                <c:pt idx="0">
                  <c:v>-5</c:v>
                </c:pt>
                <c:pt idx="1">
                  <c:v>-4.9000000000000004</c:v>
                </c:pt>
                <c:pt idx="2">
                  <c:v>-4.8</c:v>
                </c:pt>
                <c:pt idx="3">
                  <c:v>-4.7</c:v>
                </c:pt>
                <c:pt idx="4">
                  <c:v>-4.5999999999999996</c:v>
                </c:pt>
                <c:pt idx="5">
                  <c:v>-4.5</c:v>
                </c:pt>
                <c:pt idx="6">
                  <c:v>-4.4000000000000004</c:v>
                </c:pt>
                <c:pt idx="7">
                  <c:v>-4.3</c:v>
                </c:pt>
                <c:pt idx="8">
                  <c:v>-4.2</c:v>
                </c:pt>
                <c:pt idx="9">
                  <c:v>-4.0999999999999996</c:v>
                </c:pt>
                <c:pt idx="10">
                  <c:v>-4</c:v>
                </c:pt>
                <c:pt idx="11">
                  <c:v>-3.9</c:v>
                </c:pt>
                <c:pt idx="12">
                  <c:v>-3.8</c:v>
                </c:pt>
                <c:pt idx="13">
                  <c:v>-3.7</c:v>
                </c:pt>
                <c:pt idx="14">
                  <c:v>-3.6</c:v>
                </c:pt>
                <c:pt idx="15">
                  <c:v>-3.5000000000000102</c:v>
                </c:pt>
                <c:pt idx="16">
                  <c:v>-3.4000000000000101</c:v>
                </c:pt>
                <c:pt idx="17">
                  <c:v>-3.30000000000001</c:v>
                </c:pt>
                <c:pt idx="18">
                  <c:v>-3.2000000000000099</c:v>
                </c:pt>
                <c:pt idx="19">
                  <c:v>-3.1000000000000099</c:v>
                </c:pt>
                <c:pt idx="20">
                  <c:v>-3.0000000000000102</c:v>
                </c:pt>
                <c:pt idx="21">
                  <c:v>-2.9000000000000101</c:v>
                </c:pt>
                <c:pt idx="22">
                  <c:v>-2.80000000000001</c:v>
                </c:pt>
                <c:pt idx="23">
                  <c:v>-2.7000000000000099</c:v>
                </c:pt>
                <c:pt idx="24">
                  <c:v>-2.6000000000000099</c:v>
                </c:pt>
                <c:pt idx="25">
                  <c:v>-2.5000000000000102</c:v>
                </c:pt>
                <c:pt idx="26">
                  <c:v>-2.4000000000000101</c:v>
                </c:pt>
                <c:pt idx="27">
                  <c:v>-2.30000000000001</c:v>
                </c:pt>
                <c:pt idx="28">
                  <c:v>-2.2000000000000099</c:v>
                </c:pt>
                <c:pt idx="29">
                  <c:v>-2.1000000000000099</c:v>
                </c:pt>
                <c:pt idx="30">
                  <c:v>-2.0000000000000102</c:v>
                </c:pt>
                <c:pt idx="31">
                  <c:v>-1.9000000000000099</c:v>
                </c:pt>
                <c:pt idx="32">
                  <c:v>-1.80000000000001</c:v>
                </c:pt>
                <c:pt idx="33">
                  <c:v>-1.7000000000000099</c:v>
                </c:pt>
                <c:pt idx="34">
                  <c:v>-1.6000000000000101</c:v>
                </c:pt>
                <c:pt idx="35">
                  <c:v>-1.50000000000001</c:v>
                </c:pt>
                <c:pt idx="36">
                  <c:v>-1.4000000000000099</c:v>
                </c:pt>
                <c:pt idx="37">
                  <c:v>-1.30000000000001</c:v>
                </c:pt>
                <c:pt idx="38">
                  <c:v>-1.2000000000000099</c:v>
                </c:pt>
                <c:pt idx="39">
                  <c:v>-1.1000000000000101</c:v>
                </c:pt>
                <c:pt idx="40">
                  <c:v>-1.00000000000001</c:v>
                </c:pt>
                <c:pt idx="41">
                  <c:v>-0.90000000000001001</c:v>
                </c:pt>
                <c:pt idx="42">
                  <c:v>-0.80000000000001004</c:v>
                </c:pt>
                <c:pt idx="43">
                  <c:v>-0.70000000000002005</c:v>
                </c:pt>
                <c:pt idx="44">
                  <c:v>-0.60000000000001996</c:v>
                </c:pt>
                <c:pt idx="45">
                  <c:v>-0.50000000000001998</c:v>
                </c:pt>
                <c:pt idx="46">
                  <c:v>-0.40000000000002001</c:v>
                </c:pt>
                <c:pt idx="47">
                  <c:v>-0.30000000000001997</c:v>
                </c:pt>
                <c:pt idx="48">
                  <c:v>-0.20000000000002</c:v>
                </c:pt>
                <c:pt idx="49">
                  <c:v>-0.10000000000002</c:v>
                </c:pt>
                <c:pt idx="50">
                  <c:v>-2.0428103653102899E-14</c:v>
                </c:pt>
                <c:pt idx="51">
                  <c:v>9.9999999999980105E-2</c:v>
                </c:pt>
                <c:pt idx="52">
                  <c:v>0.19999999999998</c:v>
                </c:pt>
                <c:pt idx="53">
                  <c:v>0.29999999999998</c:v>
                </c:pt>
                <c:pt idx="54">
                  <c:v>0.39999999999997998</c:v>
                </c:pt>
                <c:pt idx="55">
                  <c:v>0.49999999999998002</c:v>
                </c:pt>
                <c:pt idx="56">
                  <c:v>0.59999999999997999</c:v>
                </c:pt>
                <c:pt idx="57">
                  <c:v>0.69999999999997997</c:v>
                </c:pt>
                <c:pt idx="58">
                  <c:v>0.79999999999997995</c:v>
                </c:pt>
                <c:pt idx="59">
                  <c:v>0.89999999999998004</c:v>
                </c:pt>
                <c:pt idx="60">
                  <c:v>0.99999999999998002</c:v>
                </c:pt>
                <c:pt idx="61">
                  <c:v>1.0999999999999801</c:v>
                </c:pt>
                <c:pt idx="62">
                  <c:v>1.19999999999998</c:v>
                </c:pt>
                <c:pt idx="63">
                  <c:v>1.2999999999999801</c:v>
                </c:pt>
                <c:pt idx="64">
                  <c:v>1.3999999999999799</c:v>
                </c:pt>
                <c:pt idx="65">
                  <c:v>1.49999999999998</c:v>
                </c:pt>
                <c:pt idx="66">
                  <c:v>1.5999999999999801</c:v>
                </c:pt>
                <c:pt idx="67">
                  <c:v>1.69999999999998</c:v>
                </c:pt>
                <c:pt idx="68">
                  <c:v>1.7999999999999801</c:v>
                </c:pt>
                <c:pt idx="69">
                  <c:v>1.8999999999999799</c:v>
                </c:pt>
                <c:pt idx="70">
                  <c:v>1.99999999999998</c:v>
                </c:pt>
                <c:pt idx="71">
                  <c:v>2.0999999999999699</c:v>
                </c:pt>
                <c:pt idx="72">
                  <c:v>2.19999999999997</c:v>
                </c:pt>
                <c:pt idx="73">
                  <c:v>2.2999999999999701</c:v>
                </c:pt>
                <c:pt idx="74">
                  <c:v>2.3999999999999702</c:v>
                </c:pt>
                <c:pt idx="75">
                  <c:v>2.4999999999999698</c:v>
                </c:pt>
                <c:pt idx="76">
                  <c:v>2.5999999999999699</c:v>
                </c:pt>
                <c:pt idx="77">
                  <c:v>2.69999999999997</c:v>
                </c:pt>
                <c:pt idx="78">
                  <c:v>2.7999999999999701</c:v>
                </c:pt>
                <c:pt idx="79">
                  <c:v>2.8999999999999702</c:v>
                </c:pt>
                <c:pt idx="80">
                  <c:v>2.9999999999999698</c:v>
                </c:pt>
                <c:pt idx="81">
                  <c:v>3.0999999999999699</c:v>
                </c:pt>
                <c:pt idx="82">
                  <c:v>3.19999999999997</c:v>
                </c:pt>
                <c:pt idx="83">
                  <c:v>3.2999999999999701</c:v>
                </c:pt>
                <c:pt idx="84">
                  <c:v>3.3999999999999702</c:v>
                </c:pt>
                <c:pt idx="85">
                  <c:v>3.4999999999999698</c:v>
                </c:pt>
                <c:pt idx="86">
                  <c:v>3.5999999999999699</c:v>
                </c:pt>
                <c:pt idx="87">
                  <c:v>3.69999999999997</c:v>
                </c:pt>
                <c:pt idx="88">
                  <c:v>3.7999999999999701</c:v>
                </c:pt>
                <c:pt idx="89">
                  <c:v>3.8999999999999702</c:v>
                </c:pt>
                <c:pt idx="90">
                  <c:v>3.9999999999999698</c:v>
                </c:pt>
                <c:pt idx="91">
                  <c:v>4.0999999999999703</c:v>
                </c:pt>
                <c:pt idx="92">
                  <c:v>4.19999999999997</c:v>
                </c:pt>
                <c:pt idx="93">
                  <c:v>4.2999999999999696</c:v>
                </c:pt>
                <c:pt idx="94">
                  <c:v>4.3999999999999702</c:v>
                </c:pt>
                <c:pt idx="95">
                  <c:v>4.4999999999999698</c:v>
                </c:pt>
                <c:pt idx="96">
                  <c:v>4.5999999999999703</c:v>
                </c:pt>
                <c:pt idx="97">
                  <c:v>4.69999999999997</c:v>
                </c:pt>
                <c:pt idx="98">
                  <c:v>4.7999999999999696</c:v>
                </c:pt>
                <c:pt idx="99">
                  <c:v>4.8999999999999604</c:v>
                </c:pt>
                <c:pt idx="100">
                  <c:v>4.99999999999996</c:v>
                </c:pt>
              </c:numCache>
            </c:numRef>
          </c:xVal>
          <c:yVal>
            <c:numRef>
              <c:f>Ćw11!$B$2:$B$102</c:f>
              <c:numCache>
                <c:formatCode>General</c:formatCode>
                <c:ptCount val="101"/>
                <c:pt idx="0">
                  <c:v>13</c:v>
                </c:pt>
                <c:pt idx="1">
                  <c:v>11.52000000000001</c:v>
                </c:pt>
                <c:pt idx="2">
                  <c:v>10.079999999999998</c:v>
                </c:pt>
                <c:pt idx="3">
                  <c:v>8.6800000000000068</c:v>
                </c:pt>
                <c:pt idx="4">
                  <c:v>7.3199999999999932</c:v>
                </c:pt>
                <c:pt idx="5">
                  <c:v>6</c:v>
                </c:pt>
                <c:pt idx="6">
                  <c:v>4.720000000000006</c:v>
                </c:pt>
                <c:pt idx="7">
                  <c:v>3.4799999999999969</c:v>
                </c:pt>
                <c:pt idx="8">
                  <c:v>2.2800000000000011</c:v>
                </c:pt>
                <c:pt idx="9">
                  <c:v>1.1199999999999974</c:v>
                </c:pt>
                <c:pt idx="10">
                  <c:v>0</c:v>
                </c:pt>
                <c:pt idx="11">
                  <c:v>-1.0800000000000018</c:v>
                </c:pt>
                <c:pt idx="12">
                  <c:v>-2.120000000000001</c:v>
                </c:pt>
                <c:pt idx="13">
                  <c:v>-3.1199999999999974</c:v>
                </c:pt>
                <c:pt idx="14">
                  <c:v>-4.0799999999999983</c:v>
                </c:pt>
                <c:pt idx="15">
                  <c:v>-4.9999999999999076</c:v>
                </c:pt>
                <c:pt idx="16">
                  <c:v>-5.8799999999999137</c:v>
                </c:pt>
                <c:pt idx="17">
                  <c:v>-6.7199999999999172</c:v>
                </c:pt>
                <c:pt idx="18">
                  <c:v>-7.5199999999999214</c:v>
                </c:pt>
                <c:pt idx="19">
                  <c:v>-8.2799999999999265</c:v>
                </c:pt>
                <c:pt idx="20">
                  <c:v>-8.9999999999999307</c:v>
                </c:pt>
                <c:pt idx="21">
                  <c:v>-9.6799999999999322</c:v>
                </c:pt>
                <c:pt idx="22">
                  <c:v>-10.319999999999938</c:v>
                </c:pt>
                <c:pt idx="23">
                  <c:v>-10.919999999999943</c:v>
                </c:pt>
                <c:pt idx="24">
                  <c:v>-11.479999999999947</c:v>
                </c:pt>
                <c:pt idx="25">
                  <c:v>-11.999999999999948</c:v>
                </c:pt>
                <c:pt idx="26">
                  <c:v>-12.479999999999952</c:v>
                </c:pt>
                <c:pt idx="27">
                  <c:v>-12.919999999999957</c:v>
                </c:pt>
                <c:pt idx="28">
                  <c:v>-13.319999999999963</c:v>
                </c:pt>
                <c:pt idx="29">
                  <c:v>-13.679999999999968</c:v>
                </c:pt>
                <c:pt idx="30">
                  <c:v>-13.99999999999997</c:v>
                </c:pt>
                <c:pt idx="31">
                  <c:v>-14.279999999999974</c:v>
                </c:pt>
                <c:pt idx="32">
                  <c:v>-14.519999999999978</c:v>
                </c:pt>
                <c:pt idx="33">
                  <c:v>-14.719999999999981</c:v>
                </c:pt>
                <c:pt idx="34">
                  <c:v>-14.879999999999985</c:v>
                </c:pt>
                <c:pt idx="35">
                  <c:v>-14.999999999999989</c:v>
                </c:pt>
                <c:pt idx="36">
                  <c:v>-15.079999999999995</c:v>
                </c:pt>
                <c:pt idx="37">
                  <c:v>-15.119999999999997</c:v>
                </c:pt>
                <c:pt idx="38">
                  <c:v>-15.120000000000001</c:v>
                </c:pt>
                <c:pt idx="39">
                  <c:v>-15.080000000000005</c:v>
                </c:pt>
                <c:pt idx="40">
                  <c:v>-15.000000000000011</c:v>
                </c:pt>
                <c:pt idx="41">
                  <c:v>-14.880000000000013</c:v>
                </c:pt>
                <c:pt idx="42">
                  <c:v>-14.720000000000017</c:v>
                </c:pt>
                <c:pt idx="43">
                  <c:v>-14.520000000000044</c:v>
                </c:pt>
                <c:pt idx="44">
                  <c:v>-14.280000000000051</c:v>
                </c:pt>
                <c:pt idx="45">
                  <c:v>-14.00000000000006</c:v>
                </c:pt>
                <c:pt idx="46">
                  <c:v>-13.680000000000067</c:v>
                </c:pt>
                <c:pt idx="47">
                  <c:v>-13.320000000000077</c:v>
                </c:pt>
                <c:pt idx="48">
                  <c:v>-12.920000000000083</c:v>
                </c:pt>
                <c:pt idx="49">
                  <c:v>-12.480000000000093</c:v>
                </c:pt>
                <c:pt idx="50">
                  <c:v>-12.000000000000103</c:v>
                </c:pt>
                <c:pt idx="51">
                  <c:v>-11.480000000000107</c:v>
                </c:pt>
                <c:pt idx="52">
                  <c:v>-10.920000000000115</c:v>
                </c:pt>
                <c:pt idx="53">
                  <c:v>-10.320000000000125</c:v>
                </c:pt>
                <c:pt idx="54">
                  <c:v>-9.6800000000001312</c:v>
                </c:pt>
                <c:pt idx="55">
                  <c:v>-9.0000000000001403</c:v>
                </c:pt>
                <c:pt idx="56">
                  <c:v>-8.2800000000001468</c:v>
                </c:pt>
                <c:pt idx="57">
                  <c:v>-7.5200000000001568</c:v>
                </c:pt>
                <c:pt idx="58">
                  <c:v>-6.7200000000001641</c:v>
                </c:pt>
                <c:pt idx="59">
                  <c:v>-5.8800000000001713</c:v>
                </c:pt>
                <c:pt idx="60">
                  <c:v>-5.0000000000001794</c:v>
                </c:pt>
                <c:pt idx="61">
                  <c:v>-4.0800000000001866</c:v>
                </c:pt>
                <c:pt idx="62">
                  <c:v>-3.1200000000001964</c:v>
                </c:pt>
                <c:pt idx="63">
                  <c:v>-2.1200000000002035</c:v>
                </c:pt>
                <c:pt idx="64">
                  <c:v>-1.0800000000002132</c:v>
                </c:pt>
                <c:pt idx="65">
                  <c:v>-2.2026824808563106E-13</c:v>
                </c:pt>
                <c:pt idx="66">
                  <c:v>1.1199999999997736</c:v>
                </c:pt>
                <c:pt idx="67">
                  <c:v>2.2799999999997631</c:v>
                </c:pt>
                <c:pt idx="68">
                  <c:v>3.4799999999997571</c:v>
                </c:pt>
                <c:pt idx="69">
                  <c:v>4.7199999999997502</c:v>
                </c:pt>
                <c:pt idx="70">
                  <c:v>5.9999999999997407</c:v>
                </c:pt>
                <c:pt idx="71">
                  <c:v>7.3199999999995953</c:v>
                </c:pt>
                <c:pt idx="72">
                  <c:v>8.6799999999995876</c:v>
                </c:pt>
                <c:pt idx="73">
                  <c:v>10.079999999999576</c:v>
                </c:pt>
                <c:pt idx="74">
                  <c:v>11.519999999999563</c:v>
                </c:pt>
                <c:pt idx="75">
                  <c:v>12.999999999999545</c:v>
                </c:pt>
                <c:pt idx="76">
                  <c:v>14.519999999999534</c:v>
                </c:pt>
                <c:pt idx="77">
                  <c:v>16.079999999999526</c:v>
                </c:pt>
                <c:pt idx="78">
                  <c:v>17.679999999999517</c:v>
                </c:pt>
                <c:pt idx="79">
                  <c:v>19.319999999999503</c:v>
                </c:pt>
                <c:pt idx="80">
                  <c:v>20.999999999999488</c:v>
                </c:pt>
                <c:pt idx="81">
                  <c:v>22.719999999999473</c:v>
                </c:pt>
                <c:pt idx="82">
                  <c:v>24.479999999999464</c:v>
                </c:pt>
                <c:pt idx="83">
                  <c:v>26.279999999999454</c:v>
                </c:pt>
                <c:pt idx="84">
                  <c:v>28.119999999999443</c:v>
                </c:pt>
                <c:pt idx="85">
                  <c:v>29.999999999999432</c:v>
                </c:pt>
                <c:pt idx="86">
                  <c:v>31.919999999999419</c:v>
                </c:pt>
                <c:pt idx="87">
                  <c:v>33.879999999999406</c:v>
                </c:pt>
                <c:pt idx="88">
                  <c:v>35.879999999999399</c:v>
                </c:pt>
                <c:pt idx="89">
                  <c:v>37.919999999999384</c:v>
                </c:pt>
                <c:pt idx="90">
                  <c:v>39.999999999999368</c:v>
                </c:pt>
                <c:pt idx="91">
                  <c:v>42.119999999999365</c:v>
                </c:pt>
                <c:pt idx="92">
                  <c:v>44.279999999999347</c:v>
                </c:pt>
                <c:pt idx="93">
                  <c:v>46.479999999999322</c:v>
                </c:pt>
                <c:pt idx="94">
                  <c:v>48.719999999999324</c:v>
                </c:pt>
                <c:pt idx="95">
                  <c:v>50.999999999999311</c:v>
                </c:pt>
                <c:pt idx="96">
                  <c:v>53.319999999999311</c:v>
                </c:pt>
                <c:pt idx="97">
                  <c:v>55.679999999999296</c:v>
                </c:pt>
                <c:pt idx="98">
                  <c:v>58.079999999999259</c:v>
                </c:pt>
                <c:pt idx="99">
                  <c:v>60.519999999999015</c:v>
                </c:pt>
                <c:pt idx="100">
                  <c:v>62.999999999999005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5E-4C4F-9C01-CCF9E52B0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761136"/>
        <c:axId val="767760744"/>
      </c:scatterChart>
      <c:valAx>
        <c:axId val="76776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7760744"/>
        <c:crosses val="autoZero"/>
        <c:crossBetween val="midCat"/>
      </c:valAx>
      <c:valAx>
        <c:axId val="76776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776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FF0000"/>
  </sheetPr>
  <sheetViews>
    <sheetView zoomScale="86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600808</xdr:colOff>
      <xdr:row>4</xdr:row>
      <xdr:rowOff>36634</xdr:rowOff>
    </xdr:from>
    <xdr:to>
      <xdr:col>8</xdr:col>
      <xdr:colOff>21980</xdr:colOff>
      <xdr:row>8</xdr:row>
      <xdr:rowOff>36633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557096" y="798634"/>
          <a:ext cx="2461846" cy="7619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wykres kolumnowy na podstawie danych. Nazwij go (tytuł wykresu) "</a:t>
          </a:r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Oceny z przedmiotów".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278423</xdr:colOff>
      <xdr:row>1</xdr:row>
      <xdr:rowOff>46159</xdr:rowOff>
    </xdr:from>
    <xdr:to>
      <xdr:col>11</xdr:col>
      <xdr:colOff>593481</xdr:colOff>
      <xdr:row>15</xdr:row>
      <xdr:rowOff>122359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4</xdr:row>
      <xdr:rowOff>36634</xdr:rowOff>
    </xdr:from>
    <xdr:to>
      <xdr:col>8</xdr:col>
      <xdr:colOff>600807</xdr:colOff>
      <xdr:row>9</xdr:row>
      <xdr:rowOff>73269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135923" y="798634"/>
          <a:ext cx="2461846" cy="9891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wykres słupkowy na podstawie danych. Dopasuj go rozmiarem w komórki arkusza. Przyda Ci się odpowiedni klawisz.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454268</xdr:colOff>
      <xdr:row>9</xdr:row>
      <xdr:rowOff>153866</xdr:rowOff>
    </xdr:from>
    <xdr:to>
      <xdr:col>4</xdr:col>
      <xdr:colOff>351691</xdr:colOff>
      <xdr:row>15</xdr:row>
      <xdr:rowOff>1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454268" y="1868366"/>
          <a:ext cx="2461846" cy="9891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Klawisz to Alt, przy zmianie rozmiaru wykresu.</a:t>
          </a:r>
          <a:endParaRPr lang="pl-PL" sz="1100"/>
        </a:p>
      </xdr:txBody>
    </xdr:sp>
    <xdr:clientData/>
  </xdr:twoCellAnchor>
  <xdr:twoCellAnchor>
    <xdr:from>
      <xdr:col>4</xdr:col>
      <xdr:colOff>608134</xdr:colOff>
      <xdr:row>2</xdr:row>
      <xdr:rowOff>190499</xdr:rowOff>
    </xdr:from>
    <xdr:to>
      <xdr:col>12</xdr:col>
      <xdr:colOff>608134</xdr:colOff>
      <xdr:row>15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271094</xdr:colOff>
      <xdr:row>1</xdr:row>
      <xdr:rowOff>14655</xdr:rowOff>
    </xdr:from>
    <xdr:to>
      <xdr:col>7</xdr:col>
      <xdr:colOff>263767</xdr:colOff>
      <xdr:row>6</xdr:row>
      <xdr:rowOff>36635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970940" y="205155"/>
          <a:ext cx="3033346" cy="9744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 podstawie zmyślonych danych o populacji stwórz wykres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kołowy, który odpowiednio ją przedstawi. Pamiętaj o etykietach danych zamiast legendy.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73267</xdr:colOff>
      <xdr:row>10</xdr:row>
      <xdr:rowOff>51289</xdr:rowOff>
    </xdr:from>
    <xdr:to>
      <xdr:col>4</xdr:col>
      <xdr:colOff>190498</xdr:colOff>
      <xdr:row>14</xdr:row>
      <xdr:rowOff>124558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73267" y="1956289"/>
          <a:ext cx="3033346" cy="8352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Pamiętaj musisz posortować dane by miały sens i zmienić rozmiar drugiego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koła (ewentualnie "słupka").</a:t>
          </a:r>
          <a:endParaRPr lang="pl-PL" sz="1100"/>
        </a:p>
      </xdr:txBody>
    </xdr:sp>
    <xdr:clientData/>
  </xdr:twoCellAnchor>
  <xdr:twoCellAnchor>
    <xdr:from>
      <xdr:col>5</xdr:col>
      <xdr:colOff>329711</xdr:colOff>
      <xdr:row>0</xdr:row>
      <xdr:rowOff>131884</xdr:rowOff>
    </xdr:from>
    <xdr:to>
      <xdr:col>12</xdr:col>
      <xdr:colOff>373673</xdr:colOff>
      <xdr:row>13</xdr:row>
      <xdr:rowOff>186103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527537</xdr:colOff>
      <xdr:row>1</xdr:row>
      <xdr:rowOff>139212</xdr:rowOff>
    </xdr:from>
    <xdr:to>
      <xdr:col>7</xdr:col>
      <xdr:colOff>520210</xdr:colOff>
      <xdr:row>7</xdr:row>
      <xdr:rowOff>80596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853710" y="329712"/>
          <a:ext cx="3033346" cy="10843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wykres na podstawie danych.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Jakiego rodzaju wykresu byś użył. Czy widzisz sens tworzyć dla takiego rodzaju wykresu linię trendu?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571501</xdr:colOff>
      <xdr:row>0</xdr:row>
      <xdr:rowOff>139212</xdr:rowOff>
    </xdr:from>
    <xdr:to>
      <xdr:col>12</xdr:col>
      <xdr:colOff>278424</xdr:colOff>
      <xdr:row>15</xdr:row>
      <xdr:rowOff>24912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</xdr:row>
      <xdr:rowOff>0</xdr:rowOff>
    </xdr:from>
    <xdr:to>
      <xdr:col>5</xdr:col>
      <xdr:colOff>139211</xdr:colOff>
      <xdr:row>8</xdr:row>
      <xdr:rowOff>131884</xdr:rowOff>
    </xdr:to>
    <xdr:sp macro="" textlink="">
      <xdr:nvSpPr>
        <xdr:cNvPr id="6" name="Prostokąt zaokrąglony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42192" y="571500"/>
          <a:ext cx="3033346" cy="10843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Wykres punktowy z wygładzonymi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liniami i dla tego wykresu linia trendu nie ma sensu, bo jest wynikiem wielomianu drugiego stopnia.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175847</xdr:colOff>
      <xdr:row>8</xdr:row>
      <xdr:rowOff>146540</xdr:rowOff>
    </xdr:from>
    <xdr:to>
      <xdr:col>4</xdr:col>
      <xdr:colOff>109904</xdr:colOff>
      <xdr:row>14</xdr:row>
      <xdr:rowOff>95250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5847" y="1670540"/>
          <a:ext cx="2776903" cy="109171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wykres liniowy ze znacznikami na podsatwie danych. Czy ten wykres nie wprowadza czasem w błąd? Co możesz zrobić, żeby lepiej odzwierciedlał dane, ale pozostał wykresem liniowym?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520211</xdr:colOff>
      <xdr:row>0</xdr:row>
      <xdr:rowOff>0</xdr:rowOff>
    </xdr:from>
    <xdr:to>
      <xdr:col>10</xdr:col>
      <xdr:colOff>227134</xdr:colOff>
      <xdr:row>14</xdr:row>
      <xdr:rowOff>76200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0</xdr:rowOff>
    </xdr:from>
    <xdr:to>
      <xdr:col>2</xdr:col>
      <xdr:colOff>337038</xdr:colOff>
      <xdr:row>17</xdr:row>
      <xdr:rowOff>117231</xdr:rowOff>
    </xdr:to>
    <xdr:sp macro="" textlink="">
      <xdr:nvSpPr>
        <xdr:cNvPr id="5" name="Prostokąt zaokrąglony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1714500"/>
          <a:ext cx="1963615" cy="164123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Możesz wyłączyć pokazywanie linii,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ale pewnie wykres kolumnowy lepiej pokazywałby dni ze sprzedażą. Sam musisz decydować jak pokazywać dane, żeby były czytelne.</a:t>
          </a:r>
          <a:endParaRPr lang="pl-PL" sz="1100"/>
        </a:p>
      </xdr:txBody>
    </xdr:sp>
    <xdr:clientData/>
  </xdr:twoCellAnchor>
  <xdr:twoCellAnchor>
    <xdr:from>
      <xdr:col>2</xdr:col>
      <xdr:colOff>468923</xdr:colOff>
      <xdr:row>15</xdr:row>
      <xdr:rowOff>29308</xdr:rowOff>
    </xdr:from>
    <xdr:to>
      <xdr:col>10</xdr:col>
      <xdr:colOff>175846</xdr:colOff>
      <xdr:row>29</xdr:row>
      <xdr:rowOff>105508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8283</xdr:rowOff>
    </xdr:from>
    <xdr:to>
      <xdr:col>6</xdr:col>
      <xdr:colOff>441207</xdr:colOff>
      <xdr:row>16</xdr:row>
      <xdr:rowOff>139210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623391" y="2294283"/>
          <a:ext cx="2776903" cy="12739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histogram na podstawie obliczonych osób w poszczególnych grupach. Musisz wziąć odpowiednie kolumny z nazwami punków i obliczeń. Histogram tu to wykres kolumnowy.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811696</xdr:colOff>
      <xdr:row>1</xdr:row>
      <xdr:rowOff>520975</xdr:rowOff>
    </xdr:from>
    <xdr:to>
      <xdr:col>10</xdr:col>
      <xdr:colOff>480391</xdr:colOff>
      <xdr:row>16</xdr:row>
      <xdr:rowOff>25675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140805</xdr:colOff>
      <xdr:row>5</xdr:row>
      <xdr:rowOff>157369</xdr:rowOff>
    </xdr:from>
    <xdr:to>
      <xdr:col>5</xdr:col>
      <xdr:colOff>109904</xdr:colOff>
      <xdr:row>12</xdr:row>
      <xdr:rowOff>97796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40805" y="1490869"/>
          <a:ext cx="2776903" cy="127392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Musisz zblizyć do siebie poszczególne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kolumny i w opcjach wypełnienia zaznaczyć odpowiednią opcję.</a:t>
          </a:r>
          <a:endParaRPr lang="pl-P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6</xdr:row>
      <xdr:rowOff>87923</xdr:rowOff>
    </xdr:from>
    <xdr:to>
      <xdr:col>6</xdr:col>
      <xdr:colOff>315056</xdr:colOff>
      <xdr:row>11</xdr:row>
      <xdr:rowOff>73269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1685191" y="1230923"/>
          <a:ext cx="2461846" cy="93784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Pokaż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odpowiednio na wykresie wyniki poszczególnych zawodników. Podaj ich numery na wykresie w odpowiednim miejscu.</a:t>
          </a:r>
          <a:endParaRPr lang="pl-PL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241788</xdr:colOff>
      <xdr:row>0</xdr:row>
      <xdr:rowOff>31505</xdr:rowOff>
    </xdr:from>
    <xdr:to>
      <xdr:col>10</xdr:col>
      <xdr:colOff>556846</xdr:colOff>
      <xdr:row>14</xdr:row>
      <xdr:rowOff>107705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234461</xdr:colOff>
      <xdr:row>6</xdr:row>
      <xdr:rowOff>58615</xdr:rowOff>
    </xdr:from>
    <xdr:to>
      <xdr:col>4</xdr:col>
      <xdr:colOff>80595</xdr:colOff>
      <xdr:row>16</xdr:row>
      <xdr:rowOff>7327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234461" y="1201615"/>
          <a:ext cx="2461846" cy="185371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Musisz uważać co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Excel chce umieścić jako seria, a co jako etykieta.</a:t>
          </a:r>
        </a:p>
        <a:p>
          <a:pPr algn="ctr"/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Liczby są automatycznie traktowane jako serie, a możesz chcieć pokazać je na osi. Wtedy raczej musisz odpowiednio zaznaczyć dane. Odpowiednie polecenie w kartach wykresów.</a:t>
          </a:r>
          <a:endParaRPr lang="pl-PL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732692</xdr:colOff>
      <xdr:row>6</xdr:row>
      <xdr:rowOff>65942</xdr:rowOff>
    </xdr:from>
    <xdr:to>
      <xdr:col>4</xdr:col>
      <xdr:colOff>578825</xdr:colOff>
      <xdr:row>11</xdr:row>
      <xdr:rowOff>139211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732692" y="2051538"/>
          <a:ext cx="2461845" cy="10257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Pokaż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symbolicznie czy czasy poszczególnych zawodników się poprawiają czy nie. (wykresy przebiegu w czasie).</a:t>
          </a:r>
          <a:endParaRPr lang="pl-PL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732692</xdr:colOff>
      <xdr:row>6</xdr:row>
      <xdr:rowOff>65942</xdr:rowOff>
    </xdr:from>
    <xdr:to>
      <xdr:col>14</xdr:col>
      <xdr:colOff>87923</xdr:colOff>
      <xdr:row>11</xdr:row>
      <xdr:rowOff>139211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732692" y="2051538"/>
          <a:ext cx="3245827" cy="10257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Specjalnie ukryto część danych.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Znajdź odpowiednią opcję wykresu przebiegu w czasie, żeby ukryte dane też były widoczne.</a:t>
          </a:r>
          <a:endParaRPr lang="pl-PL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366346</xdr:colOff>
      <xdr:row>6</xdr:row>
      <xdr:rowOff>183173</xdr:rowOff>
    </xdr:from>
    <xdr:to>
      <xdr:col>14</xdr:col>
      <xdr:colOff>512885</xdr:colOff>
      <xdr:row>10</xdr:row>
      <xdr:rowOff>51288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1157654" y="2168769"/>
          <a:ext cx="3245827" cy="6301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Rozwiń polecenie Edytuj dane.</a:t>
          </a:r>
          <a:endParaRPr lang="pl-PL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80597</xdr:colOff>
      <xdr:row>3</xdr:row>
      <xdr:rowOff>227134</xdr:rowOff>
    </xdr:from>
    <xdr:to>
      <xdr:col>4</xdr:col>
      <xdr:colOff>146540</xdr:colOff>
      <xdr:row>6</xdr:row>
      <xdr:rowOff>168518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80597" y="967153"/>
          <a:ext cx="3355731" cy="101844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wykres,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który dobrze pokaże obok siebie ilość wyprodukowanych sztuk i ilość przepracowanych godzin (podpowiedź oś pomocnicza).</a:t>
          </a:r>
          <a:b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Skorzystaj z nazwy w komórce A1 do tytułu wykresu.</a:t>
          </a:r>
          <a:endParaRPr lang="pl-PL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65942</xdr:colOff>
      <xdr:row>0</xdr:row>
      <xdr:rowOff>170717</xdr:rowOff>
    </xdr:from>
    <xdr:to>
      <xdr:col>10</xdr:col>
      <xdr:colOff>381000</xdr:colOff>
      <xdr:row>10</xdr:row>
      <xdr:rowOff>166321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527537</xdr:colOff>
      <xdr:row>1</xdr:row>
      <xdr:rowOff>139212</xdr:rowOff>
    </xdr:from>
    <xdr:to>
      <xdr:col>7</xdr:col>
      <xdr:colOff>520210</xdr:colOff>
      <xdr:row>7</xdr:row>
      <xdr:rowOff>80596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1927712" y="329712"/>
          <a:ext cx="3040673" cy="108438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Przedstaw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dane na osobnym arkuszu na wykresie.</a:t>
          </a:r>
          <a:endParaRPr lang="pl-PL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56674" cy="6282070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0.03414</cdr:x>
      <cdr:y>0.2244</cdr:y>
    </cdr:from>
    <cdr:to>
      <cdr:x>0.41413</cdr:x>
      <cdr:y>0.53117</cdr:y>
    </cdr:to>
    <cdr:sp macro="" textlink="">
      <cdr:nvSpPr>
        <cdr:cNvPr id="2" name="Prostokąt zaokrąglony 1"/>
        <cdr:cNvSpPr/>
      </cdr:nvSpPr>
      <cdr:spPr>
        <a:xfrm xmlns:a="http://schemas.openxmlformats.org/drawingml/2006/main">
          <a:off x="317500" y="1362604"/>
          <a:ext cx="3533938" cy="1862788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6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Skrót do wstawienie</a:t>
          </a:r>
          <a:r>
            <a:rPr lang="pl-PL" sz="16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wykresu na nowym arkuszu to F11, ale wstawi domyślny rodzaj wykresu, więc może będzie wygodniej wstawić wykres, a następnie przenieść go na nowy arkusz (podręczne menu).</a:t>
          </a:r>
          <a:endParaRPr lang="pl-PL" sz="16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D9"/>
  <sheetViews>
    <sheetView tabSelected="1" zoomScale="130" zoomScaleNormal="130" workbookViewId="0">
      <selection activeCell="A2" sqref="A2"/>
    </sheetView>
  </sheetViews>
  <sheetFormatPr defaultColWidth="9.109375" defaultRowHeight="14.4" x14ac:dyDescent="0.3"/>
  <cols>
    <col min="1" max="1" width="11.109375" style="3" bestFit="1" customWidth="1"/>
    <col min="2" max="16384" width="9.109375" style="3"/>
  </cols>
  <sheetData>
    <row r="1" spans="1:4" x14ac:dyDescent="0.3">
      <c r="A1" s="2"/>
      <c r="B1" s="2" t="s">
        <v>21</v>
      </c>
      <c r="C1" s="2" t="s">
        <v>22</v>
      </c>
      <c r="D1" s="2" t="s">
        <v>23</v>
      </c>
    </row>
    <row r="2" spans="1:4" x14ac:dyDescent="0.3">
      <c r="A2" s="2" t="s">
        <v>0</v>
      </c>
      <c r="B2" s="4">
        <v>4.5</v>
      </c>
      <c r="C2" s="4">
        <v>3</v>
      </c>
      <c r="D2" s="4">
        <v>2</v>
      </c>
    </row>
    <row r="3" spans="1:4" x14ac:dyDescent="0.3">
      <c r="A3" s="2" t="s">
        <v>18</v>
      </c>
      <c r="B3" s="4">
        <v>5</v>
      </c>
      <c r="C3" s="4">
        <v>4</v>
      </c>
      <c r="D3" s="4">
        <v>6</v>
      </c>
    </row>
    <row r="4" spans="1:4" x14ac:dyDescent="0.3">
      <c r="A4" s="2" t="s">
        <v>19</v>
      </c>
      <c r="B4" s="4">
        <v>3.5</v>
      </c>
      <c r="C4" s="4">
        <v>6</v>
      </c>
      <c r="D4" s="4">
        <v>4.5</v>
      </c>
    </row>
    <row r="5" spans="1:4" x14ac:dyDescent="0.3">
      <c r="A5" s="2" t="s">
        <v>3</v>
      </c>
      <c r="B5" s="4">
        <v>3.5</v>
      </c>
      <c r="C5" s="4">
        <v>2</v>
      </c>
      <c r="D5" s="4">
        <v>4.5</v>
      </c>
    </row>
    <row r="6" spans="1:4" x14ac:dyDescent="0.3">
      <c r="A6" s="2" t="s">
        <v>1</v>
      </c>
      <c r="B6" s="4">
        <v>4.5</v>
      </c>
      <c r="C6" s="4">
        <v>5</v>
      </c>
      <c r="D6" s="4">
        <v>4</v>
      </c>
    </row>
    <row r="7" spans="1:4" x14ac:dyDescent="0.3">
      <c r="A7" s="2" t="s">
        <v>20</v>
      </c>
      <c r="B7" s="4">
        <v>5</v>
      </c>
      <c r="C7" s="4">
        <v>2.5</v>
      </c>
      <c r="D7" s="4">
        <v>6</v>
      </c>
    </row>
    <row r="8" spans="1:4" x14ac:dyDescent="0.3">
      <c r="A8" s="2" t="s">
        <v>4</v>
      </c>
      <c r="B8" s="4">
        <v>4</v>
      </c>
      <c r="C8" s="4">
        <v>4.5</v>
      </c>
      <c r="D8" s="4">
        <v>5</v>
      </c>
    </row>
    <row r="9" spans="1:4" x14ac:dyDescent="0.3">
      <c r="A9" s="2" t="s">
        <v>2</v>
      </c>
      <c r="B9" s="4">
        <v>3</v>
      </c>
      <c r="C9" s="4">
        <v>2.5</v>
      </c>
      <c r="D9" s="4">
        <v>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D9"/>
  <sheetViews>
    <sheetView zoomScale="130" zoomScaleNormal="130" workbookViewId="0"/>
  </sheetViews>
  <sheetFormatPr defaultColWidth="9.109375" defaultRowHeight="14.4" x14ac:dyDescent="0.3"/>
  <cols>
    <col min="1" max="1" width="11.109375" style="1" bestFit="1" customWidth="1"/>
    <col min="2" max="16384" width="9.109375" style="1"/>
  </cols>
  <sheetData>
    <row r="1" spans="1:4" x14ac:dyDescent="0.3">
      <c r="A1" s="2"/>
      <c r="B1" s="2" t="s">
        <v>21</v>
      </c>
      <c r="C1" s="2" t="s">
        <v>22</v>
      </c>
      <c r="D1" s="2" t="s">
        <v>23</v>
      </c>
    </row>
    <row r="2" spans="1:4" x14ac:dyDescent="0.3">
      <c r="A2" s="2" t="s">
        <v>0</v>
      </c>
      <c r="B2" s="4">
        <v>4.5</v>
      </c>
      <c r="C2" s="4">
        <v>3</v>
      </c>
      <c r="D2" s="4">
        <v>2</v>
      </c>
    </row>
    <row r="3" spans="1:4" x14ac:dyDescent="0.3">
      <c r="A3" s="2" t="s">
        <v>18</v>
      </c>
      <c r="B3" s="4">
        <v>5</v>
      </c>
      <c r="C3" s="4">
        <v>4</v>
      </c>
      <c r="D3" s="4">
        <v>6</v>
      </c>
    </row>
    <row r="4" spans="1:4" x14ac:dyDescent="0.3">
      <c r="A4" s="2" t="s">
        <v>19</v>
      </c>
      <c r="B4" s="4">
        <v>3.5</v>
      </c>
      <c r="C4" s="4">
        <v>6</v>
      </c>
      <c r="D4" s="4">
        <v>4.5</v>
      </c>
    </row>
    <row r="5" spans="1:4" x14ac:dyDescent="0.3">
      <c r="A5" s="2" t="s">
        <v>3</v>
      </c>
      <c r="B5" s="4">
        <v>3.5</v>
      </c>
      <c r="C5" s="4">
        <v>2</v>
      </c>
      <c r="D5" s="4">
        <v>4.5</v>
      </c>
    </row>
    <row r="6" spans="1:4" x14ac:dyDescent="0.3">
      <c r="A6" s="2" t="s">
        <v>1</v>
      </c>
      <c r="B6" s="4">
        <v>4.5</v>
      </c>
      <c r="C6" s="4">
        <v>5</v>
      </c>
      <c r="D6" s="4">
        <v>4</v>
      </c>
    </row>
    <row r="7" spans="1:4" x14ac:dyDescent="0.3">
      <c r="A7" s="2" t="s">
        <v>20</v>
      </c>
      <c r="B7" s="4">
        <v>5</v>
      </c>
      <c r="C7" s="4">
        <v>2.5</v>
      </c>
      <c r="D7" s="4">
        <v>6</v>
      </c>
    </row>
    <row r="8" spans="1:4" x14ac:dyDescent="0.3">
      <c r="A8" s="2" t="s">
        <v>4</v>
      </c>
      <c r="B8" s="4">
        <v>4</v>
      </c>
      <c r="C8" s="4">
        <v>4.5</v>
      </c>
      <c r="D8" s="4">
        <v>5</v>
      </c>
    </row>
    <row r="9" spans="1:4" x14ac:dyDescent="0.3">
      <c r="A9" s="2" t="s">
        <v>2</v>
      </c>
      <c r="B9" s="4">
        <v>3</v>
      </c>
      <c r="C9" s="4">
        <v>2.5</v>
      </c>
      <c r="D9" s="4">
        <v>4</v>
      </c>
    </row>
  </sheetData>
  <dataValidations count="1">
    <dataValidation type="decimal" allowBlank="1" showInputMessage="1" showErrorMessage="1" sqref="B3:F10" xr:uid="{00000000-0002-0000-0100-000000000000}">
      <formula1>1</formula1>
      <formula2>6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D9"/>
  <sheetViews>
    <sheetView zoomScale="130" zoomScaleNormal="130" workbookViewId="0">
      <selection sqref="A1:XFD1048576"/>
    </sheetView>
  </sheetViews>
  <sheetFormatPr defaultColWidth="9.109375" defaultRowHeight="14.4" x14ac:dyDescent="0.3"/>
  <cols>
    <col min="1" max="1" width="11.109375" style="3" bestFit="1" customWidth="1"/>
    <col min="2" max="16384" width="9.109375" style="3"/>
  </cols>
  <sheetData>
    <row r="1" spans="1:4" x14ac:dyDescent="0.3">
      <c r="A1" s="2"/>
      <c r="B1" s="2" t="s">
        <v>21</v>
      </c>
      <c r="C1" s="2" t="s">
        <v>22</v>
      </c>
      <c r="D1" s="2" t="s">
        <v>23</v>
      </c>
    </row>
    <row r="2" spans="1:4" x14ac:dyDescent="0.3">
      <c r="A2" s="2" t="s">
        <v>0</v>
      </c>
      <c r="B2" s="4">
        <v>4.5</v>
      </c>
      <c r="C2" s="4">
        <v>3</v>
      </c>
      <c r="D2" s="4">
        <v>2</v>
      </c>
    </row>
    <row r="3" spans="1:4" x14ac:dyDescent="0.3">
      <c r="A3" s="2" t="s">
        <v>18</v>
      </c>
      <c r="B3" s="4">
        <v>5</v>
      </c>
      <c r="C3" s="4">
        <v>4</v>
      </c>
      <c r="D3" s="4">
        <v>6</v>
      </c>
    </row>
    <row r="4" spans="1:4" x14ac:dyDescent="0.3">
      <c r="A4" s="2" t="s">
        <v>19</v>
      </c>
      <c r="B4" s="4">
        <v>3.5</v>
      </c>
      <c r="C4" s="4">
        <v>6</v>
      </c>
      <c r="D4" s="4">
        <v>4.5</v>
      </c>
    </row>
    <row r="5" spans="1:4" x14ac:dyDescent="0.3">
      <c r="A5" s="2" t="s">
        <v>3</v>
      </c>
      <c r="B5" s="4">
        <v>3.5</v>
      </c>
      <c r="C5" s="4">
        <v>2</v>
      </c>
      <c r="D5" s="4">
        <v>4.5</v>
      </c>
    </row>
    <row r="6" spans="1:4" x14ac:dyDescent="0.3">
      <c r="A6" s="2" t="s">
        <v>1</v>
      </c>
      <c r="B6" s="4">
        <v>4.5</v>
      </c>
      <c r="C6" s="4">
        <v>5</v>
      </c>
      <c r="D6" s="4">
        <v>4</v>
      </c>
    </row>
    <row r="7" spans="1:4" x14ac:dyDescent="0.3">
      <c r="A7" s="2" t="s">
        <v>20</v>
      </c>
      <c r="B7" s="4">
        <v>5</v>
      </c>
      <c r="C7" s="4">
        <v>2.5</v>
      </c>
      <c r="D7" s="4">
        <v>6</v>
      </c>
    </row>
    <row r="8" spans="1:4" x14ac:dyDescent="0.3">
      <c r="A8" s="2" t="s">
        <v>4</v>
      </c>
      <c r="B8" s="4">
        <v>4</v>
      </c>
      <c r="C8" s="4">
        <v>4.5</v>
      </c>
      <c r="D8" s="4">
        <v>5</v>
      </c>
    </row>
    <row r="9" spans="1:4" x14ac:dyDescent="0.3">
      <c r="A9" s="2" t="s">
        <v>2</v>
      </c>
      <c r="B9" s="4">
        <v>3</v>
      </c>
      <c r="C9" s="4">
        <v>2.5</v>
      </c>
      <c r="D9" s="4">
        <v>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9"/>
  <sheetViews>
    <sheetView zoomScale="130" zoomScaleNormal="130" workbookViewId="0">
      <selection activeCell="A3" sqref="A3"/>
    </sheetView>
  </sheetViews>
  <sheetFormatPr defaultColWidth="9.109375" defaultRowHeight="14.4" x14ac:dyDescent="0.3"/>
  <cols>
    <col min="1" max="1" width="11.109375" style="1" bestFit="1" customWidth="1"/>
    <col min="2" max="16384" width="9.109375" style="1"/>
  </cols>
  <sheetData>
    <row r="1" spans="1:4" x14ac:dyDescent="0.3">
      <c r="A1" s="2"/>
      <c r="B1" s="2" t="s">
        <v>21</v>
      </c>
      <c r="C1" s="2" t="s">
        <v>22</v>
      </c>
      <c r="D1" s="2" t="s">
        <v>23</v>
      </c>
    </row>
    <row r="2" spans="1:4" x14ac:dyDescent="0.3">
      <c r="A2" s="2" t="s">
        <v>0</v>
      </c>
      <c r="B2" s="4">
        <v>4.5</v>
      </c>
      <c r="C2" s="4">
        <v>3</v>
      </c>
      <c r="D2" s="4">
        <v>2</v>
      </c>
    </row>
    <row r="3" spans="1:4" x14ac:dyDescent="0.3">
      <c r="A3" s="2" t="s">
        <v>18</v>
      </c>
      <c r="B3" s="4">
        <v>5</v>
      </c>
      <c r="C3" s="4">
        <v>4</v>
      </c>
      <c r="D3" s="4">
        <v>6</v>
      </c>
    </row>
    <row r="4" spans="1:4" x14ac:dyDescent="0.3">
      <c r="A4" s="2" t="s">
        <v>19</v>
      </c>
      <c r="B4" s="4">
        <v>3.5</v>
      </c>
      <c r="C4" s="4">
        <v>6</v>
      </c>
      <c r="D4" s="4">
        <v>4.5</v>
      </c>
    </row>
    <row r="5" spans="1:4" x14ac:dyDescent="0.3">
      <c r="A5" s="2" t="s">
        <v>3</v>
      </c>
      <c r="B5" s="4">
        <v>3.5</v>
      </c>
      <c r="C5" s="4">
        <v>2</v>
      </c>
      <c r="D5" s="4">
        <v>4.5</v>
      </c>
    </row>
    <row r="6" spans="1:4" x14ac:dyDescent="0.3">
      <c r="A6" s="2" t="s">
        <v>1</v>
      </c>
      <c r="B6" s="4">
        <v>4.5</v>
      </c>
      <c r="C6" s="4">
        <v>5</v>
      </c>
      <c r="D6" s="4">
        <v>4</v>
      </c>
    </row>
    <row r="7" spans="1:4" x14ac:dyDescent="0.3">
      <c r="A7" s="2" t="s">
        <v>20</v>
      </c>
      <c r="B7" s="4">
        <v>5</v>
      </c>
      <c r="C7" s="4">
        <v>2.5</v>
      </c>
      <c r="D7" s="4">
        <v>6</v>
      </c>
    </row>
    <row r="8" spans="1:4" x14ac:dyDescent="0.3">
      <c r="A8" s="2" t="s">
        <v>4</v>
      </c>
      <c r="B8" s="4">
        <v>4</v>
      </c>
      <c r="C8" s="4">
        <v>4.5</v>
      </c>
      <c r="D8" s="4">
        <v>5</v>
      </c>
    </row>
    <row r="9" spans="1:4" x14ac:dyDescent="0.3">
      <c r="A9" s="2" t="s">
        <v>2</v>
      </c>
      <c r="B9" s="4">
        <v>3</v>
      </c>
      <c r="C9" s="4">
        <v>2.5</v>
      </c>
      <c r="D9" s="4">
        <v>4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B10"/>
  <sheetViews>
    <sheetView zoomScale="130" zoomScaleNormal="130" workbookViewId="0">
      <selection activeCell="B4" sqref="B4"/>
    </sheetView>
  </sheetViews>
  <sheetFormatPr defaultRowHeight="14.4" x14ac:dyDescent="0.3"/>
  <cols>
    <col min="1" max="1" width="14" style="9" customWidth="1"/>
    <col min="2" max="2" width="11.5546875" style="6" bestFit="1" customWidth="1"/>
    <col min="3" max="16384" width="8.88671875" style="6"/>
  </cols>
  <sheetData>
    <row r="1" spans="1:2" x14ac:dyDescent="0.3">
      <c r="A1" s="5" t="s">
        <v>7</v>
      </c>
      <c r="B1" s="5" t="s">
        <v>24</v>
      </c>
    </row>
    <row r="2" spans="1:2" x14ac:dyDescent="0.3">
      <c r="A2" s="7" t="s">
        <v>10</v>
      </c>
      <c r="B2" s="8">
        <v>822</v>
      </c>
    </row>
    <row r="3" spans="1:2" x14ac:dyDescent="0.3">
      <c r="A3" s="7" t="s">
        <v>15</v>
      </c>
      <c r="B3" s="8">
        <v>88</v>
      </c>
    </row>
    <row r="4" spans="1:2" x14ac:dyDescent="0.3">
      <c r="A4" s="7" t="s">
        <v>16</v>
      </c>
      <c r="B4" s="8">
        <v>24</v>
      </c>
    </row>
    <row r="5" spans="1:2" x14ac:dyDescent="0.3">
      <c r="A5" s="7" t="s">
        <v>11</v>
      </c>
      <c r="B5" s="8">
        <v>1655</v>
      </c>
    </row>
    <row r="6" spans="1:2" x14ac:dyDescent="0.3">
      <c r="A6" s="7" t="s">
        <v>12</v>
      </c>
      <c r="B6" s="8">
        <v>481</v>
      </c>
    </row>
    <row r="7" spans="1:2" x14ac:dyDescent="0.3">
      <c r="A7" s="7" t="s">
        <v>13</v>
      </c>
      <c r="B7" s="8">
        <v>470</v>
      </c>
    </row>
    <row r="8" spans="1:2" x14ac:dyDescent="0.3">
      <c r="A8" s="7" t="s">
        <v>17</v>
      </c>
      <c r="B8" s="8">
        <v>10</v>
      </c>
    </row>
    <row r="9" spans="1:2" x14ac:dyDescent="0.3">
      <c r="A9" s="7" t="s">
        <v>9</v>
      </c>
      <c r="B9" s="8">
        <v>958</v>
      </c>
    </row>
    <row r="10" spans="1:2" x14ac:dyDescent="0.3">
      <c r="A10" s="7" t="s">
        <v>14</v>
      </c>
      <c r="B10" s="8">
        <v>321</v>
      </c>
    </row>
  </sheetData>
  <sortState xmlns:xlrd2="http://schemas.microsoft.com/office/spreadsheetml/2017/richdata2" ref="B2:B10">
    <sortCondition descending="1" ref="B10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B10"/>
  <sheetViews>
    <sheetView zoomScale="130" zoomScaleNormal="130" workbookViewId="0">
      <selection activeCell="B2" sqref="B2"/>
    </sheetView>
  </sheetViews>
  <sheetFormatPr defaultRowHeight="14.4" x14ac:dyDescent="0.3"/>
  <cols>
    <col min="1" max="1" width="14" style="9" customWidth="1"/>
    <col min="2" max="2" width="11.5546875" style="6" bestFit="1" customWidth="1"/>
    <col min="3" max="16384" width="8.88671875" style="6"/>
  </cols>
  <sheetData>
    <row r="1" spans="1:2" x14ac:dyDescent="0.3">
      <c r="A1" s="5" t="s">
        <v>7</v>
      </c>
      <c r="B1" s="5" t="s">
        <v>24</v>
      </c>
    </row>
    <row r="2" spans="1:2" x14ac:dyDescent="0.3">
      <c r="A2" s="7" t="s">
        <v>11</v>
      </c>
      <c r="B2" s="8">
        <v>1655</v>
      </c>
    </row>
    <row r="3" spans="1:2" x14ac:dyDescent="0.3">
      <c r="A3" s="7" t="s">
        <v>9</v>
      </c>
      <c r="B3" s="8">
        <v>958</v>
      </c>
    </row>
    <row r="4" spans="1:2" x14ac:dyDescent="0.3">
      <c r="A4" s="7" t="s">
        <v>10</v>
      </c>
      <c r="B4" s="8">
        <v>822</v>
      </c>
    </row>
    <row r="5" spans="1:2" x14ac:dyDescent="0.3">
      <c r="A5" s="7" t="s">
        <v>12</v>
      </c>
      <c r="B5" s="8">
        <v>481</v>
      </c>
    </row>
    <row r="6" spans="1:2" x14ac:dyDescent="0.3">
      <c r="A6" s="7" t="s">
        <v>13</v>
      </c>
      <c r="B6" s="8">
        <v>470</v>
      </c>
    </row>
    <row r="7" spans="1:2" x14ac:dyDescent="0.3">
      <c r="A7" s="7" t="s">
        <v>14</v>
      </c>
      <c r="B7" s="8">
        <v>321</v>
      </c>
    </row>
    <row r="8" spans="1:2" x14ac:dyDescent="0.3">
      <c r="A8" s="7" t="s">
        <v>15</v>
      </c>
      <c r="B8" s="8">
        <v>88</v>
      </c>
    </row>
    <row r="9" spans="1:2" x14ac:dyDescent="0.3">
      <c r="A9" s="7" t="s">
        <v>16</v>
      </c>
      <c r="B9" s="8">
        <v>24</v>
      </c>
    </row>
    <row r="10" spans="1:2" x14ac:dyDescent="0.3">
      <c r="A10" s="7" t="s">
        <v>17</v>
      </c>
      <c r="B10" s="8">
        <v>10</v>
      </c>
    </row>
  </sheetData>
  <sortState xmlns:xlrd2="http://schemas.microsoft.com/office/spreadsheetml/2017/richdata2" ref="A2:B10">
    <sortCondition descending="1" ref="B2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B102"/>
  <sheetViews>
    <sheetView zoomScale="130" zoomScaleNormal="130" workbookViewId="0">
      <selection activeCell="B7" sqref="B7"/>
    </sheetView>
  </sheetViews>
  <sheetFormatPr defaultRowHeight="14.4" x14ac:dyDescent="0.3"/>
  <cols>
    <col min="1" max="1" width="5" style="6" bestFit="1" customWidth="1"/>
    <col min="2" max="2" width="16" style="6" customWidth="1"/>
    <col min="3" max="16384" width="8.88671875" style="6"/>
  </cols>
  <sheetData>
    <row r="1" spans="1:2" x14ac:dyDescent="0.3">
      <c r="A1" s="10" t="s">
        <v>25</v>
      </c>
      <c r="B1" s="10" t="s">
        <v>26</v>
      </c>
    </row>
    <row r="2" spans="1:2" x14ac:dyDescent="0.3">
      <c r="A2" s="8">
        <v>-5</v>
      </c>
      <c r="B2" s="8">
        <f>2*A2^2+5*A2-12</f>
        <v>13</v>
      </c>
    </row>
    <row r="3" spans="1:2" x14ac:dyDescent="0.3">
      <c r="A3" s="8">
        <v>-4.9000000000000004</v>
      </c>
      <c r="B3" s="8">
        <f t="shared" ref="B3:B66" si="0">2*A3^2+5*A3-12</f>
        <v>11.52000000000001</v>
      </c>
    </row>
    <row r="4" spans="1:2" x14ac:dyDescent="0.3">
      <c r="A4" s="8">
        <v>-4.8</v>
      </c>
      <c r="B4" s="8">
        <f t="shared" si="0"/>
        <v>10.079999999999998</v>
      </c>
    </row>
    <row r="5" spans="1:2" x14ac:dyDescent="0.3">
      <c r="A5" s="8">
        <v>-4.7</v>
      </c>
      <c r="B5" s="8">
        <f t="shared" si="0"/>
        <v>8.6800000000000068</v>
      </c>
    </row>
    <row r="6" spans="1:2" x14ac:dyDescent="0.3">
      <c r="A6" s="8">
        <v>-4.5999999999999996</v>
      </c>
      <c r="B6" s="8">
        <f t="shared" si="0"/>
        <v>7.3199999999999932</v>
      </c>
    </row>
    <row r="7" spans="1:2" x14ac:dyDescent="0.3">
      <c r="A7" s="8">
        <v>-4.5</v>
      </c>
      <c r="B7" s="8">
        <f t="shared" si="0"/>
        <v>6</v>
      </c>
    </row>
    <row r="8" spans="1:2" x14ac:dyDescent="0.3">
      <c r="A8" s="8">
        <v>-4.4000000000000004</v>
      </c>
      <c r="B8" s="8">
        <f t="shared" si="0"/>
        <v>4.720000000000006</v>
      </c>
    </row>
    <row r="9" spans="1:2" x14ac:dyDescent="0.3">
      <c r="A9" s="8">
        <v>-4.3</v>
      </c>
      <c r="B9" s="8">
        <f t="shared" si="0"/>
        <v>3.4799999999999969</v>
      </c>
    </row>
    <row r="10" spans="1:2" x14ac:dyDescent="0.3">
      <c r="A10" s="8">
        <v>-4.2</v>
      </c>
      <c r="B10" s="8">
        <f t="shared" si="0"/>
        <v>2.2800000000000011</v>
      </c>
    </row>
    <row r="11" spans="1:2" x14ac:dyDescent="0.3">
      <c r="A11" s="8">
        <v>-4.0999999999999996</v>
      </c>
      <c r="B11" s="8">
        <f t="shared" si="0"/>
        <v>1.1199999999999974</v>
      </c>
    </row>
    <row r="12" spans="1:2" x14ac:dyDescent="0.3">
      <c r="A12" s="8">
        <v>-4</v>
      </c>
      <c r="B12" s="8">
        <f t="shared" si="0"/>
        <v>0</v>
      </c>
    </row>
    <row r="13" spans="1:2" x14ac:dyDescent="0.3">
      <c r="A13" s="8">
        <v>-3.9</v>
      </c>
      <c r="B13" s="8">
        <f t="shared" si="0"/>
        <v>-1.0800000000000018</v>
      </c>
    </row>
    <row r="14" spans="1:2" x14ac:dyDescent="0.3">
      <c r="A14" s="8">
        <v>-3.8</v>
      </c>
      <c r="B14" s="8">
        <f t="shared" si="0"/>
        <v>-2.120000000000001</v>
      </c>
    </row>
    <row r="15" spans="1:2" x14ac:dyDescent="0.3">
      <c r="A15" s="8">
        <v>-3.7</v>
      </c>
      <c r="B15" s="8">
        <f t="shared" si="0"/>
        <v>-3.1199999999999974</v>
      </c>
    </row>
    <row r="16" spans="1:2" x14ac:dyDescent="0.3">
      <c r="A16" s="8">
        <v>-3.6</v>
      </c>
      <c r="B16" s="8">
        <f t="shared" si="0"/>
        <v>-4.0799999999999983</v>
      </c>
    </row>
    <row r="17" spans="1:2" x14ac:dyDescent="0.3">
      <c r="A17" s="8">
        <v>-3.5000000000000102</v>
      </c>
      <c r="B17" s="8">
        <f t="shared" si="0"/>
        <v>-4.9999999999999076</v>
      </c>
    </row>
    <row r="18" spans="1:2" x14ac:dyDescent="0.3">
      <c r="A18" s="8">
        <v>-3.4000000000000101</v>
      </c>
      <c r="B18" s="8">
        <f t="shared" si="0"/>
        <v>-5.8799999999999137</v>
      </c>
    </row>
    <row r="19" spans="1:2" x14ac:dyDescent="0.3">
      <c r="A19" s="8">
        <v>-3.30000000000001</v>
      </c>
      <c r="B19" s="8">
        <f t="shared" si="0"/>
        <v>-6.7199999999999172</v>
      </c>
    </row>
    <row r="20" spans="1:2" x14ac:dyDescent="0.3">
      <c r="A20" s="8">
        <v>-3.2000000000000099</v>
      </c>
      <c r="B20" s="8">
        <f t="shared" si="0"/>
        <v>-7.5199999999999214</v>
      </c>
    </row>
    <row r="21" spans="1:2" x14ac:dyDescent="0.3">
      <c r="A21" s="8">
        <v>-3.1000000000000099</v>
      </c>
      <c r="B21" s="8">
        <f t="shared" si="0"/>
        <v>-8.2799999999999265</v>
      </c>
    </row>
    <row r="22" spans="1:2" x14ac:dyDescent="0.3">
      <c r="A22" s="8">
        <v>-3.0000000000000102</v>
      </c>
      <c r="B22" s="8">
        <f t="shared" si="0"/>
        <v>-8.9999999999999307</v>
      </c>
    </row>
    <row r="23" spans="1:2" x14ac:dyDescent="0.3">
      <c r="A23" s="8">
        <v>-2.9000000000000101</v>
      </c>
      <c r="B23" s="8">
        <f t="shared" si="0"/>
        <v>-9.6799999999999322</v>
      </c>
    </row>
    <row r="24" spans="1:2" x14ac:dyDescent="0.3">
      <c r="A24" s="8">
        <v>-2.80000000000001</v>
      </c>
      <c r="B24" s="8">
        <f t="shared" si="0"/>
        <v>-10.319999999999938</v>
      </c>
    </row>
    <row r="25" spans="1:2" x14ac:dyDescent="0.3">
      <c r="A25" s="8">
        <v>-2.7000000000000099</v>
      </c>
      <c r="B25" s="8">
        <f t="shared" si="0"/>
        <v>-10.919999999999943</v>
      </c>
    </row>
    <row r="26" spans="1:2" x14ac:dyDescent="0.3">
      <c r="A26" s="8">
        <v>-2.6000000000000099</v>
      </c>
      <c r="B26" s="8">
        <f t="shared" si="0"/>
        <v>-11.479999999999947</v>
      </c>
    </row>
    <row r="27" spans="1:2" x14ac:dyDescent="0.3">
      <c r="A27" s="8">
        <v>-2.5000000000000102</v>
      </c>
      <c r="B27" s="8">
        <f t="shared" si="0"/>
        <v>-11.999999999999948</v>
      </c>
    </row>
    <row r="28" spans="1:2" x14ac:dyDescent="0.3">
      <c r="A28" s="8">
        <v>-2.4000000000000101</v>
      </c>
      <c r="B28" s="8">
        <f t="shared" si="0"/>
        <v>-12.479999999999952</v>
      </c>
    </row>
    <row r="29" spans="1:2" x14ac:dyDescent="0.3">
      <c r="A29" s="8">
        <v>-2.30000000000001</v>
      </c>
      <c r="B29" s="8">
        <f t="shared" si="0"/>
        <v>-12.919999999999957</v>
      </c>
    </row>
    <row r="30" spans="1:2" x14ac:dyDescent="0.3">
      <c r="A30" s="8">
        <v>-2.2000000000000099</v>
      </c>
      <c r="B30" s="8">
        <f t="shared" si="0"/>
        <v>-13.319999999999963</v>
      </c>
    </row>
    <row r="31" spans="1:2" x14ac:dyDescent="0.3">
      <c r="A31" s="8">
        <v>-2.1000000000000099</v>
      </c>
      <c r="B31" s="8">
        <f t="shared" si="0"/>
        <v>-13.679999999999968</v>
      </c>
    </row>
    <row r="32" spans="1:2" x14ac:dyDescent="0.3">
      <c r="A32" s="8">
        <v>-2.0000000000000102</v>
      </c>
      <c r="B32" s="8">
        <f t="shared" si="0"/>
        <v>-13.99999999999997</v>
      </c>
    </row>
    <row r="33" spans="1:2" x14ac:dyDescent="0.3">
      <c r="A33" s="8">
        <v>-1.9000000000000099</v>
      </c>
      <c r="B33" s="8">
        <f t="shared" si="0"/>
        <v>-14.279999999999974</v>
      </c>
    </row>
    <row r="34" spans="1:2" x14ac:dyDescent="0.3">
      <c r="A34" s="8">
        <v>-1.80000000000001</v>
      </c>
      <c r="B34" s="8">
        <f t="shared" si="0"/>
        <v>-14.519999999999978</v>
      </c>
    </row>
    <row r="35" spans="1:2" x14ac:dyDescent="0.3">
      <c r="A35" s="8">
        <v>-1.7000000000000099</v>
      </c>
      <c r="B35" s="8">
        <f t="shared" si="0"/>
        <v>-14.719999999999981</v>
      </c>
    </row>
    <row r="36" spans="1:2" x14ac:dyDescent="0.3">
      <c r="A36" s="8">
        <v>-1.6000000000000101</v>
      </c>
      <c r="B36" s="8">
        <f t="shared" si="0"/>
        <v>-14.879999999999985</v>
      </c>
    </row>
    <row r="37" spans="1:2" x14ac:dyDescent="0.3">
      <c r="A37" s="8">
        <v>-1.50000000000001</v>
      </c>
      <c r="B37" s="8">
        <f t="shared" si="0"/>
        <v>-14.999999999999989</v>
      </c>
    </row>
    <row r="38" spans="1:2" x14ac:dyDescent="0.3">
      <c r="A38" s="8">
        <v>-1.4000000000000099</v>
      </c>
      <c r="B38" s="8">
        <f t="shared" si="0"/>
        <v>-15.079999999999995</v>
      </c>
    </row>
    <row r="39" spans="1:2" x14ac:dyDescent="0.3">
      <c r="A39" s="8">
        <v>-1.30000000000001</v>
      </c>
      <c r="B39" s="8">
        <f t="shared" si="0"/>
        <v>-15.119999999999997</v>
      </c>
    </row>
    <row r="40" spans="1:2" x14ac:dyDescent="0.3">
      <c r="A40" s="8">
        <v>-1.2000000000000099</v>
      </c>
      <c r="B40" s="8">
        <f t="shared" si="0"/>
        <v>-15.120000000000001</v>
      </c>
    </row>
    <row r="41" spans="1:2" x14ac:dyDescent="0.3">
      <c r="A41" s="8">
        <v>-1.1000000000000101</v>
      </c>
      <c r="B41" s="8">
        <f t="shared" si="0"/>
        <v>-15.080000000000005</v>
      </c>
    </row>
    <row r="42" spans="1:2" x14ac:dyDescent="0.3">
      <c r="A42" s="8">
        <v>-1.00000000000001</v>
      </c>
      <c r="B42" s="8">
        <f t="shared" si="0"/>
        <v>-15.000000000000011</v>
      </c>
    </row>
    <row r="43" spans="1:2" x14ac:dyDescent="0.3">
      <c r="A43" s="8">
        <v>-0.90000000000001001</v>
      </c>
      <c r="B43" s="8">
        <f t="shared" si="0"/>
        <v>-14.880000000000013</v>
      </c>
    </row>
    <row r="44" spans="1:2" x14ac:dyDescent="0.3">
      <c r="A44" s="8">
        <v>-0.80000000000001004</v>
      </c>
      <c r="B44" s="8">
        <f t="shared" si="0"/>
        <v>-14.720000000000017</v>
      </c>
    </row>
    <row r="45" spans="1:2" x14ac:dyDescent="0.3">
      <c r="A45" s="8">
        <v>-0.70000000000002005</v>
      </c>
      <c r="B45" s="8">
        <f t="shared" si="0"/>
        <v>-14.520000000000044</v>
      </c>
    </row>
    <row r="46" spans="1:2" x14ac:dyDescent="0.3">
      <c r="A46" s="8">
        <v>-0.60000000000001996</v>
      </c>
      <c r="B46" s="8">
        <f t="shared" si="0"/>
        <v>-14.280000000000051</v>
      </c>
    </row>
    <row r="47" spans="1:2" x14ac:dyDescent="0.3">
      <c r="A47" s="8">
        <v>-0.50000000000001998</v>
      </c>
      <c r="B47" s="8">
        <f t="shared" si="0"/>
        <v>-14.00000000000006</v>
      </c>
    </row>
    <row r="48" spans="1:2" x14ac:dyDescent="0.3">
      <c r="A48" s="8">
        <v>-0.40000000000002001</v>
      </c>
      <c r="B48" s="8">
        <f t="shared" si="0"/>
        <v>-13.680000000000067</v>
      </c>
    </row>
    <row r="49" spans="1:2" x14ac:dyDescent="0.3">
      <c r="A49" s="8">
        <v>-0.30000000000001997</v>
      </c>
      <c r="B49" s="8">
        <f t="shared" si="0"/>
        <v>-13.320000000000077</v>
      </c>
    </row>
    <row r="50" spans="1:2" x14ac:dyDescent="0.3">
      <c r="A50" s="8">
        <v>-0.20000000000002</v>
      </c>
      <c r="B50" s="8">
        <f t="shared" si="0"/>
        <v>-12.920000000000083</v>
      </c>
    </row>
    <row r="51" spans="1:2" x14ac:dyDescent="0.3">
      <c r="A51" s="8">
        <v>-0.10000000000002</v>
      </c>
      <c r="B51" s="8">
        <f t="shared" si="0"/>
        <v>-12.480000000000093</v>
      </c>
    </row>
    <row r="52" spans="1:2" x14ac:dyDescent="0.3">
      <c r="A52" s="8">
        <v>-2.0428103653102899E-14</v>
      </c>
      <c r="B52" s="8">
        <f t="shared" si="0"/>
        <v>-12.000000000000103</v>
      </c>
    </row>
    <row r="53" spans="1:2" x14ac:dyDescent="0.3">
      <c r="A53" s="8">
        <v>9.9999999999980105E-2</v>
      </c>
      <c r="B53" s="8">
        <f t="shared" si="0"/>
        <v>-11.480000000000107</v>
      </c>
    </row>
    <row r="54" spans="1:2" x14ac:dyDescent="0.3">
      <c r="A54" s="8">
        <v>0.19999999999998</v>
      </c>
      <c r="B54" s="8">
        <f t="shared" si="0"/>
        <v>-10.920000000000115</v>
      </c>
    </row>
    <row r="55" spans="1:2" x14ac:dyDescent="0.3">
      <c r="A55" s="8">
        <v>0.29999999999998</v>
      </c>
      <c r="B55" s="8">
        <f t="shared" si="0"/>
        <v>-10.320000000000125</v>
      </c>
    </row>
    <row r="56" spans="1:2" x14ac:dyDescent="0.3">
      <c r="A56" s="8">
        <v>0.39999999999997998</v>
      </c>
      <c r="B56" s="8">
        <f t="shared" si="0"/>
        <v>-9.6800000000001312</v>
      </c>
    </row>
    <row r="57" spans="1:2" x14ac:dyDescent="0.3">
      <c r="A57" s="8">
        <v>0.49999999999998002</v>
      </c>
      <c r="B57" s="8">
        <f t="shared" si="0"/>
        <v>-9.0000000000001403</v>
      </c>
    </row>
    <row r="58" spans="1:2" x14ac:dyDescent="0.3">
      <c r="A58" s="8">
        <v>0.59999999999997999</v>
      </c>
      <c r="B58" s="8">
        <f t="shared" si="0"/>
        <v>-8.2800000000001468</v>
      </c>
    </row>
    <row r="59" spans="1:2" x14ac:dyDescent="0.3">
      <c r="A59" s="8">
        <v>0.69999999999997997</v>
      </c>
      <c r="B59" s="8">
        <f t="shared" si="0"/>
        <v>-7.5200000000001568</v>
      </c>
    </row>
    <row r="60" spans="1:2" x14ac:dyDescent="0.3">
      <c r="A60" s="8">
        <v>0.79999999999997995</v>
      </c>
      <c r="B60" s="8">
        <f t="shared" si="0"/>
        <v>-6.7200000000001641</v>
      </c>
    </row>
    <row r="61" spans="1:2" x14ac:dyDescent="0.3">
      <c r="A61" s="8">
        <v>0.89999999999998004</v>
      </c>
      <c r="B61" s="8">
        <f t="shared" si="0"/>
        <v>-5.8800000000001713</v>
      </c>
    </row>
    <row r="62" spans="1:2" x14ac:dyDescent="0.3">
      <c r="A62" s="8">
        <v>0.99999999999998002</v>
      </c>
      <c r="B62" s="8">
        <f t="shared" si="0"/>
        <v>-5.0000000000001794</v>
      </c>
    </row>
    <row r="63" spans="1:2" x14ac:dyDescent="0.3">
      <c r="A63" s="8">
        <v>1.0999999999999801</v>
      </c>
      <c r="B63" s="8">
        <f t="shared" si="0"/>
        <v>-4.0800000000001866</v>
      </c>
    </row>
    <row r="64" spans="1:2" x14ac:dyDescent="0.3">
      <c r="A64" s="8">
        <v>1.19999999999998</v>
      </c>
      <c r="B64" s="8">
        <f t="shared" si="0"/>
        <v>-3.1200000000001964</v>
      </c>
    </row>
    <row r="65" spans="1:2" x14ac:dyDescent="0.3">
      <c r="A65" s="8">
        <v>1.2999999999999801</v>
      </c>
      <c r="B65" s="8">
        <f t="shared" si="0"/>
        <v>-2.1200000000002035</v>
      </c>
    </row>
    <row r="66" spans="1:2" x14ac:dyDescent="0.3">
      <c r="A66" s="8">
        <v>1.3999999999999799</v>
      </c>
      <c r="B66" s="8">
        <f t="shared" si="0"/>
        <v>-1.0800000000002132</v>
      </c>
    </row>
    <row r="67" spans="1:2" x14ac:dyDescent="0.3">
      <c r="A67" s="8">
        <v>1.49999999999998</v>
      </c>
      <c r="B67" s="8">
        <f t="shared" ref="B67:B102" si="1">2*A67^2+5*A67-12</f>
        <v>-2.2026824808563106E-13</v>
      </c>
    </row>
    <row r="68" spans="1:2" x14ac:dyDescent="0.3">
      <c r="A68" s="8">
        <v>1.5999999999999801</v>
      </c>
      <c r="B68" s="8">
        <f t="shared" si="1"/>
        <v>1.1199999999997736</v>
      </c>
    </row>
    <row r="69" spans="1:2" x14ac:dyDescent="0.3">
      <c r="A69" s="8">
        <v>1.69999999999998</v>
      </c>
      <c r="B69" s="8">
        <f t="shared" si="1"/>
        <v>2.2799999999997631</v>
      </c>
    </row>
    <row r="70" spans="1:2" x14ac:dyDescent="0.3">
      <c r="A70" s="8">
        <v>1.7999999999999801</v>
      </c>
      <c r="B70" s="8">
        <f t="shared" si="1"/>
        <v>3.4799999999997571</v>
      </c>
    </row>
    <row r="71" spans="1:2" x14ac:dyDescent="0.3">
      <c r="A71" s="8">
        <v>1.8999999999999799</v>
      </c>
      <c r="B71" s="8">
        <f t="shared" si="1"/>
        <v>4.7199999999997502</v>
      </c>
    </row>
    <row r="72" spans="1:2" x14ac:dyDescent="0.3">
      <c r="A72" s="8">
        <v>1.99999999999998</v>
      </c>
      <c r="B72" s="8">
        <f t="shared" si="1"/>
        <v>5.9999999999997407</v>
      </c>
    </row>
    <row r="73" spans="1:2" x14ac:dyDescent="0.3">
      <c r="A73" s="8">
        <v>2.0999999999999699</v>
      </c>
      <c r="B73" s="8">
        <f t="shared" si="1"/>
        <v>7.3199999999995953</v>
      </c>
    </row>
    <row r="74" spans="1:2" x14ac:dyDescent="0.3">
      <c r="A74" s="8">
        <v>2.19999999999997</v>
      </c>
      <c r="B74" s="8">
        <f t="shared" si="1"/>
        <v>8.6799999999995876</v>
      </c>
    </row>
    <row r="75" spans="1:2" x14ac:dyDescent="0.3">
      <c r="A75" s="8">
        <v>2.2999999999999701</v>
      </c>
      <c r="B75" s="8">
        <f t="shared" si="1"/>
        <v>10.079999999999576</v>
      </c>
    </row>
    <row r="76" spans="1:2" x14ac:dyDescent="0.3">
      <c r="A76" s="8">
        <v>2.3999999999999702</v>
      </c>
      <c r="B76" s="8">
        <f t="shared" si="1"/>
        <v>11.519999999999563</v>
      </c>
    </row>
    <row r="77" spans="1:2" x14ac:dyDescent="0.3">
      <c r="A77" s="8">
        <v>2.4999999999999698</v>
      </c>
      <c r="B77" s="8">
        <f t="shared" si="1"/>
        <v>12.999999999999545</v>
      </c>
    </row>
    <row r="78" spans="1:2" x14ac:dyDescent="0.3">
      <c r="A78" s="8">
        <v>2.5999999999999699</v>
      </c>
      <c r="B78" s="8">
        <f t="shared" si="1"/>
        <v>14.519999999999534</v>
      </c>
    </row>
    <row r="79" spans="1:2" x14ac:dyDescent="0.3">
      <c r="A79" s="8">
        <v>2.69999999999997</v>
      </c>
      <c r="B79" s="8">
        <f t="shared" si="1"/>
        <v>16.079999999999526</v>
      </c>
    </row>
    <row r="80" spans="1:2" x14ac:dyDescent="0.3">
      <c r="A80" s="8">
        <v>2.7999999999999701</v>
      </c>
      <c r="B80" s="8">
        <f t="shared" si="1"/>
        <v>17.679999999999517</v>
      </c>
    </row>
    <row r="81" spans="1:2" x14ac:dyDescent="0.3">
      <c r="A81" s="8">
        <v>2.8999999999999702</v>
      </c>
      <c r="B81" s="8">
        <f t="shared" si="1"/>
        <v>19.319999999999503</v>
      </c>
    </row>
    <row r="82" spans="1:2" x14ac:dyDescent="0.3">
      <c r="A82" s="8">
        <v>2.9999999999999698</v>
      </c>
      <c r="B82" s="8">
        <f t="shared" si="1"/>
        <v>20.999999999999488</v>
      </c>
    </row>
    <row r="83" spans="1:2" x14ac:dyDescent="0.3">
      <c r="A83" s="8">
        <v>3.0999999999999699</v>
      </c>
      <c r="B83" s="8">
        <f t="shared" si="1"/>
        <v>22.719999999999473</v>
      </c>
    </row>
    <row r="84" spans="1:2" x14ac:dyDescent="0.3">
      <c r="A84" s="8">
        <v>3.19999999999997</v>
      </c>
      <c r="B84" s="8">
        <f t="shared" si="1"/>
        <v>24.479999999999464</v>
      </c>
    </row>
    <row r="85" spans="1:2" x14ac:dyDescent="0.3">
      <c r="A85" s="8">
        <v>3.2999999999999701</v>
      </c>
      <c r="B85" s="8">
        <f t="shared" si="1"/>
        <v>26.279999999999454</v>
      </c>
    </row>
    <row r="86" spans="1:2" x14ac:dyDescent="0.3">
      <c r="A86" s="8">
        <v>3.3999999999999702</v>
      </c>
      <c r="B86" s="8">
        <f t="shared" si="1"/>
        <v>28.119999999999443</v>
      </c>
    </row>
    <row r="87" spans="1:2" x14ac:dyDescent="0.3">
      <c r="A87" s="8">
        <v>3.4999999999999698</v>
      </c>
      <c r="B87" s="8">
        <f t="shared" si="1"/>
        <v>29.999999999999432</v>
      </c>
    </row>
    <row r="88" spans="1:2" x14ac:dyDescent="0.3">
      <c r="A88" s="8">
        <v>3.5999999999999699</v>
      </c>
      <c r="B88" s="8">
        <f t="shared" si="1"/>
        <v>31.919999999999419</v>
      </c>
    </row>
    <row r="89" spans="1:2" x14ac:dyDescent="0.3">
      <c r="A89" s="8">
        <v>3.69999999999997</v>
      </c>
      <c r="B89" s="8">
        <f t="shared" si="1"/>
        <v>33.879999999999406</v>
      </c>
    </row>
    <row r="90" spans="1:2" x14ac:dyDescent="0.3">
      <c r="A90" s="8">
        <v>3.7999999999999701</v>
      </c>
      <c r="B90" s="8">
        <f t="shared" si="1"/>
        <v>35.879999999999399</v>
      </c>
    </row>
    <row r="91" spans="1:2" x14ac:dyDescent="0.3">
      <c r="A91" s="8">
        <v>3.8999999999999702</v>
      </c>
      <c r="B91" s="8">
        <f t="shared" si="1"/>
        <v>37.919999999999384</v>
      </c>
    </row>
    <row r="92" spans="1:2" x14ac:dyDescent="0.3">
      <c r="A92" s="8">
        <v>3.9999999999999698</v>
      </c>
      <c r="B92" s="8">
        <f t="shared" si="1"/>
        <v>39.999999999999368</v>
      </c>
    </row>
    <row r="93" spans="1:2" x14ac:dyDescent="0.3">
      <c r="A93" s="8">
        <v>4.0999999999999703</v>
      </c>
      <c r="B93" s="8">
        <f t="shared" si="1"/>
        <v>42.119999999999365</v>
      </c>
    </row>
    <row r="94" spans="1:2" x14ac:dyDescent="0.3">
      <c r="A94" s="8">
        <v>4.19999999999997</v>
      </c>
      <c r="B94" s="8">
        <f t="shared" si="1"/>
        <v>44.279999999999347</v>
      </c>
    </row>
    <row r="95" spans="1:2" x14ac:dyDescent="0.3">
      <c r="A95" s="8">
        <v>4.2999999999999696</v>
      </c>
      <c r="B95" s="8">
        <f t="shared" si="1"/>
        <v>46.479999999999322</v>
      </c>
    </row>
    <row r="96" spans="1:2" x14ac:dyDescent="0.3">
      <c r="A96" s="8">
        <v>4.3999999999999702</v>
      </c>
      <c r="B96" s="8">
        <f t="shared" si="1"/>
        <v>48.719999999999324</v>
      </c>
    </row>
    <row r="97" spans="1:2" x14ac:dyDescent="0.3">
      <c r="A97" s="8">
        <v>4.4999999999999698</v>
      </c>
      <c r="B97" s="8">
        <f t="shared" si="1"/>
        <v>50.999999999999311</v>
      </c>
    </row>
    <row r="98" spans="1:2" x14ac:dyDescent="0.3">
      <c r="A98" s="8">
        <v>4.5999999999999703</v>
      </c>
      <c r="B98" s="8">
        <f t="shared" si="1"/>
        <v>53.319999999999311</v>
      </c>
    </row>
    <row r="99" spans="1:2" x14ac:dyDescent="0.3">
      <c r="A99" s="8">
        <v>4.69999999999997</v>
      </c>
      <c r="B99" s="8">
        <f t="shared" si="1"/>
        <v>55.679999999999296</v>
      </c>
    </row>
    <row r="100" spans="1:2" x14ac:dyDescent="0.3">
      <c r="A100" s="8">
        <v>4.7999999999999696</v>
      </c>
      <c r="B100" s="8">
        <f t="shared" si="1"/>
        <v>58.079999999999259</v>
      </c>
    </row>
    <row r="101" spans="1:2" x14ac:dyDescent="0.3">
      <c r="A101" s="8">
        <v>4.8999999999999604</v>
      </c>
      <c r="B101" s="8">
        <f t="shared" si="1"/>
        <v>60.519999999999015</v>
      </c>
    </row>
    <row r="102" spans="1:2" x14ac:dyDescent="0.3">
      <c r="A102" s="8">
        <v>4.99999999999996</v>
      </c>
      <c r="B102" s="8">
        <f t="shared" si="1"/>
        <v>62.999999999999005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B102"/>
  <sheetViews>
    <sheetView zoomScale="130" zoomScaleNormal="130" workbookViewId="0">
      <selection activeCell="A2" sqref="A2"/>
    </sheetView>
  </sheetViews>
  <sheetFormatPr defaultRowHeight="14.4" x14ac:dyDescent="0.3"/>
  <cols>
    <col min="1" max="1" width="8.109375" style="6" customWidth="1"/>
    <col min="2" max="2" width="16" style="6" customWidth="1"/>
    <col min="3" max="16384" width="8.88671875" style="6"/>
  </cols>
  <sheetData>
    <row r="1" spans="1:2" x14ac:dyDescent="0.3">
      <c r="A1" s="10" t="s">
        <v>25</v>
      </c>
      <c r="B1" s="10" t="s">
        <v>26</v>
      </c>
    </row>
    <row r="2" spans="1:2" x14ac:dyDescent="0.3">
      <c r="A2" s="8">
        <v>-5</v>
      </c>
      <c r="B2" s="8">
        <f>2*A2^2+5*A2-12</f>
        <v>13</v>
      </c>
    </row>
    <row r="3" spans="1:2" x14ac:dyDescent="0.3">
      <c r="A3" s="8">
        <v>-4.9000000000000004</v>
      </c>
      <c r="B3" s="8">
        <f t="shared" ref="B3:B66" si="0">2*A3^2+5*A3-12</f>
        <v>11.52000000000001</v>
      </c>
    </row>
    <row r="4" spans="1:2" x14ac:dyDescent="0.3">
      <c r="A4" s="8">
        <v>-4.8</v>
      </c>
      <c r="B4" s="8">
        <f t="shared" si="0"/>
        <v>10.079999999999998</v>
      </c>
    </row>
    <row r="5" spans="1:2" x14ac:dyDescent="0.3">
      <c r="A5" s="8">
        <v>-4.7</v>
      </c>
      <c r="B5" s="8">
        <f t="shared" si="0"/>
        <v>8.6800000000000068</v>
      </c>
    </row>
    <row r="6" spans="1:2" x14ac:dyDescent="0.3">
      <c r="A6" s="8">
        <v>-4.5999999999999996</v>
      </c>
      <c r="B6" s="8">
        <f t="shared" si="0"/>
        <v>7.3199999999999932</v>
      </c>
    </row>
    <row r="7" spans="1:2" x14ac:dyDescent="0.3">
      <c r="A7" s="8">
        <v>-4.5</v>
      </c>
      <c r="B7" s="8">
        <f t="shared" si="0"/>
        <v>6</v>
      </c>
    </row>
    <row r="8" spans="1:2" x14ac:dyDescent="0.3">
      <c r="A8" s="8">
        <v>-4.4000000000000004</v>
      </c>
      <c r="B8" s="8">
        <f t="shared" si="0"/>
        <v>4.720000000000006</v>
      </c>
    </row>
    <row r="9" spans="1:2" x14ac:dyDescent="0.3">
      <c r="A9" s="8">
        <v>-4.3</v>
      </c>
      <c r="B9" s="8">
        <f t="shared" si="0"/>
        <v>3.4799999999999969</v>
      </c>
    </row>
    <row r="10" spans="1:2" x14ac:dyDescent="0.3">
      <c r="A10" s="8">
        <v>-4.2</v>
      </c>
      <c r="B10" s="8">
        <f t="shared" si="0"/>
        <v>2.2800000000000011</v>
      </c>
    </row>
    <row r="11" spans="1:2" x14ac:dyDescent="0.3">
      <c r="A11" s="8">
        <v>-4.0999999999999996</v>
      </c>
      <c r="B11" s="8">
        <f t="shared" si="0"/>
        <v>1.1199999999999974</v>
      </c>
    </row>
    <row r="12" spans="1:2" x14ac:dyDescent="0.3">
      <c r="A12" s="8">
        <v>-4</v>
      </c>
      <c r="B12" s="8">
        <f t="shared" si="0"/>
        <v>0</v>
      </c>
    </row>
    <row r="13" spans="1:2" x14ac:dyDescent="0.3">
      <c r="A13" s="8">
        <v>-3.9</v>
      </c>
      <c r="B13" s="8">
        <f t="shared" si="0"/>
        <v>-1.0800000000000018</v>
      </c>
    </row>
    <row r="14" spans="1:2" x14ac:dyDescent="0.3">
      <c r="A14" s="8">
        <v>-3.8</v>
      </c>
      <c r="B14" s="8">
        <f t="shared" si="0"/>
        <v>-2.120000000000001</v>
      </c>
    </row>
    <row r="15" spans="1:2" x14ac:dyDescent="0.3">
      <c r="A15" s="8">
        <v>-3.7</v>
      </c>
      <c r="B15" s="8">
        <f t="shared" si="0"/>
        <v>-3.1199999999999974</v>
      </c>
    </row>
    <row r="16" spans="1:2" x14ac:dyDescent="0.3">
      <c r="A16" s="8">
        <v>-3.6</v>
      </c>
      <c r="B16" s="8">
        <f t="shared" si="0"/>
        <v>-4.0799999999999983</v>
      </c>
    </row>
    <row r="17" spans="1:2" x14ac:dyDescent="0.3">
      <c r="A17" s="8">
        <v>-3.5000000000000102</v>
      </c>
      <c r="B17" s="8">
        <f t="shared" si="0"/>
        <v>-4.9999999999999076</v>
      </c>
    </row>
    <row r="18" spans="1:2" x14ac:dyDescent="0.3">
      <c r="A18" s="8">
        <v>-3.4000000000000101</v>
      </c>
      <c r="B18" s="8">
        <f t="shared" si="0"/>
        <v>-5.8799999999999137</v>
      </c>
    </row>
    <row r="19" spans="1:2" x14ac:dyDescent="0.3">
      <c r="A19" s="8">
        <v>-3.30000000000001</v>
      </c>
      <c r="B19" s="8">
        <f t="shared" si="0"/>
        <v>-6.7199999999999172</v>
      </c>
    </row>
    <row r="20" spans="1:2" x14ac:dyDescent="0.3">
      <c r="A20" s="8">
        <v>-3.2000000000000099</v>
      </c>
      <c r="B20" s="8">
        <f t="shared" si="0"/>
        <v>-7.5199999999999214</v>
      </c>
    </row>
    <row r="21" spans="1:2" x14ac:dyDescent="0.3">
      <c r="A21" s="8">
        <v>-3.1000000000000099</v>
      </c>
      <c r="B21" s="8">
        <f t="shared" si="0"/>
        <v>-8.2799999999999265</v>
      </c>
    </row>
    <row r="22" spans="1:2" x14ac:dyDescent="0.3">
      <c r="A22" s="8">
        <v>-3.0000000000000102</v>
      </c>
      <c r="B22" s="8">
        <f t="shared" si="0"/>
        <v>-8.9999999999999307</v>
      </c>
    </row>
    <row r="23" spans="1:2" x14ac:dyDescent="0.3">
      <c r="A23" s="8">
        <v>-2.9000000000000101</v>
      </c>
      <c r="B23" s="8">
        <f t="shared" si="0"/>
        <v>-9.6799999999999322</v>
      </c>
    </row>
    <row r="24" spans="1:2" x14ac:dyDescent="0.3">
      <c r="A24" s="8">
        <v>-2.80000000000001</v>
      </c>
      <c r="B24" s="8">
        <f t="shared" si="0"/>
        <v>-10.319999999999938</v>
      </c>
    </row>
    <row r="25" spans="1:2" x14ac:dyDescent="0.3">
      <c r="A25" s="8">
        <v>-2.7000000000000099</v>
      </c>
      <c r="B25" s="8">
        <f t="shared" si="0"/>
        <v>-10.919999999999943</v>
      </c>
    </row>
    <row r="26" spans="1:2" x14ac:dyDescent="0.3">
      <c r="A26" s="8">
        <v>-2.6000000000000099</v>
      </c>
      <c r="B26" s="8">
        <f t="shared" si="0"/>
        <v>-11.479999999999947</v>
      </c>
    </row>
    <row r="27" spans="1:2" x14ac:dyDescent="0.3">
      <c r="A27" s="8">
        <v>-2.5000000000000102</v>
      </c>
      <c r="B27" s="8">
        <f t="shared" si="0"/>
        <v>-11.999999999999948</v>
      </c>
    </row>
    <row r="28" spans="1:2" x14ac:dyDescent="0.3">
      <c r="A28" s="8">
        <v>-2.4000000000000101</v>
      </c>
      <c r="B28" s="8">
        <f t="shared" si="0"/>
        <v>-12.479999999999952</v>
      </c>
    </row>
    <row r="29" spans="1:2" x14ac:dyDescent="0.3">
      <c r="A29" s="8">
        <v>-2.30000000000001</v>
      </c>
      <c r="B29" s="8">
        <f t="shared" si="0"/>
        <v>-12.919999999999957</v>
      </c>
    </row>
    <row r="30" spans="1:2" x14ac:dyDescent="0.3">
      <c r="A30" s="8">
        <v>-2.2000000000000099</v>
      </c>
      <c r="B30" s="8">
        <f t="shared" si="0"/>
        <v>-13.319999999999963</v>
      </c>
    </row>
    <row r="31" spans="1:2" x14ac:dyDescent="0.3">
      <c r="A31" s="8">
        <v>-2.1000000000000099</v>
      </c>
      <c r="B31" s="8">
        <f t="shared" si="0"/>
        <v>-13.679999999999968</v>
      </c>
    </row>
    <row r="32" spans="1:2" x14ac:dyDescent="0.3">
      <c r="A32" s="8">
        <v>-2.0000000000000102</v>
      </c>
      <c r="B32" s="8">
        <f t="shared" si="0"/>
        <v>-13.99999999999997</v>
      </c>
    </row>
    <row r="33" spans="1:2" x14ac:dyDescent="0.3">
      <c r="A33" s="8">
        <v>-1.9000000000000099</v>
      </c>
      <c r="B33" s="8">
        <f t="shared" si="0"/>
        <v>-14.279999999999974</v>
      </c>
    </row>
    <row r="34" spans="1:2" x14ac:dyDescent="0.3">
      <c r="A34" s="8">
        <v>-1.80000000000001</v>
      </c>
      <c r="B34" s="8">
        <f t="shared" si="0"/>
        <v>-14.519999999999978</v>
      </c>
    </row>
    <row r="35" spans="1:2" x14ac:dyDescent="0.3">
      <c r="A35" s="8">
        <v>-1.7000000000000099</v>
      </c>
      <c r="B35" s="8">
        <f t="shared" si="0"/>
        <v>-14.719999999999981</v>
      </c>
    </row>
    <row r="36" spans="1:2" x14ac:dyDescent="0.3">
      <c r="A36" s="8">
        <v>-1.6000000000000101</v>
      </c>
      <c r="B36" s="8">
        <f t="shared" si="0"/>
        <v>-14.879999999999985</v>
      </c>
    </row>
    <row r="37" spans="1:2" x14ac:dyDescent="0.3">
      <c r="A37" s="8">
        <v>-1.50000000000001</v>
      </c>
      <c r="B37" s="8">
        <f t="shared" si="0"/>
        <v>-14.999999999999989</v>
      </c>
    </row>
    <row r="38" spans="1:2" x14ac:dyDescent="0.3">
      <c r="A38" s="8">
        <v>-1.4000000000000099</v>
      </c>
      <c r="B38" s="8">
        <f t="shared" si="0"/>
        <v>-15.079999999999995</v>
      </c>
    </row>
    <row r="39" spans="1:2" x14ac:dyDescent="0.3">
      <c r="A39" s="8">
        <v>-1.30000000000001</v>
      </c>
      <c r="B39" s="8">
        <f t="shared" si="0"/>
        <v>-15.119999999999997</v>
      </c>
    </row>
    <row r="40" spans="1:2" x14ac:dyDescent="0.3">
      <c r="A40" s="8">
        <v>-1.2000000000000099</v>
      </c>
      <c r="B40" s="8">
        <f t="shared" si="0"/>
        <v>-15.120000000000001</v>
      </c>
    </row>
    <row r="41" spans="1:2" x14ac:dyDescent="0.3">
      <c r="A41" s="8">
        <v>-1.1000000000000101</v>
      </c>
      <c r="B41" s="8">
        <f t="shared" si="0"/>
        <v>-15.080000000000005</v>
      </c>
    </row>
    <row r="42" spans="1:2" x14ac:dyDescent="0.3">
      <c r="A42" s="8">
        <v>-1.00000000000001</v>
      </c>
      <c r="B42" s="8">
        <f t="shared" si="0"/>
        <v>-15.000000000000011</v>
      </c>
    </row>
    <row r="43" spans="1:2" x14ac:dyDescent="0.3">
      <c r="A43" s="8">
        <v>-0.90000000000001001</v>
      </c>
      <c r="B43" s="8">
        <f t="shared" si="0"/>
        <v>-14.880000000000013</v>
      </c>
    </row>
    <row r="44" spans="1:2" x14ac:dyDescent="0.3">
      <c r="A44" s="8">
        <v>-0.80000000000001004</v>
      </c>
      <c r="B44" s="8">
        <f t="shared" si="0"/>
        <v>-14.720000000000017</v>
      </c>
    </row>
    <row r="45" spans="1:2" x14ac:dyDescent="0.3">
      <c r="A45" s="8">
        <v>-0.70000000000002005</v>
      </c>
      <c r="B45" s="8">
        <f t="shared" si="0"/>
        <v>-14.520000000000044</v>
      </c>
    </row>
    <row r="46" spans="1:2" x14ac:dyDescent="0.3">
      <c r="A46" s="8">
        <v>-0.60000000000001996</v>
      </c>
      <c r="B46" s="8">
        <f t="shared" si="0"/>
        <v>-14.280000000000051</v>
      </c>
    </row>
    <row r="47" spans="1:2" x14ac:dyDescent="0.3">
      <c r="A47" s="8">
        <v>-0.50000000000001998</v>
      </c>
      <c r="B47" s="8">
        <f t="shared" si="0"/>
        <v>-14.00000000000006</v>
      </c>
    </row>
    <row r="48" spans="1:2" x14ac:dyDescent="0.3">
      <c r="A48" s="8">
        <v>-0.40000000000002001</v>
      </c>
      <c r="B48" s="8">
        <f t="shared" si="0"/>
        <v>-13.680000000000067</v>
      </c>
    </row>
    <row r="49" spans="1:2" x14ac:dyDescent="0.3">
      <c r="A49" s="8">
        <v>-0.30000000000001997</v>
      </c>
      <c r="B49" s="8">
        <f t="shared" si="0"/>
        <v>-13.320000000000077</v>
      </c>
    </row>
    <row r="50" spans="1:2" x14ac:dyDescent="0.3">
      <c r="A50" s="8">
        <v>-0.20000000000002</v>
      </c>
      <c r="B50" s="8">
        <f t="shared" si="0"/>
        <v>-12.920000000000083</v>
      </c>
    </row>
    <row r="51" spans="1:2" x14ac:dyDescent="0.3">
      <c r="A51" s="8">
        <v>-0.10000000000002</v>
      </c>
      <c r="B51" s="8">
        <f t="shared" si="0"/>
        <v>-12.480000000000093</v>
      </c>
    </row>
    <row r="52" spans="1:2" x14ac:dyDescent="0.3">
      <c r="A52" s="8">
        <v>-2.0428103653102899E-14</v>
      </c>
      <c r="B52" s="8">
        <f t="shared" si="0"/>
        <v>-12.000000000000103</v>
      </c>
    </row>
    <row r="53" spans="1:2" x14ac:dyDescent="0.3">
      <c r="A53" s="8">
        <v>9.9999999999980105E-2</v>
      </c>
      <c r="B53" s="8">
        <f t="shared" si="0"/>
        <v>-11.480000000000107</v>
      </c>
    </row>
    <row r="54" spans="1:2" x14ac:dyDescent="0.3">
      <c r="A54" s="8">
        <v>0.19999999999998</v>
      </c>
      <c r="B54" s="8">
        <f t="shared" si="0"/>
        <v>-10.920000000000115</v>
      </c>
    </row>
    <row r="55" spans="1:2" x14ac:dyDescent="0.3">
      <c r="A55" s="8">
        <v>0.29999999999998</v>
      </c>
      <c r="B55" s="8">
        <f t="shared" si="0"/>
        <v>-10.320000000000125</v>
      </c>
    </row>
    <row r="56" spans="1:2" x14ac:dyDescent="0.3">
      <c r="A56" s="8">
        <v>0.39999999999997998</v>
      </c>
      <c r="B56" s="8">
        <f t="shared" si="0"/>
        <v>-9.6800000000001312</v>
      </c>
    </row>
    <row r="57" spans="1:2" x14ac:dyDescent="0.3">
      <c r="A57" s="8">
        <v>0.49999999999998002</v>
      </c>
      <c r="B57" s="8">
        <f t="shared" si="0"/>
        <v>-9.0000000000001403</v>
      </c>
    </row>
    <row r="58" spans="1:2" x14ac:dyDescent="0.3">
      <c r="A58" s="8">
        <v>0.59999999999997999</v>
      </c>
      <c r="B58" s="8">
        <f t="shared" si="0"/>
        <v>-8.2800000000001468</v>
      </c>
    </row>
    <row r="59" spans="1:2" x14ac:dyDescent="0.3">
      <c r="A59" s="8">
        <v>0.69999999999997997</v>
      </c>
      <c r="B59" s="8">
        <f t="shared" si="0"/>
        <v>-7.5200000000001568</v>
      </c>
    </row>
    <row r="60" spans="1:2" x14ac:dyDescent="0.3">
      <c r="A60" s="8">
        <v>0.79999999999997995</v>
      </c>
      <c r="B60" s="8">
        <f t="shared" si="0"/>
        <v>-6.7200000000001641</v>
      </c>
    </row>
    <row r="61" spans="1:2" x14ac:dyDescent="0.3">
      <c r="A61" s="8">
        <v>0.89999999999998004</v>
      </c>
      <c r="B61" s="8">
        <f t="shared" si="0"/>
        <v>-5.8800000000001713</v>
      </c>
    </row>
    <row r="62" spans="1:2" x14ac:dyDescent="0.3">
      <c r="A62" s="8">
        <v>0.99999999999998002</v>
      </c>
      <c r="B62" s="8">
        <f t="shared" si="0"/>
        <v>-5.0000000000001794</v>
      </c>
    </row>
    <row r="63" spans="1:2" x14ac:dyDescent="0.3">
      <c r="A63" s="8">
        <v>1.0999999999999801</v>
      </c>
      <c r="B63" s="8">
        <f t="shared" si="0"/>
        <v>-4.0800000000001866</v>
      </c>
    </row>
    <row r="64" spans="1:2" x14ac:dyDescent="0.3">
      <c r="A64" s="8">
        <v>1.19999999999998</v>
      </c>
      <c r="B64" s="8">
        <f t="shared" si="0"/>
        <v>-3.1200000000001964</v>
      </c>
    </row>
    <row r="65" spans="1:2" x14ac:dyDescent="0.3">
      <c r="A65" s="8">
        <v>1.2999999999999801</v>
      </c>
      <c r="B65" s="8">
        <f t="shared" si="0"/>
        <v>-2.1200000000002035</v>
      </c>
    </row>
    <row r="66" spans="1:2" x14ac:dyDescent="0.3">
      <c r="A66" s="8">
        <v>1.3999999999999799</v>
      </c>
      <c r="B66" s="8">
        <f t="shared" si="0"/>
        <v>-1.0800000000002132</v>
      </c>
    </row>
    <row r="67" spans="1:2" x14ac:dyDescent="0.3">
      <c r="A67" s="8">
        <v>1.49999999999998</v>
      </c>
      <c r="B67" s="8">
        <f t="shared" ref="B67:B102" si="1">2*A67^2+5*A67-12</f>
        <v>-2.2026824808563106E-13</v>
      </c>
    </row>
    <row r="68" spans="1:2" x14ac:dyDescent="0.3">
      <c r="A68" s="8">
        <v>1.5999999999999801</v>
      </c>
      <c r="B68" s="8">
        <f t="shared" si="1"/>
        <v>1.1199999999997736</v>
      </c>
    </row>
    <row r="69" spans="1:2" x14ac:dyDescent="0.3">
      <c r="A69" s="8">
        <v>1.69999999999998</v>
      </c>
      <c r="B69" s="8">
        <f t="shared" si="1"/>
        <v>2.2799999999997631</v>
      </c>
    </row>
    <row r="70" spans="1:2" x14ac:dyDescent="0.3">
      <c r="A70" s="8">
        <v>1.7999999999999801</v>
      </c>
      <c r="B70" s="8">
        <f t="shared" si="1"/>
        <v>3.4799999999997571</v>
      </c>
    </row>
    <row r="71" spans="1:2" x14ac:dyDescent="0.3">
      <c r="A71" s="8">
        <v>1.8999999999999799</v>
      </c>
      <c r="B71" s="8">
        <f t="shared" si="1"/>
        <v>4.7199999999997502</v>
      </c>
    </row>
    <row r="72" spans="1:2" x14ac:dyDescent="0.3">
      <c r="A72" s="8">
        <v>1.99999999999998</v>
      </c>
      <c r="B72" s="8">
        <f t="shared" si="1"/>
        <v>5.9999999999997407</v>
      </c>
    </row>
    <row r="73" spans="1:2" x14ac:dyDescent="0.3">
      <c r="A73" s="8">
        <v>2.0999999999999699</v>
      </c>
      <c r="B73" s="8">
        <f t="shared" si="1"/>
        <v>7.3199999999995953</v>
      </c>
    </row>
    <row r="74" spans="1:2" x14ac:dyDescent="0.3">
      <c r="A74" s="8">
        <v>2.19999999999997</v>
      </c>
      <c r="B74" s="8">
        <f t="shared" si="1"/>
        <v>8.6799999999995876</v>
      </c>
    </row>
    <row r="75" spans="1:2" x14ac:dyDescent="0.3">
      <c r="A75" s="8">
        <v>2.2999999999999701</v>
      </c>
      <c r="B75" s="8">
        <f t="shared" si="1"/>
        <v>10.079999999999576</v>
      </c>
    </row>
    <row r="76" spans="1:2" x14ac:dyDescent="0.3">
      <c r="A76" s="8">
        <v>2.3999999999999702</v>
      </c>
      <c r="B76" s="8">
        <f t="shared" si="1"/>
        <v>11.519999999999563</v>
      </c>
    </row>
    <row r="77" spans="1:2" x14ac:dyDescent="0.3">
      <c r="A77" s="8">
        <v>2.4999999999999698</v>
      </c>
      <c r="B77" s="8">
        <f t="shared" si="1"/>
        <v>12.999999999999545</v>
      </c>
    </row>
    <row r="78" spans="1:2" x14ac:dyDescent="0.3">
      <c r="A78" s="8">
        <v>2.5999999999999699</v>
      </c>
      <c r="B78" s="8">
        <f t="shared" si="1"/>
        <v>14.519999999999534</v>
      </c>
    </row>
    <row r="79" spans="1:2" x14ac:dyDescent="0.3">
      <c r="A79" s="8">
        <v>2.69999999999997</v>
      </c>
      <c r="B79" s="8">
        <f t="shared" si="1"/>
        <v>16.079999999999526</v>
      </c>
    </row>
    <row r="80" spans="1:2" x14ac:dyDescent="0.3">
      <c r="A80" s="8">
        <v>2.7999999999999701</v>
      </c>
      <c r="B80" s="8">
        <f t="shared" si="1"/>
        <v>17.679999999999517</v>
      </c>
    </row>
    <row r="81" spans="1:2" x14ac:dyDescent="0.3">
      <c r="A81" s="8">
        <v>2.8999999999999702</v>
      </c>
      <c r="B81" s="8">
        <f t="shared" si="1"/>
        <v>19.319999999999503</v>
      </c>
    </row>
    <row r="82" spans="1:2" x14ac:dyDescent="0.3">
      <c r="A82" s="8">
        <v>2.9999999999999698</v>
      </c>
      <c r="B82" s="8">
        <f t="shared" si="1"/>
        <v>20.999999999999488</v>
      </c>
    </row>
    <row r="83" spans="1:2" x14ac:dyDescent="0.3">
      <c r="A83" s="8">
        <v>3.0999999999999699</v>
      </c>
      <c r="B83" s="8">
        <f t="shared" si="1"/>
        <v>22.719999999999473</v>
      </c>
    </row>
    <row r="84" spans="1:2" x14ac:dyDescent="0.3">
      <c r="A84" s="8">
        <v>3.19999999999997</v>
      </c>
      <c r="B84" s="8">
        <f t="shared" si="1"/>
        <v>24.479999999999464</v>
      </c>
    </row>
    <row r="85" spans="1:2" x14ac:dyDescent="0.3">
      <c r="A85" s="8">
        <v>3.2999999999999701</v>
      </c>
      <c r="B85" s="8">
        <f t="shared" si="1"/>
        <v>26.279999999999454</v>
      </c>
    </row>
    <row r="86" spans="1:2" x14ac:dyDescent="0.3">
      <c r="A86" s="8">
        <v>3.3999999999999702</v>
      </c>
      <c r="B86" s="8">
        <f t="shared" si="1"/>
        <v>28.119999999999443</v>
      </c>
    </row>
    <row r="87" spans="1:2" x14ac:dyDescent="0.3">
      <c r="A87" s="8">
        <v>3.4999999999999698</v>
      </c>
      <c r="B87" s="8">
        <f t="shared" si="1"/>
        <v>29.999999999999432</v>
      </c>
    </row>
    <row r="88" spans="1:2" x14ac:dyDescent="0.3">
      <c r="A88" s="8">
        <v>3.5999999999999699</v>
      </c>
      <c r="B88" s="8">
        <f t="shared" si="1"/>
        <v>31.919999999999419</v>
      </c>
    </row>
    <row r="89" spans="1:2" x14ac:dyDescent="0.3">
      <c r="A89" s="8">
        <v>3.69999999999997</v>
      </c>
      <c r="B89" s="8">
        <f t="shared" si="1"/>
        <v>33.879999999999406</v>
      </c>
    </row>
    <row r="90" spans="1:2" x14ac:dyDescent="0.3">
      <c r="A90" s="8">
        <v>3.7999999999999701</v>
      </c>
      <c r="B90" s="8">
        <f t="shared" si="1"/>
        <v>35.879999999999399</v>
      </c>
    </row>
    <row r="91" spans="1:2" x14ac:dyDescent="0.3">
      <c r="A91" s="8">
        <v>3.8999999999999702</v>
      </c>
      <c r="B91" s="8">
        <f t="shared" si="1"/>
        <v>37.919999999999384</v>
      </c>
    </row>
    <row r="92" spans="1:2" x14ac:dyDescent="0.3">
      <c r="A92" s="8">
        <v>3.9999999999999698</v>
      </c>
      <c r="B92" s="8">
        <f t="shared" si="1"/>
        <v>39.999999999999368</v>
      </c>
    </row>
    <row r="93" spans="1:2" x14ac:dyDescent="0.3">
      <c r="A93" s="8">
        <v>4.0999999999999703</v>
      </c>
      <c r="B93" s="8">
        <f t="shared" si="1"/>
        <v>42.119999999999365</v>
      </c>
    </row>
    <row r="94" spans="1:2" x14ac:dyDescent="0.3">
      <c r="A94" s="8">
        <v>4.19999999999997</v>
      </c>
      <c r="B94" s="8">
        <f t="shared" si="1"/>
        <v>44.279999999999347</v>
      </c>
    </row>
    <row r="95" spans="1:2" x14ac:dyDescent="0.3">
      <c r="A95" s="8">
        <v>4.2999999999999696</v>
      </c>
      <c r="B95" s="8">
        <f t="shared" si="1"/>
        <v>46.479999999999322</v>
      </c>
    </row>
    <row r="96" spans="1:2" x14ac:dyDescent="0.3">
      <c r="A96" s="8">
        <v>4.3999999999999702</v>
      </c>
      <c r="B96" s="8">
        <f t="shared" si="1"/>
        <v>48.719999999999324</v>
      </c>
    </row>
    <row r="97" spans="1:2" x14ac:dyDescent="0.3">
      <c r="A97" s="8">
        <v>4.4999999999999698</v>
      </c>
      <c r="B97" s="8">
        <f t="shared" si="1"/>
        <v>50.999999999999311</v>
      </c>
    </row>
    <row r="98" spans="1:2" x14ac:dyDescent="0.3">
      <c r="A98" s="8">
        <v>4.5999999999999703</v>
      </c>
      <c r="B98" s="8">
        <f t="shared" si="1"/>
        <v>53.319999999999311</v>
      </c>
    </row>
    <row r="99" spans="1:2" x14ac:dyDescent="0.3">
      <c r="A99" s="8">
        <v>4.69999999999997</v>
      </c>
      <c r="B99" s="8">
        <f t="shared" si="1"/>
        <v>55.679999999999296</v>
      </c>
    </row>
    <row r="100" spans="1:2" x14ac:dyDescent="0.3">
      <c r="A100" s="8">
        <v>4.7999999999999696</v>
      </c>
      <c r="B100" s="8">
        <f t="shared" si="1"/>
        <v>58.079999999999259</v>
      </c>
    </row>
    <row r="101" spans="1:2" x14ac:dyDescent="0.3">
      <c r="A101" s="8">
        <v>4.8999999999999604</v>
      </c>
      <c r="B101" s="8">
        <f t="shared" si="1"/>
        <v>60.519999999999015</v>
      </c>
    </row>
    <row r="102" spans="1:2" x14ac:dyDescent="0.3">
      <c r="A102" s="8">
        <v>4.99999999999996</v>
      </c>
      <c r="B102" s="8">
        <f t="shared" si="1"/>
        <v>62.999999999999005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B7"/>
  <sheetViews>
    <sheetView zoomScale="130" zoomScaleNormal="130" workbookViewId="0"/>
  </sheetViews>
  <sheetFormatPr defaultColWidth="9.109375" defaultRowHeight="14.4" x14ac:dyDescent="0.3"/>
  <cols>
    <col min="1" max="1" width="14" style="3" customWidth="1"/>
    <col min="2" max="2" width="10.44140625" style="3" bestFit="1" customWidth="1"/>
    <col min="3" max="16384" width="9.109375" style="3"/>
  </cols>
  <sheetData>
    <row r="1" spans="1:2" x14ac:dyDescent="0.3">
      <c r="A1" s="2" t="s">
        <v>5</v>
      </c>
      <c r="B1" s="2" t="s">
        <v>8</v>
      </c>
    </row>
    <row r="2" spans="1:2" x14ac:dyDescent="0.3">
      <c r="A2" s="11">
        <v>42095</v>
      </c>
      <c r="B2" s="12">
        <v>1884</v>
      </c>
    </row>
    <row r="3" spans="1:2" x14ac:dyDescent="0.3">
      <c r="A3" s="11">
        <v>42099</v>
      </c>
      <c r="B3" s="12">
        <v>1743</v>
      </c>
    </row>
    <row r="4" spans="1:2" x14ac:dyDescent="0.3">
      <c r="A4" s="11">
        <v>42100</v>
      </c>
      <c r="B4" s="12">
        <v>1584</v>
      </c>
    </row>
    <row r="5" spans="1:2" x14ac:dyDescent="0.3">
      <c r="A5" s="11">
        <v>42103</v>
      </c>
      <c r="B5" s="12">
        <v>1907</v>
      </c>
    </row>
    <row r="6" spans="1:2" x14ac:dyDescent="0.3">
      <c r="A6" s="11">
        <v>42109</v>
      </c>
      <c r="B6" s="12">
        <v>1931</v>
      </c>
    </row>
    <row r="7" spans="1:2" x14ac:dyDescent="0.3">
      <c r="A7" s="11">
        <v>42116</v>
      </c>
      <c r="B7" s="12">
        <v>1159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B7"/>
  <sheetViews>
    <sheetView zoomScale="130" zoomScaleNormal="130" workbookViewId="0"/>
  </sheetViews>
  <sheetFormatPr defaultColWidth="9.109375" defaultRowHeight="14.4" x14ac:dyDescent="0.3"/>
  <cols>
    <col min="1" max="1" width="14" style="3" customWidth="1"/>
    <col min="2" max="2" width="10.44140625" style="3" bestFit="1" customWidth="1"/>
    <col min="3" max="16384" width="9.109375" style="3"/>
  </cols>
  <sheetData>
    <row r="1" spans="1:2" x14ac:dyDescent="0.3">
      <c r="A1" s="2" t="s">
        <v>5</v>
      </c>
      <c r="B1" s="2" t="s">
        <v>8</v>
      </c>
    </row>
    <row r="2" spans="1:2" x14ac:dyDescent="0.3">
      <c r="A2" s="11">
        <v>42095</v>
      </c>
      <c r="B2" s="12">
        <v>1884</v>
      </c>
    </row>
    <row r="3" spans="1:2" x14ac:dyDescent="0.3">
      <c r="A3" s="11">
        <v>42099</v>
      </c>
      <c r="B3" s="12">
        <v>1743</v>
      </c>
    </row>
    <row r="4" spans="1:2" x14ac:dyDescent="0.3">
      <c r="A4" s="11">
        <v>42100</v>
      </c>
      <c r="B4" s="12">
        <v>1584</v>
      </c>
    </row>
    <row r="5" spans="1:2" x14ac:dyDescent="0.3">
      <c r="A5" s="11">
        <v>42103</v>
      </c>
      <c r="B5" s="12">
        <v>1907</v>
      </c>
    </row>
    <row r="6" spans="1:2" x14ac:dyDescent="0.3">
      <c r="A6" s="11">
        <v>42109</v>
      </c>
      <c r="B6" s="12">
        <v>1931</v>
      </c>
    </row>
    <row r="7" spans="1:2" x14ac:dyDescent="0.3">
      <c r="A7" s="11">
        <v>42116</v>
      </c>
      <c r="B7" s="12">
        <v>1159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J49"/>
  <sheetViews>
    <sheetView zoomScale="115" zoomScaleNormal="115" workbookViewId="0"/>
  </sheetViews>
  <sheetFormatPr defaultColWidth="9.109375" defaultRowHeight="14.4" x14ac:dyDescent="0.3"/>
  <cols>
    <col min="1" max="1" width="9.5546875" style="13" bestFit="1" customWidth="1"/>
    <col min="2" max="2" width="4.88671875" style="13" customWidth="1"/>
    <col min="3" max="3" width="4.44140625" style="13" bestFit="1" customWidth="1"/>
    <col min="4" max="4" width="5.44140625" style="13" bestFit="1" customWidth="1"/>
    <col min="5" max="5" width="17.6640625" style="13" customWidth="1"/>
    <col min="6" max="6" width="17.33203125" style="13" bestFit="1" customWidth="1"/>
    <col min="7" max="7" width="10.5546875" style="13" customWidth="1"/>
    <col min="8" max="12" width="9.33203125" style="13" bestFit="1" customWidth="1"/>
    <col min="13" max="16384" width="9.109375" style="13"/>
  </cols>
  <sheetData>
    <row r="1" spans="1:10" x14ac:dyDescent="0.3">
      <c r="I1" s="14" t="s">
        <v>27</v>
      </c>
      <c r="J1" s="15"/>
    </row>
    <row r="2" spans="1:10" ht="43.2" x14ac:dyDescent="0.3">
      <c r="A2" s="16" t="s">
        <v>28</v>
      </c>
      <c r="C2" s="17" t="s">
        <v>29</v>
      </c>
      <c r="D2" s="17" t="s">
        <v>30</v>
      </c>
      <c r="E2" s="17" t="s">
        <v>31</v>
      </c>
      <c r="F2" s="17" t="s">
        <v>32</v>
      </c>
      <c r="G2" s="17" t="s">
        <v>33</v>
      </c>
      <c r="I2" s="17" t="s">
        <v>34</v>
      </c>
      <c r="J2" s="17" t="s">
        <v>35</v>
      </c>
    </row>
    <row r="3" spans="1:10" x14ac:dyDescent="0.3">
      <c r="A3" s="18">
        <v>99</v>
      </c>
      <c r="C3" s="18">
        <f>I3</f>
        <v>0</v>
      </c>
      <c r="D3" s="18">
        <f t="shared" ref="D3:D13" si="0">C3+$J$3</f>
        <v>10</v>
      </c>
      <c r="E3" s="18" t="str">
        <f>" &lt;="&amp;D3</f>
        <v xml:space="preserve"> &lt;=10</v>
      </c>
      <c r="F3" s="19">
        <f>COUNTIFS($A$3:$A$49,"&gt;="&amp;C3,$A$3:$A$49,"&lt;="&amp;D3)</f>
        <v>1</v>
      </c>
      <c r="G3" s="19">
        <f t="array" ref="G3:G13">FREQUENCY($A$3:$A$49,$D$3:$D$12)</f>
        <v>1</v>
      </c>
      <c r="I3" s="18">
        <v>0</v>
      </c>
      <c r="J3" s="18">
        <v>10</v>
      </c>
    </row>
    <row r="4" spans="1:10" x14ac:dyDescent="0.3">
      <c r="A4" s="18">
        <v>84</v>
      </c>
      <c r="C4" s="18">
        <f>D3</f>
        <v>10</v>
      </c>
      <c r="D4" s="18">
        <f t="shared" si="0"/>
        <v>20</v>
      </c>
      <c r="E4" s="18" t="str">
        <f>" &gt;"&amp;C4&amp;" ORAZ &lt;="&amp;D4</f>
        <v xml:space="preserve"> &gt;10 ORAZ &lt;=20</v>
      </c>
      <c r="F4" s="19">
        <f>COUNTIFS($A$3:$A$49,"&gt;"&amp;C4,$A$3:$A$49,"&lt;="&amp;D4)</f>
        <v>6</v>
      </c>
      <c r="G4" s="19">
        <v>6</v>
      </c>
    </row>
    <row r="5" spans="1:10" x14ac:dyDescent="0.3">
      <c r="A5" s="18">
        <v>26</v>
      </c>
      <c r="C5" s="18">
        <f t="shared" ref="C5:C13" si="1">D4</f>
        <v>20</v>
      </c>
      <c r="D5" s="18">
        <f t="shared" si="0"/>
        <v>30</v>
      </c>
      <c r="E5" s="18" t="str">
        <f t="shared" ref="E5:E12" si="2">" &gt;"&amp;C5&amp;" ORAZ &lt;="&amp;D5</f>
        <v xml:space="preserve"> &gt;20 ORAZ &lt;=30</v>
      </c>
      <c r="F5" s="19">
        <f t="shared" ref="F5:F13" si="3">COUNTIFS($A$3:$A$49,"&gt;"&amp;C5,$A$3:$A$49,"&lt;="&amp;D5)</f>
        <v>6</v>
      </c>
      <c r="G5" s="19">
        <v>6</v>
      </c>
    </row>
    <row r="6" spans="1:10" x14ac:dyDescent="0.3">
      <c r="A6" s="18">
        <v>74</v>
      </c>
      <c r="C6" s="18">
        <f t="shared" si="1"/>
        <v>30</v>
      </c>
      <c r="D6" s="18">
        <f t="shared" si="0"/>
        <v>40</v>
      </c>
      <c r="E6" s="18" t="str">
        <f t="shared" si="2"/>
        <v xml:space="preserve"> &gt;30 ORAZ &lt;=40</v>
      </c>
      <c r="F6" s="19">
        <f t="shared" si="3"/>
        <v>3</v>
      </c>
      <c r="G6" s="19">
        <v>3</v>
      </c>
    </row>
    <row r="7" spans="1:10" x14ac:dyDescent="0.3">
      <c r="A7" s="18">
        <v>11</v>
      </c>
      <c r="C7" s="18">
        <f t="shared" si="1"/>
        <v>40</v>
      </c>
      <c r="D7" s="18">
        <f t="shared" si="0"/>
        <v>50</v>
      </c>
      <c r="E7" s="18" t="str">
        <f t="shared" si="2"/>
        <v xml:space="preserve"> &gt;40 ORAZ &lt;=50</v>
      </c>
      <c r="F7" s="19">
        <f t="shared" si="3"/>
        <v>4</v>
      </c>
      <c r="G7" s="19">
        <v>4</v>
      </c>
    </row>
    <row r="8" spans="1:10" x14ac:dyDescent="0.3">
      <c r="A8" s="18">
        <v>30</v>
      </c>
      <c r="C8" s="18">
        <f t="shared" si="1"/>
        <v>50</v>
      </c>
      <c r="D8" s="18">
        <f t="shared" si="0"/>
        <v>60</v>
      </c>
      <c r="E8" s="18" t="str">
        <f t="shared" si="2"/>
        <v xml:space="preserve"> &gt;50 ORAZ &lt;=60</v>
      </c>
      <c r="F8" s="19">
        <f t="shared" si="3"/>
        <v>5</v>
      </c>
      <c r="G8" s="19">
        <v>5</v>
      </c>
    </row>
    <row r="9" spans="1:10" x14ac:dyDescent="0.3">
      <c r="A9" s="18">
        <v>78</v>
      </c>
      <c r="C9" s="18">
        <f t="shared" si="1"/>
        <v>60</v>
      </c>
      <c r="D9" s="18">
        <f t="shared" si="0"/>
        <v>70</v>
      </c>
      <c r="E9" s="18" t="str">
        <f t="shared" si="2"/>
        <v xml:space="preserve"> &gt;60 ORAZ &lt;=70</v>
      </c>
      <c r="F9" s="19">
        <f t="shared" si="3"/>
        <v>7</v>
      </c>
      <c r="G9" s="19">
        <v>7</v>
      </c>
    </row>
    <row r="10" spans="1:10" x14ac:dyDescent="0.3">
      <c r="A10" s="18">
        <v>38</v>
      </c>
      <c r="C10" s="18">
        <f t="shared" si="1"/>
        <v>70</v>
      </c>
      <c r="D10" s="18">
        <f t="shared" si="0"/>
        <v>80</v>
      </c>
      <c r="E10" s="18" t="str">
        <f t="shared" si="2"/>
        <v xml:space="preserve"> &gt;70 ORAZ &lt;=80</v>
      </c>
      <c r="F10" s="19">
        <f t="shared" si="3"/>
        <v>7</v>
      </c>
      <c r="G10" s="19">
        <v>7</v>
      </c>
    </row>
    <row r="11" spans="1:10" x14ac:dyDescent="0.3">
      <c r="A11" s="18">
        <v>11</v>
      </c>
      <c r="C11" s="18">
        <f t="shared" si="1"/>
        <v>80</v>
      </c>
      <c r="D11" s="18">
        <f t="shared" si="0"/>
        <v>90</v>
      </c>
      <c r="E11" s="18" t="str">
        <f t="shared" si="2"/>
        <v xml:space="preserve"> &gt;80 ORAZ &lt;=90</v>
      </c>
      <c r="F11" s="19">
        <f t="shared" si="3"/>
        <v>5</v>
      </c>
      <c r="G11" s="19">
        <v>5</v>
      </c>
    </row>
    <row r="12" spans="1:10" x14ac:dyDescent="0.3">
      <c r="A12" s="18">
        <v>76</v>
      </c>
      <c r="C12" s="18">
        <f t="shared" si="1"/>
        <v>90</v>
      </c>
      <c r="D12" s="18">
        <f t="shared" si="0"/>
        <v>100</v>
      </c>
      <c r="E12" s="18" t="str">
        <f t="shared" si="2"/>
        <v xml:space="preserve"> &gt;90 ORAZ &lt;=100</v>
      </c>
      <c r="F12" s="19">
        <f t="shared" si="3"/>
        <v>3</v>
      </c>
      <c r="G12" s="19">
        <v>3</v>
      </c>
    </row>
    <row r="13" spans="1:10" x14ac:dyDescent="0.3">
      <c r="A13" s="18">
        <v>50</v>
      </c>
      <c r="C13" s="18">
        <f t="shared" si="1"/>
        <v>100</v>
      </c>
      <c r="D13" s="18">
        <f t="shared" si="0"/>
        <v>110</v>
      </c>
      <c r="E13" s="18" t="str">
        <f>" &gt;"&amp;C13</f>
        <v xml:space="preserve"> &gt;100</v>
      </c>
      <c r="F13" s="19">
        <f t="shared" si="3"/>
        <v>0</v>
      </c>
      <c r="G13" s="19">
        <v>0</v>
      </c>
    </row>
    <row r="14" spans="1:10" x14ac:dyDescent="0.3">
      <c r="A14" s="18">
        <v>56</v>
      </c>
      <c r="G14" s="20"/>
    </row>
    <row r="15" spans="1:10" x14ac:dyDescent="0.3">
      <c r="A15" s="18">
        <v>53</v>
      </c>
    </row>
    <row r="16" spans="1:10" x14ac:dyDescent="0.3">
      <c r="A16" s="18">
        <v>13</v>
      </c>
    </row>
    <row r="17" spans="1:1" x14ac:dyDescent="0.3">
      <c r="A17" s="18">
        <v>30</v>
      </c>
    </row>
    <row r="18" spans="1:1" x14ac:dyDescent="0.3">
      <c r="A18" s="18">
        <v>65</v>
      </c>
    </row>
    <row r="19" spans="1:1" x14ac:dyDescent="0.3">
      <c r="A19" s="18">
        <v>83</v>
      </c>
    </row>
    <row r="20" spans="1:1" x14ac:dyDescent="0.3">
      <c r="A20" s="18">
        <v>40</v>
      </c>
    </row>
    <row r="21" spans="1:1" x14ac:dyDescent="0.3">
      <c r="A21" s="18">
        <v>100</v>
      </c>
    </row>
    <row r="22" spans="1:1" x14ac:dyDescent="0.3">
      <c r="A22" s="18">
        <v>49</v>
      </c>
    </row>
    <row r="23" spans="1:1" x14ac:dyDescent="0.3">
      <c r="A23" s="18">
        <v>66</v>
      </c>
    </row>
    <row r="24" spans="1:1" x14ac:dyDescent="0.3">
      <c r="A24" s="18">
        <v>64</v>
      </c>
    </row>
    <row r="25" spans="1:1" x14ac:dyDescent="0.3">
      <c r="A25" s="18">
        <v>22</v>
      </c>
    </row>
    <row r="26" spans="1:1" x14ac:dyDescent="0.3">
      <c r="A26" s="18">
        <v>75</v>
      </c>
    </row>
    <row r="27" spans="1:1" x14ac:dyDescent="0.3">
      <c r="A27" s="18">
        <v>21</v>
      </c>
    </row>
    <row r="28" spans="1:1" x14ac:dyDescent="0.3">
      <c r="A28" s="18">
        <v>66</v>
      </c>
    </row>
    <row r="29" spans="1:1" x14ac:dyDescent="0.3">
      <c r="A29" s="18">
        <v>11</v>
      </c>
    </row>
    <row r="30" spans="1:1" x14ac:dyDescent="0.3">
      <c r="A30" s="18">
        <v>53</v>
      </c>
    </row>
    <row r="31" spans="1:1" x14ac:dyDescent="0.3">
      <c r="A31" s="18">
        <v>38</v>
      </c>
    </row>
    <row r="32" spans="1:1" x14ac:dyDescent="0.3">
      <c r="A32" s="18">
        <v>47</v>
      </c>
    </row>
    <row r="33" spans="1:1" x14ac:dyDescent="0.3">
      <c r="A33" s="18">
        <v>75</v>
      </c>
    </row>
    <row r="34" spans="1:1" x14ac:dyDescent="0.3">
      <c r="A34" s="18">
        <v>48</v>
      </c>
    </row>
    <row r="35" spans="1:1" x14ac:dyDescent="0.3">
      <c r="A35" s="18">
        <v>89</v>
      </c>
    </row>
    <row r="36" spans="1:1" x14ac:dyDescent="0.3">
      <c r="A36" s="18">
        <v>11</v>
      </c>
    </row>
    <row r="37" spans="1:1" x14ac:dyDescent="0.3">
      <c r="A37" s="18">
        <v>97</v>
      </c>
    </row>
    <row r="38" spans="1:1" x14ac:dyDescent="0.3">
      <c r="A38" s="18">
        <v>72</v>
      </c>
    </row>
    <row r="39" spans="1:1" x14ac:dyDescent="0.3">
      <c r="A39" s="18">
        <v>6</v>
      </c>
    </row>
    <row r="40" spans="1:1" x14ac:dyDescent="0.3">
      <c r="A40" s="18">
        <v>83</v>
      </c>
    </row>
    <row r="41" spans="1:1" x14ac:dyDescent="0.3">
      <c r="A41" s="18">
        <v>62</v>
      </c>
    </row>
    <row r="42" spans="1:1" x14ac:dyDescent="0.3">
      <c r="A42" s="18">
        <v>88</v>
      </c>
    </row>
    <row r="43" spans="1:1" x14ac:dyDescent="0.3">
      <c r="A43" s="18">
        <v>54</v>
      </c>
    </row>
    <row r="44" spans="1:1" x14ac:dyDescent="0.3">
      <c r="A44" s="18">
        <v>62</v>
      </c>
    </row>
    <row r="45" spans="1:1" x14ac:dyDescent="0.3">
      <c r="A45" s="18">
        <v>75</v>
      </c>
    </row>
    <row r="46" spans="1:1" x14ac:dyDescent="0.3">
      <c r="A46" s="18">
        <v>60</v>
      </c>
    </row>
    <row r="47" spans="1:1" x14ac:dyDescent="0.3">
      <c r="A47" s="18">
        <v>12</v>
      </c>
    </row>
    <row r="48" spans="1:1" x14ac:dyDescent="0.3">
      <c r="A48" s="18">
        <v>30</v>
      </c>
    </row>
    <row r="49" spans="1:1" x14ac:dyDescent="0.3">
      <c r="A49" s="18">
        <v>69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J49"/>
  <sheetViews>
    <sheetView zoomScale="115" zoomScaleNormal="115" workbookViewId="0"/>
  </sheetViews>
  <sheetFormatPr defaultColWidth="9.109375" defaultRowHeight="14.4" x14ac:dyDescent="0.3"/>
  <cols>
    <col min="1" max="1" width="9.5546875" style="13" bestFit="1" customWidth="1"/>
    <col min="2" max="2" width="4.88671875" style="13" customWidth="1"/>
    <col min="3" max="3" width="4.44140625" style="13" bestFit="1" customWidth="1"/>
    <col min="4" max="4" width="5.44140625" style="13" bestFit="1" customWidth="1"/>
    <col min="5" max="5" width="17.6640625" style="13" customWidth="1"/>
    <col min="6" max="6" width="17.33203125" style="13" bestFit="1" customWidth="1"/>
    <col min="7" max="7" width="10.5546875" style="13" customWidth="1"/>
    <col min="8" max="12" width="9.33203125" style="13" bestFit="1" customWidth="1"/>
    <col min="13" max="16384" width="9.109375" style="13"/>
  </cols>
  <sheetData>
    <row r="1" spans="1:10" x14ac:dyDescent="0.3">
      <c r="I1" s="14" t="s">
        <v>27</v>
      </c>
      <c r="J1" s="15"/>
    </row>
    <row r="2" spans="1:10" ht="43.2" x14ac:dyDescent="0.3">
      <c r="A2" s="16" t="s">
        <v>28</v>
      </c>
      <c r="C2" s="17" t="s">
        <v>29</v>
      </c>
      <c r="D2" s="17" t="s">
        <v>30</v>
      </c>
      <c r="E2" s="17" t="s">
        <v>31</v>
      </c>
      <c r="F2" s="17" t="s">
        <v>32</v>
      </c>
      <c r="G2" s="17" t="s">
        <v>33</v>
      </c>
      <c r="I2" s="17" t="s">
        <v>34</v>
      </c>
      <c r="J2" s="17" t="s">
        <v>35</v>
      </c>
    </row>
    <row r="3" spans="1:10" x14ac:dyDescent="0.3">
      <c r="A3" s="18">
        <v>99</v>
      </c>
      <c r="C3" s="18">
        <f>I3</f>
        <v>0</v>
      </c>
      <c r="D3" s="18">
        <f t="shared" ref="D3:D13" si="0">C3+$J$3</f>
        <v>10</v>
      </c>
      <c r="E3" s="18" t="str">
        <f>" &lt;="&amp;D3</f>
        <v xml:space="preserve"> &lt;=10</v>
      </c>
      <c r="F3" s="19">
        <f>COUNTIFS($A$3:$A$49,"&gt;="&amp;C3,$A$3:$A$49,"&lt;="&amp;D3)</f>
        <v>1</v>
      </c>
      <c r="G3" s="19">
        <f t="array" ref="G3:G13">FREQUENCY($A$3:$A$49,$D$3:$D$12)</f>
        <v>1</v>
      </c>
      <c r="I3" s="18">
        <v>0</v>
      </c>
      <c r="J3" s="18">
        <v>10</v>
      </c>
    </row>
    <row r="4" spans="1:10" x14ac:dyDescent="0.3">
      <c r="A4" s="18">
        <v>84</v>
      </c>
      <c r="C4" s="18">
        <f>D3</f>
        <v>10</v>
      </c>
      <c r="D4" s="18">
        <f t="shared" si="0"/>
        <v>20</v>
      </c>
      <c r="E4" s="18" t="str">
        <f>" &gt;"&amp;C4&amp;" ORAZ &lt;="&amp;D4</f>
        <v xml:space="preserve"> &gt;10 ORAZ &lt;=20</v>
      </c>
      <c r="F4" s="19">
        <f>COUNTIFS($A$3:$A$49,"&gt;"&amp;C4,$A$3:$A$49,"&lt;="&amp;D4)</f>
        <v>6</v>
      </c>
      <c r="G4" s="19">
        <v>6</v>
      </c>
    </row>
    <row r="5" spans="1:10" x14ac:dyDescent="0.3">
      <c r="A5" s="18">
        <v>26</v>
      </c>
      <c r="C5" s="18">
        <f t="shared" ref="C5:C13" si="1">D4</f>
        <v>20</v>
      </c>
      <c r="D5" s="18">
        <f t="shared" si="0"/>
        <v>30</v>
      </c>
      <c r="E5" s="18" t="str">
        <f t="shared" ref="E5:E12" si="2">" &gt;"&amp;C5&amp;" ORAZ &lt;="&amp;D5</f>
        <v xml:space="preserve"> &gt;20 ORAZ &lt;=30</v>
      </c>
      <c r="F5" s="19">
        <f t="shared" ref="F5:F13" si="3">COUNTIFS($A$3:$A$49,"&gt;"&amp;C5,$A$3:$A$49,"&lt;="&amp;D5)</f>
        <v>6</v>
      </c>
      <c r="G5" s="19">
        <v>6</v>
      </c>
    </row>
    <row r="6" spans="1:10" x14ac:dyDescent="0.3">
      <c r="A6" s="18">
        <v>74</v>
      </c>
      <c r="C6" s="18">
        <f t="shared" si="1"/>
        <v>30</v>
      </c>
      <c r="D6" s="18">
        <f t="shared" si="0"/>
        <v>40</v>
      </c>
      <c r="E6" s="18" t="str">
        <f t="shared" si="2"/>
        <v xml:space="preserve"> &gt;30 ORAZ &lt;=40</v>
      </c>
      <c r="F6" s="19">
        <f t="shared" si="3"/>
        <v>3</v>
      </c>
      <c r="G6" s="19">
        <v>3</v>
      </c>
    </row>
    <row r="7" spans="1:10" x14ac:dyDescent="0.3">
      <c r="A7" s="18">
        <v>11</v>
      </c>
      <c r="C7" s="18">
        <f t="shared" si="1"/>
        <v>40</v>
      </c>
      <c r="D7" s="18">
        <f t="shared" si="0"/>
        <v>50</v>
      </c>
      <c r="E7" s="18" t="str">
        <f t="shared" si="2"/>
        <v xml:space="preserve"> &gt;40 ORAZ &lt;=50</v>
      </c>
      <c r="F7" s="19">
        <f t="shared" si="3"/>
        <v>4</v>
      </c>
      <c r="G7" s="19">
        <v>4</v>
      </c>
    </row>
    <row r="8" spans="1:10" x14ac:dyDescent="0.3">
      <c r="A8" s="18">
        <v>30</v>
      </c>
      <c r="C8" s="18">
        <f t="shared" si="1"/>
        <v>50</v>
      </c>
      <c r="D8" s="18">
        <f t="shared" si="0"/>
        <v>60</v>
      </c>
      <c r="E8" s="18" t="str">
        <f t="shared" si="2"/>
        <v xml:space="preserve"> &gt;50 ORAZ &lt;=60</v>
      </c>
      <c r="F8" s="19">
        <f t="shared" si="3"/>
        <v>5</v>
      </c>
      <c r="G8" s="19">
        <v>5</v>
      </c>
    </row>
    <row r="9" spans="1:10" x14ac:dyDescent="0.3">
      <c r="A9" s="18">
        <v>78</v>
      </c>
      <c r="C9" s="18">
        <f t="shared" si="1"/>
        <v>60</v>
      </c>
      <c r="D9" s="18">
        <f t="shared" si="0"/>
        <v>70</v>
      </c>
      <c r="E9" s="18" t="str">
        <f t="shared" si="2"/>
        <v xml:space="preserve"> &gt;60 ORAZ &lt;=70</v>
      </c>
      <c r="F9" s="19">
        <f t="shared" si="3"/>
        <v>7</v>
      </c>
      <c r="G9" s="19">
        <v>7</v>
      </c>
    </row>
    <row r="10" spans="1:10" x14ac:dyDescent="0.3">
      <c r="A10" s="18">
        <v>38</v>
      </c>
      <c r="C10" s="18">
        <f t="shared" si="1"/>
        <v>70</v>
      </c>
      <c r="D10" s="18">
        <f t="shared" si="0"/>
        <v>80</v>
      </c>
      <c r="E10" s="18" t="str">
        <f t="shared" si="2"/>
        <v xml:space="preserve"> &gt;70 ORAZ &lt;=80</v>
      </c>
      <c r="F10" s="19">
        <f t="shared" si="3"/>
        <v>7</v>
      </c>
      <c r="G10" s="19">
        <v>7</v>
      </c>
    </row>
    <row r="11" spans="1:10" x14ac:dyDescent="0.3">
      <c r="A11" s="18">
        <v>11</v>
      </c>
      <c r="C11" s="18">
        <f t="shared" si="1"/>
        <v>80</v>
      </c>
      <c r="D11" s="18">
        <f t="shared" si="0"/>
        <v>90</v>
      </c>
      <c r="E11" s="18" t="str">
        <f t="shared" si="2"/>
        <v xml:space="preserve"> &gt;80 ORAZ &lt;=90</v>
      </c>
      <c r="F11" s="19">
        <f t="shared" si="3"/>
        <v>5</v>
      </c>
      <c r="G11" s="19">
        <v>5</v>
      </c>
    </row>
    <row r="12" spans="1:10" x14ac:dyDescent="0.3">
      <c r="A12" s="18">
        <v>76</v>
      </c>
      <c r="C12" s="18">
        <f t="shared" si="1"/>
        <v>90</v>
      </c>
      <c r="D12" s="18">
        <f t="shared" si="0"/>
        <v>100</v>
      </c>
      <c r="E12" s="18" t="str">
        <f t="shared" si="2"/>
        <v xml:space="preserve"> &gt;90 ORAZ &lt;=100</v>
      </c>
      <c r="F12" s="19">
        <f t="shared" si="3"/>
        <v>3</v>
      </c>
      <c r="G12" s="19">
        <v>3</v>
      </c>
    </row>
    <row r="13" spans="1:10" x14ac:dyDescent="0.3">
      <c r="A13" s="18">
        <v>50</v>
      </c>
      <c r="C13" s="18">
        <f t="shared" si="1"/>
        <v>100</v>
      </c>
      <c r="D13" s="18">
        <f t="shared" si="0"/>
        <v>110</v>
      </c>
      <c r="E13" s="18" t="str">
        <f>" &gt;"&amp;C13</f>
        <v xml:space="preserve"> &gt;100</v>
      </c>
      <c r="F13" s="19">
        <f t="shared" si="3"/>
        <v>0</v>
      </c>
      <c r="G13" s="19">
        <v>0</v>
      </c>
    </row>
    <row r="14" spans="1:10" x14ac:dyDescent="0.3">
      <c r="A14" s="18">
        <v>56</v>
      </c>
      <c r="G14" s="20"/>
    </row>
    <row r="15" spans="1:10" x14ac:dyDescent="0.3">
      <c r="A15" s="18">
        <v>53</v>
      </c>
    </row>
    <row r="16" spans="1:10" x14ac:dyDescent="0.3">
      <c r="A16" s="18">
        <v>13</v>
      </c>
    </row>
    <row r="17" spans="1:1" x14ac:dyDescent="0.3">
      <c r="A17" s="18">
        <v>30</v>
      </c>
    </row>
    <row r="18" spans="1:1" x14ac:dyDescent="0.3">
      <c r="A18" s="18">
        <v>65</v>
      </c>
    </row>
    <row r="19" spans="1:1" x14ac:dyDescent="0.3">
      <c r="A19" s="18">
        <v>83</v>
      </c>
    </row>
    <row r="20" spans="1:1" x14ac:dyDescent="0.3">
      <c r="A20" s="18">
        <v>40</v>
      </c>
    </row>
    <row r="21" spans="1:1" x14ac:dyDescent="0.3">
      <c r="A21" s="18">
        <v>100</v>
      </c>
    </row>
    <row r="22" spans="1:1" x14ac:dyDescent="0.3">
      <c r="A22" s="18">
        <v>49</v>
      </c>
    </row>
    <row r="23" spans="1:1" x14ac:dyDescent="0.3">
      <c r="A23" s="18">
        <v>66</v>
      </c>
    </row>
    <row r="24" spans="1:1" x14ac:dyDescent="0.3">
      <c r="A24" s="18">
        <v>64</v>
      </c>
    </row>
    <row r="25" spans="1:1" x14ac:dyDescent="0.3">
      <c r="A25" s="18">
        <v>22</v>
      </c>
    </row>
    <row r="26" spans="1:1" x14ac:dyDescent="0.3">
      <c r="A26" s="18">
        <v>75</v>
      </c>
    </row>
    <row r="27" spans="1:1" x14ac:dyDescent="0.3">
      <c r="A27" s="18">
        <v>21</v>
      </c>
    </row>
    <row r="28" spans="1:1" x14ac:dyDescent="0.3">
      <c r="A28" s="18">
        <v>66</v>
      </c>
    </row>
    <row r="29" spans="1:1" x14ac:dyDescent="0.3">
      <c r="A29" s="18">
        <v>11</v>
      </c>
    </row>
    <row r="30" spans="1:1" x14ac:dyDescent="0.3">
      <c r="A30" s="18">
        <v>53</v>
      </c>
    </row>
    <row r="31" spans="1:1" x14ac:dyDescent="0.3">
      <c r="A31" s="18">
        <v>38</v>
      </c>
    </row>
    <row r="32" spans="1:1" x14ac:dyDescent="0.3">
      <c r="A32" s="18">
        <v>47</v>
      </c>
    </row>
    <row r="33" spans="1:1" x14ac:dyDescent="0.3">
      <c r="A33" s="18">
        <v>75</v>
      </c>
    </row>
    <row r="34" spans="1:1" x14ac:dyDescent="0.3">
      <c r="A34" s="18">
        <v>48</v>
      </c>
    </row>
    <row r="35" spans="1:1" x14ac:dyDescent="0.3">
      <c r="A35" s="18">
        <v>89</v>
      </c>
    </row>
    <row r="36" spans="1:1" x14ac:dyDescent="0.3">
      <c r="A36" s="18">
        <v>11</v>
      </c>
    </row>
    <row r="37" spans="1:1" x14ac:dyDescent="0.3">
      <c r="A37" s="18">
        <v>97</v>
      </c>
    </row>
    <row r="38" spans="1:1" x14ac:dyDescent="0.3">
      <c r="A38" s="18">
        <v>72</v>
      </c>
    </row>
    <row r="39" spans="1:1" x14ac:dyDescent="0.3">
      <c r="A39" s="18">
        <v>6</v>
      </c>
    </row>
    <row r="40" spans="1:1" x14ac:dyDescent="0.3">
      <c r="A40" s="18">
        <v>83</v>
      </c>
    </row>
    <row r="41" spans="1:1" x14ac:dyDescent="0.3">
      <c r="A41" s="18">
        <v>62</v>
      </c>
    </row>
    <row r="42" spans="1:1" x14ac:dyDescent="0.3">
      <c r="A42" s="18">
        <v>88</v>
      </c>
    </row>
    <row r="43" spans="1:1" x14ac:dyDescent="0.3">
      <c r="A43" s="18">
        <v>54</v>
      </c>
    </row>
    <row r="44" spans="1:1" x14ac:dyDescent="0.3">
      <c r="A44" s="18">
        <v>62</v>
      </c>
    </row>
    <row r="45" spans="1:1" x14ac:dyDescent="0.3">
      <c r="A45" s="18">
        <v>75</v>
      </c>
    </row>
    <row r="46" spans="1:1" x14ac:dyDescent="0.3">
      <c r="A46" s="18">
        <v>60</v>
      </c>
    </row>
    <row r="47" spans="1:1" x14ac:dyDescent="0.3">
      <c r="A47" s="18">
        <v>12</v>
      </c>
    </row>
    <row r="48" spans="1:1" x14ac:dyDescent="0.3">
      <c r="A48" s="18">
        <v>30</v>
      </c>
    </row>
    <row r="49" spans="1:1" x14ac:dyDescent="0.3">
      <c r="A49" s="18">
        <v>69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D6"/>
  <sheetViews>
    <sheetView zoomScale="130" zoomScaleNormal="130" workbookViewId="0"/>
  </sheetViews>
  <sheetFormatPr defaultColWidth="9.109375" defaultRowHeight="14.4" x14ac:dyDescent="0.3"/>
  <cols>
    <col min="1" max="1" width="11.88671875" style="3" bestFit="1" customWidth="1"/>
    <col min="2" max="16384" width="9.109375" style="3"/>
  </cols>
  <sheetData>
    <row r="1" spans="1:4" x14ac:dyDescent="0.3">
      <c r="A1" s="2" t="s">
        <v>36</v>
      </c>
      <c r="B1" s="2" t="s">
        <v>37</v>
      </c>
    </row>
    <row r="2" spans="1:4" x14ac:dyDescent="0.3">
      <c r="A2" s="4">
        <v>109</v>
      </c>
      <c r="B2" s="21">
        <v>7.6388888888888893E-4</v>
      </c>
      <c r="D2" s="22"/>
    </row>
    <row r="3" spans="1:4" x14ac:dyDescent="0.3">
      <c r="A3" s="4">
        <v>210</v>
      </c>
      <c r="B3" s="21">
        <v>1.2037037037037038E-3</v>
      </c>
      <c r="D3" s="22"/>
    </row>
    <row r="4" spans="1:4" x14ac:dyDescent="0.3">
      <c r="A4" s="4">
        <v>197</v>
      </c>
      <c r="B4" s="21">
        <v>7.291666666666667E-4</v>
      </c>
    </row>
    <row r="5" spans="1:4" x14ac:dyDescent="0.3">
      <c r="A5" s="4">
        <v>165</v>
      </c>
      <c r="B5" s="21">
        <v>1.2905092592592593E-3</v>
      </c>
    </row>
    <row r="6" spans="1:4" x14ac:dyDescent="0.3">
      <c r="A6" s="4">
        <v>202</v>
      </c>
      <c r="B6" s="21">
        <v>1.1400462962962963E-3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D6"/>
  <sheetViews>
    <sheetView zoomScale="130" zoomScaleNormal="130" workbookViewId="0">
      <selection activeCell="B4" sqref="B4"/>
    </sheetView>
  </sheetViews>
  <sheetFormatPr defaultColWidth="9.109375" defaultRowHeight="14.4" x14ac:dyDescent="0.3"/>
  <cols>
    <col min="1" max="1" width="11.88671875" style="3" bestFit="1" customWidth="1"/>
    <col min="2" max="16384" width="9.109375" style="3"/>
  </cols>
  <sheetData>
    <row r="1" spans="1:4" x14ac:dyDescent="0.3">
      <c r="A1" s="2" t="s">
        <v>36</v>
      </c>
      <c r="B1" s="2" t="s">
        <v>37</v>
      </c>
    </row>
    <row r="2" spans="1:4" x14ac:dyDescent="0.3">
      <c r="A2" s="4">
        <v>109</v>
      </c>
      <c r="B2" s="21">
        <v>7.6388888888888893E-4</v>
      </c>
      <c r="D2" s="22"/>
    </row>
    <row r="3" spans="1:4" x14ac:dyDescent="0.3">
      <c r="A3" s="4">
        <v>210</v>
      </c>
      <c r="B3" s="21">
        <v>1.2037037037037038E-3</v>
      </c>
      <c r="D3" s="22"/>
    </row>
    <row r="4" spans="1:4" x14ac:dyDescent="0.3">
      <c r="A4" s="4">
        <v>197</v>
      </c>
      <c r="B4" s="21">
        <v>7.291666666666667E-4</v>
      </c>
    </row>
    <row r="5" spans="1:4" x14ac:dyDescent="0.3">
      <c r="A5" s="4">
        <v>165</v>
      </c>
      <c r="B5" s="21">
        <v>1.2905092592592593E-3</v>
      </c>
    </row>
    <row r="6" spans="1:4" x14ac:dyDescent="0.3">
      <c r="A6" s="4">
        <v>202</v>
      </c>
      <c r="B6" s="21">
        <v>1.1400462962962963E-3</v>
      </c>
    </row>
  </sheetData>
  <dataValidations count="1">
    <dataValidation type="custom" allowBlank="1" showInputMessage="1" showErrorMessage="1" sqref="B3:F10" xr:uid="{00000000-0002-0000-0D00-000000000000}">
      <formula1>AND(MOD(B3/0.5,1)=0,B3&lt;=6,B3&gt;=1)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</sheetPr>
  <dimension ref="A1:F6"/>
  <sheetViews>
    <sheetView zoomScale="130" zoomScaleNormal="130" workbookViewId="0">
      <selection activeCell="E4" sqref="E4"/>
    </sheetView>
  </sheetViews>
  <sheetFormatPr defaultColWidth="9.109375" defaultRowHeight="14.4" x14ac:dyDescent="0.3"/>
  <cols>
    <col min="1" max="1" width="11.88671875" style="3" bestFit="1" customWidth="1"/>
    <col min="2" max="16384" width="9.109375" style="3"/>
  </cols>
  <sheetData>
    <row r="1" spans="1:6" x14ac:dyDescent="0.3">
      <c r="A1" s="2" t="s">
        <v>36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spans="1:6" ht="28.5" customHeight="1" x14ac:dyDescent="0.3">
      <c r="A2" s="4">
        <v>109</v>
      </c>
      <c r="B2" s="21">
        <v>7.6388888888888893E-4</v>
      </c>
      <c r="C2" s="21">
        <v>7.6851851851851853E-4</v>
      </c>
      <c r="D2" s="21">
        <v>7.4884259259259262E-4</v>
      </c>
      <c r="E2" s="21">
        <v>7.0601851851851858E-4</v>
      </c>
      <c r="F2" s="21">
        <v>6.6666666666666675E-4</v>
      </c>
    </row>
    <row r="3" spans="1:6" ht="28.5" customHeight="1" x14ac:dyDescent="0.3">
      <c r="A3" s="4">
        <v>210</v>
      </c>
      <c r="B3" s="21">
        <v>1.2037037037037038E-3</v>
      </c>
      <c r="C3" s="21">
        <v>1.2372685185185186E-3</v>
      </c>
      <c r="D3" s="21">
        <v>1.2789351851851853E-3</v>
      </c>
      <c r="E3" s="21">
        <v>1.2361111111111112E-3</v>
      </c>
      <c r="F3" s="21">
        <v>1.2141203703703704E-3</v>
      </c>
    </row>
    <row r="4" spans="1:6" ht="28.5" customHeight="1" x14ac:dyDescent="0.3">
      <c r="A4" s="4">
        <v>197</v>
      </c>
      <c r="B4" s="21">
        <v>7.291666666666667E-4</v>
      </c>
      <c r="C4" s="21">
        <v>7.5694444444444453E-4</v>
      </c>
      <c r="D4" s="21">
        <v>7.4768518518518521E-4</v>
      </c>
      <c r="E4" s="21">
        <v>6.9097222222222227E-4</v>
      </c>
      <c r="F4" s="21">
        <v>6.3310185185185192E-4</v>
      </c>
    </row>
    <row r="5" spans="1:6" ht="28.5" customHeight="1" x14ac:dyDescent="0.3">
      <c r="A5" s="4">
        <v>165</v>
      </c>
      <c r="B5" s="21">
        <v>1.2905092592592593E-3</v>
      </c>
      <c r="C5" s="21">
        <v>1.3229166666666667E-3</v>
      </c>
      <c r="D5" s="21">
        <v>1.2881944444444445E-3</v>
      </c>
      <c r="E5" s="21">
        <v>1.3136574074074075E-3</v>
      </c>
      <c r="F5" s="21">
        <v>1.3622685185185185E-3</v>
      </c>
    </row>
    <row r="6" spans="1:6" ht="28.5" customHeight="1" x14ac:dyDescent="0.3">
      <c r="A6" s="4">
        <v>202</v>
      </c>
      <c r="B6" s="21">
        <v>1.1400462962962963E-3</v>
      </c>
      <c r="C6" s="21">
        <v>1.1365740740740741E-3</v>
      </c>
      <c r="D6" s="21">
        <v>1.1006944444444445E-3</v>
      </c>
      <c r="E6" s="21">
        <v>1.0636574074074075E-3</v>
      </c>
      <c r="F6" s="21">
        <v>1.0659722222222223E-3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F6"/>
  <sheetViews>
    <sheetView zoomScale="130" zoomScaleNormal="130" workbookViewId="0">
      <selection activeCell="D4" sqref="D4"/>
    </sheetView>
  </sheetViews>
  <sheetFormatPr defaultColWidth="9.109375" defaultRowHeight="14.4" x14ac:dyDescent="0.3"/>
  <cols>
    <col min="1" max="1" width="11.88671875" style="1" bestFit="1" customWidth="1"/>
    <col min="2" max="6" width="9.109375" style="1"/>
    <col min="7" max="7" width="11" style="1" customWidth="1"/>
    <col min="8" max="16384" width="9.109375" style="1"/>
  </cols>
  <sheetData>
    <row r="1" spans="1:6" s="3" customFormat="1" x14ac:dyDescent="0.3">
      <c r="A1" s="2" t="s">
        <v>36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</row>
    <row r="2" spans="1:6" s="3" customFormat="1" ht="28.5" customHeight="1" x14ac:dyDescent="0.3">
      <c r="A2" s="4">
        <v>109</v>
      </c>
      <c r="B2" s="21">
        <v>7.6388888888888893E-4</v>
      </c>
      <c r="C2" s="21">
        <v>7.6851851851851853E-4</v>
      </c>
      <c r="D2" s="21">
        <v>7.4884259259259262E-4</v>
      </c>
      <c r="E2" s="21">
        <v>7.0601851851851858E-4</v>
      </c>
      <c r="F2" s="21">
        <v>6.6666666666666675E-4</v>
      </c>
    </row>
    <row r="3" spans="1:6" s="3" customFormat="1" ht="28.5" customHeight="1" x14ac:dyDescent="0.3">
      <c r="A3" s="4">
        <v>210</v>
      </c>
      <c r="B3" s="21">
        <v>1.2037037037037038E-3</v>
      </c>
      <c r="C3" s="21">
        <v>1.2372685185185186E-3</v>
      </c>
      <c r="D3" s="21">
        <v>1.2789351851851853E-3</v>
      </c>
      <c r="E3" s="21">
        <v>1.2361111111111112E-3</v>
      </c>
      <c r="F3" s="21">
        <v>1.2141203703703704E-3</v>
      </c>
    </row>
    <row r="4" spans="1:6" s="3" customFormat="1" ht="28.5" customHeight="1" x14ac:dyDescent="0.3">
      <c r="A4" s="4">
        <v>197</v>
      </c>
      <c r="B4" s="21">
        <v>7.291666666666667E-4</v>
      </c>
      <c r="C4" s="21">
        <v>7.5694444444444453E-4</v>
      </c>
      <c r="D4" s="21">
        <v>7.4768518518518521E-4</v>
      </c>
      <c r="E4" s="21">
        <v>6.9097222222222227E-4</v>
      </c>
      <c r="F4" s="21">
        <v>6.3310185185185192E-4</v>
      </c>
    </row>
    <row r="5" spans="1:6" s="3" customFormat="1" ht="28.5" customHeight="1" x14ac:dyDescent="0.3">
      <c r="A5" s="4">
        <v>165</v>
      </c>
      <c r="B5" s="21">
        <v>1.2905092592592593E-3</v>
      </c>
      <c r="C5" s="21">
        <v>1.3229166666666667E-3</v>
      </c>
      <c r="D5" s="21">
        <v>1.2881944444444445E-3</v>
      </c>
      <c r="E5" s="21">
        <v>1.3136574074074075E-3</v>
      </c>
      <c r="F5" s="21">
        <v>1.3622685185185185E-3</v>
      </c>
    </row>
    <row r="6" spans="1:6" s="3" customFormat="1" ht="28.5" customHeight="1" x14ac:dyDescent="0.3">
      <c r="A6" s="4">
        <v>202</v>
      </c>
      <c r="B6" s="21">
        <v>1.1400462962962963E-3</v>
      </c>
      <c r="C6" s="21">
        <v>1.1365740740740741E-3</v>
      </c>
      <c r="D6" s="21">
        <v>1.1006944444444445E-3</v>
      </c>
      <c r="E6" s="21">
        <v>1.0636574074074075E-3</v>
      </c>
      <c r="F6" s="21">
        <v>1.0659722222222223E-3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F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'Ćw8 (2)'!B2:F2</xm:f>
              <xm:sqref>G2</xm:sqref>
            </x14:sparkline>
            <x14:sparkline>
              <xm:f>'Ćw8 (2)'!B3:F3</xm:f>
              <xm:sqref>G3</xm:sqref>
            </x14:sparkline>
            <x14:sparkline>
              <xm:f>'Ćw8 (2)'!B4:F4</xm:f>
              <xm:sqref>G4</xm:sqref>
            </x14:sparkline>
            <x14:sparkline>
              <xm:f>'Ćw8 (2)'!B5:F5</xm:f>
              <xm:sqref>G5</xm:sqref>
            </x14:sparkline>
            <x14:sparkline>
              <xm:f>'Ćw8 (2)'!B6:F6</xm:f>
              <xm:sqref>G6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</sheetPr>
  <dimension ref="A1:K6"/>
  <sheetViews>
    <sheetView zoomScale="130" zoomScaleNormal="130" workbookViewId="0">
      <selection activeCell="B2" sqref="B2"/>
    </sheetView>
  </sheetViews>
  <sheetFormatPr defaultColWidth="9.109375" defaultRowHeight="14.4" x14ac:dyDescent="0.3"/>
  <cols>
    <col min="1" max="1" width="11.88671875" style="3" bestFit="1" customWidth="1"/>
    <col min="2" max="3" width="6" style="3" bestFit="1" customWidth="1"/>
    <col min="4" max="10" width="6" style="3" hidden="1" customWidth="1"/>
    <col min="11" max="11" width="7" style="3" bestFit="1" customWidth="1"/>
    <col min="12" max="16384" width="9.109375" style="3"/>
  </cols>
  <sheetData>
    <row r="1" spans="1:11" x14ac:dyDescent="0.3">
      <c r="A1" s="2" t="s">
        <v>36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</row>
    <row r="2" spans="1:11" ht="28.5" customHeight="1" x14ac:dyDescent="0.3">
      <c r="A2" s="4">
        <v>109</v>
      </c>
      <c r="B2" s="21">
        <v>7.6388888888888893E-4</v>
      </c>
      <c r="C2" s="21">
        <v>7.6851851851851853E-4</v>
      </c>
      <c r="D2" s="21">
        <v>7.4884259259259262E-4</v>
      </c>
      <c r="E2" s="21">
        <v>7.0601851851851858E-4</v>
      </c>
      <c r="F2" s="21">
        <v>6.6666666666666675E-4</v>
      </c>
      <c r="G2" s="21">
        <v>6.9097222222222227E-4</v>
      </c>
      <c r="H2" s="21">
        <v>6.6435185185185184E-4</v>
      </c>
      <c r="I2" s="21">
        <v>6.5740740740740744E-4</v>
      </c>
      <c r="J2" s="21">
        <v>7.0023148148148147E-4</v>
      </c>
      <c r="K2" s="21">
        <v>7.1759259259259259E-4</v>
      </c>
    </row>
    <row r="3" spans="1:11" ht="28.5" customHeight="1" x14ac:dyDescent="0.3">
      <c r="A3" s="4">
        <v>210</v>
      </c>
      <c r="B3" s="21">
        <v>1.2037037037037038E-3</v>
      </c>
      <c r="C3" s="21">
        <v>1.2372685185185186E-3</v>
      </c>
      <c r="D3" s="21">
        <v>1.2789351851851853E-3</v>
      </c>
      <c r="E3" s="21">
        <v>1.2361111111111112E-3</v>
      </c>
      <c r="F3" s="21">
        <v>1.2141203703703704E-3</v>
      </c>
      <c r="G3" s="21">
        <v>1.201388888888889E-3</v>
      </c>
      <c r="H3" s="21">
        <v>1.2118055555555556E-3</v>
      </c>
      <c r="I3" s="21">
        <v>1.2592592592592592E-3</v>
      </c>
      <c r="J3" s="21">
        <v>1.2523148148148148E-3</v>
      </c>
      <c r="K3" s="21">
        <v>1.2754629629629631E-3</v>
      </c>
    </row>
    <row r="4" spans="1:11" ht="28.5" customHeight="1" x14ac:dyDescent="0.3">
      <c r="A4" s="4">
        <v>197</v>
      </c>
      <c r="B4" s="21">
        <v>7.291666666666667E-4</v>
      </c>
      <c r="C4" s="21">
        <v>7.5694444444444453E-4</v>
      </c>
      <c r="D4" s="21">
        <v>7.4768518518518521E-4</v>
      </c>
      <c r="E4" s="21">
        <v>6.9097222222222227E-4</v>
      </c>
      <c r="F4" s="21">
        <v>6.3310185185185192E-4</v>
      </c>
      <c r="G4" s="21">
        <v>6.1921296296296301E-4</v>
      </c>
      <c r="H4" s="21">
        <v>6.6782407407407415E-4</v>
      </c>
      <c r="I4" s="21">
        <v>6.4467592592592604E-4</v>
      </c>
      <c r="J4" s="21">
        <v>6.6550925925925935E-4</v>
      </c>
      <c r="K4" s="21">
        <v>6.3541666666666673E-4</v>
      </c>
    </row>
    <row r="5" spans="1:11" ht="28.5" customHeight="1" x14ac:dyDescent="0.3">
      <c r="A5" s="4">
        <v>165</v>
      </c>
      <c r="B5" s="21">
        <v>1.2905092592592593E-3</v>
      </c>
      <c r="C5" s="21">
        <v>1.3229166666666667E-3</v>
      </c>
      <c r="D5" s="21">
        <v>1.2881944444444445E-3</v>
      </c>
      <c r="E5" s="21">
        <v>1.3136574074074075E-3</v>
      </c>
      <c r="F5" s="21">
        <v>1.3622685185185185E-3</v>
      </c>
      <c r="G5" s="21">
        <v>1.3587962962962963E-3</v>
      </c>
      <c r="H5" s="21">
        <v>1.3807870370370371E-3</v>
      </c>
      <c r="I5" s="21">
        <v>1.3298611111111113E-3</v>
      </c>
      <c r="J5" s="21">
        <v>1.3703703703703705E-3</v>
      </c>
      <c r="K5" s="21">
        <v>1.3692129629629631E-3</v>
      </c>
    </row>
    <row r="6" spans="1:11" ht="28.5" customHeight="1" x14ac:dyDescent="0.3">
      <c r="A6" s="4">
        <v>202</v>
      </c>
      <c r="B6" s="21">
        <v>1.1400462962962963E-3</v>
      </c>
      <c r="C6" s="21">
        <v>1.1365740740740741E-3</v>
      </c>
      <c r="D6" s="21">
        <v>1.1006944444444445E-3</v>
      </c>
      <c r="E6" s="21">
        <v>1.0636574074074075E-3</v>
      </c>
      <c r="F6" s="21">
        <v>1.0659722222222223E-3</v>
      </c>
      <c r="G6" s="21">
        <v>1.0092592592592592E-3</v>
      </c>
      <c r="H6" s="21">
        <v>1.0590277777777777E-3</v>
      </c>
      <c r="I6" s="21">
        <v>1.0370370370370368E-3</v>
      </c>
      <c r="J6" s="21">
        <v>9.907407407407406E-4</v>
      </c>
      <c r="K6" s="21">
        <v>1.0150462962962962E-3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1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Ćw9!B2:K2</xm:f>
              <xm:sqref>L2</xm:sqref>
            </x14:sparkline>
            <x14:sparkline>
              <xm:f>Ćw9!B3:K3</xm:f>
              <xm:sqref>L3</xm:sqref>
            </x14:sparkline>
            <x14:sparkline>
              <xm:f>Ćw9!B4:K4</xm:f>
              <xm:sqref>L4</xm:sqref>
            </x14:sparkline>
            <x14:sparkline>
              <xm:f>Ćw9!B5:K5</xm:f>
              <xm:sqref>L5</xm:sqref>
            </x14:sparkline>
            <x14:sparkline>
              <xm:f>Ćw9!B6:K6</xm:f>
              <xm:sqref>L6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6"/>
  <sheetViews>
    <sheetView zoomScale="130" zoomScaleNormal="130" workbookViewId="0"/>
  </sheetViews>
  <sheetFormatPr defaultColWidth="9.109375" defaultRowHeight="14.4" x14ac:dyDescent="0.3"/>
  <cols>
    <col min="1" max="1" width="11.88671875" style="3" bestFit="1" customWidth="1"/>
    <col min="2" max="3" width="6" style="3" bestFit="1" customWidth="1"/>
    <col min="4" max="10" width="6" style="3" hidden="1" customWidth="1"/>
    <col min="11" max="11" width="7" style="3" bestFit="1" customWidth="1"/>
    <col min="12" max="16384" width="9.109375" style="3"/>
  </cols>
  <sheetData>
    <row r="1" spans="1:11" x14ac:dyDescent="0.3">
      <c r="A1" s="2" t="s">
        <v>36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</row>
    <row r="2" spans="1:11" ht="28.5" customHeight="1" x14ac:dyDescent="0.3">
      <c r="A2" s="4">
        <v>109</v>
      </c>
      <c r="B2" s="21">
        <v>7.6388888888888893E-4</v>
      </c>
      <c r="C2" s="21">
        <v>7.6851851851851853E-4</v>
      </c>
      <c r="D2" s="21">
        <v>7.4884259259259262E-4</v>
      </c>
      <c r="E2" s="21">
        <v>7.0601851851851858E-4</v>
      </c>
      <c r="F2" s="21">
        <v>6.6666666666666675E-4</v>
      </c>
      <c r="G2" s="21">
        <v>6.9097222222222227E-4</v>
      </c>
      <c r="H2" s="21">
        <v>6.6435185185185184E-4</v>
      </c>
      <c r="I2" s="21">
        <v>6.5740740740740744E-4</v>
      </c>
      <c r="J2" s="21">
        <v>7.0023148148148147E-4</v>
      </c>
      <c r="K2" s="21">
        <v>7.1759259259259259E-4</v>
      </c>
    </row>
    <row r="3" spans="1:11" ht="28.5" customHeight="1" x14ac:dyDescent="0.3">
      <c r="A3" s="4">
        <v>210</v>
      </c>
      <c r="B3" s="21">
        <v>1.2037037037037038E-3</v>
      </c>
      <c r="C3" s="21">
        <v>1.2372685185185186E-3</v>
      </c>
      <c r="D3" s="21">
        <v>1.2789351851851853E-3</v>
      </c>
      <c r="E3" s="21">
        <v>1.2361111111111112E-3</v>
      </c>
      <c r="F3" s="21">
        <v>1.2141203703703704E-3</v>
      </c>
      <c r="G3" s="21">
        <v>1.201388888888889E-3</v>
      </c>
      <c r="H3" s="21">
        <v>1.2118055555555556E-3</v>
      </c>
      <c r="I3" s="21">
        <v>1.2592592592592592E-3</v>
      </c>
      <c r="J3" s="21">
        <v>1.2523148148148148E-3</v>
      </c>
      <c r="K3" s="21">
        <v>1.2754629629629631E-3</v>
      </c>
    </row>
    <row r="4" spans="1:11" ht="28.5" customHeight="1" x14ac:dyDescent="0.3">
      <c r="A4" s="4">
        <v>197</v>
      </c>
      <c r="B4" s="21">
        <v>7.291666666666667E-4</v>
      </c>
      <c r="C4" s="21">
        <v>7.5694444444444453E-4</v>
      </c>
      <c r="D4" s="21">
        <v>7.4768518518518521E-4</v>
      </c>
      <c r="E4" s="21">
        <v>6.9097222222222227E-4</v>
      </c>
      <c r="F4" s="21">
        <v>6.3310185185185192E-4</v>
      </c>
      <c r="G4" s="21">
        <v>6.1921296296296301E-4</v>
      </c>
      <c r="H4" s="21">
        <v>6.6782407407407415E-4</v>
      </c>
      <c r="I4" s="21">
        <v>6.4467592592592604E-4</v>
      </c>
      <c r="J4" s="21">
        <v>6.6550925925925935E-4</v>
      </c>
      <c r="K4" s="21">
        <v>6.3541666666666673E-4</v>
      </c>
    </row>
    <row r="5" spans="1:11" ht="28.5" customHeight="1" x14ac:dyDescent="0.3">
      <c r="A5" s="4">
        <v>165</v>
      </c>
      <c r="B5" s="21">
        <v>1.2905092592592593E-3</v>
      </c>
      <c r="C5" s="21">
        <v>1.3229166666666667E-3</v>
      </c>
      <c r="D5" s="21">
        <v>1.2881944444444445E-3</v>
      </c>
      <c r="E5" s="21">
        <v>1.3136574074074075E-3</v>
      </c>
      <c r="F5" s="21">
        <v>1.3622685185185185E-3</v>
      </c>
      <c r="G5" s="21">
        <v>1.3587962962962963E-3</v>
      </c>
      <c r="H5" s="21">
        <v>1.3807870370370371E-3</v>
      </c>
      <c r="I5" s="21">
        <v>1.3298611111111113E-3</v>
      </c>
      <c r="J5" s="21">
        <v>1.3703703703703705E-3</v>
      </c>
      <c r="K5" s="21">
        <v>1.3692129629629631E-3</v>
      </c>
    </row>
    <row r="6" spans="1:11" ht="28.5" customHeight="1" x14ac:dyDescent="0.3">
      <c r="A6" s="4">
        <v>202</v>
      </c>
      <c r="B6" s="21">
        <v>1.1400462962962963E-3</v>
      </c>
      <c r="C6" s="21">
        <v>1.1365740740740741E-3</v>
      </c>
      <c r="D6" s="21">
        <v>1.1006944444444445E-3</v>
      </c>
      <c r="E6" s="21">
        <v>1.0636574074074075E-3</v>
      </c>
      <c r="F6" s="21">
        <v>1.0659722222222223E-3</v>
      </c>
      <c r="G6" s="21">
        <v>1.0092592592592592E-3</v>
      </c>
      <c r="H6" s="21">
        <v>1.0590277777777777E-3</v>
      </c>
      <c r="I6" s="21">
        <v>1.0370370370370368E-3</v>
      </c>
      <c r="J6" s="21">
        <v>9.907407407407406E-4</v>
      </c>
      <c r="K6" s="21">
        <v>1.0150462962962962E-3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displayHidden="1" xr2:uid="{00000000-0003-0000-11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'Ćw9(Odp)'!B2:K2</xm:f>
              <xm:sqref>L2</xm:sqref>
            </x14:sparkline>
            <x14:sparkline>
              <xm:f>'Ćw9(Odp)'!B3:K3</xm:f>
              <xm:sqref>L3</xm:sqref>
            </x14:sparkline>
            <x14:sparkline>
              <xm:f>'Ćw9(Odp)'!B4:K4</xm:f>
              <xm:sqref>L4</xm:sqref>
            </x14:sparkline>
            <x14:sparkline>
              <xm:f>'Ćw9(Odp)'!B5:K5</xm:f>
              <xm:sqref>L5</xm:sqref>
            </x14:sparkline>
            <x14:sparkline>
              <xm:f>'Ćw9(Odp)'!B6:K6</xm:f>
              <xm:sqref>L6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00FF"/>
  </sheetPr>
  <dimension ref="A1:C7"/>
  <sheetViews>
    <sheetView zoomScale="130" zoomScaleNormal="130" workbookViewId="0">
      <selection activeCell="B7" sqref="B7"/>
    </sheetView>
  </sheetViews>
  <sheetFormatPr defaultColWidth="9.109375" defaultRowHeight="14.4" x14ac:dyDescent="0.3"/>
  <cols>
    <col min="1" max="3" width="13.44140625" style="3" customWidth="1"/>
    <col min="4" max="16384" width="9.109375" style="3"/>
  </cols>
  <sheetData>
    <row r="1" spans="1:3" x14ac:dyDescent="0.3">
      <c r="A1" s="23" t="s">
        <v>50</v>
      </c>
      <c r="B1" s="23"/>
      <c r="C1" s="23"/>
    </row>
    <row r="2" spans="1:3" x14ac:dyDescent="0.3">
      <c r="A2" s="2" t="s">
        <v>48</v>
      </c>
      <c r="B2" s="2" t="s">
        <v>49</v>
      </c>
      <c r="C2" s="2" t="s">
        <v>6</v>
      </c>
    </row>
    <row r="3" spans="1:3" ht="28.5" customHeight="1" x14ac:dyDescent="0.3">
      <c r="A3" s="4">
        <v>109</v>
      </c>
      <c r="B3" s="24">
        <v>3651</v>
      </c>
      <c r="C3" s="24">
        <v>48</v>
      </c>
    </row>
    <row r="4" spans="1:3" ht="28.5" customHeight="1" x14ac:dyDescent="0.3">
      <c r="A4" s="4">
        <v>210</v>
      </c>
      <c r="B4" s="24">
        <v>2613</v>
      </c>
      <c r="C4" s="24">
        <v>21</v>
      </c>
    </row>
    <row r="5" spans="1:3" ht="28.5" customHeight="1" x14ac:dyDescent="0.3">
      <c r="A5" s="4">
        <v>197</v>
      </c>
      <c r="B5" s="24">
        <v>3110</v>
      </c>
      <c r="C5" s="24">
        <v>33</v>
      </c>
    </row>
    <row r="6" spans="1:3" ht="28.5" customHeight="1" x14ac:dyDescent="0.3">
      <c r="A6" s="4">
        <v>165</v>
      </c>
      <c r="B6" s="24">
        <v>3045</v>
      </c>
      <c r="C6" s="24">
        <v>24</v>
      </c>
    </row>
    <row r="7" spans="1:3" ht="28.5" customHeight="1" x14ac:dyDescent="0.3">
      <c r="A7" s="4">
        <v>202</v>
      </c>
      <c r="B7" s="24">
        <v>3768</v>
      </c>
      <c r="C7" s="24">
        <v>45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C7"/>
  <sheetViews>
    <sheetView zoomScale="130" zoomScaleNormal="130" workbookViewId="0"/>
  </sheetViews>
  <sheetFormatPr defaultColWidth="9.109375" defaultRowHeight="14.4" x14ac:dyDescent="0.3"/>
  <cols>
    <col min="1" max="3" width="13" style="3" customWidth="1"/>
    <col min="4" max="16384" width="9.109375" style="3"/>
  </cols>
  <sheetData>
    <row r="1" spans="1:3" x14ac:dyDescent="0.3">
      <c r="A1" s="23" t="s">
        <v>50</v>
      </c>
      <c r="B1" s="23"/>
      <c r="C1" s="23"/>
    </row>
    <row r="2" spans="1:3" x14ac:dyDescent="0.3">
      <c r="A2" s="2" t="s">
        <v>48</v>
      </c>
      <c r="B2" s="2" t="s">
        <v>49</v>
      </c>
      <c r="C2" s="2" t="s">
        <v>6</v>
      </c>
    </row>
    <row r="3" spans="1:3" ht="28.5" customHeight="1" x14ac:dyDescent="0.3">
      <c r="A3" s="4">
        <v>109</v>
      </c>
      <c r="B3" s="24">
        <v>3651</v>
      </c>
      <c r="C3" s="24">
        <v>48</v>
      </c>
    </row>
    <row r="4" spans="1:3" ht="28.5" customHeight="1" x14ac:dyDescent="0.3">
      <c r="A4" s="4">
        <v>210</v>
      </c>
      <c r="B4" s="24">
        <v>2613</v>
      </c>
      <c r="C4" s="24">
        <v>21</v>
      </c>
    </row>
    <row r="5" spans="1:3" ht="28.5" customHeight="1" x14ac:dyDescent="0.3">
      <c r="A5" s="4">
        <v>197</v>
      </c>
      <c r="B5" s="24">
        <v>3110</v>
      </c>
      <c r="C5" s="24">
        <v>33</v>
      </c>
    </row>
    <row r="6" spans="1:3" ht="28.5" customHeight="1" x14ac:dyDescent="0.3">
      <c r="A6" s="4">
        <v>165</v>
      </c>
      <c r="B6" s="24">
        <v>3045</v>
      </c>
      <c r="C6" s="24">
        <v>24</v>
      </c>
    </row>
    <row r="7" spans="1:3" ht="28.5" customHeight="1" x14ac:dyDescent="0.3">
      <c r="A7" s="4">
        <v>202</v>
      </c>
      <c r="B7" s="24">
        <v>3768</v>
      </c>
      <c r="C7" s="24">
        <v>45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FF"/>
  </sheetPr>
  <dimension ref="A1:B102"/>
  <sheetViews>
    <sheetView zoomScale="130" zoomScaleNormal="130" workbookViewId="0"/>
  </sheetViews>
  <sheetFormatPr defaultRowHeight="14.4" x14ac:dyDescent="0.3"/>
  <cols>
    <col min="1" max="1" width="5" style="6" bestFit="1" customWidth="1"/>
    <col min="2" max="2" width="16" style="6" customWidth="1"/>
  </cols>
  <sheetData>
    <row r="1" spans="1:2" x14ac:dyDescent="0.3">
      <c r="A1" s="10" t="s">
        <v>25</v>
      </c>
      <c r="B1" s="10" t="s">
        <v>26</v>
      </c>
    </row>
    <row r="2" spans="1:2" x14ac:dyDescent="0.3">
      <c r="A2" s="8">
        <v>-5</v>
      </c>
      <c r="B2" s="8">
        <f>2*A2^2+5*A2-12</f>
        <v>13</v>
      </c>
    </row>
    <row r="3" spans="1:2" x14ac:dyDescent="0.3">
      <c r="A3" s="8">
        <v>-4.9000000000000004</v>
      </c>
      <c r="B3" s="8">
        <f t="shared" ref="B3:B66" si="0">2*A3^2+5*A3-12</f>
        <v>11.52000000000001</v>
      </c>
    </row>
    <row r="4" spans="1:2" x14ac:dyDescent="0.3">
      <c r="A4" s="8">
        <v>-4.8</v>
      </c>
      <c r="B4" s="8">
        <f t="shared" si="0"/>
        <v>10.079999999999998</v>
      </c>
    </row>
    <row r="5" spans="1:2" x14ac:dyDescent="0.3">
      <c r="A5" s="8">
        <v>-4.7</v>
      </c>
      <c r="B5" s="8">
        <f t="shared" si="0"/>
        <v>8.6800000000000068</v>
      </c>
    </row>
    <row r="6" spans="1:2" x14ac:dyDescent="0.3">
      <c r="A6" s="8">
        <v>-4.5999999999999996</v>
      </c>
      <c r="B6" s="8">
        <f t="shared" si="0"/>
        <v>7.3199999999999932</v>
      </c>
    </row>
    <row r="7" spans="1:2" x14ac:dyDescent="0.3">
      <c r="A7" s="8">
        <v>-4.5</v>
      </c>
      <c r="B7" s="8">
        <f t="shared" si="0"/>
        <v>6</v>
      </c>
    </row>
    <row r="8" spans="1:2" x14ac:dyDescent="0.3">
      <c r="A8" s="8">
        <v>-4.4000000000000004</v>
      </c>
      <c r="B8" s="8">
        <f t="shared" si="0"/>
        <v>4.720000000000006</v>
      </c>
    </row>
    <row r="9" spans="1:2" x14ac:dyDescent="0.3">
      <c r="A9" s="8">
        <v>-4.3</v>
      </c>
      <c r="B9" s="8">
        <f t="shared" si="0"/>
        <v>3.4799999999999969</v>
      </c>
    </row>
    <row r="10" spans="1:2" x14ac:dyDescent="0.3">
      <c r="A10" s="8">
        <v>-4.2</v>
      </c>
      <c r="B10" s="8">
        <f t="shared" si="0"/>
        <v>2.2800000000000011</v>
      </c>
    </row>
    <row r="11" spans="1:2" x14ac:dyDescent="0.3">
      <c r="A11" s="8">
        <v>-4.0999999999999996</v>
      </c>
      <c r="B11" s="8">
        <f t="shared" si="0"/>
        <v>1.1199999999999974</v>
      </c>
    </row>
    <row r="12" spans="1:2" x14ac:dyDescent="0.3">
      <c r="A12" s="8">
        <v>-4</v>
      </c>
      <c r="B12" s="8">
        <f t="shared" si="0"/>
        <v>0</v>
      </c>
    </row>
    <row r="13" spans="1:2" x14ac:dyDescent="0.3">
      <c r="A13" s="8">
        <v>-3.9</v>
      </c>
      <c r="B13" s="8">
        <f t="shared" si="0"/>
        <v>-1.0800000000000018</v>
      </c>
    </row>
    <row r="14" spans="1:2" x14ac:dyDescent="0.3">
      <c r="A14" s="8">
        <v>-3.8</v>
      </c>
      <c r="B14" s="8">
        <f t="shared" si="0"/>
        <v>-2.120000000000001</v>
      </c>
    </row>
    <row r="15" spans="1:2" x14ac:dyDescent="0.3">
      <c r="A15" s="8">
        <v>-3.7</v>
      </c>
      <c r="B15" s="8">
        <f t="shared" si="0"/>
        <v>-3.1199999999999974</v>
      </c>
    </row>
    <row r="16" spans="1:2" x14ac:dyDescent="0.3">
      <c r="A16" s="8">
        <v>-3.6</v>
      </c>
      <c r="B16" s="8">
        <f t="shared" si="0"/>
        <v>-4.0799999999999983</v>
      </c>
    </row>
    <row r="17" spans="1:2" x14ac:dyDescent="0.3">
      <c r="A17" s="8">
        <v>-3.5000000000000102</v>
      </c>
      <c r="B17" s="8">
        <f t="shared" si="0"/>
        <v>-4.9999999999999076</v>
      </c>
    </row>
    <row r="18" spans="1:2" x14ac:dyDescent="0.3">
      <c r="A18" s="8">
        <v>-3.4000000000000101</v>
      </c>
      <c r="B18" s="8">
        <f t="shared" si="0"/>
        <v>-5.8799999999999137</v>
      </c>
    </row>
    <row r="19" spans="1:2" x14ac:dyDescent="0.3">
      <c r="A19" s="8">
        <v>-3.30000000000001</v>
      </c>
      <c r="B19" s="8">
        <f t="shared" si="0"/>
        <v>-6.7199999999999172</v>
      </c>
    </row>
    <row r="20" spans="1:2" x14ac:dyDescent="0.3">
      <c r="A20" s="8">
        <v>-3.2000000000000099</v>
      </c>
      <c r="B20" s="8">
        <f t="shared" si="0"/>
        <v>-7.5199999999999214</v>
      </c>
    </row>
    <row r="21" spans="1:2" x14ac:dyDescent="0.3">
      <c r="A21" s="8">
        <v>-3.1000000000000099</v>
      </c>
      <c r="B21" s="8">
        <f t="shared" si="0"/>
        <v>-8.2799999999999265</v>
      </c>
    </row>
    <row r="22" spans="1:2" x14ac:dyDescent="0.3">
      <c r="A22" s="8">
        <v>-3.0000000000000102</v>
      </c>
      <c r="B22" s="8">
        <f t="shared" si="0"/>
        <v>-8.9999999999999307</v>
      </c>
    </row>
    <row r="23" spans="1:2" x14ac:dyDescent="0.3">
      <c r="A23" s="8">
        <v>-2.9000000000000101</v>
      </c>
      <c r="B23" s="8">
        <f t="shared" si="0"/>
        <v>-9.6799999999999322</v>
      </c>
    </row>
    <row r="24" spans="1:2" x14ac:dyDescent="0.3">
      <c r="A24" s="8">
        <v>-2.80000000000001</v>
      </c>
      <c r="B24" s="8">
        <f t="shared" si="0"/>
        <v>-10.319999999999938</v>
      </c>
    </row>
    <row r="25" spans="1:2" x14ac:dyDescent="0.3">
      <c r="A25" s="8">
        <v>-2.7000000000000099</v>
      </c>
      <c r="B25" s="8">
        <f t="shared" si="0"/>
        <v>-10.919999999999943</v>
      </c>
    </row>
    <row r="26" spans="1:2" x14ac:dyDescent="0.3">
      <c r="A26" s="8">
        <v>-2.6000000000000099</v>
      </c>
      <c r="B26" s="8">
        <f t="shared" si="0"/>
        <v>-11.479999999999947</v>
      </c>
    </row>
    <row r="27" spans="1:2" x14ac:dyDescent="0.3">
      <c r="A27" s="8">
        <v>-2.5000000000000102</v>
      </c>
      <c r="B27" s="8">
        <f t="shared" si="0"/>
        <v>-11.999999999999948</v>
      </c>
    </row>
    <row r="28" spans="1:2" x14ac:dyDescent="0.3">
      <c r="A28" s="8">
        <v>-2.4000000000000101</v>
      </c>
      <c r="B28" s="8">
        <f t="shared" si="0"/>
        <v>-12.479999999999952</v>
      </c>
    </row>
    <row r="29" spans="1:2" x14ac:dyDescent="0.3">
      <c r="A29" s="8">
        <v>-2.30000000000001</v>
      </c>
      <c r="B29" s="8">
        <f t="shared" si="0"/>
        <v>-12.919999999999957</v>
      </c>
    </row>
    <row r="30" spans="1:2" x14ac:dyDescent="0.3">
      <c r="A30" s="8">
        <v>-2.2000000000000099</v>
      </c>
      <c r="B30" s="8">
        <f t="shared" si="0"/>
        <v>-13.319999999999963</v>
      </c>
    </row>
    <row r="31" spans="1:2" x14ac:dyDescent="0.3">
      <c r="A31" s="8">
        <v>-2.1000000000000099</v>
      </c>
      <c r="B31" s="8">
        <f t="shared" si="0"/>
        <v>-13.679999999999968</v>
      </c>
    </row>
    <row r="32" spans="1:2" x14ac:dyDescent="0.3">
      <c r="A32" s="8">
        <v>-2.0000000000000102</v>
      </c>
      <c r="B32" s="8">
        <f t="shared" si="0"/>
        <v>-13.99999999999997</v>
      </c>
    </row>
    <row r="33" spans="1:2" x14ac:dyDescent="0.3">
      <c r="A33" s="8">
        <v>-1.9000000000000099</v>
      </c>
      <c r="B33" s="8">
        <f t="shared" si="0"/>
        <v>-14.279999999999974</v>
      </c>
    </row>
    <row r="34" spans="1:2" x14ac:dyDescent="0.3">
      <c r="A34" s="8">
        <v>-1.80000000000001</v>
      </c>
      <c r="B34" s="8">
        <f t="shared" si="0"/>
        <v>-14.519999999999978</v>
      </c>
    </row>
    <row r="35" spans="1:2" x14ac:dyDescent="0.3">
      <c r="A35" s="8">
        <v>-1.7000000000000099</v>
      </c>
      <c r="B35" s="8">
        <f t="shared" si="0"/>
        <v>-14.719999999999981</v>
      </c>
    </row>
    <row r="36" spans="1:2" x14ac:dyDescent="0.3">
      <c r="A36" s="8">
        <v>-1.6000000000000101</v>
      </c>
      <c r="B36" s="8">
        <f t="shared" si="0"/>
        <v>-14.879999999999985</v>
      </c>
    </row>
    <row r="37" spans="1:2" x14ac:dyDescent="0.3">
      <c r="A37" s="8">
        <v>-1.50000000000001</v>
      </c>
      <c r="B37" s="8">
        <f t="shared" si="0"/>
        <v>-14.999999999999989</v>
      </c>
    </row>
    <row r="38" spans="1:2" x14ac:dyDescent="0.3">
      <c r="A38" s="8">
        <v>-1.4000000000000099</v>
      </c>
      <c r="B38" s="8">
        <f t="shared" si="0"/>
        <v>-15.079999999999995</v>
      </c>
    </row>
    <row r="39" spans="1:2" x14ac:dyDescent="0.3">
      <c r="A39" s="8">
        <v>-1.30000000000001</v>
      </c>
      <c r="B39" s="8">
        <f t="shared" si="0"/>
        <v>-15.119999999999997</v>
      </c>
    </row>
    <row r="40" spans="1:2" x14ac:dyDescent="0.3">
      <c r="A40" s="8">
        <v>-1.2000000000000099</v>
      </c>
      <c r="B40" s="8">
        <f t="shared" si="0"/>
        <v>-15.120000000000001</v>
      </c>
    </row>
    <row r="41" spans="1:2" x14ac:dyDescent="0.3">
      <c r="A41" s="8">
        <v>-1.1000000000000101</v>
      </c>
      <c r="B41" s="8">
        <f t="shared" si="0"/>
        <v>-15.080000000000005</v>
      </c>
    </row>
    <row r="42" spans="1:2" x14ac:dyDescent="0.3">
      <c r="A42" s="8">
        <v>-1.00000000000001</v>
      </c>
      <c r="B42" s="8">
        <f t="shared" si="0"/>
        <v>-15.000000000000011</v>
      </c>
    </row>
    <row r="43" spans="1:2" x14ac:dyDescent="0.3">
      <c r="A43" s="8">
        <v>-0.90000000000001001</v>
      </c>
      <c r="B43" s="8">
        <f t="shared" si="0"/>
        <v>-14.880000000000013</v>
      </c>
    </row>
    <row r="44" spans="1:2" x14ac:dyDescent="0.3">
      <c r="A44" s="8">
        <v>-0.80000000000001004</v>
      </c>
      <c r="B44" s="8">
        <f t="shared" si="0"/>
        <v>-14.720000000000017</v>
      </c>
    </row>
    <row r="45" spans="1:2" x14ac:dyDescent="0.3">
      <c r="A45" s="8">
        <v>-0.70000000000002005</v>
      </c>
      <c r="B45" s="8">
        <f t="shared" si="0"/>
        <v>-14.520000000000044</v>
      </c>
    </row>
    <row r="46" spans="1:2" x14ac:dyDescent="0.3">
      <c r="A46" s="8">
        <v>-0.60000000000001996</v>
      </c>
      <c r="B46" s="8">
        <f t="shared" si="0"/>
        <v>-14.280000000000051</v>
      </c>
    </row>
    <row r="47" spans="1:2" x14ac:dyDescent="0.3">
      <c r="A47" s="8">
        <v>-0.50000000000001998</v>
      </c>
      <c r="B47" s="8">
        <f t="shared" si="0"/>
        <v>-14.00000000000006</v>
      </c>
    </row>
    <row r="48" spans="1:2" x14ac:dyDescent="0.3">
      <c r="A48" s="8">
        <v>-0.40000000000002001</v>
      </c>
      <c r="B48" s="8">
        <f t="shared" si="0"/>
        <v>-13.680000000000067</v>
      </c>
    </row>
    <row r="49" spans="1:2" x14ac:dyDescent="0.3">
      <c r="A49" s="8">
        <v>-0.30000000000001997</v>
      </c>
      <c r="B49" s="8">
        <f t="shared" si="0"/>
        <v>-13.320000000000077</v>
      </c>
    </row>
    <row r="50" spans="1:2" x14ac:dyDescent="0.3">
      <c r="A50" s="8">
        <v>-0.20000000000002</v>
      </c>
      <c r="B50" s="8">
        <f t="shared" si="0"/>
        <v>-12.920000000000083</v>
      </c>
    </row>
    <row r="51" spans="1:2" x14ac:dyDescent="0.3">
      <c r="A51" s="8">
        <v>-0.10000000000002</v>
      </c>
      <c r="B51" s="8">
        <f t="shared" si="0"/>
        <v>-12.480000000000093</v>
      </c>
    </row>
    <row r="52" spans="1:2" x14ac:dyDescent="0.3">
      <c r="A52" s="8">
        <v>-2.0428103653102899E-14</v>
      </c>
      <c r="B52" s="8">
        <f t="shared" si="0"/>
        <v>-12.000000000000103</v>
      </c>
    </row>
    <row r="53" spans="1:2" x14ac:dyDescent="0.3">
      <c r="A53" s="8">
        <v>9.9999999999980105E-2</v>
      </c>
      <c r="B53" s="8">
        <f t="shared" si="0"/>
        <v>-11.480000000000107</v>
      </c>
    </row>
    <row r="54" spans="1:2" x14ac:dyDescent="0.3">
      <c r="A54" s="8">
        <v>0.19999999999998</v>
      </c>
      <c r="B54" s="8">
        <f t="shared" si="0"/>
        <v>-10.920000000000115</v>
      </c>
    </row>
    <row r="55" spans="1:2" x14ac:dyDescent="0.3">
      <c r="A55" s="8">
        <v>0.29999999999998</v>
      </c>
      <c r="B55" s="8">
        <f t="shared" si="0"/>
        <v>-10.320000000000125</v>
      </c>
    </row>
    <row r="56" spans="1:2" x14ac:dyDescent="0.3">
      <c r="A56" s="8">
        <v>0.39999999999997998</v>
      </c>
      <c r="B56" s="8">
        <f t="shared" si="0"/>
        <v>-9.6800000000001312</v>
      </c>
    </row>
    <row r="57" spans="1:2" x14ac:dyDescent="0.3">
      <c r="A57" s="8">
        <v>0.49999999999998002</v>
      </c>
      <c r="B57" s="8">
        <f t="shared" si="0"/>
        <v>-9.0000000000001403</v>
      </c>
    </row>
    <row r="58" spans="1:2" x14ac:dyDescent="0.3">
      <c r="A58" s="8">
        <v>0.59999999999997999</v>
      </c>
      <c r="B58" s="8">
        <f t="shared" si="0"/>
        <v>-8.2800000000001468</v>
      </c>
    </row>
    <row r="59" spans="1:2" x14ac:dyDescent="0.3">
      <c r="A59" s="8">
        <v>0.69999999999997997</v>
      </c>
      <c r="B59" s="8">
        <f t="shared" si="0"/>
        <v>-7.5200000000001568</v>
      </c>
    </row>
    <row r="60" spans="1:2" x14ac:dyDescent="0.3">
      <c r="A60" s="8">
        <v>0.79999999999997995</v>
      </c>
      <c r="B60" s="8">
        <f t="shared" si="0"/>
        <v>-6.7200000000001641</v>
      </c>
    </row>
    <row r="61" spans="1:2" x14ac:dyDescent="0.3">
      <c r="A61" s="8">
        <v>0.89999999999998004</v>
      </c>
      <c r="B61" s="8">
        <f t="shared" si="0"/>
        <v>-5.8800000000001713</v>
      </c>
    </row>
    <row r="62" spans="1:2" x14ac:dyDescent="0.3">
      <c r="A62" s="8">
        <v>0.99999999999998002</v>
      </c>
      <c r="B62" s="8">
        <f t="shared" si="0"/>
        <v>-5.0000000000001794</v>
      </c>
    </row>
    <row r="63" spans="1:2" x14ac:dyDescent="0.3">
      <c r="A63" s="8">
        <v>1.0999999999999801</v>
      </c>
      <c r="B63" s="8">
        <f t="shared" si="0"/>
        <v>-4.0800000000001866</v>
      </c>
    </row>
    <row r="64" spans="1:2" x14ac:dyDescent="0.3">
      <c r="A64" s="8">
        <v>1.19999999999998</v>
      </c>
      <c r="B64" s="8">
        <f t="shared" si="0"/>
        <v>-3.1200000000001964</v>
      </c>
    </row>
    <row r="65" spans="1:2" x14ac:dyDescent="0.3">
      <c r="A65" s="8">
        <v>1.2999999999999801</v>
      </c>
      <c r="B65" s="8">
        <f t="shared" si="0"/>
        <v>-2.1200000000002035</v>
      </c>
    </row>
    <row r="66" spans="1:2" x14ac:dyDescent="0.3">
      <c r="A66" s="8">
        <v>1.3999999999999799</v>
      </c>
      <c r="B66" s="8">
        <f t="shared" si="0"/>
        <v>-1.0800000000002132</v>
      </c>
    </row>
    <row r="67" spans="1:2" x14ac:dyDescent="0.3">
      <c r="A67" s="8">
        <v>1.49999999999998</v>
      </c>
      <c r="B67" s="8">
        <f t="shared" ref="B67:B102" si="1">2*A67^2+5*A67-12</f>
        <v>-2.2026824808563106E-13</v>
      </c>
    </row>
    <row r="68" spans="1:2" x14ac:dyDescent="0.3">
      <c r="A68" s="8">
        <v>1.5999999999999801</v>
      </c>
      <c r="B68" s="8">
        <f t="shared" si="1"/>
        <v>1.1199999999997736</v>
      </c>
    </row>
    <row r="69" spans="1:2" x14ac:dyDescent="0.3">
      <c r="A69" s="8">
        <v>1.69999999999998</v>
      </c>
      <c r="B69" s="8">
        <f t="shared" si="1"/>
        <v>2.2799999999997631</v>
      </c>
    </row>
    <row r="70" spans="1:2" x14ac:dyDescent="0.3">
      <c r="A70" s="8">
        <v>1.7999999999999801</v>
      </c>
      <c r="B70" s="8">
        <f t="shared" si="1"/>
        <v>3.4799999999997571</v>
      </c>
    </row>
    <row r="71" spans="1:2" x14ac:dyDescent="0.3">
      <c r="A71" s="8">
        <v>1.8999999999999799</v>
      </c>
      <c r="B71" s="8">
        <f t="shared" si="1"/>
        <v>4.7199999999997502</v>
      </c>
    </row>
    <row r="72" spans="1:2" x14ac:dyDescent="0.3">
      <c r="A72" s="8">
        <v>1.99999999999998</v>
      </c>
      <c r="B72" s="8">
        <f t="shared" si="1"/>
        <v>5.9999999999997407</v>
      </c>
    </row>
    <row r="73" spans="1:2" x14ac:dyDescent="0.3">
      <c r="A73" s="8">
        <v>2.0999999999999699</v>
      </c>
      <c r="B73" s="8">
        <f t="shared" si="1"/>
        <v>7.3199999999995953</v>
      </c>
    </row>
    <row r="74" spans="1:2" x14ac:dyDescent="0.3">
      <c r="A74" s="8">
        <v>2.19999999999997</v>
      </c>
      <c r="B74" s="8">
        <f t="shared" si="1"/>
        <v>8.6799999999995876</v>
      </c>
    </row>
    <row r="75" spans="1:2" x14ac:dyDescent="0.3">
      <c r="A75" s="8">
        <v>2.2999999999999701</v>
      </c>
      <c r="B75" s="8">
        <f t="shared" si="1"/>
        <v>10.079999999999576</v>
      </c>
    </row>
    <row r="76" spans="1:2" x14ac:dyDescent="0.3">
      <c r="A76" s="8">
        <v>2.3999999999999702</v>
      </c>
      <c r="B76" s="8">
        <f t="shared" si="1"/>
        <v>11.519999999999563</v>
      </c>
    </row>
    <row r="77" spans="1:2" x14ac:dyDescent="0.3">
      <c r="A77" s="8">
        <v>2.4999999999999698</v>
      </c>
      <c r="B77" s="8">
        <f t="shared" si="1"/>
        <v>12.999999999999545</v>
      </c>
    </row>
    <row r="78" spans="1:2" x14ac:dyDescent="0.3">
      <c r="A78" s="8">
        <v>2.5999999999999699</v>
      </c>
      <c r="B78" s="8">
        <f t="shared" si="1"/>
        <v>14.519999999999534</v>
      </c>
    </row>
    <row r="79" spans="1:2" x14ac:dyDescent="0.3">
      <c r="A79" s="8">
        <v>2.69999999999997</v>
      </c>
      <c r="B79" s="8">
        <f t="shared" si="1"/>
        <v>16.079999999999526</v>
      </c>
    </row>
    <row r="80" spans="1:2" x14ac:dyDescent="0.3">
      <c r="A80" s="8">
        <v>2.7999999999999701</v>
      </c>
      <c r="B80" s="8">
        <f t="shared" si="1"/>
        <v>17.679999999999517</v>
      </c>
    </row>
    <row r="81" spans="1:2" x14ac:dyDescent="0.3">
      <c r="A81" s="8">
        <v>2.8999999999999702</v>
      </c>
      <c r="B81" s="8">
        <f t="shared" si="1"/>
        <v>19.319999999999503</v>
      </c>
    </row>
    <row r="82" spans="1:2" x14ac:dyDescent="0.3">
      <c r="A82" s="8">
        <v>2.9999999999999698</v>
      </c>
      <c r="B82" s="8">
        <f t="shared" si="1"/>
        <v>20.999999999999488</v>
      </c>
    </row>
    <row r="83" spans="1:2" x14ac:dyDescent="0.3">
      <c r="A83" s="8">
        <v>3.0999999999999699</v>
      </c>
      <c r="B83" s="8">
        <f t="shared" si="1"/>
        <v>22.719999999999473</v>
      </c>
    </row>
    <row r="84" spans="1:2" x14ac:dyDescent="0.3">
      <c r="A84" s="8">
        <v>3.19999999999997</v>
      </c>
      <c r="B84" s="8">
        <f t="shared" si="1"/>
        <v>24.479999999999464</v>
      </c>
    </row>
    <row r="85" spans="1:2" x14ac:dyDescent="0.3">
      <c r="A85" s="8">
        <v>3.2999999999999701</v>
      </c>
      <c r="B85" s="8">
        <f t="shared" si="1"/>
        <v>26.279999999999454</v>
      </c>
    </row>
    <row r="86" spans="1:2" x14ac:dyDescent="0.3">
      <c r="A86" s="8">
        <v>3.3999999999999702</v>
      </c>
      <c r="B86" s="8">
        <f t="shared" si="1"/>
        <v>28.119999999999443</v>
      </c>
    </row>
    <row r="87" spans="1:2" x14ac:dyDescent="0.3">
      <c r="A87" s="8">
        <v>3.4999999999999698</v>
      </c>
      <c r="B87" s="8">
        <f t="shared" si="1"/>
        <v>29.999999999999432</v>
      </c>
    </row>
    <row r="88" spans="1:2" x14ac:dyDescent="0.3">
      <c r="A88" s="8">
        <v>3.5999999999999699</v>
      </c>
      <c r="B88" s="8">
        <f t="shared" si="1"/>
        <v>31.919999999999419</v>
      </c>
    </row>
    <row r="89" spans="1:2" x14ac:dyDescent="0.3">
      <c r="A89" s="8">
        <v>3.69999999999997</v>
      </c>
      <c r="B89" s="8">
        <f t="shared" si="1"/>
        <v>33.879999999999406</v>
      </c>
    </row>
    <row r="90" spans="1:2" x14ac:dyDescent="0.3">
      <c r="A90" s="8">
        <v>3.7999999999999701</v>
      </c>
      <c r="B90" s="8">
        <f t="shared" si="1"/>
        <v>35.879999999999399</v>
      </c>
    </row>
    <row r="91" spans="1:2" x14ac:dyDescent="0.3">
      <c r="A91" s="8">
        <v>3.8999999999999702</v>
      </c>
      <c r="B91" s="8">
        <f t="shared" si="1"/>
        <v>37.919999999999384</v>
      </c>
    </row>
    <row r="92" spans="1:2" x14ac:dyDescent="0.3">
      <c r="A92" s="8">
        <v>3.9999999999999698</v>
      </c>
      <c r="B92" s="8">
        <f t="shared" si="1"/>
        <v>39.999999999999368</v>
      </c>
    </row>
    <row r="93" spans="1:2" x14ac:dyDescent="0.3">
      <c r="A93" s="8">
        <v>4.0999999999999703</v>
      </c>
      <c r="B93" s="8">
        <f t="shared" si="1"/>
        <v>42.119999999999365</v>
      </c>
    </row>
    <row r="94" spans="1:2" x14ac:dyDescent="0.3">
      <c r="A94" s="8">
        <v>4.19999999999997</v>
      </c>
      <c r="B94" s="8">
        <f t="shared" si="1"/>
        <v>44.279999999999347</v>
      </c>
    </row>
    <row r="95" spans="1:2" x14ac:dyDescent="0.3">
      <c r="A95" s="8">
        <v>4.2999999999999696</v>
      </c>
      <c r="B95" s="8">
        <f t="shared" si="1"/>
        <v>46.479999999999322</v>
      </c>
    </row>
    <row r="96" spans="1:2" x14ac:dyDescent="0.3">
      <c r="A96" s="8">
        <v>4.3999999999999702</v>
      </c>
      <c r="B96" s="8">
        <f t="shared" si="1"/>
        <v>48.719999999999324</v>
      </c>
    </row>
    <row r="97" spans="1:2" x14ac:dyDescent="0.3">
      <c r="A97" s="8">
        <v>4.4999999999999698</v>
      </c>
      <c r="B97" s="8">
        <f t="shared" si="1"/>
        <v>50.999999999999311</v>
      </c>
    </row>
    <row r="98" spans="1:2" x14ac:dyDescent="0.3">
      <c r="A98" s="8">
        <v>4.5999999999999703</v>
      </c>
      <c r="B98" s="8">
        <f t="shared" si="1"/>
        <v>53.319999999999311</v>
      </c>
    </row>
    <row r="99" spans="1:2" x14ac:dyDescent="0.3">
      <c r="A99" s="8">
        <v>4.69999999999997</v>
      </c>
      <c r="B99" s="8">
        <f t="shared" si="1"/>
        <v>55.679999999999296</v>
      </c>
    </row>
    <row r="100" spans="1:2" x14ac:dyDescent="0.3">
      <c r="A100" s="8">
        <v>4.7999999999999696</v>
      </c>
      <c r="B100" s="8">
        <f t="shared" si="1"/>
        <v>58.079999999999259</v>
      </c>
    </row>
    <row r="101" spans="1:2" x14ac:dyDescent="0.3">
      <c r="A101" s="8">
        <v>4.8999999999999604</v>
      </c>
      <c r="B101" s="8">
        <f t="shared" si="1"/>
        <v>60.519999999999015</v>
      </c>
    </row>
    <row r="102" spans="1:2" x14ac:dyDescent="0.3">
      <c r="A102" s="8">
        <v>4.99999999999996</v>
      </c>
      <c r="B102" s="8">
        <f t="shared" si="1"/>
        <v>62.999999999999005</v>
      </c>
    </row>
  </sheetData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21</vt:i4>
      </vt:variant>
      <vt:variant>
        <vt:lpstr>Wykresy</vt:lpstr>
      </vt:variant>
      <vt:variant>
        <vt:i4>1</vt:i4>
      </vt:variant>
    </vt:vector>
  </HeadingPairs>
  <TitlesOfParts>
    <vt:vector size="22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Ćw7(Odp)</vt:lpstr>
      <vt:lpstr>Ćw8</vt:lpstr>
      <vt:lpstr>Ćw8 (2)</vt:lpstr>
      <vt:lpstr>Ćw9</vt:lpstr>
      <vt:lpstr>Ćw9(Odp)</vt:lpstr>
      <vt:lpstr>Ćw10</vt:lpstr>
      <vt:lpstr>Ćw10(Odp)</vt:lpstr>
      <vt:lpstr>Ćw11</vt:lpstr>
      <vt:lpstr>Ćw11(Odp)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2019-08-19T20:01:06Z</dcterms:modified>
</cp:coreProperties>
</file>