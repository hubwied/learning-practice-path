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2EA420CE-C820-421E-BF24-59802C2547DE}" xr6:coauthVersionLast="47" xr6:coauthVersionMax="47" xr10:uidLastSave="{00000000-0000-0000-0000-000000000000}"/>
  <bookViews>
    <workbookView xWindow="-120" yWindow="-120" windowWidth="38640" windowHeight="21120" tabRatio="777" activeTab="10" xr2:uid="{00000000-000D-0000-FFFF-FFFF00000000}"/>
  </bookViews>
  <sheets>
    <sheet name="ExceliAdam" sheetId="16" r:id="rId1"/>
    <sheet name="ImięNazwisko" sheetId="6" r:id="rId2"/>
    <sheet name="Adresy" sheetId="7" r:id="rId3"/>
    <sheet name="StałaSzerokość" sheetId="15" r:id="rId4"/>
    <sheet name="AdresyFlashFill" sheetId="9" r:id="rId5"/>
    <sheet name="Wstaw i Połącz" sheetId="10" r:id="rId6"/>
    <sheet name="DaneOsobowe" sheetId="11" r:id="rId7"/>
    <sheet name="Daty" sheetId="14" r:id="rId8"/>
    <sheet name="małeWIELKIE" sheetId="8" r:id="rId9"/>
    <sheet name="FragmentTekstu" sheetId="13" r:id="rId10"/>
    <sheet name="TEKST" sheetId="5" r:id="rId11"/>
  </sheets>
  <definedNames>
    <definedName name="_xlnm._FilterDatabase" localSheetId="6" hidden="1">DaneOsobowe!$A$1:$B$10</definedName>
    <definedName name="_xlnm._FilterDatabase" localSheetId="9" hidden="1">FragmentTekstu!#REF!</definedName>
    <definedName name="_xlnm._FilterDatabase" localSheetId="10" hidden="1">TEKST!#REF!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" i="5" l="1"/>
  <c r="B3" i="13"/>
  <c r="B4" i="13"/>
  <c r="B5" i="13"/>
  <c r="B6" i="13"/>
  <c r="B2" i="13"/>
  <c r="D3" i="8"/>
  <c r="D4" i="8"/>
  <c r="D5" i="8"/>
  <c r="D6" i="8"/>
  <c r="D7" i="8"/>
  <c r="D8" i="8"/>
  <c r="D9" i="8"/>
  <c r="D10" i="8"/>
  <c r="D11" i="8"/>
  <c r="D12" i="8"/>
  <c r="D13" i="8"/>
  <c r="D14" i="8"/>
  <c r="D15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2" i="8"/>
  <c r="C15" i="11"/>
  <c r="C16" i="11"/>
  <c r="C17" i="11"/>
  <c r="C18" i="11"/>
  <c r="C19" i="11"/>
  <c r="C20" i="11"/>
  <c r="C21" i="11"/>
  <c r="C22" i="11"/>
  <c r="C14" i="11"/>
  <c r="D15" i="11"/>
  <c r="D16" i="11"/>
  <c r="D17" i="11"/>
  <c r="D18" i="11"/>
  <c r="D19" i="11"/>
  <c r="D20" i="11"/>
  <c r="D21" i="11"/>
  <c r="D22" i="11"/>
  <c r="D14" i="11"/>
  <c r="B15" i="11"/>
  <c r="B16" i="11"/>
  <c r="B17" i="11"/>
  <c r="B18" i="11"/>
  <c r="B19" i="11"/>
  <c r="B20" i="11"/>
  <c r="B21" i="11"/>
  <c r="B22" i="11"/>
  <c r="B14" i="1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" i="6"/>
  <c r="A7" i="5" l="1"/>
</calcChain>
</file>

<file path=xl/sharedStrings.xml><?xml version="1.0" encoding="utf-8"?>
<sst xmlns="http://schemas.openxmlformats.org/spreadsheetml/2006/main" count="480" uniqueCount="193">
  <si>
    <t>Funkcja TEKST</t>
  </si>
  <si>
    <t>Sprzedawca</t>
  </si>
  <si>
    <t>Imię</t>
  </si>
  <si>
    <t>Nazwisko</t>
  </si>
  <si>
    <t>Nazwisko i imię</t>
  </si>
  <si>
    <t>Olga Brzoza</t>
  </si>
  <si>
    <t>Marian Wczesny</t>
  </si>
  <si>
    <t>Michał Kozak</t>
  </si>
  <si>
    <t>Bartosz Niedźwiedź</t>
  </si>
  <si>
    <t>Tadeusz Śmiały</t>
  </si>
  <si>
    <t>Mariola Kos</t>
  </si>
  <si>
    <t>Zofia Kwarc</t>
  </si>
  <si>
    <t>Karol Wolski</t>
  </si>
  <si>
    <t>Województwo</t>
  </si>
  <si>
    <t xml:space="preserve">Ulica </t>
  </si>
  <si>
    <t>Numer</t>
  </si>
  <si>
    <t>Olga Brzoza;Wielkopolskie;TARGOWA;9</t>
  </si>
  <si>
    <t>Marian Wczesny;Świętokrzyskie;ŚW. WINCENTEGO;19</t>
  </si>
  <si>
    <t>Michał Kozak;Mazowieckie;ŻWIRKI I WIGURY;9</t>
  </si>
  <si>
    <t>Bartosz Niedźwiedź;Wielkopolskie;WIRAŻOWA;10</t>
  </si>
  <si>
    <t>Tadeusz Śmiały;Mazowieckie;AL. KRAKOWSKA;16</t>
  </si>
  <si>
    <t>Olga Brzoza;Wielkopolskie;ŻWIRKI I WIGURY;7</t>
  </si>
  <si>
    <t>Mariola Kos;Wielkopolskie;WOŁOSKA;8</t>
  </si>
  <si>
    <t>Zofia Kwarc;Wielkopolskie;PUŁAWSKA;13</t>
  </si>
  <si>
    <t>Olga Brzoza;Mazowieckie;ŚW. ANDRZEJA BOBOLI;6</t>
  </si>
  <si>
    <t>Marian Wczesny;Świętokrzyskie;PUŁAWSKA;5</t>
  </si>
  <si>
    <t>Bartosz Niedźwiedź;Wielkopolskie;W. BRONIEWSKIEGO;16</t>
  </si>
  <si>
    <t>Tadeusz Śmiały;Wielkopolskie;S. ŻEROMSKIEGO;6</t>
  </si>
  <si>
    <t>Michał Kozak;Wielkopolskie;GEN. S. KALISKIEGO;17</t>
  </si>
  <si>
    <t>Tadeusz Śmiały;Wielkopolskie;BOLIMOWSKA;1</t>
  </si>
  <si>
    <t>Mariola Kos;Świętokrzyskie;MODLIŃSKA;18</t>
  </si>
  <si>
    <t>Tadeusz Śmiały;Mazowieckie;KLEMBOWSKA;9</t>
  </si>
  <si>
    <t>Karol Wolski;Wielkopolskie;WAWELSKA;14</t>
  </si>
  <si>
    <t>Mariola Kos;Świętokrzyskie;FILTROWA;8</t>
  </si>
  <si>
    <t>Bartosz Niedźwiedź;Mazowieckie;NACZELNIKOWSKA;7</t>
  </si>
  <si>
    <t>Michał Kozak;Wielkopolskie;MOST ŚLĄSKO-DĄBROWSKI;7</t>
  </si>
  <si>
    <t>LITERY.MAŁE</t>
  </si>
  <si>
    <t>LITERY.WIELKIE</t>
  </si>
  <si>
    <t>Z.WIELKIEJ.LITERY</t>
  </si>
  <si>
    <t>MOT150911-3</t>
  </si>
  <si>
    <t>Olga</t>
  </si>
  <si>
    <t>Brzoza</t>
  </si>
  <si>
    <t>Marian</t>
  </si>
  <si>
    <t>Wczesny</t>
  </si>
  <si>
    <t>Michał</t>
  </si>
  <si>
    <t>Kozak</t>
  </si>
  <si>
    <t>Bartosz</t>
  </si>
  <si>
    <t>Niedźwiedź</t>
  </si>
  <si>
    <t>Tadeusz</t>
  </si>
  <si>
    <t>Śmiały</t>
  </si>
  <si>
    <t>Mariola</t>
  </si>
  <si>
    <t>Kos</t>
  </si>
  <si>
    <t>Zofia</t>
  </si>
  <si>
    <t>Kwarc</t>
  </si>
  <si>
    <t>Karol</t>
  </si>
  <si>
    <t>Wolski</t>
  </si>
  <si>
    <t>Olga Sosna</t>
  </si>
  <si>
    <t>Olga Maria Sosna</t>
  </si>
  <si>
    <t>Bartosz Zenon Niedźwiedź</t>
  </si>
  <si>
    <t>Olga Teresa Brzoza</t>
  </si>
  <si>
    <t>Maria</t>
  </si>
  <si>
    <t>Zenon</t>
  </si>
  <si>
    <t>Teresa</t>
  </si>
  <si>
    <t>Zofia Magda Kwarc</t>
  </si>
  <si>
    <t>Karol Andrzej Wolski</t>
  </si>
  <si>
    <t>Magda</t>
  </si>
  <si>
    <t>Andrzej</t>
  </si>
  <si>
    <t>Sosna</t>
  </si>
  <si>
    <t>[CPU0001-GP</t>
  </si>
  <si>
    <t>[CPU0126-KR]</t>
  </si>
  <si>
    <t>[CPU3421-GP</t>
  </si>
  <si>
    <t>[CPU0022-KR</t>
  </si>
  <si>
    <t>[CPU0155-KR]</t>
  </si>
  <si>
    <t>ŻUK150512-2</t>
  </si>
  <si>
    <t>STO150617-1</t>
  </si>
  <si>
    <t>PTA150708-2</t>
  </si>
  <si>
    <t>STO150811-1</t>
  </si>
  <si>
    <t>Dane Osobowe</t>
  </si>
  <si>
    <t>Drugie imię</t>
  </si>
  <si>
    <t>Błędne określenie</t>
  </si>
  <si>
    <t>Poprawione</t>
  </si>
  <si>
    <t>[CPU3130-GP]</t>
  </si>
  <si>
    <t>Drugie Imię</t>
  </si>
  <si>
    <t>Kod partii</t>
  </si>
  <si>
    <t>tadeusz Śmiały</t>
  </si>
  <si>
    <t>Olga brzoza</t>
  </si>
  <si>
    <t>bartosz Niedźwiedź</t>
  </si>
  <si>
    <t>Tadeusz śmiały</t>
  </si>
  <si>
    <t>olga BrzoZa</t>
  </si>
  <si>
    <t>Marian wczEsny</t>
  </si>
  <si>
    <t>michał KozAk</t>
  </si>
  <si>
    <t>Bartosz niedźWIEdź</t>
  </si>
  <si>
    <t>mariola KOS</t>
  </si>
  <si>
    <t>Zofia kWArc</t>
  </si>
  <si>
    <t>Teresa wiewiÓrka</t>
  </si>
  <si>
    <t>Marian wCZEsny</t>
  </si>
  <si>
    <t>Michał koZAK</t>
  </si>
  <si>
    <t>MARIOLA kos</t>
  </si>
  <si>
    <t>MOT6460834-3</t>
  </si>
  <si>
    <t>ŻUK5810213-2</t>
  </si>
  <si>
    <t>STO8546376-1</t>
  </si>
  <si>
    <t>PTA5458723-2</t>
  </si>
  <si>
    <t>STO8783057-1</t>
  </si>
  <si>
    <t>Nr seryjny</t>
  </si>
  <si>
    <t>Liczba lat/rat</t>
  </si>
  <si>
    <t>Wartość raty (waluta)</t>
  </si>
  <si>
    <t>Stopa procentowa (%)</t>
  </si>
  <si>
    <t>5,55% z wkładem 200zł przez okres 10 lat to:</t>
  </si>
  <si>
    <t>Zapisz</t>
  </si>
  <si>
    <t>Data</t>
  </si>
  <si>
    <t>Poprawna data</t>
  </si>
  <si>
    <t>Flash Fill</t>
  </si>
  <si>
    <t>RRRRMMDD</t>
  </si>
  <si>
    <t>RRRR-MM-DD</t>
  </si>
  <si>
    <t>RRRR.MM.DD</t>
  </si>
  <si>
    <t>2015.11.12</t>
  </si>
  <si>
    <t>RRRR MM DD</t>
  </si>
  <si>
    <t>2014 10 11</t>
  </si>
  <si>
    <t>MM,DD,RRRR</t>
  </si>
  <si>
    <t>09,25,2013</t>
  </si>
  <si>
    <t>DD_MM_RRRR</t>
  </si>
  <si>
    <t>08_11_2012</t>
  </si>
  <si>
    <t>RRMMDD</t>
  </si>
  <si>
    <r>
      <rPr>
        <sz val="10.5"/>
        <color theme="0"/>
        <rFont val="Calibri"/>
        <family val="2"/>
        <scheme val="minor"/>
      </rPr>
      <t xml:space="preserve">Łączymy </t>
    </r>
    <r>
      <rPr>
        <b/>
        <sz val="10.5"/>
        <color theme="0"/>
        <rFont val="Calibri"/>
        <family val="2"/>
        <scheme val="minor"/>
      </rPr>
      <t>procent,</t>
    </r>
    <r>
      <rPr>
        <sz val="10.5"/>
        <color theme="0"/>
        <rFont val="Calibri"/>
        <family val="2"/>
        <scheme val="minor"/>
      </rPr>
      <t xml:space="preserve"> </t>
    </r>
    <r>
      <rPr>
        <b/>
        <sz val="10.5"/>
        <color theme="0"/>
        <rFont val="Calibri"/>
        <family val="2"/>
        <scheme val="minor"/>
      </rPr>
      <t>tekst,</t>
    </r>
    <r>
      <rPr>
        <sz val="10.5"/>
        <color theme="0"/>
        <rFont val="Calibri"/>
        <family val="2"/>
        <scheme val="minor"/>
      </rPr>
      <t xml:space="preserve"> </t>
    </r>
    <r>
      <rPr>
        <b/>
        <sz val="10.5"/>
        <color theme="0"/>
        <rFont val="Calibri"/>
        <family val="2"/>
        <scheme val="minor"/>
      </rPr>
      <t>walutę i liczbę</t>
    </r>
    <r>
      <rPr>
        <sz val="10.5"/>
        <color theme="0"/>
        <rFont val="Calibri"/>
        <family val="2"/>
        <scheme val="minor"/>
      </rPr>
      <t>, by stworzyć dynamiczną etykietę.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</si>
  <si>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</si>
  <si>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</si>
  <si>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</si>
  <si>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</si>
  <si>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</si>
  <si>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</si>
  <si>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</si>
  <si>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</si>
  <si>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</si>
  <si>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</si>
  <si>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</si>
  <si>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</si>
  <si>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</si>
  <si>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</si>
  <si>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</si>
  <si>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</si>
  <si>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</si>
  <si>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</si>
  <si>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</si>
  <si>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</si>
  <si>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</si>
  <si>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</si>
  <si>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</si>
  <si>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</si>
  <si>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</si>
  <si>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</si>
  <si>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</si>
  <si>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</si>
  <si>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</si>
  <si>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</si>
  <si>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</si>
  <si>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</si>
  <si>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</si>
  <si>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</si>
  <si>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</si>
  <si>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</si>
  <si>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</si>
  <si>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Wielkopolskie</t>
  </si>
  <si>
    <t>TARGOWA</t>
  </si>
  <si>
    <t>Świętokrzyskie</t>
  </si>
  <si>
    <t>ŚW. WINCENTEGO</t>
  </si>
  <si>
    <t>Mazowieckie</t>
  </si>
  <si>
    <t>ŻWIRKI I WIGURY</t>
  </si>
  <si>
    <t>WIRAŻOWA</t>
  </si>
  <si>
    <t>AL. KRAKOWSKA</t>
  </si>
  <si>
    <t>WOŁOSKA</t>
  </si>
  <si>
    <t>PUŁAWSKA</t>
  </si>
  <si>
    <t>ŚW. ANDRZEJA BOBOLI</t>
  </si>
  <si>
    <t>W. BRONIEWSKIEGO</t>
  </si>
  <si>
    <t>S. ŻEROMSKIEGO</t>
  </si>
  <si>
    <t>GEN. S. KALISKIEGO</t>
  </si>
  <si>
    <t>BOLIMOWSKA</t>
  </si>
  <si>
    <t>MODLIŃSKA</t>
  </si>
  <si>
    <t>KLEMBOWSKA</t>
  </si>
  <si>
    <t>WAWELSKA</t>
  </si>
  <si>
    <t>FILTROWA</t>
  </si>
  <si>
    <t>NACZELNIKOWSKA</t>
  </si>
  <si>
    <t>MOST ŚLĄSKO-DĄBROWSKI</t>
  </si>
  <si>
    <t>MOT</t>
  </si>
  <si>
    <t>-</t>
  </si>
  <si>
    <t>ŻUK</t>
  </si>
  <si>
    <t>STO</t>
  </si>
  <si>
    <t>PTA</t>
  </si>
  <si>
    <t>Tadeusz  Śmiały</t>
  </si>
  <si>
    <t>Mariola  Kos</t>
  </si>
  <si>
    <t>[CPU0001-GP]</t>
  </si>
  <si>
    <t>[CPU3421-GP]</t>
  </si>
  <si>
    <t>[CPU0022-KR]</t>
  </si>
  <si>
    <t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</si>
</sst>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\ &quot;zł&quot;;[Red]\-#,##0.00\ &quot;zł&quot;"/>
    <numFmt numFmtId="165" formatCode="_-* #,##0.00\ _z_ł_-;\-* #,##0.00\ _z_ł_-;_-* &quot;-&quot;??\ _z_ł_-;_-@_-"/>
    <numFmt numFmtId="166" formatCode="&quot;$&quot;#,##0,"/>
    <numFmt numFmtId="167" formatCode="d\-mmm\-yyyy"/>
  </numFmts>
  <fonts count="22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F7F47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9" borderId="1">
      <alignment wrapText="1"/>
    </xf>
    <xf numFmtId="0" fontId="8" fillId="10" borderId="2" applyBorder="0">
      <alignment horizontal="centerContinuous" wrapText="1"/>
    </xf>
    <xf numFmtId="43" fontId="9" fillId="0" borderId="0" applyFont="0" applyFill="0" applyBorder="0" applyAlignment="0" applyProtection="0"/>
    <xf numFmtId="166" fontId="10" fillId="0" borderId="0"/>
    <xf numFmtId="0" fontId="2" fillId="5" borderId="0"/>
    <xf numFmtId="165" fontId="5" fillId="0" borderId="0" applyFont="0" applyFill="0" applyBorder="0" applyAlignment="0" applyProtection="0"/>
    <xf numFmtId="0" fontId="3" fillId="11" borderId="1">
      <alignment horizontal="center" vertical="center"/>
    </xf>
    <xf numFmtId="0" fontId="2" fillId="6" borderId="1">
      <alignment horizontal="center" vertical="center"/>
    </xf>
    <xf numFmtId="164" fontId="1" fillId="7" borderId="1" applyNumberFormat="0"/>
    <xf numFmtId="164" fontId="1" fillId="12" borderId="1" applyFont="0" applyBorder="0"/>
    <xf numFmtId="164" fontId="1" fillId="6" borderId="1" applyFont="0" applyBorder="0"/>
    <xf numFmtId="164" fontId="1" fillId="13" borderId="1" applyFont="0" applyBorder="0"/>
    <xf numFmtId="164" fontId="1" fillId="14" borderId="1" applyFont="0" applyBorder="0"/>
    <xf numFmtId="0" fontId="1" fillId="15" borderId="0" applyFont="0" applyBorder="0"/>
    <xf numFmtId="164" fontId="1" fillId="16" borderId="1" applyFont="0" applyBorder="0"/>
    <xf numFmtId="164" fontId="6" fillId="4" borderId="1"/>
    <xf numFmtId="164" fontId="6" fillId="4" borderId="1" applyNumberFormat="0"/>
    <xf numFmtId="164" fontId="6" fillId="4" borderId="1" applyNumberFormat="0" applyAlignment="0"/>
    <xf numFmtId="167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164" fontId="1" fillId="17" borderId="1"/>
    <xf numFmtId="0" fontId="9" fillId="0" borderId="0">
      <alignment wrapText="1"/>
    </xf>
    <xf numFmtId="0" fontId="6" fillId="3" borderId="2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13" fillId="8" borderId="1" xfId="0" applyFont="1" applyFill="1" applyBorder="1" applyAlignment="1">
      <alignment horizontal="center" vertical="center"/>
    </xf>
    <xf numFmtId="0" fontId="14" fillId="0" borderId="0" xfId="0" applyFont="1"/>
    <xf numFmtId="0" fontId="14" fillId="0" borderId="1" xfId="0" applyFont="1" applyBorder="1"/>
    <xf numFmtId="0" fontId="14" fillId="18" borderId="1" xfId="0" applyFont="1" applyFill="1" applyBorder="1"/>
    <xf numFmtId="14" fontId="14" fillId="0" borderId="0" xfId="0" applyNumberFormat="1" applyFont="1"/>
    <xf numFmtId="0" fontId="15" fillId="5" borderId="0" xfId="3" applyFont="1" applyFill="1" applyAlignment="1">
      <alignment horizontal="centerContinuous"/>
    </xf>
    <xf numFmtId="0" fontId="14" fillId="0" borderId="0" xfId="3" applyFont="1"/>
    <xf numFmtId="0" fontId="15" fillId="6" borderId="1" xfId="1" applyFont="1" applyFill="1" applyBorder="1" applyAlignment="1">
      <alignment horizontal="centerContinuous" vertical="center"/>
    </xf>
    <xf numFmtId="0" fontId="16" fillId="6" borderId="1" xfId="1" applyFont="1" applyFill="1" applyBorder="1" applyAlignment="1">
      <alignment horizontal="centerContinuous" vertical="center"/>
    </xf>
    <xf numFmtId="10" fontId="14" fillId="0" borderId="1" xfId="3" applyNumberFormat="1" applyFont="1" applyBorder="1"/>
    <xf numFmtId="164" fontId="14" fillId="0" borderId="1" xfId="3" applyNumberFormat="1" applyFont="1" applyBorder="1"/>
    <xf numFmtId="0" fontId="14" fillId="0" borderId="1" xfId="3" applyFont="1" applyBorder="1"/>
    <xf numFmtId="164" fontId="17" fillId="18" borderId="0" xfId="4" applyNumberFormat="1" applyFont="1" applyFill="1" applyBorder="1"/>
    <xf numFmtId="164" fontId="14" fillId="0" borderId="0" xfId="3" applyNumberFormat="1" applyFont="1"/>
    <xf numFmtId="0" fontId="14" fillId="18" borderId="1" xfId="3" applyFont="1" applyFill="1" applyBorder="1"/>
    <xf numFmtId="0" fontId="13" fillId="8" borderId="3" xfId="0" applyFont="1" applyFill="1" applyBorder="1" applyAlignment="1">
      <alignment horizontal="center" vertical="center"/>
    </xf>
    <xf numFmtId="0" fontId="14" fillId="19" borderId="0" xfId="0" applyFont="1" applyFill="1"/>
    <xf numFmtId="14" fontId="14" fillId="19" borderId="0" xfId="0" applyNumberFormat="1" applyFont="1" applyFill="1"/>
    <xf numFmtId="0" fontId="14" fillId="0" borderId="0" xfId="0" quotePrefix="1" applyFont="1"/>
    <xf numFmtId="0" fontId="1" fillId="0" borderId="0" xfId="31"/>
    <xf numFmtId="0" fontId="5" fillId="0" borderId="0" xfId="3"/>
    <xf numFmtId="0" fontId="18" fillId="0" borderId="0" xfId="32" applyFont="1" applyAlignment="1">
      <alignment vertical="center"/>
    </xf>
    <xf numFmtId="0" fontId="19" fillId="0" borderId="0" xfId="33" applyAlignment="1">
      <alignment vertical="center"/>
    </xf>
    <xf numFmtId="0" fontId="21" fillId="0" borderId="0" xfId="31" applyFont="1" applyAlignment="1">
      <alignment vertical="center"/>
    </xf>
    <xf numFmtId="0" fontId="1" fillId="0" borderId="5" xfId="31" applyBorder="1"/>
    <xf numFmtId="0" fontId="18" fillId="0" borderId="0" xfId="31" applyFont="1" applyAlignment="1">
      <alignment wrapText="1"/>
    </xf>
    <xf numFmtId="0" fontId="0" fillId="0" borderId="0" xfId="31" applyFont="1" applyAlignment="1">
      <alignment vertical="top"/>
    </xf>
    <xf numFmtId="0" fontId="19" fillId="0" borderId="0" xfId="33" applyAlignment="1"/>
    <xf numFmtId="0" fontId="1" fillId="0" borderId="0" xfId="31" applyAlignment="1">
      <alignment vertical="top"/>
    </xf>
    <xf numFmtId="0" fontId="20" fillId="0" borderId="0" xfId="2" applyFont="1" applyAlignment="1"/>
    <xf numFmtId="0" fontId="18" fillId="0" borderId="0" xfId="31" applyFont="1" applyAlignment="1">
      <alignment vertical="center"/>
    </xf>
    <xf numFmtId="0" fontId="1" fillId="0" borderId="0" xfId="31" applyAlignment="1">
      <alignment vertical="center"/>
    </xf>
    <xf numFmtId="0" fontId="4" fillId="0" borderId="0" xfId="2" applyAlignment="1"/>
    <xf numFmtId="0" fontId="18" fillId="0" borderId="0" xfId="31" applyFont="1" applyAlignment="1">
      <alignment vertical="top" wrapText="1"/>
    </xf>
    <xf numFmtId="0" fontId="1" fillId="20" borderId="0" xfId="31" applyFill="1" applyAlignment="1">
      <alignment vertical="top" wrapText="1"/>
    </xf>
    <xf numFmtId="0" fontId="1" fillId="20" borderId="0" xfId="31" applyFill="1" applyAlignment="1">
      <alignment wrapText="1"/>
    </xf>
    <xf numFmtId="0" fontId="1" fillId="0" borderId="0" xfId="31" applyAlignment="1">
      <alignment vertical="top" wrapText="1"/>
    </xf>
    <xf numFmtId="0" fontId="1" fillId="20" borderId="0" xfId="31" applyFill="1" applyAlignment="1">
      <alignment wrapText="1"/>
    </xf>
    <xf numFmtId="0" fontId="18" fillId="0" borderId="5" xfId="31" applyFont="1" applyBorder="1" applyAlignment="1">
      <alignment vertical="top" wrapText="1"/>
    </xf>
    <xf numFmtId="0" fontId="18" fillId="0" borderId="0" xfId="31" applyFont="1" applyAlignment="1">
      <alignment vertical="top" wrapText="1"/>
    </xf>
    <xf numFmtId="0" fontId="0" fillId="0" borderId="0" xfId="31" applyFont="1" applyAlignment="1">
      <alignment vertical="top"/>
    </xf>
    <xf numFmtId="0" fontId="20" fillId="0" borderId="0" xfId="33" applyFont="1" applyAlignment="1"/>
    <xf numFmtId="0" fontId="20" fillId="0" borderId="0" xfId="2" applyFont="1" applyAlignment="1"/>
    <xf numFmtId="0" fontId="1" fillId="20" borderId="0" xfId="31" applyFill="1" applyAlignment="1">
      <alignment vertical="top" wrapText="1"/>
    </xf>
    <xf numFmtId="0" fontId="1" fillId="0" borderId="0" xfId="31" applyAlignment="1">
      <alignment vertical="top"/>
    </xf>
    <xf numFmtId="0" fontId="0" fillId="0" borderId="5" xfId="31" applyFont="1" applyBorder="1" applyAlignment="1">
      <alignment vertical="top"/>
    </xf>
    <xf numFmtId="0" fontId="18" fillId="0" borderId="0" xfId="31" applyFont="1"/>
    <xf numFmtId="0" fontId="4" fillId="0" borderId="0" xfId="34" applyAlignment="1">
      <alignment vertical="center"/>
    </xf>
    <xf numFmtId="0" fontId="20" fillId="0" borderId="0" xfId="33" applyFont="1" applyAlignment="1">
      <alignment vertical="center"/>
    </xf>
    <xf numFmtId="0" fontId="19" fillId="0" borderId="0" xfId="33" applyAlignment="1">
      <alignment vertical="center"/>
    </xf>
    <xf numFmtId="0" fontId="18" fillId="0" borderId="5" xfId="31" applyFont="1" applyBorder="1" applyAlignment="1">
      <alignment vertical="center"/>
    </xf>
    <xf numFmtId="0" fontId="18" fillId="0" borderId="0" xfId="31" applyFont="1" applyAlignment="1">
      <alignment vertical="center"/>
    </xf>
    <xf numFmtId="0" fontId="1" fillId="0" borderId="0" xfId="31" applyAlignment="1">
      <alignment vertical="center"/>
    </xf>
    <xf numFmtId="0" fontId="18" fillId="0" borderId="0" xfId="32" applyFont="1" applyAlignment="1">
      <alignment vertical="center"/>
    </xf>
    <xf numFmtId="0" fontId="21" fillId="0" borderId="0" xfId="31" applyFont="1" applyAlignment="1">
      <alignment vertical="center"/>
    </xf>
    <xf numFmtId="0" fontId="18" fillId="0" borderId="5" xfId="31" applyFont="1" applyBorder="1" applyAlignment="1">
      <alignment wrapText="1"/>
    </xf>
    <xf numFmtId="0" fontId="18" fillId="0" borderId="0" xfId="31" applyFont="1" applyAlignment="1">
      <alignment wrapText="1"/>
    </xf>
    <xf numFmtId="0" fontId="15" fillId="5" borderId="4" xfId="3" applyFont="1" applyFill="1" applyBorder="1" applyAlignment="1">
      <alignment horizontal="center"/>
    </xf>
  </cellXfs>
  <cellStyles count="35">
    <cellStyle name="Akcent 1" xfId="1" builtinId="29"/>
    <cellStyle name="blue" xfId="5" xr:uid="{00000000-0005-0000-0000-000001000000}"/>
    <cellStyle name="BlueTitle" xfId="6" xr:uid="{00000000-0005-0000-0000-000002000000}"/>
    <cellStyle name="Comma 2" xfId="7" xr:uid="{00000000-0005-0000-0000-000003000000}"/>
    <cellStyle name="Currency Round to thousands" xfId="8" xr:uid="{00000000-0005-0000-0000-000004000000}"/>
    <cellStyle name="Czarny" xfId="9" xr:uid="{00000000-0005-0000-0000-000005000000}"/>
    <cellStyle name="Dziesiętny 2" xfId="10" xr:uid="{00000000-0005-0000-0000-000006000000}"/>
    <cellStyle name="Excel - Etykieta" xfId="11" xr:uid="{00000000-0005-0000-0000-000007000000}"/>
    <cellStyle name="Excel - Etykiety light" xfId="12" xr:uid="{00000000-0005-0000-0000-000008000000}"/>
    <cellStyle name="Excel - Formuła" xfId="13" xr:uid="{00000000-0005-0000-0000-000009000000}"/>
    <cellStyle name="Excel - green" xfId="14" xr:uid="{00000000-0005-0000-0000-00000A000000}"/>
    <cellStyle name="Excel - lightblue" xfId="15" xr:uid="{00000000-0005-0000-0000-00000B000000}"/>
    <cellStyle name="Excel - orange" xfId="16" xr:uid="{00000000-0005-0000-0000-00000C000000}"/>
    <cellStyle name="Excel - purple" xfId="17" xr:uid="{00000000-0005-0000-0000-00000D000000}"/>
    <cellStyle name="Excel - red" xfId="18" xr:uid="{00000000-0005-0000-0000-00000E000000}"/>
    <cellStyle name="Excel - yellow" xfId="19" xr:uid="{00000000-0005-0000-0000-00000F000000}"/>
    <cellStyle name="Formuła" xfId="20" xr:uid="{00000000-0005-0000-0000-000010000000}"/>
    <cellStyle name="Formuła 2" xfId="21" xr:uid="{00000000-0005-0000-0000-000011000000}"/>
    <cellStyle name="Formuła 3" xfId="22" xr:uid="{00000000-0005-0000-0000-000012000000}"/>
    <cellStyle name="Formuła 4" xfId="4" xr:uid="{00000000-0005-0000-0000-000013000000}"/>
    <cellStyle name="Four-Digit Year" xfId="23" xr:uid="{00000000-0005-0000-0000-000014000000}"/>
    <cellStyle name="Hiperłącze 2" xfId="2" xr:uid="{00000000-0005-0000-0000-000015000000}"/>
    <cellStyle name="Hiperłącze 2 2" xfId="33" xr:uid="{BDDB652B-DB65-4EE0-A2D2-3E28DAED2533}"/>
    <cellStyle name="Hiperłącze 2 3" xfId="34" xr:uid="{FA5AAF27-0DA9-48B8-BF1F-2DB500A185BA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3" xr:uid="{00000000-0005-0000-0000-00001A000000}"/>
    <cellStyle name="Normalny 2 3 2 2" xfId="31" xr:uid="{7D1758E3-80FF-49AE-9601-5AE690F425A3}"/>
    <cellStyle name="Normalny 3" xfId="27" xr:uid="{00000000-0005-0000-0000-00001B000000}"/>
    <cellStyle name="Normalny 4 2" xfId="32" xr:uid="{4B3360DE-24AF-486B-AD9C-61F3F1B197E0}"/>
    <cellStyle name="Styl 1" xfId="28" xr:uid="{00000000-0005-0000-0000-00001C000000}"/>
    <cellStyle name="Wrap Text" xfId="29" xr:uid="{00000000-0005-0000-0000-00001D000000}"/>
    <cellStyle name="ziel" xfId="30" xr:uid="{00000000-0005-0000-0000-00001E000000}"/>
  </cellStyles>
  <dxfs count="0"/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33C8F139-EAA1-435A-A880-997417127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F152B29C-F680-4178-86A4-5391C7C3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436FE529-4D52-481A-B2A3-4B72B071F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ECA610AB-F5F8-46DB-8B28-C90336EE23B8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938C1A-F6D0-4B03-B3F9-0FD35C39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AA3F97C-12B8-4A6A-9C28-049C1AC92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4658BC9-6055-486E-9953-DE2D153BA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87CFA7-1A50-4DE5-8905-4BC27151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0FE29BF-56BF-4C79-ACF5-E9A77EA8A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C69C563-BF9A-4CFD-BDE6-F13360A04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81F558FE-28C9-478F-BBA8-29E6BBE8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99724EBE-7E3E-4F2D-BEDA-CA1545A2D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C41A237F-0A31-4160-8EA1-E062EBA3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8648-B393-4B77-88E8-F87A5B41C98F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/>
  <cols>
    <col min="1" max="99" width="2.42578125" style="20" customWidth="1"/>
    <col min="100" max="101" width="2.42578125" style="21" customWidth="1"/>
    <col min="102" max="105" width="9.140625" style="20"/>
    <col min="106" max="106" width="10.7109375" style="20" customWidth="1"/>
    <col min="107" max="107" width="73.7109375" style="20" customWidth="1"/>
    <col min="108" max="108" width="6.28515625" style="20" customWidth="1"/>
    <col min="109" max="16384" width="9.140625" style="20"/>
  </cols>
  <sheetData>
    <row r="1" spans="18:99" s="21" customFormat="1" ht="6" customHeight="1"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</row>
    <row r="2" spans="18:99" s="21" customFormat="1" ht="6" customHeight="1">
      <c r="R2" s="20"/>
      <c r="S2" s="20"/>
      <c r="T2" s="20"/>
      <c r="U2" s="20"/>
      <c r="V2" s="20"/>
      <c r="W2" s="20"/>
      <c r="X2" s="20"/>
      <c r="Y2" s="20"/>
      <c r="Z2" s="54" t="s">
        <v>124</v>
      </c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22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</row>
    <row r="3" spans="18:99" s="21" customFormat="1" ht="6" customHeight="1">
      <c r="R3" s="20"/>
      <c r="S3" s="20"/>
      <c r="T3" s="20"/>
      <c r="U3" s="20"/>
      <c r="V3" s="20"/>
      <c r="W3" s="20"/>
      <c r="X3" s="20"/>
      <c r="Y3" s="20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22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</row>
    <row r="4" spans="18:99" s="21" customFormat="1" ht="6" customHeight="1">
      <c r="R4" s="20"/>
      <c r="S4" s="20"/>
      <c r="T4" s="20"/>
      <c r="U4" s="20"/>
      <c r="V4" s="20"/>
      <c r="W4" s="20"/>
      <c r="X4" s="20"/>
      <c r="Y4" s="20"/>
      <c r="Z4" s="49" t="s">
        <v>125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23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</row>
    <row r="5" spans="18:99" s="21" customFormat="1" ht="6" customHeight="1">
      <c r="R5" s="55" t="s">
        <v>126</v>
      </c>
      <c r="S5" s="55"/>
      <c r="T5" s="55"/>
      <c r="U5" s="55"/>
      <c r="V5" s="55"/>
      <c r="W5" s="55"/>
      <c r="X5" s="20"/>
      <c r="Y5" s="20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23"/>
      <c r="BE5" s="20"/>
      <c r="BF5" s="55" t="s">
        <v>127</v>
      </c>
      <c r="BG5" s="55"/>
      <c r="BH5" s="55"/>
      <c r="BI5" s="55"/>
      <c r="BJ5" s="55"/>
      <c r="BK5" s="55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</row>
    <row r="6" spans="18:99" s="21" customFormat="1" ht="6" customHeight="1">
      <c r="R6" s="55"/>
      <c r="S6" s="55"/>
      <c r="T6" s="55"/>
      <c r="U6" s="55"/>
      <c r="V6" s="55"/>
      <c r="W6" s="55"/>
      <c r="X6" s="20"/>
      <c r="Y6" s="20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23"/>
      <c r="BE6" s="20"/>
      <c r="BF6" s="55"/>
      <c r="BG6" s="55"/>
      <c r="BH6" s="55"/>
      <c r="BI6" s="55"/>
      <c r="BJ6" s="55"/>
      <c r="BK6" s="55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</row>
    <row r="7" spans="18:99" s="21" customFormat="1" ht="6" customHeight="1">
      <c r="R7" s="55"/>
      <c r="S7" s="55"/>
      <c r="T7" s="55"/>
      <c r="U7" s="55"/>
      <c r="V7" s="55"/>
      <c r="W7" s="55"/>
      <c r="X7" s="24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55"/>
      <c r="BG7" s="55"/>
      <c r="BH7" s="55"/>
      <c r="BI7" s="55"/>
      <c r="BJ7" s="55"/>
      <c r="BK7" s="55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</row>
    <row r="8" spans="18:99" s="21" customFormat="1" ht="6" customHeight="1"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</row>
    <row r="9" spans="18:99" s="21" customFormat="1" ht="6" customHeight="1">
      <c r="R9" s="25"/>
      <c r="S9" s="25"/>
      <c r="T9" s="25"/>
      <c r="U9" s="25"/>
      <c r="V9" s="25"/>
      <c r="W9" s="25"/>
      <c r="X9" s="25"/>
      <c r="Y9" s="25"/>
      <c r="Z9" s="56" t="s">
        <v>128</v>
      </c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26"/>
      <c r="BE9" s="20"/>
      <c r="BF9" s="25"/>
      <c r="BG9" s="25"/>
      <c r="BH9" s="25"/>
      <c r="BI9" s="25"/>
      <c r="BJ9" s="25"/>
      <c r="BK9" s="25"/>
      <c r="BL9" s="25"/>
      <c r="BM9" s="25"/>
      <c r="BN9" s="46" t="s">
        <v>129</v>
      </c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27"/>
      <c r="CS9" s="27"/>
      <c r="CT9" s="27"/>
      <c r="CU9" s="27"/>
    </row>
    <row r="10" spans="18:99" s="21" customFormat="1" ht="6" customHeight="1">
      <c r="R10" s="20"/>
      <c r="S10" s="20"/>
      <c r="T10" s="20"/>
      <c r="U10" s="20"/>
      <c r="V10" s="20"/>
      <c r="W10" s="20"/>
      <c r="X10" s="20"/>
      <c r="Y10" s="20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26"/>
      <c r="BE10" s="20"/>
      <c r="BF10" s="20"/>
      <c r="BG10" s="20"/>
      <c r="BH10" s="20"/>
      <c r="BI10" s="20"/>
      <c r="BJ10" s="20"/>
      <c r="BK10" s="20"/>
      <c r="BL10" s="20"/>
      <c r="BM10" s="20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27"/>
      <c r="CS10" s="27"/>
      <c r="CT10" s="27"/>
      <c r="CU10" s="27"/>
    </row>
    <row r="11" spans="18:99" s="21" customFormat="1" ht="6" customHeight="1">
      <c r="R11" s="20"/>
      <c r="S11" s="20"/>
      <c r="T11" s="20"/>
      <c r="U11" s="20"/>
      <c r="V11" s="20"/>
      <c r="W11" s="20"/>
      <c r="X11" s="20"/>
      <c r="Y11" s="20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26"/>
      <c r="BE11" s="20"/>
      <c r="BF11" s="20"/>
      <c r="BG11" s="20"/>
      <c r="BH11" s="20"/>
      <c r="BI11" s="20"/>
      <c r="BJ11" s="20"/>
      <c r="BK11" s="20"/>
      <c r="BL11" s="20"/>
      <c r="BM11" s="20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27"/>
      <c r="CS11" s="27"/>
      <c r="CT11" s="27"/>
      <c r="CU11" s="27"/>
    </row>
    <row r="12" spans="18:99" s="21" customFormat="1" ht="6" customHeight="1">
      <c r="R12" s="20"/>
      <c r="S12" s="20"/>
      <c r="T12" s="20"/>
      <c r="U12" s="20"/>
      <c r="V12" s="20"/>
      <c r="W12" s="20"/>
      <c r="X12" s="20"/>
      <c r="Y12" s="20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26"/>
      <c r="BE12" s="20"/>
      <c r="BF12" s="20"/>
      <c r="BG12" s="20"/>
      <c r="BH12" s="20"/>
      <c r="BI12" s="20"/>
      <c r="BJ12" s="20"/>
      <c r="BK12" s="20"/>
      <c r="BL12" s="20"/>
      <c r="BM12" s="20"/>
      <c r="BN12" s="42" t="s">
        <v>130</v>
      </c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28"/>
      <c r="CS12" s="28"/>
      <c r="CT12" s="28"/>
      <c r="CU12" s="28"/>
    </row>
    <row r="13" spans="18:99" s="21" customFormat="1" ht="6" customHeight="1">
      <c r="R13" s="20"/>
      <c r="S13" s="20"/>
      <c r="T13" s="20"/>
      <c r="U13" s="20"/>
      <c r="V13" s="20"/>
      <c r="W13" s="20"/>
      <c r="X13" s="20"/>
      <c r="Y13" s="20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26"/>
      <c r="BE13" s="20"/>
      <c r="BF13" s="20"/>
      <c r="BG13" s="20"/>
      <c r="BH13" s="20"/>
      <c r="BI13" s="20"/>
      <c r="BJ13" s="20"/>
      <c r="BK13" s="20"/>
      <c r="BL13" s="20"/>
      <c r="BM13" s="20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28"/>
      <c r="CS13" s="28"/>
      <c r="CT13" s="28"/>
      <c r="CU13" s="28"/>
    </row>
    <row r="14" spans="18:99" s="21" customFormat="1" ht="6" customHeight="1">
      <c r="R14" s="20"/>
      <c r="S14" s="20"/>
      <c r="T14" s="20"/>
      <c r="U14" s="20"/>
      <c r="V14" s="20"/>
      <c r="W14" s="20"/>
      <c r="X14" s="20"/>
      <c r="Y14" s="20"/>
      <c r="Z14" s="45" t="s">
        <v>131</v>
      </c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29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</row>
    <row r="15" spans="18:99" s="21" customFormat="1" ht="6" customHeight="1">
      <c r="R15" s="20"/>
      <c r="S15" s="20"/>
      <c r="T15" s="20"/>
      <c r="U15" s="20"/>
      <c r="V15" s="20"/>
      <c r="W15" s="20"/>
      <c r="X15" s="20"/>
      <c r="Y15" s="20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29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</row>
    <row r="16" spans="18:99" s="21" customFormat="1" ht="6" customHeight="1">
      <c r="R16" s="20"/>
      <c r="S16" s="20"/>
      <c r="T16" s="20"/>
      <c r="U16" s="20"/>
      <c r="V16" s="20"/>
      <c r="W16" s="20"/>
      <c r="X16" s="20"/>
      <c r="Y16" s="20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29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</row>
    <row r="17" spans="18:56" ht="6" customHeight="1">
      <c r="Z17" s="43" t="s">
        <v>132</v>
      </c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30"/>
    </row>
    <row r="18" spans="18:56" ht="6" customHeight="1"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30"/>
    </row>
    <row r="19" spans="18:56" ht="6" customHeight="1"/>
    <row r="20" spans="18:56" ht="6" customHeight="1"/>
    <row r="21" spans="18:56" ht="6" customHeight="1">
      <c r="R21" s="25"/>
      <c r="S21" s="25"/>
      <c r="T21" s="25"/>
      <c r="U21" s="25"/>
      <c r="V21" s="25"/>
      <c r="W21" s="25"/>
      <c r="X21" s="25"/>
      <c r="Y21" s="25"/>
      <c r="Z21" s="51" t="s">
        <v>133</v>
      </c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31"/>
    </row>
    <row r="22" spans="18:56" ht="6" customHeight="1"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31"/>
    </row>
    <row r="23" spans="18:56" ht="6" customHeight="1">
      <c r="Z23" s="53" t="s">
        <v>134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32"/>
    </row>
    <row r="24" spans="18:56" ht="6" customHeight="1"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32"/>
    </row>
    <row r="25" spans="18:56" ht="6" customHeight="1"/>
    <row r="26" spans="18:56" ht="6" customHeight="1">
      <c r="Z26" s="43" t="s">
        <v>135</v>
      </c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30"/>
    </row>
    <row r="27" spans="18:56" ht="6" customHeight="1"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30"/>
    </row>
    <row r="28" spans="18:56" ht="6" customHeight="1"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</row>
    <row r="29" spans="18:56" ht="6" customHeight="1"/>
    <row r="30" spans="18:56" ht="6" customHeight="1"/>
    <row r="31" spans="18:56" ht="6" customHeight="1"/>
    <row r="32" spans="18:56" ht="6" customHeight="1">
      <c r="R32" s="25"/>
      <c r="S32" s="25"/>
      <c r="T32" s="25"/>
      <c r="U32" s="25"/>
      <c r="V32" s="25"/>
      <c r="W32" s="25"/>
      <c r="X32" s="25"/>
      <c r="Y32" s="25"/>
      <c r="Z32" s="39" t="s">
        <v>136</v>
      </c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4"/>
    </row>
    <row r="33" spans="18:99" s="21" customFormat="1" ht="6" customHeight="1">
      <c r="R33" s="20"/>
      <c r="S33" s="20"/>
      <c r="T33" s="20"/>
      <c r="U33" s="20"/>
      <c r="V33" s="20"/>
      <c r="W33" s="20"/>
      <c r="X33" s="20"/>
      <c r="Y33" s="2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34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</row>
    <row r="34" spans="18:99" s="21" customFormat="1" ht="6" customHeight="1">
      <c r="R34" s="20"/>
      <c r="S34" s="20"/>
      <c r="T34" s="20"/>
      <c r="U34" s="20"/>
      <c r="V34" s="20"/>
      <c r="W34" s="20"/>
      <c r="X34" s="20"/>
      <c r="Y34" s="2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34"/>
      <c r="BE34" s="20"/>
      <c r="BF34" s="25"/>
      <c r="BG34" s="25"/>
      <c r="BH34" s="25"/>
      <c r="BI34" s="25"/>
      <c r="BJ34" s="25"/>
      <c r="BK34" s="25"/>
      <c r="BL34" s="25"/>
      <c r="BM34" s="25"/>
      <c r="BN34" s="46" t="s">
        <v>137</v>
      </c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27"/>
      <c r="CS34" s="27"/>
      <c r="CT34" s="27"/>
      <c r="CU34" s="27"/>
    </row>
    <row r="35" spans="18:99" s="21" customFormat="1" ht="6" customHeight="1">
      <c r="R35" s="20"/>
      <c r="S35" s="20"/>
      <c r="T35" s="20"/>
      <c r="U35" s="20"/>
      <c r="V35" s="20"/>
      <c r="W35" s="20"/>
      <c r="X35" s="20"/>
      <c r="Y35" s="2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34"/>
      <c r="BE35" s="20"/>
      <c r="BF35" s="20"/>
      <c r="BG35" s="20"/>
      <c r="BH35" s="20"/>
      <c r="BI35" s="20"/>
      <c r="BJ35" s="20"/>
      <c r="BK35" s="20"/>
      <c r="BL35" s="20"/>
      <c r="BM35" s="20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27"/>
      <c r="CS35" s="27"/>
      <c r="CT35" s="27"/>
      <c r="CU35" s="27"/>
    </row>
    <row r="36" spans="18:99" s="21" customFormat="1" ht="6" customHeight="1">
      <c r="R36" s="20"/>
      <c r="S36" s="20"/>
      <c r="T36" s="20"/>
      <c r="U36" s="20"/>
      <c r="V36" s="20"/>
      <c r="W36" s="20"/>
      <c r="X36" s="20"/>
      <c r="Y36" s="2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34"/>
      <c r="BE36" s="20"/>
      <c r="BF36" s="20"/>
      <c r="BG36" s="20"/>
      <c r="BH36" s="20"/>
      <c r="BI36" s="20"/>
      <c r="BJ36" s="20"/>
      <c r="BK36" s="20"/>
      <c r="BL36" s="20"/>
      <c r="BM36" s="20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27"/>
      <c r="CS36" s="27"/>
      <c r="CT36" s="27"/>
      <c r="CU36" s="27"/>
    </row>
    <row r="37" spans="18:99" s="21" customFormat="1" ht="6" customHeight="1">
      <c r="R37" s="20"/>
      <c r="S37" s="20"/>
      <c r="T37" s="20"/>
      <c r="U37" s="20"/>
      <c r="V37" s="20"/>
      <c r="W37" s="20"/>
      <c r="X37" s="20"/>
      <c r="Y37" s="20"/>
      <c r="Z37" s="45" t="s">
        <v>138</v>
      </c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29"/>
      <c r="BE37" s="20"/>
      <c r="BF37" s="20"/>
      <c r="BG37" s="20"/>
      <c r="BH37" s="20"/>
      <c r="BI37" s="20"/>
      <c r="BJ37" s="20"/>
      <c r="BK37" s="20"/>
      <c r="BL37" s="20"/>
      <c r="BM37" s="20"/>
      <c r="BN37" s="42" t="s">
        <v>139</v>
      </c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28"/>
      <c r="CS37" s="28"/>
      <c r="CT37" s="28"/>
      <c r="CU37" s="28"/>
    </row>
    <row r="38" spans="18:99" s="21" customFormat="1" ht="6" customHeight="1">
      <c r="R38" s="20"/>
      <c r="S38" s="20"/>
      <c r="T38" s="20"/>
      <c r="U38" s="20"/>
      <c r="V38" s="20"/>
      <c r="W38" s="20"/>
      <c r="X38" s="20"/>
      <c r="Y38" s="20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29"/>
      <c r="BE38" s="20"/>
      <c r="BF38" s="20"/>
      <c r="BG38" s="20"/>
      <c r="BH38" s="20"/>
      <c r="BI38" s="20"/>
      <c r="BJ38" s="20"/>
      <c r="BK38" s="20"/>
      <c r="BL38" s="20"/>
      <c r="BM38" s="20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28"/>
      <c r="CS38" s="28"/>
      <c r="CT38" s="28"/>
      <c r="CU38" s="28"/>
    </row>
    <row r="39" spans="18:99" s="21" customFormat="1" ht="6" customHeight="1">
      <c r="R39" s="20"/>
      <c r="S39" s="20"/>
      <c r="T39" s="20"/>
      <c r="U39" s="20"/>
      <c r="V39" s="20"/>
      <c r="W39" s="20"/>
      <c r="X39" s="20"/>
      <c r="Y39" s="20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29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</row>
    <row r="40" spans="18:99" s="21" customFormat="1" ht="6" customHeight="1">
      <c r="R40" s="20"/>
      <c r="S40" s="20"/>
      <c r="T40" s="20"/>
      <c r="U40" s="20"/>
      <c r="V40" s="20"/>
      <c r="W40" s="20"/>
      <c r="X40" s="20"/>
      <c r="Y40" s="20"/>
      <c r="Z40" s="43" t="s">
        <v>140</v>
      </c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30"/>
      <c r="BE40" s="20"/>
      <c r="BF40" s="20"/>
      <c r="BG40" s="20"/>
      <c r="BH40" s="20"/>
      <c r="BI40" s="20"/>
      <c r="BJ40" s="20"/>
      <c r="BK40" s="20"/>
      <c r="BL40" s="20"/>
      <c r="BM40" s="20"/>
      <c r="BN40" s="41" t="s">
        <v>141</v>
      </c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27"/>
      <c r="CS40" s="27"/>
      <c r="CT40" s="27"/>
      <c r="CU40" s="27"/>
    </row>
    <row r="41" spans="18:99" s="21" customFormat="1" ht="6" customHeight="1">
      <c r="R41" s="20"/>
      <c r="S41" s="20"/>
      <c r="T41" s="20"/>
      <c r="U41" s="20"/>
      <c r="V41" s="20"/>
      <c r="W41" s="20"/>
      <c r="X41" s="20"/>
      <c r="Y41" s="20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30"/>
      <c r="BE41" s="20"/>
      <c r="BF41" s="20"/>
      <c r="BG41" s="20"/>
      <c r="BH41" s="20"/>
      <c r="BI41" s="20"/>
      <c r="BJ41" s="20"/>
      <c r="BK41" s="20"/>
      <c r="BL41" s="20"/>
      <c r="BM41" s="20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27"/>
      <c r="CS41" s="27"/>
      <c r="CT41" s="27"/>
      <c r="CU41" s="27"/>
    </row>
    <row r="42" spans="18:99" s="21" customFormat="1" ht="6" customHeight="1"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27"/>
      <c r="CS42" s="27"/>
      <c r="CT42" s="27"/>
      <c r="CU42" s="27"/>
    </row>
    <row r="43" spans="18:99" s="21" customFormat="1" ht="6" customHeight="1">
      <c r="R43" s="25"/>
      <c r="S43" s="25"/>
      <c r="T43" s="25"/>
      <c r="U43" s="25"/>
      <c r="V43" s="25"/>
      <c r="W43" s="25"/>
      <c r="X43" s="25"/>
      <c r="Y43" s="25"/>
      <c r="Z43" s="39" t="s">
        <v>142</v>
      </c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4"/>
      <c r="BE43" s="20"/>
      <c r="BF43" s="20"/>
      <c r="BG43" s="20"/>
      <c r="BH43" s="20"/>
      <c r="BI43" s="20"/>
      <c r="BJ43" s="20"/>
      <c r="BK43" s="20"/>
      <c r="BL43" s="20"/>
      <c r="BM43" s="20"/>
      <c r="BN43" s="42" t="s">
        <v>143</v>
      </c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28"/>
      <c r="CS43" s="28"/>
      <c r="CT43" s="28"/>
      <c r="CU43" s="28"/>
    </row>
    <row r="44" spans="18:99" s="21" customFormat="1" ht="6" customHeight="1">
      <c r="R44" s="20"/>
      <c r="S44" s="20"/>
      <c r="T44" s="20"/>
      <c r="U44" s="20"/>
      <c r="V44" s="20"/>
      <c r="W44" s="20"/>
      <c r="X44" s="20"/>
      <c r="Y44" s="2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34"/>
      <c r="BE44" s="20"/>
      <c r="BF44" s="20"/>
      <c r="BG44" s="20"/>
      <c r="BH44" s="20"/>
      <c r="BI44" s="20"/>
      <c r="BJ44" s="20"/>
      <c r="BK44" s="20"/>
      <c r="BL44" s="20"/>
      <c r="BM44" s="20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28"/>
      <c r="CS44" s="28"/>
      <c r="CT44" s="28"/>
      <c r="CU44" s="28"/>
    </row>
    <row r="45" spans="18:99" s="21" customFormat="1" ht="6" customHeight="1">
      <c r="R45" s="20"/>
      <c r="S45" s="20"/>
      <c r="T45" s="20"/>
      <c r="U45" s="20"/>
      <c r="V45" s="20"/>
      <c r="W45" s="20"/>
      <c r="X45" s="20"/>
      <c r="Y45" s="2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34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</row>
    <row r="46" spans="18:99" s="21" customFormat="1" ht="6" customHeight="1">
      <c r="R46" s="20"/>
      <c r="S46" s="20"/>
      <c r="T46" s="20"/>
      <c r="U46" s="20"/>
      <c r="V46" s="20"/>
      <c r="W46" s="20"/>
      <c r="X46" s="20"/>
      <c r="Y46" s="2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34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</row>
    <row r="47" spans="18:99" s="21" customFormat="1" ht="6" customHeight="1">
      <c r="R47" s="20"/>
      <c r="S47" s="20"/>
      <c r="T47" s="20"/>
      <c r="U47" s="20"/>
      <c r="V47" s="20"/>
      <c r="W47" s="20"/>
      <c r="X47" s="20"/>
      <c r="Y47" s="2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34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</row>
    <row r="48" spans="18:99" s="21" customFormat="1" ht="6" customHeight="1">
      <c r="R48" s="20"/>
      <c r="S48" s="20"/>
      <c r="T48" s="20"/>
      <c r="U48" s="20"/>
      <c r="V48" s="20"/>
      <c r="W48" s="20"/>
      <c r="X48" s="20"/>
      <c r="Y48" s="20"/>
      <c r="Z48" s="45" t="s">
        <v>144</v>
      </c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29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</row>
    <row r="49" spans="2:99" s="21" customFormat="1" ht="6" customHeight="1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29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</row>
    <row r="50" spans="2:99" s="21" customFormat="1" ht="6" customHeight="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29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</row>
    <row r="51" spans="2:99" s="21" customFormat="1" ht="6" customHeight="1">
      <c r="B51" s="49" t="s">
        <v>145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20"/>
      <c r="R51" s="20"/>
      <c r="S51" s="20"/>
      <c r="T51" s="20"/>
      <c r="U51" s="20"/>
      <c r="V51" s="20"/>
      <c r="W51" s="20"/>
      <c r="X51" s="20"/>
      <c r="Y51" s="20"/>
      <c r="Z51" s="43" t="s">
        <v>146</v>
      </c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3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</row>
    <row r="52" spans="2:99" s="21" customFormat="1" ht="6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20"/>
      <c r="R52" s="20"/>
      <c r="S52" s="20"/>
      <c r="T52" s="20"/>
      <c r="U52" s="20"/>
      <c r="V52" s="20"/>
      <c r="W52" s="20"/>
      <c r="X52" s="20"/>
      <c r="Y52" s="20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3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</row>
    <row r="53" spans="2:99" s="21" customFormat="1" ht="6" customHeight="1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</row>
    <row r="54" spans="2:99" s="21" customFormat="1" ht="6" customHeight="1">
      <c r="B54" s="47" t="s">
        <v>147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20"/>
      <c r="R54" s="25"/>
      <c r="S54" s="25"/>
      <c r="T54" s="25"/>
      <c r="U54" s="25"/>
      <c r="V54" s="25"/>
      <c r="W54" s="25"/>
      <c r="X54" s="25"/>
      <c r="Y54" s="25"/>
      <c r="Z54" s="39" t="s">
        <v>148</v>
      </c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4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</row>
    <row r="55" spans="2:99" s="21" customFormat="1" ht="6" customHeigh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20"/>
      <c r="R55" s="20"/>
      <c r="S55" s="20"/>
      <c r="T55" s="20"/>
      <c r="U55" s="20"/>
      <c r="V55" s="20"/>
      <c r="W55" s="20"/>
      <c r="X55" s="20"/>
      <c r="Y55" s="2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34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</row>
    <row r="56" spans="2:99" s="21" customFormat="1" ht="6" customHeight="1"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20"/>
      <c r="R56" s="20"/>
      <c r="S56" s="20"/>
      <c r="T56" s="20"/>
      <c r="U56" s="20"/>
      <c r="V56" s="20"/>
      <c r="W56" s="20"/>
      <c r="X56" s="20"/>
      <c r="Y56" s="2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34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</row>
    <row r="57" spans="2:99" s="21" customFormat="1" ht="6" customHeight="1">
      <c r="B57" s="50" t="s">
        <v>149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20"/>
      <c r="R57" s="20"/>
      <c r="S57" s="20"/>
      <c r="T57" s="20"/>
      <c r="U57" s="20"/>
      <c r="V57" s="20"/>
      <c r="W57" s="20"/>
      <c r="X57" s="20"/>
      <c r="Y57" s="2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34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</row>
    <row r="58" spans="2:99" s="21" customFormat="1" ht="6" customHeight="1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20"/>
      <c r="R58" s="20"/>
      <c r="S58" s="20"/>
      <c r="T58" s="20"/>
      <c r="U58" s="20"/>
      <c r="V58" s="20"/>
      <c r="W58" s="20"/>
      <c r="X58" s="20"/>
      <c r="Y58" s="2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34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</row>
    <row r="59" spans="2:99" s="21" customFormat="1" ht="6" customHeight="1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45" t="s">
        <v>150</v>
      </c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29"/>
      <c r="BE59" s="20"/>
      <c r="BF59" s="25"/>
      <c r="BG59" s="25"/>
      <c r="BH59" s="25"/>
      <c r="BI59" s="25"/>
      <c r="BJ59" s="25"/>
      <c r="BK59" s="25"/>
      <c r="BL59" s="25"/>
      <c r="BM59" s="25"/>
      <c r="BN59" s="46" t="s">
        <v>137</v>
      </c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27"/>
      <c r="CS59" s="27"/>
      <c r="CT59" s="27"/>
      <c r="CU59" s="27"/>
    </row>
    <row r="60" spans="2:99" s="21" customFormat="1" ht="6" customHeight="1">
      <c r="B60" s="47" t="s">
        <v>151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20"/>
      <c r="R60" s="20"/>
      <c r="S60" s="20"/>
      <c r="T60" s="20"/>
      <c r="U60" s="20"/>
      <c r="V60" s="20"/>
      <c r="W60" s="20"/>
      <c r="X60" s="20"/>
      <c r="Y60" s="20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29"/>
      <c r="BE60" s="20"/>
      <c r="BF60" s="20"/>
      <c r="BG60" s="20"/>
      <c r="BH60" s="20"/>
      <c r="BI60" s="20"/>
      <c r="BJ60" s="20"/>
      <c r="BK60" s="20"/>
      <c r="BL60" s="20"/>
      <c r="BM60" s="20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27"/>
      <c r="CS60" s="27"/>
      <c r="CT60" s="27"/>
      <c r="CU60" s="27"/>
    </row>
    <row r="61" spans="2:99" s="21" customFormat="1" ht="6" customHeight="1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20"/>
      <c r="R61" s="20"/>
      <c r="S61" s="20"/>
      <c r="T61" s="20"/>
      <c r="U61" s="20"/>
      <c r="V61" s="20"/>
      <c r="W61" s="20"/>
      <c r="X61" s="20"/>
      <c r="Y61" s="20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29"/>
      <c r="BE61" s="20"/>
      <c r="BF61" s="20"/>
      <c r="BG61" s="20"/>
      <c r="BH61" s="20"/>
      <c r="BI61" s="20"/>
      <c r="BJ61" s="20"/>
      <c r="BK61" s="20"/>
      <c r="BL61" s="20"/>
      <c r="BM61" s="20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27"/>
      <c r="CS61" s="27"/>
      <c r="CT61" s="27"/>
      <c r="CU61" s="27"/>
    </row>
    <row r="62" spans="2:99" s="21" customFormat="1" ht="6" customHeigh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20"/>
      <c r="R62" s="20"/>
      <c r="S62" s="20"/>
      <c r="T62" s="20"/>
      <c r="U62" s="20"/>
      <c r="V62" s="20"/>
      <c r="W62" s="20"/>
      <c r="X62" s="20"/>
      <c r="Y62" s="20"/>
      <c r="Z62" s="43" t="s">
        <v>152</v>
      </c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30"/>
      <c r="BE62" s="20"/>
      <c r="BF62" s="20"/>
      <c r="BG62" s="20"/>
      <c r="BH62" s="20"/>
      <c r="BI62" s="20"/>
      <c r="BJ62" s="20"/>
      <c r="BK62" s="20"/>
      <c r="BL62" s="20"/>
      <c r="BM62" s="20"/>
      <c r="BN62" s="42" t="s">
        <v>153</v>
      </c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28"/>
      <c r="CS62" s="28"/>
      <c r="CT62" s="28"/>
      <c r="CU62" s="28"/>
    </row>
    <row r="63" spans="2:99" s="21" customFormat="1" ht="6" customHeight="1">
      <c r="B63" s="48" t="s">
        <v>154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20"/>
      <c r="R63" s="20"/>
      <c r="S63" s="20"/>
      <c r="T63" s="20"/>
      <c r="U63" s="20"/>
      <c r="V63" s="20"/>
      <c r="W63" s="20"/>
      <c r="X63" s="20"/>
      <c r="Y63" s="20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30"/>
      <c r="BE63" s="20"/>
      <c r="BF63" s="20"/>
      <c r="BG63" s="20"/>
      <c r="BH63" s="20"/>
      <c r="BI63" s="20"/>
      <c r="BJ63" s="20"/>
      <c r="BK63" s="20"/>
      <c r="BL63" s="20"/>
      <c r="BM63" s="20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28"/>
      <c r="CS63" s="28"/>
      <c r="CT63" s="28"/>
      <c r="CU63" s="28"/>
    </row>
    <row r="64" spans="2:99" s="21" customFormat="1" ht="6" customHeight="1"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</row>
    <row r="65" spans="18:99" s="21" customFormat="1" ht="6" customHeight="1">
      <c r="R65" s="25"/>
      <c r="S65" s="25"/>
      <c r="T65" s="25"/>
      <c r="U65" s="25"/>
      <c r="V65" s="25"/>
      <c r="W65" s="25"/>
      <c r="X65" s="25"/>
      <c r="Y65" s="25"/>
      <c r="Z65" s="39" t="s">
        <v>155</v>
      </c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4"/>
      <c r="BE65" s="20"/>
      <c r="BF65" s="20"/>
      <c r="BG65" s="20"/>
      <c r="BH65" s="20"/>
      <c r="BI65" s="20"/>
      <c r="BJ65" s="20"/>
      <c r="BK65" s="20"/>
      <c r="BL65" s="20"/>
      <c r="BM65" s="20"/>
      <c r="BN65" s="41" t="s">
        <v>141</v>
      </c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  <c r="CF65" s="41"/>
      <c r="CG65" s="41"/>
      <c r="CH65" s="41"/>
      <c r="CI65" s="41"/>
      <c r="CJ65" s="41"/>
      <c r="CK65" s="41"/>
      <c r="CL65" s="41"/>
      <c r="CM65" s="41"/>
      <c r="CN65" s="41"/>
      <c r="CO65" s="41"/>
      <c r="CP65" s="41"/>
      <c r="CQ65" s="41"/>
      <c r="CR65" s="27"/>
      <c r="CS65" s="27"/>
      <c r="CT65" s="27"/>
      <c r="CU65" s="27"/>
    </row>
    <row r="66" spans="18:99" s="21" customFormat="1" ht="6" customHeight="1">
      <c r="R66" s="20"/>
      <c r="S66" s="20"/>
      <c r="T66" s="20"/>
      <c r="U66" s="20"/>
      <c r="V66" s="20"/>
      <c r="W66" s="20"/>
      <c r="X66" s="20"/>
      <c r="Y66" s="2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34"/>
      <c r="BE66" s="20"/>
      <c r="BF66" s="20"/>
      <c r="BG66" s="20"/>
      <c r="BH66" s="20"/>
      <c r="BI66" s="20"/>
      <c r="BJ66" s="20"/>
      <c r="BK66" s="20"/>
      <c r="BL66" s="20"/>
      <c r="BM66" s="20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  <c r="CF66" s="41"/>
      <c r="CG66" s="41"/>
      <c r="CH66" s="41"/>
      <c r="CI66" s="41"/>
      <c r="CJ66" s="41"/>
      <c r="CK66" s="41"/>
      <c r="CL66" s="41"/>
      <c r="CM66" s="41"/>
      <c r="CN66" s="41"/>
      <c r="CO66" s="41"/>
      <c r="CP66" s="41"/>
      <c r="CQ66" s="41"/>
      <c r="CR66" s="27"/>
      <c r="CS66" s="27"/>
      <c r="CT66" s="27"/>
      <c r="CU66" s="27"/>
    </row>
    <row r="67" spans="18:99" s="21" customFormat="1" ht="6" customHeight="1">
      <c r="R67" s="20"/>
      <c r="S67" s="20"/>
      <c r="T67" s="20"/>
      <c r="U67" s="20"/>
      <c r="V67" s="20"/>
      <c r="W67" s="20"/>
      <c r="X67" s="20"/>
      <c r="Y67" s="2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34"/>
      <c r="BE67" s="20"/>
      <c r="BF67" s="20"/>
      <c r="BG67" s="20"/>
      <c r="BH67" s="20"/>
      <c r="BI67" s="20"/>
      <c r="BJ67" s="20"/>
      <c r="BK67" s="20"/>
      <c r="BL67" s="20"/>
      <c r="BM67" s="20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27"/>
      <c r="CS67" s="27"/>
      <c r="CT67" s="27"/>
      <c r="CU67" s="27"/>
    </row>
    <row r="68" spans="18:99" s="21" customFormat="1" ht="6" customHeight="1">
      <c r="R68" s="20"/>
      <c r="S68" s="20"/>
      <c r="T68" s="20"/>
      <c r="U68" s="20"/>
      <c r="V68" s="20"/>
      <c r="W68" s="20"/>
      <c r="X68" s="20"/>
      <c r="Y68" s="2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34"/>
      <c r="BE68" s="20"/>
      <c r="BF68" s="20"/>
      <c r="BG68" s="20"/>
      <c r="BH68" s="20"/>
      <c r="BI68" s="20"/>
      <c r="BJ68" s="20"/>
      <c r="BK68" s="20"/>
      <c r="BL68" s="20"/>
      <c r="BM68" s="20"/>
      <c r="BN68" s="42" t="s">
        <v>156</v>
      </c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28"/>
      <c r="CS68" s="28"/>
      <c r="CT68" s="28"/>
      <c r="CU68" s="28"/>
    </row>
    <row r="69" spans="18:99" s="21" customFormat="1" ht="6" customHeight="1">
      <c r="R69" s="20"/>
      <c r="S69" s="20"/>
      <c r="T69" s="20"/>
      <c r="U69" s="20"/>
      <c r="V69" s="20"/>
      <c r="W69" s="20"/>
      <c r="X69" s="20"/>
      <c r="Y69" s="2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34"/>
      <c r="BE69" s="20"/>
      <c r="BF69" s="20"/>
      <c r="BG69" s="20"/>
      <c r="BH69" s="20"/>
      <c r="BI69" s="20"/>
      <c r="BJ69" s="20"/>
      <c r="BK69" s="20"/>
      <c r="BL69" s="20"/>
      <c r="BM69" s="20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28"/>
      <c r="CS69" s="28"/>
      <c r="CT69" s="28"/>
      <c r="CU69" s="28"/>
    </row>
    <row r="70" spans="18:99" s="21" customFormat="1" ht="6" customHeight="1"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</row>
    <row r="71" spans="18:99" s="21" customFormat="1" ht="6" customHeight="1">
      <c r="R71" s="20"/>
      <c r="S71" s="20"/>
      <c r="T71" s="20"/>
      <c r="U71" s="20"/>
      <c r="V71" s="20"/>
      <c r="W71" s="20"/>
      <c r="X71" s="20"/>
      <c r="Y71" s="20"/>
      <c r="Z71" s="43" t="s">
        <v>157</v>
      </c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33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</row>
    <row r="72" spans="18:99" s="21" customFormat="1" ht="6" customHeight="1">
      <c r="R72" s="20"/>
      <c r="S72" s="20"/>
      <c r="T72" s="20"/>
      <c r="U72" s="20"/>
      <c r="V72" s="20"/>
      <c r="W72" s="20"/>
      <c r="X72" s="20"/>
      <c r="Y72" s="20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33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</row>
    <row r="73" spans="18:99" s="21" customFormat="1" ht="6" customHeight="1"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</row>
    <row r="74" spans="18:99" s="21" customFormat="1" ht="6" customHeight="1">
      <c r="R74" s="20"/>
      <c r="S74" s="20"/>
      <c r="T74" s="20"/>
      <c r="U74" s="20"/>
      <c r="V74" s="20"/>
      <c r="W74" s="20"/>
      <c r="X74" s="20"/>
      <c r="Y74" s="20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</row>
    <row r="75" spans="18:99" s="21" customFormat="1" ht="6" customHeight="1">
      <c r="R75" s="20"/>
      <c r="S75" s="20"/>
      <c r="T75" s="20"/>
      <c r="U75" s="20"/>
      <c r="V75" s="20"/>
      <c r="W75" s="20"/>
      <c r="X75" s="20"/>
      <c r="Y75" s="20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</row>
    <row r="76" spans="18:99" s="21" customFormat="1" ht="6" customHeight="1">
      <c r="R76" s="20"/>
      <c r="S76" s="20"/>
      <c r="T76" s="20"/>
      <c r="U76" s="20"/>
      <c r="V76" s="20"/>
      <c r="W76" s="20"/>
      <c r="X76" s="20"/>
      <c r="Y76" s="20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</row>
    <row r="77" spans="18:99" s="21" customFormat="1" ht="6" customHeight="1">
      <c r="R77" s="20"/>
      <c r="S77" s="20"/>
      <c r="T77" s="20"/>
      <c r="U77" s="20"/>
      <c r="V77" s="20"/>
      <c r="W77" s="20"/>
      <c r="X77" s="20"/>
      <c r="Y77" s="20"/>
      <c r="Z77" s="44" t="s">
        <v>158</v>
      </c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35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</row>
    <row r="78" spans="18:99" s="21" customFormat="1" ht="6" customHeight="1">
      <c r="R78" s="20"/>
      <c r="S78" s="20"/>
      <c r="T78" s="20"/>
      <c r="U78" s="20"/>
      <c r="V78" s="20"/>
      <c r="W78" s="20"/>
      <c r="X78" s="20"/>
      <c r="Y78" s="20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35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</row>
    <row r="79" spans="18:99" s="21" customFormat="1" ht="6" customHeight="1">
      <c r="R79" s="20"/>
      <c r="S79" s="20"/>
      <c r="T79" s="20"/>
      <c r="U79" s="20"/>
      <c r="V79" s="20"/>
      <c r="W79" s="20"/>
      <c r="X79" s="20"/>
      <c r="Y79" s="20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35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</row>
    <row r="80" spans="18:99" s="21" customFormat="1" ht="6" customHeight="1">
      <c r="R80" s="20"/>
      <c r="S80" s="20"/>
      <c r="T80" s="20"/>
      <c r="U80" s="20"/>
      <c r="V80" s="20"/>
      <c r="W80" s="20"/>
      <c r="X80" s="20"/>
      <c r="Y80" s="20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35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</row>
    <row r="81" spans="26:56" ht="6" customHeight="1"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35"/>
    </row>
    <row r="82" spans="26:56" ht="6" customHeight="1">
      <c r="Z82" s="44" t="s">
        <v>159</v>
      </c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35"/>
    </row>
    <row r="83" spans="26:56" ht="6" customHeight="1"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35"/>
    </row>
    <row r="84" spans="26:56" ht="6" customHeight="1"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35"/>
    </row>
    <row r="85" spans="26:56" ht="6" customHeight="1"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35"/>
    </row>
    <row r="86" spans="26:56" ht="6" customHeight="1"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35"/>
    </row>
    <row r="87" spans="26:56" ht="6" customHeight="1"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35"/>
    </row>
    <row r="88" spans="26:56" ht="6" customHeight="1"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35"/>
    </row>
    <row r="89" spans="26:56" ht="6" customHeight="1"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35"/>
    </row>
    <row r="90" spans="26:56" ht="6" customHeight="1">
      <c r="Z90" s="38" t="s">
        <v>160</v>
      </c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6"/>
    </row>
    <row r="91" spans="26:56" ht="6" customHeight="1"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6"/>
    </row>
    <row r="92" spans="26:56" ht="6" customHeight="1"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</row>
    <row r="93" spans="26:56" ht="6" customHeight="1"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</row>
    <row r="94" spans="26:56" ht="6" customHeight="1"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</row>
    <row r="95" spans="26:56" ht="6" customHeight="1"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94818D47-F870-4615-8FE6-AE7BC73895F9}"/>
    <hyperlink ref="B51" r:id="rId2" xr:uid="{EA081AF4-A061-4E5D-897E-2838A5DE54B9}"/>
    <hyperlink ref="B57" r:id="rId3" xr:uid="{FFAB8332-2253-46A7-9D0C-72791B6824B9}"/>
    <hyperlink ref="Z4" r:id="rId4" xr:uid="{FB5A22D4-A613-4AB5-A086-83D5EC250FBE}"/>
    <hyperlink ref="Z17" r:id="rId5" display="https://www.udemy.com/excel-mistrz-formul/?couponCode=STANDARDOWY" xr:uid="{E94CD160-8C25-4AA5-8D62-31E125E79138}"/>
    <hyperlink ref="Z26" r:id="rId6" xr:uid="{1B2E2189-7277-425C-9363-D6E0B6115E50}"/>
    <hyperlink ref="Z40" r:id="rId7" display="https://www.udemy.com/excel-mistrz-formul/?couponCode=STANDARDOWY" xr:uid="{4443DA7B-653D-4FAE-894E-0D8B9DC53F48}"/>
    <hyperlink ref="Z51" r:id="rId8" display="https://www.udemy.com/excel-mistrz-formul/?couponCode=STANDARDOWY" xr:uid="{220CBA4C-7D7C-4A52-BC62-EE21BED035AC}"/>
    <hyperlink ref="Z62" r:id="rId9" display="https://www.udemy.com/excel-mistrz-formul/?couponCode=STANDARDOWY" xr:uid="{4B0EC741-2E3D-4378-827B-D396EF8CE059}"/>
    <hyperlink ref="Z71" r:id="rId10" display="https://www.udemy.com/excel-mistrz-formul/?couponCode=STANDARDOWY" xr:uid="{16665E54-F98F-44F5-A434-7E8C00422135}"/>
    <hyperlink ref="BN12" r:id="rId11" location="mistrz-excela-w-20-dni" xr:uid="{7865CAAC-4CC2-4331-AED4-EAB63C338CDA}"/>
    <hyperlink ref="BN37" r:id="rId12" location="mistrz-excela-w-20-dni" display="http://ksplus.komputerswiat.pl/sklep#mistrz-excela-w-20-dni" xr:uid="{BC664845-C0B8-4BC9-BA67-FD9F19BFC042}"/>
    <hyperlink ref="BN43" r:id="rId13" location="mistrz-excela-w-20-dni" display="http://ksplus.komputerswiat.pl/sklep#mistrz-excela-w-20-dni" xr:uid="{303DCE1D-F295-4B05-98CB-702FA462E5AD}"/>
    <hyperlink ref="BN62" r:id="rId14" location="mistrz-excela-w-20-dni" display="http://ksplus.komputerswiat.pl/sklep#mistrz-excela-w-20-dni" xr:uid="{684FD8FA-408E-4199-A400-785AFBBC6DF6}"/>
    <hyperlink ref="BN68" r:id="rId15" location="mistrz-excela-w-20-dni" display="http://ksplus.komputerswiat.pl/sklep#mistrz-excela-w-20-dni" xr:uid="{E9AE8B34-A917-4439-822C-A07DEE0365BC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G27"/>
  <sheetViews>
    <sheetView zoomScale="175" zoomScaleNormal="175" workbookViewId="0">
      <selection activeCell="A2" sqref="A2:A21"/>
    </sheetView>
  </sheetViews>
  <sheetFormatPr defaultColWidth="8.85546875" defaultRowHeight="14.25"/>
  <cols>
    <col min="1" max="1" width="18.5703125" style="2" bestFit="1" customWidth="1"/>
    <col min="2" max="2" width="8.85546875" style="2"/>
    <col min="3" max="3" width="11.42578125" style="2" bestFit="1" customWidth="1"/>
    <col min="4" max="4" width="17.42578125" style="2" customWidth="1"/>
    <col min="5" max="5" width="17.28515625" style="2" customWidth="1"/>
    <col min="6" max="6" width="8.85546875" style="2"/>
    <col min="7" max="7" width="16.5703125" style="2" bestFit="1" customWidth="1"/>
    <col min="8" max="16384" width="8.85546875" style="2"/>
  </cols>
  <sheetData>
    <row r="1" spans="1:7">
      <c r="A1" s="1" t="s">
        <v>1</v>
      </c>
      <c r="B1" s="1" t="s">
        <v>2</v>
      </c>
      <c r="C1" s="1" t="s">
        <v>3</v>
      </c>
      <c r="D1" s="1" t="s">
        <v>4</v>
      </c>
      <c r="E1" s="1" t="s">
        <v>4</v>
      </c>
    </row>
    <row r="2" spans="1:7">
      <c r="A2" s="3" t="s">
        <v>56</v>
      </c>
      <c r="B2" s="4" t="str">
        <f>LEFT(A2,FIND(" ",A2)-1)</f>
        <v>Olga</v>
      </c>
      <c r="C2" s="4" t="str">
        <f>RIGHT(A2,LEN(A2)-FIND(" ",A2))</f>
        <v>Sosna</v>
      </c>
      <c r="D2" s="4" t="str">
        <f>_xlfn.CONCAT(C2," ",B2)</f>
        <v>Sosna Olga</v>
      </c>
      <c r="E2" s="4" t="str">
        <f>C2&amp;" "&amp;B2</f>
        <v>Sosna Olga</v>
      </c>
      <c r="F2" s="2" t="s">
        <v>40</v>
      </c>
      <c r="G2" s="2" t="s">
        <v>67</v>
      </c>
    </row>
    <row r="3" spans="1:7">
      <c r="A3" s="3" t="s">
        <v>6</v>
      </c>
      <c r="B3" s="4" t="str">
        <f t="shared" ref="B3:B21" si="0">LEFT(A3,FIND(" ",A3)-1)</f>
        <v>Marian</v>
      </c>
      <c r="C3" s="4" t="str">
        <f t="shared" ref="C3:C21" si="1">RIGHT(A3,LEN(A3)-FIND(" ",A3))</f>
        <v>Wczesny</v>
      </c>
      <c r="D3" s="4" t="str">
        <f t="shared" ref="D3:D21" si="2">_xlfn.CONCAT(C3," ",B3)</f>
        <v>Wczesny Marian</v>
      </c>
      <c r="E3" s="4" t="str">
        <f t="shared" ref="E3:E21" si="3">C3&amp;" "&amp;B3</f>
        <v>Wczesny Marian</v>
      </c>
      <c r="F3" s="2" t="s">
        <v>42</v>
      </c>
      <c r="G3" s="2" t="s">
        <v>43</v>
      </c>
    </row>
    <row r="4" spans="1:7">
      <c r="A4" s="3" t="s">
        <v>7</v>
      </c>
      <c r="B4" s="4" t="str">
        <f t="shared" si="0"/>
        <v>Michał</v>
      </c>
      <c r="C4" s="4" t="str">
        <f t="shared" si="1"/>
        <v>Kozak</v>
      </c>
      <c r="D4" s="4" t="str">
        <f t="shared" si="2"/>
        <v>Kozak Michał</v>
      </c>
      <c r="E4" s="4" t="str">
        <f t="shared" si="3"/>
        <v>Kozak Michał</v>
      </c>
      <c r="F4" s="2" t="s">
        <v>44</v>
      </c>
      <c r="G4" s="2" t="s">
        <v>45</v>
      </c>
    </row>
    <row r="5" spans="1:7">
      <c r="A5" s="3" t="s">
        <v>8</v>
      </c>
      <c r="B5" s="4" t="str">
        <f t="shared" si="0"/>
        <v>Bartosz</v>
      </c>
      <c r="C5" s="4" t="str">
        <f t="shared" si="1"/>
        <v>Niedźwiedź</v>
      </c>
      <c r="D5" s="4" t="str">
        <f t="shared" si="2"/>
        <v>Niedźwiedź Bartosz</v>
      </c>
      <c r="E5" s="4" t="str">
        <f t="shared" si="3"/>
        <v>Niedźwiedź Bartosz</v>
      </c>
      <c r="F5" s="2" t="s">
        <v>46</v>
      </c>
      <c r="G5" s="2" t="s">
        <v>47</v>
      </c>
    </row>
    <row r="6" spans="1:7">
      <c r="A6" s="3" t="s">
        <v>9</v>
      </c>
      <c r="B6" s="4" t="str">
        <f t="shared" si="0"/>
        <v>Tadeusz</v>
      </c>
      <c r="C6" s="4" t="str">
        <f t="shared" si="1"/>
        <v>Śmiały</v>
      </c>
      <c r="D6" s="4" t="str">
        <f t="shared" si="2"/>
        <v>Śmiały Tadeusz</v>
      </c>
      <c r="E6" s="4" t="str">
        <f t="shared" si="3"/>
        <v>Śmiały Tadeusz</v>
      </c>
      <c r="F6" s="2" t="s">
        <v>48</v>
      </c>
      <c r="G6" s="2" t="s">
        <v>49</v>
      </c>
    </row>
    <row r="7" spans="1:7">
      <c r="A7" s="3" t="s">
        <v>5</v>
      </c>
      <c r="B7" s="4" t="str">
        <f t="shared" si="0"/>
        <v>Olga</v>
      </c>
      <c r="C7" s="4" t="str">
        <f t="shared" si="1"/>
        <v>Brzoza</v>
      </c>
      <c r="D7" s="4" t="str">
        <f t="shared" si="2"/>
        <v>Brzoza Olga</v>
      </c>
      <c r="E7" s="4" t="str">
        <f t="shared" si="3"/>
        <v>Brzoza Olga</v>
      </c>
      <c r="F7" s="2" t="s">
        <v>40</v>
      </c>
      <c r="G7" s="2" t="s">
        <v>41</v>
      </c>
    </row>
    <row r="8" spans="1:7">
      <c r="A8" s="3" t="s">
        <v>10</v>
      </c>
      <c r="B8" s="4" t="str">
        <f t="shared" si="0"/>
        <v>Mariola</v>
      </c>
      <c r="C8" s="4" t="str">
        <f t="shared" si="1"/>
        <v>Kos</v>
      </c>
      <c r="D8" s="4" t="str">
        <f t="shared" si="2"/>
        <v>Kos Mariola</v>
      </c>
      <c r="E8" s="4" t="str">
        <f t="shared" si="3"/>
        <v>Kos Mariola</v>
      </c>
      <c r="F8" s="2" t="s">
        <v>50</v>
      </c>
      <c r="G8" s="2" t="s">
        <v>51</v>
      </c>
    </row>
    <row r="9" spans="1:7">
      <c r="A9" s="3" t="s">
        <v>11</v>
      </c>
      <c r="B9" s="4" t="str">
        <f t="shared" si="0"/>
        <v>Zofia</v>
      </c>
      <c r="C9" s="4" t="str">
        <f t="shared" si="1"/>
        <v>Kwarc</v>
      </c>
      <c r="D9" s="4" t="str">
        <f t="shared" si="2"/>
        <v>Kwarc Zofia</v>
      </c>
      <c r="E9" s="4" t="str">
        <f t="shared" si="3"/>
        <v>Kwarc Zofia</v>
      </c>
      <c r="F9" s="2" t="s">
        <v>52</v>
      </c>
      <c r="G9" s="2" t="s">
        <v>53</v>
      </c>
    </row>
    <row r="10" spans="1:7">
      <c r="A10" s="3" t="s">
        <v>5</v>
      </c>
      <c r="B10" s="4" t="str">
        <f t="shared" si="0"/>
        <v>Olga</v>
      </c>
      <c r="C10" s="4" t="str">
        <f t="shared" si="1"/>
        <v>Brzoza</v>
      </c>
      <c r="D10" s="4" t="str">
        <f t="shared" si="2"/>
        <v>Brzoza Olga</v>
      </c>
      <c r="E10" s="4" t="str">
        <f t="shared" si="3"/>
        <v>Brzoza Olga</v>
      </c>
      <c r="F10" s="2" t="s">
        <v>40</v>
      </c>
      <c r="G10" s="2" t="s">
        <v>41</v>
      </c>
    </row>
    <row r="11" spans="1:7">
      <c r="A11" s="3" t="s">
        <v>6</v>
      </c>
      <c r="B11" s="4" t="str">
        <f t="shared" si="0"/>
        <v>Marian</v>
      </c>
      <c r="C11" s="4" t="str">
        <f t="shared" si="1"/>
        <v>Wczesny</v>
      </c>
      <c r="D11" s="4" t="str">
        <f t="shared" si="2"/>
        <v>Wczesny Marian</v>
      </c>
      <c r="E11" s="4" t="str">
        <f t="shared" si="3"/>
        <v>Wczesny Marian</v>
      </c>
      <c r="F11" s="2" t="s">
        <v>42</v>
      </c>
      <c r="G11" s="2" t="s">
        <v>43</v>
      </c>
    </row>
    <row r="12" spans="1:7">
      <c r="A12" s="3" t="s">
        <v>8</v>
      </c>
      <c r="B12" s="4" t="str">
        <f t="shared" si="0"/>
        <v>Bartosz</v>
      </c>
      <c r="C12" s="4" t="str">
        <f t="shared" si="1"/>
        <v>Niedźwiedź</v>
      </c>
      <c r="D12" s="4" t="str">
        <f t="shared" si="2"/>
        <v>Niedźwiedź Bartosz</v>
      </c>
      <c r="E12" s="4" t="str">
        <f t="shared" si="3"/>
        <v>Niedźwiedź Bartosz</v>
      </c>
      <c r="F12" s="2" t="s">
        <v>46</v>
      </c>
      <c r="G12" s="2" t="s">
        <v>47</v>
      </c>
    </row>
    <row r="13" spans="1:7">
      <c r="A13" s="3" t="s">
        <v>9</v>
      </c>
      <c r="B13" s="4" t="str">
        <f t="shared" si="0"/>
        <v>Tadeusz</v>
      </c>
      <c r="C13" s="4" t="str">
        <f t="shared" si="1"/>
        <v>Śmiały</v>
      </c>
      <c r="D13" s="4" t="str">
        <f t="shared" si="2"/>
        <v>Śmiały Tadeusz</v>
      </c>
      <c r="E13" s="4" t="str">
        <f t="shared" si="3"/>
        <v>Śmiały Tadeusz</v>
      </c>
      <c r="F13" s="2" t="s">
        <v>48</v>
      </c>
      <c r="G13" s="2" t="s">
        <v>49</v>
      </c>
    </row>
    <row r="14" spans="1:7">
      <c r="A14" s="3" t="s">
        <v>7</v>
      </c>
      <c r="B14" s="4" t="str">
        <f t="shared" si="0"/>
        <v>Michał</v>
      </c>
      <c r="C14" s="4" t="str">
        <f t="shared" si="1"/>
        <v>Kozak</v>
      </c>
      <c r="D14" s="4" t="str">
        <f t="shared" si="2"/>
        <v>Kozak Michał</v>
      </c>
      <c r="E14" s="4" t="str">
        <f t="shared" si="3"/>
        <v>Kozak Michał</v>
      </c>
      <c r="F14" s="2" t="s">
        <v>44</v>
      </c>
      <c r="G14" s="2" t="s">
        <v>45</v>
      </c>
    </row>
    <row r="15" spans="1:7">
      <c r="A15" s="3" t="s">
        <v>9</v>
      </c>
      <c r="B15" s="4" t="str">
        <f t="shared" si="0"/>
        <v>Tadeusz</v>
      </c>
      <c r="C15" s="4" t="str">
        <f t="shared" si="1"/>
        <v>Śmiały</v>
      </c>
      <c r="D15" s="4" t="str">
        <f t="shared" si="2"/>
        <v>Śmiały Tadeusz</v>
      </c>
      <c r="E15" s="4" t="str">
        <f t="shared" si="3"/>
        <v>Śmiały Tadeusz</v>
      </c>
      <c r="F15" s="2" t="s">
        <v>48</v>
      </c>
      <c r="G15" s="2" t="s">
        <v>49</v>
      </c>
    </row>
    <row r="16" spans="1:7">
      <c r="A16" s="3" t="s">
        <v>10</v>
      </c>
      <c r="B16" s="4" t="str">
        <f t="shared" si="0"/>
        <v>Mariola</v>
      </c>
      <c r="C16" s="4" t="str">
        <f t="shared" si="1"/>
        <v>Kos</v>
      </c>
      <c r="D16" s="4" t="str">
        <f t="shared" si="2"/>
        <v>Kos Mariola</v>
      </c>
      <c r="E16" s="4" t="str">
        <f t="shared" si="3"/>
        <v>Kos Mariola</v>
      </c>
      <c r="F16" s="2" t="s">
        <v>50</v>
      </c>
      <c r="G16" s="2" t="s">
        <v>51</v>
      </c>
    </row>
    <row r="17" spans="1:7">
      <c r="A17" s="3" t="s">
        <v>9</v>
      </c>
      <c r="B17" s="4" t="str">
        <f t="shared" si="0"/>
        <v>Tadeusz</v>
      </c>
      <c r="C17" s="4" t="str">
        <f t="shared" si="1"/>
        <v>Śmiały</v>
      </c>
      <c r="D17" s="4" t="str">
        <f t="shared" si="2"/>
        <v>Śmiały Tadeusz</v>
      </c>
      <c r="E17" s="4" t="str">
        <f t="shared" si="3"/>
        <v>Śmiały Tadeusz</v>
      </c>
      <c r="F17" s="2" t="s">
        <v>48</v>
      </c>
      <c r="G17" s="2" t="s">
        <v>49</v>
      </c>
    </row>
    <row r="18" spans="1:7">
      <c r="A18" s="3" t="s">
        <v>12</v>
      </c>
      <c r="B18" s="4" t="str">
        <f t="shared" si="0"/>
        <v>Karol</v>
      </c>
      <c r="C18" s="4" t="str">
        <f t="shared" si="1"/>
        <v>Wolski</v>
      </c>
      <c r="D18" s="4" t="str">
        <f t="shared" si="2"/>
        <v>Wolski Karol</v>
      </c>
      <c r="E18" s="4" t="str">
        <f t="shared" si="3"/>
        <v>Wolski Karol</v>
      </c>
      <c r="F18" s="2" t="s">
        <v>54</v>
      </c>
      <c r="G18" s="2" t="s">
        <v>55</v>
      </c>
    </row>
    <row r="19" spans="1:7">
      <c r="A19" s="3" t="s">
        <v>10</v>
      </c>
      <c r="B19" s="4" t="str">
        <f t="shared" si="0"/>
        <v>Mariola</v>
      </c>
      <c r="C19" s="4" t="str">
        <f t="shared" si="1"/>
        <v>Kos</v>
      </c>
      <c r="D19" s="4" t="str">
        <f t="shared" si="2"/>
        <v>Kos Mariola</v>
      </c>
      <c r="E19" s="4" t="str">
        <f t="shared" si="3"/>
        <v>Kos Mariola</v>
      </c>
      <c r="F19" s="2" t="s">
        <v>50</v>
      </c>
      <c r="G19" s="2" t="s">
        <v>51</v>
      </c>
    </row>
    <row r="20" spans="1:7">
      <c r="A20" s="3" t="s">
        <v>8</v>
      </c>
      <c r="B20" s="4" t="str">
        <f t="shared" si="0"/>
        <v>Bartosz</v>
      </c>
      <c r="C20" s="4" t="str">
        <f t="shared" si="1"/>
        <v>Niedźwiedź</v>
      </c>
      <c r="D20" s="4" t="str">
        <f t="shared" si="2"/>
        <v>Niedźwiedź Bartosz</v>
      </c>
      <c r="E20" s="4" t="str">
        <f t="shared" si="3"/>
        <v>Niedźwiedź Bartosz</v>
      </c>
      <c r="F20" s="2" t="s">
        <v>46</v>
      </c>
      <c r="G20" s="2" t="s">
        <v>47</v>
      </c>
    </row>
    <row r="21" spans="1:7">
      <c r="A21" s="3" t="s">
        <v>7</v>
      </c>
      <c r="B21" s="4" t="str">
        <f t="shared" si="0"/>
        <v>Michał</v>
      </c>
      <c r="C21" s="4" t="str">
        <f t="shared" si="1"/>
        <v>Kozak</v>
      </c>
      <c r="D21" s="4" t="str">
        <f t="shared" si="2"/>
        <v>Kozak Michał</v>
      </c>
      <c r="E21" s="4" t="str">
        <f t="shared" si="3"/>
        <v>Kozak Michał</v>
      </c>
      <c r="F21" s="2" t="s">
        <v>44</v>
      </c>
      <c r="G21" s="2" t="s">
        <v>45</v>
      </c>
    </row>
    <row r="23" spans="1:7">
      <c r="C23" s="5"/>
    </row>
    <row r="24" spans="1:7">
      <c r="C24" s="5"/>
    </row>
    <row r="25" spans="1:7">
      <c r="C25" s="5"/>
    </row>
    <row r="26" spans="1:7">
      <c r="C26" s="5"/>
    </row>
    <row r="27" spans="1:7">
      <c r="C2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F21"/>
  <sheetViews>
    <sheetView zoomScale="130" zoomScaleNormal="130" workbookViewId="0">
      <selection activeCell="I18" sqref="I18"/>
    </sheetView>
  </sheetViews>
  <sheetFormatPr defaultColWidth="8.85546875" defaultRowHeight="14.25"/>
  <cols>
    <col min="1" max="1" width="50.5703125" style="2" customWidth="1"/>
    <col min="2" max="3" width="8.85546875" style="2"/>
    <col min="4" max="4" width="14" style="2" bestFit="1" customWidth="1"/>
    <col min="5" max="5" width="18.42578125" style="2" customWidth="1"/>
    <col min="6" max="6" width="7.140625" style="2" bestFit="1" customWidth="1"/>
    <col min="7" max="16384" width="8.85546875" style="2"/>
  </cols>
  <sheetData>
    <row r="1" spans="1:6">
      <c r="B1" s="1" t="s">
        <v>2</v>
      </c>
      <c r="C1" s="1" t="s">
        <v>3</v>
      </c>
      <c r="D1" s="1" t="s">
        <v>13</v>
      </c>
      <c r="E1" s="1" t="s">
        <v>14</v>
      </c>
      <c r="F1" s="1" t="s">
        <v>15</v>
      </c>
    </row>
    <row r="2" spans="1:6">
      <c r="A2" s="2" t="s">
        <v>16</v>
      </c>
      <c r="B2" s="2" t="s">
        <v>40</v>
      </c>
      <c r="C2" s="2" t="s">
        <v>41</v>
      </c>
      <c r="D2" s="2" t="s">
        <v>161</v>
      </c>
      <c r="E2" s="2" t="s">
        <v>162</v>
      </c>
      <c r="F2" s="2">
        <v>9</v>
      </c>
    </row>
    <row r="3" spans="1:6">
      <c r="A3" s="2" t="s">
        <v>17</v>
      </c>
      <c r="B3" s="2" t="s">
        <v>42</v>
      </c>
      <c r="C3" s="2" t="s">
        <v>43</v>
      </c>
      <c r="D3" s="2" t="s">
        <v>163</v>
      </c>
      <c r="E3" s="2" t="s">
        <v>164</v>
      </c>
      <c r="F3" s="2">
        <v>19</v>
      </c>
    </row>
    <row r="4" spans="1:6">
      <c r="A4" s="2" t="s">
        <v>18</v>
      </c>
      <c r="B4" s="2" t="s">
        <v>44</v>
      </c>
      <c r="C4" s="2" t="s">
        <v>45</v>
      </c>
      <c r="D4" s="2" t="s">
        <v>165</v>
      </c>
      <c r="E4" s="2" t="s">
        <v>166</v>
      </c>
      <c r="F4" s="2">
        <v>9</v>
      </c>
    </row>
    <row r="5" spans="1:6">
      <c r="A5" s="2" t="s">
        <v>19</v>
      </c>
      <c r="B5" s="2" t="s">
        <v>46</v>
      </c>
      <c r="C5" s="2" t="s">
        <v>47</v>
      </c>
      <c r="D5" s="2" t="s">
        <v>161</v>
      </c>
      <c r="E5" s="2" t="s">
        <v>167</v>
      </c>
      <c r="F5" s="2">
        <v>10</v>
      </c>
    </row>
    <row r="6" spans="1:6">
      <c r="A6" s="2" t="s">
        <v>20</v>
      </c>
      <c r="B6" s="2" t="s">
        <v>48</v>
      </c>
      <c r="C6" s="2" t="s">
        <v>49</v>
      </c>
      <c r="D6" s="2" t="s">
        <v>165</v>
      </c>
      <c r="E6" s="2" t="s">
        <v>168</v>
      </c>
      <c r="F6" s="2">
        <v>16</v>
      </c>
    </row>
    <row r="7" spans="1:6">
      <c r="A7" s="2" t="s">
        <v>21</v>
      </c>
      <c r="B7" s="2" t="s">
        <v>40</v>
      </c>
      <c r="C7" s="2" t="s">
        <v>41</v>
      </c>
      <c r="D7" s="2" t="s">
        <v>161</v>
      </c>
      <c r="E7" s="2" t="s">
        <v>166</v>
      </c>
      <c r="F7" s="2">
        <v>7</v>
      </c>
    </row>
    <row r="8" spans="1:6">
      <c r="A8" s="2" t="s">
        <v>22</v>
      </c>
      <c r="B8" s="2" t="s">
        <v>50</v>
      </c>
      <c r="C8" s="2" t="s">
        <v>51</v>
      </c>
      <c r="D8" s="2" t="s">
        <v>161</v>
      </c>
      <c r="E8" s="2" t="s">
        <v>169</v>
      </c>
      <c r="F8" s="2">
        <v>8</v>
      </c>
    </row>
    <row r="9" spans="1:6">
      <c r="A9" s="2" t="s">
        <v>23</v>
      </c>
      <c r="B9" s="2" t="s">
        <v>52</v>
      </c>
      <c r="C9" s="2" t="s">
        <v>53</v>
      </c>
      <c r="D9" s="2" t="s">
        <v>161</v>
      </c>
      <c r="E9" s="2" t="s">
        <v>170</v>
      </c>
      <c r="F9" s="2">
        <v>13</v>
      </c>
    </row>
    <row r="10" spans="1:6">
      <c r="A10" s="2" t="s">
        <v>24</v>
      </c>
      <c r="B10" s="2" t="s">
        <v>40</v>
      </c>
      <c r="C10" s="2" t="s">
        <v>41</v>
      </c>
      <c r="D10" s="2" t="s">
        <v>165</v>
      </c>
      <c r="E10" s="2" t="s">
        <v>171</v>
      </c>
      <c r="F10" s="2">
        <v>6</v>
      </c>
    </row>
    <row r="11" spans="1:6">
      <c r="A11" s="2" t="s">
        <v>25</v>
      </c>
      <c r="B11" s="2" t="s">
        <v>42</v>
      </c>
      <c r="C11" s="2" t="s">
        <v>43</v>
      </c>
      <c r="D11" s="2" t="s">
        <v>163</v>
      </c>
      <c r="E11" s="2" t="s">
        <v>170</v>
      </c>
      <c r="F11" s="2">
        <v>5</v>
      </c>
    </row>
    <row r="12" spans="1:6">
      <c r="A12" s="2" t="s">
        <v>26</v>
      </c>
      <c r="B12" s="2" t="s">
        <v>46</v>
      </c>
      <c r="C12" s="2" t="s">
        <v>47</v>
      </c>
      <c r="D12" s="2" t="s">
        <v>161</v>
      </c>
      <c r="E12" s="2" t="s">
        <v>172</v>
      </c>
      <c r="F12" s="2">
        <v>16</v>
      </c>
    </row>
    <row r="13" spans="1:6">
      <c r="A13" s="2" t="s">
        <v>27</v>
      </c>
      <c r="B13" s="2" t="s">
        <v>48</v>
      </c>
      <c r="C13" s="2" t="s">
        <v>49</v>
      </c>
      <c r="D13" s="2" t="s">
        <v>161</v>
      </c>
      <c r="E13" s="2" t="s">
        <v>173</v>
      </c>
      <c r="F13" s="2">
        <v>6</v>
      </c>
    </row>
    <row r="14" spans="1:6">
      <c r="A14" s="2" t="s">
        <v>28</v>
      </c>
      <c r="B14" s="2" t="s">
        <v>44</v>
      </c>
      <c r="C14" s="2" t="s">
        <v>45</v>
      </c>
      <c r="D14" s="2" t="s">
        <v>161</v>
      </c>
      <c r="E14" s="2" t="s">
        <v>174</v>
      </c>
      <c r="F14" s="2">
        <v>17</v>
      </c>
    </row>
    <row r="15" spans="1:6">
      <c r="A15" s="2" t="s">
        <v>29</v>
      </c>
      <c r="B15" s="2" t="s">
        <v>48</v>
      </c>
      <c r="C15" s="2" t="s">
        <v>49</v>
      </c>
      <c r="D15" s="2" t="s">
        <v>161</v>
      </c>
      <c r="E15" s="2" t="s">
        <v>175</v>
      </c>
      <c r="F15" s="2">
        <v>1</v>
      </c>
    </row>
    <row r="16" spans="1:6">
      <c r="A16" s="2" t="s">
        <v>30</v>
      </c>
      <c r="B16" s="2" t="s">
        <v>50</v>
      </c>
      <c r="C16" s="2" t="s">
        <v>51</v>
      </c>
      <c r="D16" s="2" t="s">
        <v>163</v>
      </c>
      <c r="E16" s="2" t="s">
        <v>176</v>
      </c>
      <c r="F16" s="2">
        <v>18</v>
      </c>
    </row>
    <row r="17" spans="1:6">
      <c r="A17" s="2" t="s">
        <v>31</v>
      </c>
      <c r="B17" s="2" t="s">
        <v>48</v>
      </c>
      <c r="C17" s="2" t="s">
        <v>49</v>
      </c>
      <c r="D17" s="2" t="s">
        <v>165</v>
      </c>
      <c r="E17" s="2" t="s">
        <v>177</v>
      </c>
      <c r="F17" s="2">
        <v>9</v>
      </c>
    </row>
    <row r="18" spans="1:6">
      <c r="A18" s="2" t="s">
        <v>32</v>
      </c>
      <c r="B18" s="2" t="s">
        <v>54</v>
      </c>
      <c r="C18" s="2" t="s">
        <v>55</v>
      </c>
      <c r="D18" s="2" t="s">
        <v>161</v>
      </c>
      <c r="E18" s="2" t="s">
        <v>178</v>
      </c>
      <c r="F18" s="2">
        <v>14</v>
      </c>
    </row>
    <row r="19" spans="1:6">
      <c r="A19" s="2" t="s">
        <v>33</v>
      </c>
      <c r="B19" s="2" t="s">
        <v>50</v>
      </c>
      <c r="C19" s="2" t="s">
        <v>51</v>
      </c>
      <c r="D19" s="2" t="s">
        <v>163</v>
      </c>
      <c r="E19" s="2" t="s">
        <v>179</v>
      </c>
      <c r="F19" s="2">
        <v>8</v>
      </c>
    </row>
    <row r="20" spans="1:6">
      <c r="A20" s="2" t="s">
        <v>34</v>
      </c>
      <c r="B20" s="2" t="s">
        <v>46</v>
      </c>
      <c r="C20" s="2" t="s">
        <v>47</v>
      </c>
      <c r="D20" s="2" t="s">
        <v>165</v>
      </c>
      <c r="E20" s="2" t="s">
        <v>180</v>
      </c>
      <c r="F20" s="2">
        <v>7</v>
      </c>
    </row>
    <row r="21" spans="1:6">
      <c r="A21" s="2" t="s">
        <v>35</v>
      </c>
      <c r="B21" s="2" t="s">
        <v>44</v>
      </c>
      <c r="C21" s="2" t="s">
        <v>45</v>
      </c>
      <c r="D21" s="2" t="s">
        <v>161</v>
      </c>
      <c r="E21" s="2" t="s">
        <v>181</v>
      </c>
      <c r="F21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E5"/>
  <sheetViews>
    <sheetView zoomScale="160" zoomScaleNormal="160" workbookViewId="0">
      <selection sqref="A1:A5"/>
    </sheetView>
  </sheetViews>
  <sheetFormatPr defaultColWidth="8.85546875" defaultRowHeight="14.25"/>
  <cols>
    <col min="1" max="1" width="13.5703125" style="2" bestFit="1" customWidth="1"/>
    <col min="2" max="2" width="8.85546875" style="2"/>
    <col min="3" max="3" width="10.7109375" style="2" bestFit="1" customWidth="1"/>
    <col min="4" max="16384" width="8.85546875" style="2"/>
  </cols>
  <sheetData>
    <row r="1" spans="1:5">
      <c r="A1" s="2" t="s">
        <v>39</v>
      </c>
      <c r="B1" s="2" t="s">
        <v>182</v>
      </c>
      <c r="C1" s="5">
        <v>150911</v>
      </c>
      <c r="D1" s="2" t="s">
        <v>183</v>
      </c>
      <c r="E1" s="2">
        <v>3</v>
      </c>
    </row>
    <row r="2" spans="1:5">
      <c r="A2" s="2" t="s">
        <v>73</v>
      </c>
      <c r="B2" s="2" t="s">
        <v>184</v>
      </c>
      <c r="C2" s="5">
        <v>150512</v>
      </c>
      <c r="D2" s="2" t="s">
        <v>183</v>
      </c>
      <c r="E2" s="2">
        <v>2</v>
      </c>
    </row>
    <row r="3" spans="1:5">
      <c r="A3" s="2" t="s">
        <v>74</v>
      </c>
      <c r="B3" s="2" t="s">
        <v>185</v>
      </c>
      <c r="C3" s="5">
        <v>150617</v>
      </c>
      <c r="D3" s="2" t="s">
        <v>183</v>
      </c>
      <c r="E3" s="2">
        <v>1</v>
      </c>
    </row>
    <row r="4" spans="1:5">
      <c r="A4" s="2" t="s">
        <v>75</v>
      </c>
      <c r="B4" s="2" t="s">
        <v>186</v>
      </c>
      <c r="C4" s="5">
        <v>150708</v>
      </c>
      <c r="D4" s="2" t="s">
        <v>183</v>
      </c>
      <c r="E4" s="2">
        <v>2</v>
      </c>
    </row>
    <row r="5" spans="1:5">
      <c r="A5" s="2" t="s">
        <v>76</v>
      </c>
      <c r="B5" s="2" t="s">
        <v>185</v>
      </c>
      <c r="C5" s="5">
        <v>150811</v>
      </c>
      <c r="D5" s="2" t="s">
        <v>183</v>
      </c>
      <c r="E5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>
    <tabColor rgb="FF1E73BE"/>
  </sheetPr>
  <dimension ref="A1:F21"/>
  <sheetViews>
    <sheetView zoomScale="130" zoomScaleNormal="130" workbookViewId="0">
      <selection activeCell="G3" sqref="G3"/>
    </sheetView>
  </sheetViews>
  <sheetFormatPr defaultColWidth="8.85546875" defaultRowHeight="14.25"/>
  <cols>
    <col min="1" max="1" width="50.5703125" style="2" customWidth="1"/>
    <col min="2" max="3" width="8.85546875" style="2"/>
    <col min="4" max="4" width="14" style="2" bestFit="1" customWidth="1"/>
    <col min="5" max="5" width="18.42578125" style="2" customWidth="1"/>
    <col min="6" max="6" width="7.85546875" style="2" customWidth="1"/>
    <col min="7" max="16384" width="8.85546875" style="2"/>
  </cols>
  <sheetData>
    <row r="1" spans="1:6">
      <c r="B1" s="1" t="s">
        <v>2</v>
      </c>
      <c r="C1" s="1" t="s">
        <v>3</v>
      </c>
      <c r="D1" s="1" t="s">
        <v>13</v>
      </c>
      <c r="E1" s="1" t="s">
        <v>14</v>
      </c>
      <c r="F1" s="1" t="s">
        <v>15</v>
      </c>
    </row>
    <row r="2" spans="1:6">
      <c r="A2" s="2" t="s">
        <v>16</v>
      </c>
      <c r="B2" s="2" t="s">
        <v>40</v>
      </c>
      <c r="C2" s="2" t="s">
        <v>41</v>
      </c>
      <c r="D2" s="2" t="s">
        <v>161</v>
      </c>
      <c r="E2" s="2" t="s">
        <v>162</v>
      </c>
      <c r="F2" s="2">
        <v>9</v>
      </c>
    </row>
    <row r="3" spans="1:6">
      <c r="A3" s="2" t="s">
        <v>17</v>
      </c>
      <c r="B3" s="2" t="s">
        <v>42</v>
      </c>
      <c r="C3" s="2" t="s">
        <v>43</v>
      </c>
      <c r="D3" s="2" t="s">
        <v>163</v>
      </c>
      <c r="E3" s="2" t="s">
        <v>164</v>
      </c>
      <c r="F3" s="2">
        <v>19</v>
      </c>
    </row>
    <row r="4" spans="1:6">
      <c r="A4" s="2" t="s">
        <v>18</v>
      </c>
      <c r="B4" s="2" t="s">
        <v>44</v>
      </c>
      <c r="C4" s="2" t="s">
        <v>45</v>
      </c>
      <c r="D4" s="2" t="s">
        <v>165</v>
      </c>
      <c r="E4" s="2" t="s">
        <v>166</v>
      </c>
      <c r="F4" s="2">
        <v>9</v>
      </c>
    </row>
    <row r="5" spans="1:6">
      <c r="A5" s="2" t="s">
        <v>19</v>
      </c>
      <c r="B5" s="2" t="s">
        <v>46</v>
      </c>
      <c r="C5" s="2" t="s">
        <v>47</v>
      </c>
      <c r="D5" s="2" t="s">
        <v>161</v>
      </c>
      <c r="E5" s="2" t="s">
        <v>167</v>
      </c>
      <c r="F5" s="2">
        <v>10</v>
      </c>
    </row>
    <row r="6" spans="1:6">
      <c r="A6" s="2" t="s">
        <v>20</v>
      </c>
      <c r="B6" s="2" t="s">
        <v>48</v>
      </c>
      <c r="C6" s="2" t="s">
        <v>49</v>
      </c>
      <c r="D6" s="2" t="s">
        <v>165</v>
      </c>
      <c r="E6" s="2" t="s">
        <v>168</v>
      </c>
      <c r="F6" s="2">
        <v>16</v>
      </c>
    </row>
    <row r="7" spans="1:6">
      <c r="A7" s="2" t="s">
        <v>21</v>
      </c>
      <c r="B7" s="2" t="s">
        <v>40</v>
      </c>
      <c r="C7" s="2" t="s">
        <v>41</v>
      </c>
      <c r="D7" s="2" t="s">
        <v>161</v>
      </c>
      <c r="E7" s="2" t="s">
        <v>166</v>
      </c>
      <c r="F7" s="2">
        <v>7</v>
      </c>
    </row>
    <row r="8" spans="1:6">
      <c r="A8" s="2" t="s">
        <v>22</v>
      </c>
      <c r="B8" s="2" t="s">
        <v>50</v>
      </c>
      <c r="C8" s="2" t="s">
        <v>51</v>
      </c>
      <c r="D8" s="2" t="s">
        <v>161</v>
      </c>
      <c r="E8" s="2" t="s">
        <v>169</v>
      </c>
      <c r="F8" s="2">
        <v>8</v>
      </c>
    </row>
    <row r="9" spans="1:6">
      <c r="A9" s="2" t="s">
        <v>23</v>
      </c>
      <c r="B9" s="2" t="s">
        <v>52</v>
      </c>
      <c r="C9" s="2" t="s">
        <v>53</v>
      </c>
      <c r="D9" s="2" t="s">
        <v>161</v>
      </c>
      <c r="E9" s="2" t="s">
        <v>170</v>
      </c>
      <c r="F9" s="2">
        <v>13</v>
      </c>
    </row>
    <row r="10" spans="1:6">
      <c r="A10" s="2" t="s">
        <v>24</v>
      </c>
      <c r="B10" s="2" t="s">
        <v>40</v>
      </c>
      <c r="C10" s="2" t="s">
        <v>41</v>
      </c>
      <c r="D10" s="2" t="s">
        <v>165</v>
      </c>
      <c r="E10" s="2" t="s">
        <v>171</v>
      </c>
      <c r="F10" s="2">
        <v>6</v>
      </c>
    </row>
    <row r="11" spans="1:6">
      <c r="A11" s="2" t="s">
        <v>25</v>
      </c>
      <c r="B11" s="2" t="s">
        <v>42</v>
      </c>
      <c r="C11" s="2" t="s">
        <v>43</v>
      </c>
      <c r="D11" s="2" t="s">
        <v>163</v>
      </c>
      <c r="E11" s="2" t="s">
        <v>170</v>
      </c>
      <c r="F11" s="2">
        <v>5</v>
      </c>
    </row>
    <row r="12" spans="1:6">
      <c r="A12" s="2" t="s">
        <v>26</v>
      </c>
      <c r="B12" s="2" t="s">
        <v>46</v>
      </c>
      <c r="C12" s="2" t="s">
        <v>47</v>
      </c>
      <c r="D12" s="2" t="s">
        <v>161</v>
      </c>
      <c r="E12" s="2" t="s">
        <v>172</v>
      </c>
      <c r="F12" s="2">
        <v>16</v>
      </c>
    </row>
    <row r="13" spans="1:6">
      <c r="A13" s="2" t="s">
        <v>27</v>
      </c>
      <c r="B13" s="2" t="s">
        <v>48</v>
      </c>
      <c r="C13" s="2" t="s">
        <v>49</v>
      </c>
      <c r="D13" s="2" t="s">
        <v>161</v>
      </c>
      <c r="E13" s="2" t="s">
        <v>173</v>
      </c>
      <c r="F13" s="2">
        <v>6</v>
      </c>
    </row>
    <row r="14" spans="1:6">
      <c r="A14" s="2" t="s">
        <v>28</v>
      </c>
      <c r="B14" s="2" t="s">
        <v>44</v>
      </c>
      <c r="C14" s="2" t="s">
        <v>45</v>
      </c>
      <c r="D14" s="2" t="s">
        <v>161</v>
      </c>
      <c r="E14" s="2" t="s">
        <v>174</v>
      </c>
      <c r="F14" s="2">
        <v>17</v>
      </c>
    </row>
    <row r="15" spans="1:6">
      <c r="A15" s="2" t="s">
        <v>29</v>
      </c>
      <c r="B15" s="2" t="s">
        <v>48</v>
      </c>
      <c r="C15" s="2" t="s">
        <v>49</v>
      </c>
      <c r="D15" s="2" t="s">
        <v>161</v>
      </c>
      <c r="E15" s="2" t="s">
        <v>175</v>
      </c>
      <c r="F15" s="2">
        <v>1</v>
      </c>
    </row>
    <row r="16" spans="1:6">
      <c r="A16" s="2" t="s">
        <v>30</v>
      </c>
      <c r="B16" s="2" t="s">
        <v>50</v>
      </c>
      <c r="C16" s="2" t="s">
        <v>51</v>
      </c>
      <c r="D16" s="2" t="s">
        <v>163</v>
      </c>
      <c r="E16" s="2" t="s">
        <v>176</v>
      </c>
      <c r="F16" s="2">
        <v>18</v>
      </c>
    </row>
    <row r="17" spans="1:6">
      <c r="A17" s="2" t="s">
        <v>31</v>
      </c>
      <c r="B17" s="2" t="s">
        <v>48</v>
      </c>
      <c r="C17" s="2" t="s">
        <v>49</v>
      </c>
      <c r="D17" s="2" t="s">
        <v>165</v>
      </c>
      <c r="E17" s="2" t="s">
        <v>177</v>
      </c>
      <c r="F17" s="2">
        <v>9</v>
      </c>
    </row>
    <row r="18" spans="1:6">
      <c r="A18" s="2" t="s">
        <v>32</v>
      </c>
      <c r="B18" s="2" t="s">
        <v>54</v>
      </c>
      <c r="C18" s="2" t="s">
        <v>55</v>
      </c>
      <c r="D18" s="2" t="s">
        <v>161</v>
      </c>
      <c r="E18" s="2" t="s">
        <v>178</v>
      </c>
      <c r="F18" s="2">
        <v>14</v>
      </c>
    </row>
    <row r="19" spans="1:6">
      <c r="A19" s="2" t="s">
        <v>33</v>
      </c>
      <c r="B19" s="2" t="s">
        <v>50</v>
      </c>
      <c r="C19" s="2" t="s">
        <v>51</v>
      </c>
      <c r="D19" s="2" t="s">
        <v>163</v>
      </c>
      <c r="E19" s="2" t="s">
        <v>179</v>
      </c>
      <c r="F19" s="2">
        <v>8</v>
      </c>
    </row>
    <row r="20" spans="1:6">
      <c r="A20" s="2" t="s">
        <v>34</v>
      </c>
      <c r="B20" s="2" t="s">
        <v>46</v>
      </c>
      <c r="C20" s="2" t="s">
        <v>47</v>
      </c>
      <c r="D20" s="2" t="s">
        <v>165</v>
      </c>
      <c r="E20" s="2" t="s">
        <v>180</v>
      </c>
      <c r="F20" s="2">
        <v>7</v>
      </c>
    </row>
    <row r="21" spans="1:6">
      <c r="A21" s="2" t="s">
        <v>35</v>
      </c>
      <c r="B21" s="2" t="s">
        <v>44</v>
      </c>
      <c r="C21" s="2" t="s">
        <v>45</v>
      </c>
      <c r="D21" s="2" t="s">
        <v>161</v>
      </c>
      <c r="E21" s="2" t="s">
        <v>181</v>
      </c>
      <c r="F21" s="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>
    <tabColor rgb="FF1E73BE"/>
  </sheetPr>
  <dimension ref="A1:D18"/>
  <sheetViews>
    <sheetView topLeftCell="A3" zoomScale="130" zoomScaleNormal="130" workbookViewId="0">
      <selection activeCell="D13" sqref="D13"/>
    </sheetView>
  </sheetViews>
  <sheetFormatPr defaultColWidth="8.85546875" defaultRowHeight="14.25"/>
  <cols>
    <col min="1" max="1" width="17.28515625" style="2" bestFit="1" customWidth="1"/>
    <col min="2" max="2" width="14" style="2" bestFit="1" customWidth="1"/>
    <col min="3" max="3" width="13.28515625" style="2" bestFit="1" customWidth="1"/>
    <col min="4" max="4" width="24.7109375" style="2" bestFit="1" customWidth="1"/>
    <col min="5" max="5" width="17.85546875" style="2" customWidth="1"/>
    <col min="6" max="6" width="6" style="2" bestFit="1" customWidth="1"/>
    <col min="7" max="7" width="9.42578125" style="2" customWidth="1"/>
    <col min="8" max="16384" width="8.85546875" style="2"/>
  </cols>
  <sheetData>
    <row r="1" spans="1:4">
      <c r="A1" s="1" t="s">
        <v>79</v>
      </c>
      <c r="B1" s="1" t="s">
        <v>80</v>
      </c>
    </row>
    <row r="2" spans="1:4">
      <c r="A2" s="2" t="s">
        <v>68</v>
      </c>
      <c r="B2" s="2" t="s">
        <v>189</v>
      </c>
    </row>
    <row r="3" spans="1:4">
      <c r="A3" s="2" t="s">
        <v>69</v>
      </c>
      <c r="B3" s="2" t="s">
        <v>69</v>
      </c>
    </row>
    <row r="4" spans="1:4">
      <c r="A4" s="2" t="s">
        <v>70</v>
      </c>
      <c r="B4" s="2" t="s">
        <v>190</v>
      </c>
    </row>
    <row r="5" spans="1:4">
      <c r="A5" s="2" t="s">
        <v>71</v>
      </c>
      <c r="B5" s="2" t="s">
        <v>191</v>
      </c>
    </row>
    <row r="6" spans="1:4">
      <c r="A6" s="2" t="s">
        <v>72</v>
      </c>
      <c r="B6" s="2" t="s">
        <v>72</v>
      </c>
    </row>
    <row r="7" spans="1:4">
      <c r="A7" s="2" t="s">
        <v>81</v>
      </c>
      <c r="B7" s="2" t="s">
        <v>81</v>
      </c>
    </row>
    <row r="9" spans="1:4">
      <c r="A9" s="1" t="s">
        <v>2</v>
      </c>
      <c r="B9" s="1" t="s">
        <v>78</v>
      </c>
      <c r="C9" s="1" t="s">
        <v>3</v>
      </c>
      <c r="D9" s="1" t="s">
        <v>77</v>
      </c>
    </row>
    <row r="10" spans="1:4">
      <c r="A10" s="3" t="s">
        <v>40</v>
      </c>
      <c r="B10" s="3" t="s">
        <v>60</v>
      </c>
      <c r="C10" s="3" t="s">
        <v>67</v>
      </c>
      <c r="D10" s="3" t="s">
        <v>57</v>
      </c>
    </row>
    <row r="11" spans="1:4">
      <c r="A11" s="3" t="s">
        <v>46</v>
      </c>
      <c r="B11" s="3" t="s">
        <v>61</v>
      </c>
      <c r="C11" s="3" t="s">
        <v>47</v>
      </c>
      <c r="D11" s="3" t="s">
        <v>58</v>
      </c>
    </row>
    <row r="12" spans="1:4">
      <c r="A12" s="3" t="s">
        <v>44</v>
      </c>
      <c r="B12" s="3"/>
      <c r="C12" s="3" t="s">
        <v>45</v>
      </c>
      <c r="D12" s="3" t="s">
        <v>7</v>
      </c>
    </row>
    <row r="13" spans="1:4">
      <c r="A13" s="3" t="s">
        <v>42</v>
      </c>
      <c r="B13" s="3"/>
      <c r="C13" s="3" t="s">
        <v>43</v>
      </c>
      <c r="D13" s="3" t="s">
        <v>6</v>
      </c>
    </row>
    <row r="14" spans="1:4">
      <c r="A14" s="3" t="s">
        <v>48</v>
      </c>
      <c r="B14" s="3"/>
      <c r="C14" s="3" t="s">
        <v>49</v>
      </c>
      <c r="D14" s="3" t="s">
        <v>187</v>
      </c>
    </row>
    <row r="15" spans="1:4">
      <c r="A15" s="3" t="s">
        <v>40</v>
      </c>
      <c r="B15" s="3" t="s">
        <v>62</v>
      </c>
      <c r="C15" s="3" t="s">
        <v>41</v>
      </c>
      <c r="D15" s="3" t="s">
        <v>59</v>
      </c>
    </row>
    <row r="16" spans="1:4">
      <c r="A16" s="3" t="s">
        <v>50</v>
      </c>
      <c r="B16" s="3"/>
      <c r="C16" s="3" t="s">
        <v>51</v>
      </c>
      <c r="D16" s="3" t="s">
        <v>188</v>
      </c>
    </row>
    <row r="17" spans="1:4">
      <c r="A17" s="3" t="s">
        <v>52</v>
      </c>
      <c r="B17" s="3" t="s">
        <v>65</v>
      </c>
      <c r="C17" s="3" t="s">
        <v>53</v>
      </c>
      <c r="D17" s="3" t="s">
        <v>63</v>
      </c>
    </row>
    <row r="18" spans="1:4">
      <c r="A18" s="3" t="s">
        <v>54</v>
      </c>
      <c r="B18" s="3" t="s">
        <v>66</v>
      </c>
      <c r="C18" s="3" t="s">
        <v>55</v>
      </c>
      <c r="D18" s="3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>
    <tabColor rgb="FF1E73BE"/>
  </sheetPr>
  <dimension ref="A1:D22"/>
  <sheetViews>
    <sheetView zoomScale="130" zoomScaleNormal="130" workbookViewId="0">
      <selection activeCell="C14" sqref="C14:C22"/>
    </sheetView>
  </sheetViews>
  <sheetFormatPr defaultColWidth="8.85546875" defaultRowHeight="14.25"/>
  <cols>
    <col min="1" max="1" width="24.7109375" style="2" bestFit="1" customWidth="1"/>
    <col min="2" max="2" width="14" style="2" bestFit="1" customWidth="1"/>
    <col min="3" max="3" width="13.28515625" style="2" bestFit="1" customWidth="1"/>
    <col min="4" max="4" width="24.7109375" style="2" bestFit="1" customWidth="1"/>
    <col min="5" max="5" width="9.42578125" style="2" customWidth="1"/>
    <col min="6" max="16384" width="8.85546875" style="2"/>
  </cols>
  <sheetData>
    <row r="1" spans="1:4">
      <c r="A1" s="1" t="s">
        <v>77</v>
      </c>
      <c r="B1" s="1" t="s">
        <v>2</v>
      </c>
      <c r="C1" s="1" t="s">
        <v>82</v>
      </c>
      <c r="D1" s="1" t="s">
        <v>3</v>
      </c>
    </row>
    <row r="2" spans="1:4">
      <c r="A2" s="3" t="s">
        <v>57</v>
      </c>
      <c r="B2" s="2" t="s">
        <v>40</v>
      </c>
      <c r="C2" s="2" t="s">
        <v>60</v>
      </c>
      <c r="D2" s="2" t="s">
        <v>67</v>
      </c>
    </row>
    <row r="3" spans="1:4">
      <c r="A3" s="3" t="s">
        <v>7</v>
      </c>
      <c r="B3" s="2" t="s">
        <v>44</v>
      </c>
      <c r="C3" s="2" t="s">
        <v>192</v>
      </c>
      <c r="D3" s="2" t="s">
        <v>45</v>
      </c>
    </row>
    <row r="4" spans="1:4">
      <c r="A4" s="3" t="s">
        <v>58</v>
      </c>
      <c r="B4" s="2" t="s">
        <v>46</v>
      </c>
      <c r="C4" s="2" t="s">
        <v>61</v>
      </c>
      <c r="D4" s="2" t="s">
        <v>47</v>
      </c>
    </row>
    <row r="5" spans="1:4">
      <c r="A5" s="3" t="s">
        <v>6</v>
      </c>
      <c r="B5" s="2" t="s">
        <v>42</v>
      </c>
      <c r="C5" s="2" t="s">
        <v>192</v>
      </c>
      <c r="D5" s="2" t="s">
        <v>43</v>
      </c>
    </row>
    <row r="6" spans="1:4">
      <c r="A6" s="3" t="s">
        <v>9</v>
      </c>
      <c r="B6" s="2" t="s">
        <v>48</v>
      </c>
      <c r="C6" s="2" t="s">
        <v>192</v>
      </c>
      <c r="D6" s="2" t="s">
        <v>49</v>
      </c>
    </row>
    <row r="7" spans="1:4">
      <c r="A7" s="3" t="s">
        <v>59</v>
      </c>
      <c r="B7" s="2" t="s">
        <v>40</v>
      </c>
      <c r="C7" s="2" t="s">
        <v>62</v>
      </c>
      <c r="D7" s="2" t="s">
        <v>41</v>
      </c>
    </row>
    <row r="8" spans="1:4">
      <c r="A8" s="3" t="s">
        <v>10</v>
      </c>
      <c r="B8" s="2" t="s">
        <v>50</v>
      </c>
      <c r="C8" s="2" t="s">
        <v>192</v>
      </c>
      <c r="D8" s="2" t="s">
        <v>51</v>
      </c>
    </row>
    <row r="9" spans="1:4">
      <c r="A9" s="3" t="s">
        <v>63</v>
      </c>
      <c r="B9" s="2" t="s">
        <v>52</v>
      </c>
      <c r="C9" s="2" t="s">
        <v>65</v>
      </c>
      <c r="D9" s="2" t="s">
        <v>53</v>
      </c>
    </row>
    <row r="10" spans="1:4">
      <c r="A10" s="3" t="s">
        <v>64</v>
      </c>
      <c r="B10" s="2" t="s">
        <v>54</v>
      </c>
      <c r="C10" s="2" t="s">
        <v>66</v>
      </c>
      <c r="D10" s="2" t="s">
        <v>55</v>
      </c>
    </row>
    <row r="13" spans="1:4">
      <c r="A13" s="1" t="s">
        <v>77</v>
      </c>
      <c r="B13" s="1" t="s">
        <v>2</v>
      </c>
      <c r="C13" s="1" t="s">
        <v>82</v>
      </c>
      <c r="D13" s="1" t="s">
        <v>3</v>
      </c>
    </row>
    <row r="14" spans="1:4">
      <c r="A14" s="3" t="s">
        <v>57</v>
      </c>
      <c r="B14" s="2" t="str">
        <f>LEFT(A14,FIND(" ",A14)-1)</f>
        <v>Olga</v>
      </c>
      <c r="C14" s="2" t="str">
        <f>TRIM(SUBSTITUTE(SUBSTITUTE(A14,B14,""),D14,""))</f>
        <v>Maria</v>
      </c>
      <c r="D14" s="2" t="str">
        <f>TRIM(RIGHT(SUBSTITUTE(A14," ",REPT(" ",99)),99))</f>
        <v>Sosna</v>
      </c>
    </row>
    <row r="15" spans="1:4">
      <c r="A15" s="3" t="s">
        <v>7</v>
      </c>
      <c r="B15" s="2" t="str">
        <f t="shared" ref="B15:B22" si="0">LEFT(A15,FIND(" ",A15)-1)</f>
        <v>Michał</v>
      </c>
      <c r="C15" s="2" t="str">
        <f t="shared" ref="C15:C22" si="1">TRIM(SUBSTITUTE(SUBSTITUTE(A15,B15,""),D15,""))</f>
        <v/>
      </c>
      <c r="D15" s="2" t="str">
        <f t="shared" ref="D15:D22" si="2">TRIM(RIGHT(SUBSTITUTE(A15," ",REPT(" ",99)),99))</f>
        <v>Kozak</v>
      </c>
    </row>
    <row r="16" spans="1:4">
      <c r="A16" s="3" t="s">
        <v>58</v>
      </c>
      <c r="B16" s="2" t="str">
        <f t="shared" si="0"/>
        <v>Bartosz</v>
      </c>
      <c r="C16" s="2" t="str">
        <f t="shared" si="1"/>
        <v>Zenon</v>
      </c>
      <c r="D16" s="2" t="str">
        <f t="shared" si="2"/>
        <v>Niedźwiedź</v>
      </c>
    </row>
    <row r="17" spans="1:4">
      <c r="A17" s="3" t="s">
        <v>6</v>
      </c>
      <c r="B17" s="2" t="str">
        <f t="shared" si="0"/>
        <v>Marian</v>
      </c>
      <c r="C17" s="2" t="str">
        <f t="shared" si="1"/>
        <v/>
      </c>
      <c r="D17" s="2" t="str">
        <f t="shared" si="2"/>
        <v>Wczesny</v>
      </c>
    </row>
    <row r="18" spans="1:4">
      <c r="A18" s="3" t="s">
        <v>9</v>
      </c>
      <c r="B18" s="2" t="str">
        <f t="shared" si="0"/>
        <v>Tadeusz</v>
      </c>
      <c r="C18" s="2" t="str">
        <f t="shared" si="1"/>
        <v/>
      </c>
      <c r="D18" s="2" t="str">
        <f t="shared" si="2"/>
        <v>Śmiały</v>
      </c>
    </row>
    <row r="19" spans="1:4">
      <c r="A19" s="3" t="s">
        <v>59</v>
      </c>
      <c r="B19" s="2" t="str">
        <f t="shared" si="0"/>
        <v>Olga</v>
      </c>
      <c r="C19" s="2" t="str">
        <f t="shared" si="1"/>
        <v>Teresa</v>
      </c>
      <c r="D19" s="2" t="str">
        <f t="shared" si="2"/>
        <v>Brzoza</v>
      </c>
    </row>
    <row r="20" spans="1:4">
      <c r="A20" s="3" t="s">
        <v>10</v>
      </c>
      <c r="B20" s="2" t="str">
        <f t="shared" si="0"/>
        <v>Mariola</v>
      </c>
      <c r="C20" s="2" t="str">
        <f t="shared" si="1"/>
        <v/>
      </c>
      <c r="D20" s="2" t="str">
        <f t="shared" si="2"/>
        <v>Kos</v>
      </c>
    </row>
    <row r="21" spans="1:4">
      <c r="A21" s="3" t="s">
        <v>63</v>
      </c>
      <c r="B21" s="2" t="str">
        <f t="shared" si="0"/>
        <v>Zofia</v>
      </c>
      <c r="C21" s="2" t="str">
        <f t="shared" si="1"/>
        <v>Magda</v>
      </c>
      <c r="D21" s="2" t="str">
        <f t="shared" si="2"/>
        <v>Kwarc</v>
      </c>
    </row>
    <row r="22" spans="1:4">
      <c r="A22" s="3" t="s">
        <v>64</v>
      </c>
      <c r="B22" s="2" t="str">
        <f t="shared" si="0"/>
        <v>Karol</v>
      </c>
      <c r="C22" s="2" t="str">
        <f t="shared" si="1"/>
        <v>Andrzej</v>
      </c>
      <c r="D22" s="2" t="str">
        <f t="shared" si="2"/>
        <v>Wolski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9">
    <tabColor rgb="FF1E73BE"/>
  </sheetPr>
  <dimension ref="A1:I9"/>
  <sheetViews>
    <sheetView zoomScale="130" zoomScaleNormal="130" workbookViewId="0">
      <selection activeCell="F3" sqref="F3"/>
    </sheetView>
  </sheetViews>
  <sheetFormatPr defaultColWidth="8.85546875" defaultRowHeight="14.25"/>
  <cols>
    <col min="1" max="1" width="13.7109375" style="2" bestFit="1" customWidth="1"/>
    <col min="2" max="2" width="13.5703125" style="2" customWidth="1"/>
    <col min="3" max="3" width="14.28515625" style="2" customWidth="1"/>
    <col min="4" max="4" width="15.42578125" style="2" customWidth="1"/>
    <col min="5" max="5" width="12.7109375" style="2" customWidth="1"/>
    <col min="6" max="6" width="15.7109375" style="2" customWidth="1"/>
    <col min="7" max="7" width="8.85546875" style="2"/>
    <col min="8" max="8" width="10.7109375" style="2" customWidth="1"/>
    <col min="9" max="9" width="11.140625" style="2" bestFit="1" customWidth="1"/>
    <col min="10" max="16384" width="8.85546875" style="2"/>
  </cols>
  <sheetData>
    <row r="1" spans="1:9">
      <c r="A1" s="1" t="s">
        <v>108</v>
      </c>
      <c r="B1" s="1" t="s">
        <v>109</v>
      </c>
      <c r="C1" s="1" t="s">
        <v>110</v>
      </c>
      <c r="E1" s="1" t="s">
        <v>109</v>
      </c>
      <c r="F1" s="1" t="s">
        <v>111</v>
      </c>
    </row>
    <row r="2" spans="1:9">
      <c r="A2" s="2" t="s">
        <v>112</v>
      </c>
      <c r="B2" s="2">
        <v>20151011</v>
      </c>
      <c r="C2" s="5"/>
      <c r="D2" s="5"/>
      <c r="E2" s="2">
        <v>20151018</v>
      </c>
      <c r="F2" s="5">
        <v>42295</v>
      </c>
      <c r="I2" s="5"/>
    </row>
    <row r="3" spans="1:9">
      <c r="A3" s="17" t="s">
        <v>113</v>
      </c>
      <c r="B3" s="18">
        <v>40775</v>
      </c>
      <c r="C3" s="5"/>
      <c r="D3" s="5"/>
      <c r="E3" s="2">
        <v>20140906</v>
      </c>
      <c r="F3" s="5">
        <v>41888</v>
      </c>
      <c r="H3" s="19"/>
      <c r="I3" s="5"/>
    </row>
    <row r="4" spans="1:9">
      <c r="A4" s="2" t="s">
        <v>114</v>
      </c>
      <c r="B4" s="2" t="s">
        <v>115</v>
      </c>
      <c r="C4" s="5"/>
      <c r="E4" s="2">
        <v>20130811</v>
      </c>
      <c r="F4" s="5"/>
      <c r="I4" s="5"/>
    </row>
    <row r="5" spans="1:9">
      <c r="A5" s="2" t="s">
        <v>116</v>
      </c>
      <c r="B5" s="2" t="s">
        <v>117</v>
      </c>
      <c r="C5" s="5"/>
      <c r="E5" s="2">
        <v>20120709</v>
      </c>
      <c r="F5" s="5"/>
      <c r="H5" s="19"/>
      <c r="I5" s="5"/>
    </row>
    <row r="6" spans="1:9">
      <c r="A6" s="2" t="s">
        <v>118</v>
      </c>
      <c r="B6" s="19" t="s">
        <v>119</v>
      </c>
      <c r="C6" s="5"/>
      <c r="E6" s="2">
        <v>20150403</v>
      </c>
      <c r="F6" s="5"/>
      <c r="H6" s="19"/>
      <c r="I6" s="5"/>
    </row>
    <row r="7" spans="1:9">
      <c r="A7" s="2" t="s">
        <v>120</v>
      </c>
      <c r="B7" s="2" t="s">
        <v>121</v>
      </c>
      <c r="C7" s="5"/>
      <c r="E7" s="2">
        <v>20111211</v>
      </c>
      <c r="F7" s="5"/>
      <c r="I7" s="5"/>
    </row>
    <row r="8" spans="1:9">
      <c r="A8" s="2" t="s">
        <v>122</v>
      </c>
      <c r="B8" s="2">
        <v>120430</v>
      </c>
      <c r="C8" s="5"/>
      <c r="E8" s="2">
        <v>20110604</v>
      </c>
      <c r="F8" s="5"/>
      <c r="H8" s="19"/>
      <c r="I8" s="5"/>
    </row>
    <row r="9" spans="1:9">
      <c r="B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6">
    <tabColor rgb="FF1E73BE"/>
  </sheetPr>
  <dimension ref="A1:D15"/>
  <sheetViews>
    <sheetView zoomScale="145" zoomScaleNormal="145" workbookViewId="0">
      <selection activeCell="H15" sqref="H15"/>
    </sheetView>
  </sheetViews>
  <sheetFormatPr defaultColWidth="8.85546875" defaultRowHeight="14.25"/>
  <cols>
    <col min="1" max="1" width="18.5703125" style="2" bestFit="1" customWidth="1"/>
    <col min="2" max="2" width="18.28515625" style="2" bestFit="1" customWidth="1"/>
    <col min="3" max="3" width="20.7109375" style="2" bestFit="1" customWidth="1"/>
    <col min="4" max="4" width="18.5703125" style="2" bestFit="1" customWidth="1"/>
    <col min="5" max="5" width="12.28515625" style="2" bestFit="1" customWidth="1"/>
    <col min="6" max="16384" width="8.85546875" style="2"/>
  </cols>
  <sheetData>
    <row r="1" spans="1:4">
      <c r="A1" s="1" t="s">
        <v>1</v>
      </c>
      <c r="B1" s="16" t="s">
        <v>36</v>
      </c>
      <c r="C1" s="1" t="s">
        <v>37</v>
      </c>
      <c r="D1" s="1" t="s">
        <v>38</v>
      </c>
    </row>
    <row r="2" spans="1:4">
      <c r="A2" s="3" t="s">
        <v>88</v>
      </c>
      <c r="B2" s="4" t="str">
        <f>LOWER(A2)</f>
        <v>olga brzoza</v>
      </c>
      <c r="C2" s="4" t="str">
        <f>UPPER(A2)</f>
        <v>OLGA BRZOZA</v>
      </c>
      <c r="D2" s="4" t="str">
        <f>PROPER(A2)</f>
        <v>Olga Brzoza</v>
      </c>
    </row>
    <row r="3" spans="1:4">
      <c r="A3" s="3" t="s">
        <v>89</v>
      </c>
      <c r="B3" s="4" t="str">
        <f t="shared" ref="B3:B15" si="0">LOWER(A3)</f>
        <v>marian wczesny</v>
      </c>
      <c r="C3" s="4" t="str">
        <f t="shared" ref="C3:C15" si="1">UPPER(A3)</f>
        <v>MARIAN WCZESNY</v>
      </c>
      <c r="D3" s="4" t="str">
        <f t="shared" ref="D3:D15" si="2">PROPER(A3)</f>
        <v>Marian Wczesny</v>
      </c>
    </row>
    <row r="4" spans="1:4">
      <c r="A4" s="3" t="s">
        <v>90</v>
      </c>
      <c r="B4" s="4" t="str">
        <f t="shared" si="0"/>
        <v>michał kozak</v>
      </c>
      <c r="C4" s="4" t="str">
        <f t="shared" si="1"/>
        <v>MICHAŁ KOZAK</v>
      </c>
      <c r="D4" s="4" t="str">
        <f t="shared" si="2"/>
        <v>Michał Kozak</v>
      </c>
    </row>
    <row r="5" spans="1:4">
      <c r="A5" s="3" t="s">
        <v>91</v>
      </c>
      <c r="B5" s="4" t="str">
        <f t="shared" si="0"/>
        <v>bartosz niedźwiedź</v>
      </c>
      <c r="C5" s="4" t="str">
        <f t="shared" si="1"/>
        <v>BARTOSZ NIEDŹWIEDŹ</v>
      </c>
      <c r="D5" s="4" t="str">
        <f t="shared" si="2"/>
        <v>Bartosz Niedźwiedź</v>
      </c>
    </row>
    <row r="6" spans="1:4">
      <c r="A6" s="3" t="s">
        <v>84</v>
      </c>
      <c r="B6" s="4" t="str">
        <f t="shared" si="0"/>
        <v>tadeusz śmiały</v>
      </c>
      <c r="C6" s="4" t="str">
        <f t="shared" si="1"/>
        <v>TADEUSZ ŚMIAŁY</v>
      </c>
      <c r="D6" s="4" t="str">
        <f t="shared" si="2"/>
        <v>Tadeusz Śmiały</v>
      </c>
    </row>
    <row r="7" spans="1:4">
      <c r="A7" s="3" t="s">
        <v>85</v>
      </c>
      <c r="B7" s="4" t="str">
        <f t="shared" si="0"/>
        <v>olga brzoza</v>
      </c>
      <c r="C7" s="4" t="str">
        <f t="shared" si="1"/>
        <v>OLGA BRZOZA</v>
      </c>
      <c r="D7" s="4" t="str">
        <f t="shared" si="2"/>
        <v>Olga Brzoza</v>
      </c>
    </row>
    <row r="8" spans="1:4">
      <c r="A8" s="3" t="s">
        <v>92</v>
      </c>
      <c r="B8" s="4" t="str">
        <f t="shared" si="0"/>
        <v>mariola kos</v>
      </c>
      <c r="C8" s="4" t="str">
        <f t="shared" si="1"/>
        <v>MARIOLA KOS</v>
      </c>
      <c r="D8" s="4" t="str">
        <f t="shared" si="2"/>
        <v>Mariola Kos</v>
      </c>
    </row>
    <row r="9" spans="1:4">
      <c r="A9" s="3" t="s">
        <v>93</v>
      </c>
      <c r="B9" s="4" t="str">
        <f t="shared" si="0"/>
        <v>zofia kwarc</v>
      </c>
      <c r="C9" s="4" t="str">
        <f t="shared" si="1"/>
        <v>ZOFIA KWARC</v>
      </c>
      <c r="D9" s="4" t="str">
        <f t="shared" si="2"/>
        <v>Zofia Kwarc</v>
      </c>
    </row>
    <row r="10" spans="1:4">
      <c r="A10" s="3" t="s">
        <v>94</v>
      </c>
      <c r="B10" s="4" t="str">
        <f t="shared" si="0"/>
        <v>teresa wiewiórka</v>
      </c>
      <c r="C10" s="4" t="str">
        <f t="shared" si="1"/>
        <v>TERESA WIEWIÓRKA</v>
      </c>
      <c r="D10" s="4" t="str">
        <f t="shared" si="2"/>
        <v>Teresa Wiewiórka</v>
      </c>
    </row>
    <row r="11" spans="1:4">
      <c r="A11" s="3" t="s">
        <v>95</v>
      </c>
      <c r="B11" s="4" t="str">
        <f t="shared" si="0"/>
        <v>marian wczesny</v>
      </c>
      <c r="C11" s="4" t="str">
        <f t="shared" si="1"/>
        <v>MARIAN WCZESNY</v>
      </c>
      <c r="D11" s="4" t="str">
        <f t="shared" si="2"/>
        <v>Marian Wczesny</v>
      </c>
    </row>
    <row r="12" spans="1:4">
      <c r="A12" s="3" t="s">
        <v>86</v>
      </c>
      <c r="B12" s="4" t="str">
        <f t="shared" si="0"/>
        <v>bartosz niedźwiedź</v>
      </c>
      <c r="C12" s="4" t="str">
        <f t="shared" si="1"/>
        <v>BARTOSZ NIEDŹWIEDŹ</v>
      </c>
      <c r="D12" s="4" t="str">
        <f t="shared" si="2"/>
        <v>Bartosz Niedźwiedź</v>
      </c>
    </row>
    <row r="13" spans="1:4">
      <c r="A13" s="3" t="s">
        <v>87</v>
      </c>
      <c r="B13" s="4" t="str">
        <f t="shared" si="0"/>
        <v>tadeusz śmiały</v>
      </c>
      <c r="C13" s="4" t="str">
        <f t="shared" si="1"/>
        <v>TADEUSZ ŚMIAŁY</v>
      </c>
      <c r="D13" s="4" t="str">
        <f t="shared" si="2"/>
        <v>Tadeusz Śmiały</v>
      </c>
    </row>
    <row r="14" spans="1:4">
      <c r="A14" s="3" t="s">
        <v>96</v>
      </c>
      <c r="B14" s="4" t="str">
        <f t="shared" si="0"/>
        <v>michał kozak</v>
      </c>
      <c r="C14" s="4" t="str">
        <f t="shared" si="1"/>
        <v>MICHAŁ KOZAK</v>
      </c>
      <c r="D14" s="4" t="str">
        <f t="shared" si="2"/>
        <v>Michał Kozak</v>
      </c>
    </row>
    <row r="15" spans="1:4">
      <c r="A15" s="3" t="s">
        <v>97</v>
      </c>
      <c r="B15" s="4" t="str">
        <f t="shared" si="0"/>
        <v>mariola kos</v>
      </c>
      <c r="C15" s="4" t="str">
        <f t="shared" si="1"/>
        <v>MARIOLA KOS</v>
      </c>
      <c r="D15" s="4" t="str">
        <f t="shared" si="2"/>
        <v>Mariola Kos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7">
    <tabColor rgb="FF1E73BE"/>
  </sheetPr>
  <dimension ref="A1:B6"/>
  <sheetViews>
    <sheetView zoomScale="175" zoomScaleNormal="175" workbookViewId="0">
      <selection activeCell="B2" sqref="B2:B6"/>
    </sheetView>
  </sheetViews>
  <sheetFormatPr defaultColWidth="9.140625" defaultRowHeight="14.25"/>
  <cols>
    <col min="1" max="1" width="14.28515625" style="7" bestFit="1" customWidth="1"/>
    <col min="2" max="3" width="11.140625" style="7" bestFit="1" customWidth="1"/>
    <col min="4" max="16384" width="9.140625" style="7"/>
  </cols>
  <sheetData>
    <row r="1" spans="1:2">
      <c r="A1" s="1" t="s">
        <v>83</v>
      </c>
      <c r="B1" s="1" t="s">
        <v>103</v>
      </c>
    </row>
    <row r="2" spans="1:2">
      <c r="A2" s="3" t="s">
        <v>98</v>
      </c>
      <c r="B2" s="15" t="str">
        <f>MID(A2,4,7)</f>
        <v>6460834</v>
      </c>
    </row>
    <row r="3" spans="1:2">
      <c r="A3" s="3" t="s">
        <v>99</v>
      </c>
      <c r="B3" s="15" t="str">
        <f t="shared" ref="B3:B6" si="0">MID(A3,4,7)</f>
        <v>5810213</v>
      </c>
    </row>
    <row r="4" spans="1:2">
      <c r="A4" s="3" t="s">
        <v>100</v>
      </c>
      <c r="B4" s="15" t="str">
        <f t="shared" si="0"/>
        <v>8546376</v>
      </c>
    </row>
    <row r="5" spans="1:2">
      <c r="A5" s="3" t="s">
        <v>101</v>
      </c>
      <c r="B5" s="15" t="str">
        <f t="shared" si="0"/>
        <v>5458723</v>
      </c>
    </row>
    <row r="6" spans="1:2">
      <c r="A6" s="3" t="s">
        <v>102</v>
      </c>
      <c r="B6" s="15" t="str">
        <f t="shared" si="0"/>
        <v>8783057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8">
    <tabColor rgb="FF1E73BE"/>
  </sheetPr>
  <dimension ref="A1:G12"/>
  <sheetViews>
    <sheetView tabSelected="1" zoomScale="115" zoomScaleNormal="115" workbookViewId="0">
      <selection activeCell="A6" sqref="A6"/>
    </sheetView>
  </sheetViews>
  <sheetFormatPr defaultColWidth="9.140625" defaultRowHeight="14.25"/>
  <cols>
    <col min="1" max="1" width="20.7109375" style="7" customWidth="1"/>
    <col min="2" max="2" width="34.42578125" style="7" customWidth="1"/>
    <col min="3" max="3" width="14.7109375" style="7" customWidth="1"/>
    <col min="4" max="6" width="11.140625" style="7" bestFit="1" customWidth="1"/>
    <col min="7" max="16384" width="9.140625" style="7"/>
  </cols>
  <sheetData>
    <row r="1" spans="1:7">
      <c r="A1" s="6" t="s">
        <v>0</v>
      </c>
      <c r="B1" s="6"/>
      <c r="C1" s="6"/>
      <c r="E1" s="58" t="s">
        <v>0</v>
      </c>
      <c r="F1" s="58"/>
      <c r="G1" s="58"/>
    </row>
    <row r="2" spans="1:7">
      <c r="A2" s="8" t="s">
        <v>123</v>
      </c>
      <c r="B2" s="9"/>
      <c r="C2" s="8"/>
    </row>
    <row r="3" spans="1:7">
      <c r="A3" s="8" t="s">
        <v>106</v>
      </c>
      <c r="B3" s="8" t="s">
        <v>105</v>
      </c>
      <c r="C3" s="8" t="s">
        <v>104</v>
      </c>
    </row>
    <row r="4" spans="1:7">
      <c r="A4" s="10">
        <v>5.5500000000000001E-2</v>
      </c>
      <c r="B4" s="11">
        <v>200</v>
      </c>
      <c r="C4" s="12">
        <v>10</v>
      </c>
    </row>
    <row r="5" spans="1:7">
      <c r="A5" s="7" t="s">
        <v>107</v>
      </c>
    </row>
    <row r="6" spans="1:7">
      <c r="A6" s="13" t="str">
        <f>TEXT(A4,"0,00%")&amp;" z wkładem "&amp;DOLLAR(B4,0)&amp; "przez okres" &amp;C4</f>
        <v>006% z wkładem $200przez okres10</v>
      </c>
    </row>
    <row r="7" spans="1:7">
      <c r="A7" s="14">
        <f>-FV(A4,C4,B4)</f>
        <v>2581.1070875019409</v>
      </c>
    </row>
    <row r="8" spans="1:7">
      <c r="A8" s="14"/>
    </row>
    <row r="9" spans="1:7">
      <c r="A9" s="14"/>
    </row>
    <row r="10" spans="1:7">
      <c r="A10" s="14"/>
    </row>
    <row r="11" spans="1:7">
      <c r="A11" s="14"/>
    </row>
    <row r="12" spans="1:7">
      <c r="A12" s="14"/>
    </row>
  </sheetData>
  <mergeCells count="1"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11</vt:i4>
      </vt:variant>
    </vt:vector>
  </HeadingPairs>
  <TitlesOfParts>
    <vt:vector size="11" baseType="lpstr">
      <vt:lpstr>ExceliAdam</vt:lpstr>
      <vt:lpstr>ImięNazwisko</vt:lpstr>
      <vt:lpstr>Adresy</vt:lpstr>
      <vt:lpstr>StałaSzerokość</vt:lpstr>
      <vt:lpstr>AdresyFlashFill</vt:lpstr>
      <vt:lpstr>Wstaw i Połącz</vt:lpstr>
      <vt:lpstr>DaneOsobowe</vt:lpstr>
      <vt:lpstr>Daty</vt:lpstr>
      <vt:lpstr>małeWIELKIE</vt:lpstr>
      <vt:lpstr>FragmentTekstu</vt:lpstr>
      <vt:lpstr>TEKST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2015-10-21T03:34:09Z</dcterms:created>
  <dcterms:modified xsi:type="dcterms:W3CDTF">2026-10-26T18:52:15Z</dcterms:modified>
</cp:coreProperties>
</file>