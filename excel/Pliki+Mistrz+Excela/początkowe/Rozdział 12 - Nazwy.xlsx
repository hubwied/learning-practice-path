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7C66E205-4807-4F7F-A8DE-92E4E65E8006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ExceliAdam" sheetId="9" r:id="rId1"/>
    <sheet name="Zakresy" sheetId="2" r:id="rId2"/>
    <sheet name="Stałe" sheetId="3" r:id="rId3"/>
    <sheet name="Formuła" sheetId="8" r:id="rId4"/>
    <sheet name="Kalendarz" sheetId="4" r:id="rId5"/>
  </sheets>
  <definedNames>
    <definedName name="_xlnm._FilterDatabase" localSheetId="3" hidden="1">Formuła!$A$3:$A$60</definedName>
    <definedName name="_xlnm._FilterDatabase" localSheetId="4" hidden="1">Kalendarz!$H$3:$H$60</definedName>
    <definedName name="_xlnm._FilterDatabase" localSheetId="2" hidden="1">Stałe!$A$2:$A$59</definedName>
    <definedName name="_xlnm._FilterDatabase" localSheetId="1" hidden="1">Zakresy!#REF!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Koszt">Zakresy!$B$2</definedName>
    <definedName name="liczba_Eulera">2.71828182845904</definedName>
    <definedName name="plus7">Kalendarz!A1048576+7</definedName>
    <definedName name="Przychód">Zakresy!$B$1</definedName>
    <definedName name="seria" localSheetId="3">OFFSET(Formuła!$A$3:$A$11,0,MATCH(Formuła!$F$1,Formuła!$B$2:$D$2,0))</definedName>
    <definedName name="VAT">Zakresy!$E$7</definedName>
    <definedName name="Zysk">Zakresy!$B$3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 a="1"/>
  <c r="B7" i="4" a="1"/>
  <c r="C7" i="4" a="1"/>
  <c r="D7" i="4" a="1"/>
  <c r="E7" i="4" a="1"/>
  <c r="F7" i="4" a="1"/>
  <c r="G7" i="4" a="1"/>
  <c r="A8" i="4" a="1"/>
  <c r="B8" i="4" a="1"/>
  <c r="C8" i="4" a="1"/>
  <c r="D8" i="4" a="1"/>
  <c r="E8" i="4" a="1"/>
  <c r="F8" i="4" a="1"/>
  <c r="G8" i="4" a="1"/>
  <c r="G9" i="4" s="1" a="1"/>
  <c r="G10" i="4" s="1" a="1"/>
  <c r="A9" i="4" a="1"/>
  <c r="B9" i="4" a="1"/>
  <c r="C9" i="4" a="1"/>
  <c r="D9" i="4" a="1"/>
  <c r="E9" i="4" a="1"/>
  <c r="F9" i="4" a="1"/>
  <c r="A10" i="4" a="1"/>
  <c r="B10" i="4" a="1"/>
  <c r="C10" i="4" a="1"/>
  <c r="D10" i="4" a="1"/>
  <c r="E10" i="4" a="1"/>
  <c r="F10" i="4" a="1"/>
  <c r="B6" i="4" a="1"/>
  <c r="C6" i="4" a="1"/>
  <c r="D6" i="4" a="1"/>
  <c r="E6" i="4" a="1"/>
  <c r="F6" i="4" a="1"/>
  <c r="G6" i="4" a="1"/>
  <c r="A6" i="4" a="1"/>
  <c r="F2" i="8" a="1"/>
  <c r="C5" i="3"/>
  <c r="C6" i="3"/>
  <c r="C7" i="3"/>
  <c r="C4" i="3"/>
  <c r="C8" i="2"/>
  <c r="C9" i="2"/>
  <c r="C10" i="2"/>
  <c r="C11" i="2"/>
  <c r="C12" i="2"/>
  <c r="C7" i="2"/>
  <c r="B3" i="2"/>
  <c r="I5" i="4"/>
  <c r="B5" i="4"/>
  <c r="C5" i="4" s="1"/>
  <c r="D5" i="4" s="1"/>
  <c r="E5" i="4" s="1"/>
  <c r="F5" i="4" s="1"/>
  <c r="G5" i="4" s="1"/>
  <c r="B5" i="3" l="1"/>
  <c r="B6" i="3"/>
  <c r="B7" i="3"/>
  <c r="B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<sst xmlns="http://schemas.openxmlformats.org/spreadsheetml/2006/main" count="82" uniqueCount="78">
  <si>
    <t>Przychód</t>
  </si>
  <si>
    <t>Koszt</t>
  </si>
  <si>
    <t>Zysk</t>
  </si>
  <si>
    <t>Produkt</t>
  </si>
  <si>
    <t>Cena</t>
  </si>
  <si>
    <t>Produkt A</t>
  </si>
  <si>
    <t>Produkt B</t>
  </si>
  <si>
    <t>Produkt C</t>
  </si>
  <si>
    <t>Produkt D</t>
  </si>
  <si>
    <t>Produkt E</t>
  </si>
  <si>
    <t>Produkt RA</t>
  </si>
  <si>
    <t>VAT</t>
  </si>
  <si>
    <t>liczba Eulera</t>
  </si>
  <si>
    <t>Wartość</t>
  </si>
  <si>
    <t>Logarytm naturalny</t>
  </si>
  <si>
    <t>ID pracownika</t>
  </si>
  <si>
    <t>Liczba telefonów</t>
  </si>
  <si>
    <t>Sprzedana</t>
  </si>
  <si>
    <t>Opcja I</t>
  </si>
  <si>
    <t>Opcja II</t>
  </si>
  <si>
    <t>N-1</t>
  </si>
  <si>
    <t>N-2</t>
  </si>
  <si>
    <t>N-3</t>
  </si>
  <si>
    <t>N-4</t>
  </si>
  <si>
    <t>N-5</t>
  </si>
  <si>
    <t>C-1</t>
  </si>
  <si>
    <t>C-2</t>
  </si>
  <si>
    <t>C-3</t>
  </si>
  <si>
    <t>C-4</t>
  </si>
  <si>
    <t>Logarytm o podstawie e</t>
  </si>
  <si>
    <t>Pn</t>
  </si>
  <si>
    <t>Wt</t>
  </si>
  <si>
    <t>Śr</t>
  </si>
  <si>
    <t>Cz</t>
  </si>
  <si>
    <t>Pt</t>
  </si>
  <si>
    <t>So</t>
  </si>
  <si>
    <t>N</t>
  </si>
  <si>
    <t xml:space="preserve">Styczeń </t>
  </si>
  <si>
    <t>Rok</t>
  </si>
  <si>
    <t>2016</t>
  </si>
  <si>
    <r>
      <t>e</t>
    </r>
    <r>
      <rPr>
        <vertAlign val="superscript"/>
        <sz val="10.5"/>
        <color theme="1"/>
        <rFont val="Calibri"/>
        <family val="2"/>
        <scheme val="minor"/>
      </rPr>
      <t>x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</si>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</sst>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zł&quot;;[Red]\-#,##0\ &quot;zł&quot;"/>
    <numFmt numFmtId="165" formatCode="#,##0.00\ &quot;zł&quot;;[Red]\-#,##0.00\ &quot;zł&quot;"/>
    <numFmt numFmtId="166" formatCode="0.00000000000000"/>
    <numFmt numFmtId="167" formatCode="d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vertAlign val="superscript"/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FF1D6"/>
        <bgColor rgb="FF000000"/>
      </patternFill>
    </fill>
    <fill>
      <patternFill patternType="solid">
        <fgColor rgb="FF2EA3F2"/>
        <bgColor rgb="FF000000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1"/>
    <xf numFmtId="0" fontId="4" fillId="0" borderId="0" xfId="1" applyFont="1"/>
    <xf numFmtId="49" fontId="4" fillId="0" borderId="0" xfId="1" applyNumberFormat="1" applyFont="1"/>
    <xf numFmtId="166" fontId="4" fillId="0" borderId="0" xfId="1" applyNumberFormat="1" applyFont="1"/>
    <xf numFmtId="0" fontId="5" fillId="2" borderId="0" xfId="1" applyFont="1" applyFill="1" applyAlignment="1">
      <alignment horizontal="centerContinuous"/>
    </xf>
    <xf numFmtId="0" fontId="6" fillId="2" borderId="0" xfId="1" applyFont="1" applyFill="1" applyAlignment="1">
      <alignment horizontal="centerContinuous"/>
    </xf>
    <xf numFmtId="0" fontId="7" fillId="5" borderId="1" xfId="0" applyFont="1" applyFill="1" applyBorder="1" applyAlignment="1">
      <alignment horizontal="center" vertical="center"/>
    </xf>
    <xf numFmtId="167" fontId="4" fillId="0" borderId="1" xfId="1" applyNumberFormat="1" applyFont="1" applyBorder="1"/>
    <xf numFmtId="0" fontId="7" fillId="5" borderId="5" xfId="0" applyFont="1" applyFill="1" applyBorder="1" applyAlignment="1">
      <alignment horizontal="centerContinuous" vertical="center"/>
    </xf>
    <xf numFmtId="0" fontId="7" fillId="5" borderId="6" xfId="0" applyFont="1" applyFill="1" applyBorder="1" applyAlignment="1">
      <alignment horizontal="centerContinuous" vertical="center"/>
    </xf>
    <xf numFmtId="0" fontId="7" fillId="5" borderId="1" xfId="0" applyFont="1" applyFill="1" applyBorder="1" applyAlignment="1">
      <alignment vertical="center"/>
    </xf>
    <xf numFmtId="0" fontId="4" fillId="0" borderId="1" xfId="1" applyFont="1" applyBorder="1"/>
    <xf numFmtId="166" fontId="4" fillId="0" borderId="1" xfId="1" applyNumberFormat="1" applyFont="1" applyBorder="1"/>
    <xf numFmtId="0" fontId="4" fillId="3" borderId="1" xfId="1" applyFont="1" applyFill="1" applyBorder="1"/>
    <xf numFmtId="164" fontId="4" fillId="3" borderId="1" xfId="1" applyNumberFormat="1" applyFont="1" applyFill="1" applyBorder="1"/>
    <xf numFmtId="164" fontId="4" fillId="0" borderId="0" xfId="1" applyNumberFormat="1" applyFont="1"/>
    <xf numFmtId="0" fontId="4" fillId="0" borderId="2" xfId="1" applyFont="1" applyBorder="1"/>
    <xf numFmtId="165" fontId="4" fillId="0" borderId="3" xfId="1" applyNumberFormat="1" applyFont="1" applyBorder="1"/>
    <xf numFmtId="165" fontId="9" fillId="4" borderId="1" xfId="1" applyNumberFormat="1" applyFont="1" applyFill="1" applyBorder="1"/>
    <xf numFmtId="9" fontId="4" fillId="0" borderId="1" xfId="1" applyNumberFormat="1" applyFont="1" applyBorder="1"/>
    <xf numFmtId="0" fontId="4" fillId="0" borderId="4" xfId="1" applyFont="1" applyBorder="1"/>
    <xf numFmtId="165" fontId="4" fillId="0" borderId="1" xfId="1" applyNumberFormat="1" applyFont="1" applyBorder="1"/>
    <xf numFmtId="20" fontId="4" fillId="0" borderId="0" xfId="1" applyNumberFormat="1" applyFont="1"/>
    <xf numFmtId="0" fontId="2" fillId="0" borderId="0" xfId="2"/>
    <xf numFmtId="0" fontId="3" fillId="0" borderId="0" xfId="3" applyFont="1" applyAlignment="1">
      <alignment vertical="center"/>
    </xf>
    <xf numFmtId="0" fontId="10" fillId="0" borderId="0" xfId="4" applyAlignment="1">
      <alignment vertical="center"/>
    </xf>
    <xf numFmtId="0" fontId="12" fillId="0" borderId="0" xfId="2" applyFont="1" applyAlignment="1">
      <alignment vertical="center"/>
    </xf>
    <xf numFmtId="0" fontId="2" fillId="0" borderId="7" xfId="2" applyBorder="1"/>
    <xf numFmtId="0" fontId="3" fillId="0" borderId="0" xfId="2" applyFont="1" applyAlignment="1">
      <alignment wrapText="1"/>
    </xf>
    <xf numFmtId="0" fontId="0" fillId="0" borderId="0" xfId="2" applyFont="1" applyAlignment="1">
      <alignment vertical="top"/>
    </xf>
    <xf numFmtId="0" fontId="10" fillId="0" borderId="0" xfId="4" applyAlignment="1"/>
    <xf numFmtId="0" fontId="2" fillId="0" borderId="0" xfId="2" applyAlignment="1">
      <alignment vertical="top"/>
    </xf>
    <xf numFmtId="0" fontId="11" fillId="0" borderId="0" xfId="5" applyFont="1" applyAlignment="1"/>
    <xf numFmtId="0" fontId="3" fillId="0" borderId="0" xfId="2" applyFont="1" applyAlignment="1">
      <alignment vertical="center"/>
    </xf>
    <xf numFmtId="0" fontId="2" fillId="0" borderId="0" xfId="2" applyAlignment="1">
      <alignment vertical="center"/>
    </xf>
    <xf numFmtId="0" fontId="13" fillId="0" borderId="0" xfId="5" applyAlignment="1"/>
    <xf numFmtId="0" fontId="3" fillId="0" borderId="0" xfId="2" applyFont="1" applyAlignment="1">
      <alignment vertical="top" wrapText="1"/>
    </xf>
    <xf numFmtId="0" fontId="2" fillId="6" borderId="0" xfId="2" applyFill="1" applyAlignment="1">
      <alignment vertical="top" wrapText="1"/>
    </xf>
    <xf numFmtId="0" fontId="2" fillId="6" borderId="0" xfId="2" applyFill="1" applyAlignment="1">
      <alignment wrapText="1"/>
    </xf>
    <xf numFmtId="0" fontId="2" fillId="0" borderId="0" xfId="2" applyAlignment="1">
      <alignment vertical="top" wrapText="1"/>
    </xf>
    <xf numFmtId="0" fontId="2" fillId="6" borderId="0" xfId="2" applyFill="1" applyAlignment="1">
      <alignment wrapText="1"/>
    </xf>
    <xf numFmtId="0" fontId="3" fillId="0" borderId="7" xfId="2" applyFont="1" applyBorder="1" applyAlignment="1">
      <alignment vertical="top" wrapText="1"/>
    </xf>
    <xf numFmtId="0" fontId="3" fillId="0" borderId="0" xfId="2" applyFont="1" applyAlignment="1">
      <alignment vertical="top" wrapText="1"/>
    </xf>
    <xf numFmtId="0" fontId="0" fillId="0" borderId="0" xfId="2" applyFont="1" applyAlignment="1">
      <alignment vertical="top"/>
    </xf>
    <xf numFmtId="0" fontId="11" fillId="0" borderId="0" xfId="4" applyFont="1" applyAlignment="1"/>
    <xf numFmtId="0" fontId="11" fillId="0" borderId="0" xfId="5" applyFont="1" applyAlignment="1"/>
    <xf numFmtId="0" fontId="2" fillId="6" borderId="0" xfId="2" applyFill="1" applyAlignment="1">
      <alignment vertical="top" wrapText="1"/>
    </xf>
    <xf numFmtId="0" fontId="2" fillId="0" borderId="0" xfId="2" applyAlignment="1">
      <alignment vertical="top"/>
    </xf>
    <xf numFmtId="0" fontId="0" fillId="0" borderId="7" xfId="2" applyFont="1" applyBorder="1" applyAlignment="1">
      <alignment vertical="top"/>
    </xf>
    <xf numFmtId="0" fontId="3" fillId="0" borderId="0" xfId="2" applyFont="1"/>
    <xf numFmtId="0" fontId="13" fillId="0" borderId="0" xfId="6" applyAlignment="1">
      <alignment vertical="center"/>
    </xf>
    <xf numFmtId="0" fontId="11" fillId="0" borderId="0" xfId="4" applyFont="1" applyAlignment="1">
      <alignment vertical="center"/>
    </xf>
    <xf numFmtId="0" fontId="10" fillId="0" borderId="0" xfId="4" applyAlignment="1">
      <alignment vertical="center"/>
    </xf>
    <xf numFmtId="0" fontId="3" fillId="0" borderId="7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2" fillId="0" borderId="0" xfId="2" applyAlignment="1">
      <alignment vertical="center"/>
    </xf>
    <xf numFmtId="0" fontId="3" fillId="0" borderId="0" xfId="3" applyFont="1" applyAlignment="1">
      <alignment vertical="center"/>
    </xf>
    <xf numFmtId="0" fontId="12" fillId="0" borderId="0" xfId="2" applyFont="1" applyAlignment="1">
      <alignment vertical="center"/>
    </xf>
    <xf numFmtId="0" fontId="3" fillId="0" borderId="7" xfId="2" applyFont="1" applyBorder="1" applyAlignment="1">
      <alignment wrapText="1"/>
    </xf>
    <xf numFmtId="0" fontId="3" fillId="0" borderId="0" xfId="2" applyFont="1" applyAlignment="1">
      <alignment wrapText="1"/>
    </xf>
  </cellXfs>
  <cellStyles count="7">
    <cellStyle name="Hiperłącze 2" xfId="4" xr:uid="{A42E1496-BE5B-4FCB-96A9-54B7570D1D83}"/>
    <cellStyle name="Hiperłącze 2 3" xfId="6" xr:uid="{2CBB4ADF-AE0C-4C3E-881A-7BE3C02840F1}"/>
    <cellStyle name="Hiperłącze 3" xfId="5" xr:uid="{99D2C335-763D-44D4-A63A-CC34DC88C44D}"/>
    <cellStyle name="Normalny" xfId="0" builtinId="0"/>
    <cellStyle name="Normalny 2" xfId="1" xr:uid="{00000000-0005-0000-0000-000001000000}"/>
    <cellStyle name="Normalny 2 3 2 2" xfId="2" xr:uid="{CE0FE55C-58E4-435B-9241-1C6DDA63C6C2}"/>
    <cellStyle name="Normalny 4 2" xfId="3" xr:uid="{78CBE7CD-FB05-4843-A301-8171254E59D7}"/>
  </cellStyles>
  <dxfs count="1">
    <dxf>
      <font>
        <color theme="0" tint="-0.499984740745262"/>
      </font>
    </dxf>
  </dxfs>
  <tableStyles count="0" defaultTableStyle="TableStyleMedium2" defaultPivotStyle="PivotStyleLight16"/>
  <colors>
    <mruColors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Formuła!$F$1</c:f>
          <c:strCache>
            <c:ptCount val="1"/>
            <c:pt idx="0">
              <c:v>Opcja I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Formuła!$F$1</c:f>
              <c:strCache>
                <c:ptCount val="1"/>
                <c:pt idx="0">
                  <c:v>Opcja 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Formuła!$A$3:$A$11</c:f>
              <c:strCache>
                <c:ptCount val="9"/>
                <c:pt idx="0">
                  <c:v>N-1</c:v>
                </c:pt>
                <c:pt idx="1">
                  <c:v>N-2</c:v>
                </c:pt>
                <c:pt idx="2">
                  <c:v>N-3</c:v>
                </c:pt>
                <c:pt idx="3">
                  <c:v>N-4</c:v>
                </c:pt>
                <c:pt idx="4">
                  <c:v>N-5</c:v>
                </c:pt>
                <c:pt idx="5">
                  <c:v>C-1</c:v>
                </c:pt>
                <c:pt idx="6">
                  <c:v>C-2</c:v>
                </c:pt>
                <c:pt idx="7">
                  <c:v>C-3</c:v>
                </c:pt>
                <c:pt idx="8">
                  <c:v>C-4</c:v>
                </c:pt>
              </c:strCache>
            </c:strRef>
          </c:cat>
          <c:val>
            <c:numRef>
              <c:f>Formuła!seria</c:f>
              <c:numCache>
                <c:formatCode>General</c:formatCode>
                <c:ptCount val="9"/>
                <c:pt idx="0">
                  <c:v>241</c:v>
                </c:pt>
                <c:pt idx="1">
                  <c:v>84</c:v>
                </c:pt>
                <c:pt idx="2">
                  <c:v>159</c:v>
                </c:pt>
                <c:pt idx="3">
                  <c:v>148</c:v>
                </c:pt>
                <c:pt idx="4">
                  <c:v>241</c:v>
                </c:pt>
                <c:pt idx="5">
                  <c:v>124</c:v>
                </c:pt>
                <c:pt idx="6">
                  <c:v>195</c:v>
                </c:pt>
                <c:pt idx="7">
                  <c:v>86</c:v>
                </c:pt>
                <c:pt idx="8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E-40DB-BCEC-DC10D245C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922639"/>
        <c:axId val="611962575"/>
      </c:barChart>
      <c:catAx>
        <c:axId val="6179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1962575"/>
        <c:crosses val="autoZero"/>
        <c:auto val="1"/>
        <c:lblAlgn val="ctr"/>
        <c:lblOffset val="100"/>
        <c:noMultiLvlLbl val="0"/>
      </c:catAx>
      <c:valAx>
        <c:axId val="6119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792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9E0EBD9F-EBB0-4B80-A37F-1635C55E6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0F7B74B1-7405-4286-AF09-629EE570C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3F4906E4-91AF-40BB-BA7C-37E9289C9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31C2202F-DD27-42B3-9917-235C45C731F7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1D9EAF-E194-43AE-97C5-C15429D61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CC1DD9-19C8-4F70-9575-7A30A7060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C22B9DF-55ED-4893-B7B0-69961F8DD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3A85122-9978-4047-89E8-BB3A38499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ADDD0C9-61DC-4954-A97E-8285418A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CDFBBCC-DCC8-4DA3-9FF4-95EDDB8D5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541F6033-BEE3-480F-9B3D-85B0BD82F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6CDBF8E3-7D9B-4C88-A72C-A9E9C8040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D27C2445-69E3-4BB9-B91A-D89B76A91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501894</xdr:colOff>
      <xdr:row>14</xdr:row>
      <xdr:rowOff>64477</xdr:rowOff>
    </xdr:from>
    <xdr:to>
      <xdr:col>17</xdr:col>
      <xdr:colOff>208817</xdr:colOff>
      <xdr:row>29</xdr:row>
      <xdr:rowOff>60081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021975C-CAF6-50FC-737C-A38C57FBA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1D5C-BDC1-479F-A6A6-9CC959BCC23D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 x14ac:dyDescent="0.25"/>
  <cols>
    <col min="1" max="99" width="2.42578125" style="24" customWidth="1"/>
    <col min="100" max="101" width="2.42578125" style="1" customWidth="1"/>
    <col min="102" max="105" width="9.140625" style="24"/>
    <col min="106" max="106" width="10.7109375" style="24" customWidth="1"/>
    <col min="107" max="107" width="73.7109375" style="24" customWidth="1"/>
    <col min="108" max="108" width="6.28515625" style="24" customWidth="1"/>
    <col min="109" max="16384" width="9.140625" style="24"/>
  </cols>
  <sheetData>
    <row r="1" spans="18:99" s="1" customFormat="1" ht="6" customHeight="1" x14ac:dyDescent="0.25"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</row>
    <row r="2" spans="18:99" s="1" customFormat="1" ht="6" customHeight="1" x14ac:dyDescent="0.25">
      <c r="R2" s="24"/>
      <c r="S2" s="24"/>
      <c r="T2" s="24"/>
      <c r="U2" s="24"/>
      <c r="V2" s="24"/>
      <c r="W2" s="24"/>
      <c r="X2" s="24"/>
      <c r="Y2" s="24"/>
      <c r="Z2" s="57" t="s">
        <v>41</v>
      </c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25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</row>
    <row r="3" spans="18:99" s="1" customFormat="1" ht="6" customHeight="1" x14ac:dyDescent="0.25">
      <c r="R3" s="24"/>
      <c r="S3" s="24"/>
      <c r="T3" s="24"/>
      <c r="U3" s="24"/>
      <c r="V3" s="24"/>
      <c r="W3" s="24"/>
      <c r="X3" s="24"/>
      <c r="Y3" s="24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25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</row>
    <row r="4" spans="18:99" s="1" customFormat="1" ht="6" customHeight="1" x14ac:dyDescent="0.25">
      <c r="R4" s="24"/>
      <c r="S4" s="24"/>
      <c r="T4" s="24"/>
      <c r="U4" s="24"/>
      <c r="V4" s="24"/>
      <c r="W4" s="24"/>
      <c r="X4" s="24"/>
      <c r="Y4" s="24"/>
      <c r="Z4" s="52" t="s">
        <v>42</v>
      </c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26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</row>
    <row r="5" spans="18:99" s="1" customFormat="1" ht="6" customHeight="1" x14ac:dyDescent="0.25">
      <c r="R5" s="58" t="s">
        <v>43</v>
      </c>
      <c r="S5" s="58"/>
      <c r="T5" s="58"/>
      <c r="U5" s="58"/>
      <c r="V5" s="58"/>
      <c r="W5" s="58"/>
      <c r="X5" s="24"/>
      <c r="Y5" s="24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26"/>
      <c r="BE5" s="24"/>
      <c r="BF5" s="58" t="s">
        <v>44</v>
      </c>
      <c r="BG5" s="58"/>
      <c r="BH5" s="58"/>
      <c r="BI5" s="58"/>
      <c r="BJ5" s="58"/>
      <c r="BK5" s="58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</row>
    <row r="6" spans="18:99" s="1" customFormat="1" ht="6" customHeight="1" x14ac:dyDescent="0.25">
      <c r="R6" s="58"/>
      <c r="S6" s="58"/>
      <c r="T6" s="58"/>
      <c r="U6" s="58"/>
      <c r="V6" s="58"/>
      <c r="W6" s="58"/>
      <c r="X6" s="24"/>
      <c r="Y6" s="24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26"/>
      <c r="BE6" s="24"/>
      <c r="BF6" s="58"/>
      <c r="BG6" s="58"/>
      <c r="BH6" s="58"/>
      <c r="BI6" s="58"/>
      <c r="BJ6" s="58"/>
      <c r="BK6" s="58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</row>
    <row r="7" spans="18:99" s="1" customFormat="1" ht="6" customHeight="1" x14ac:dyDescent="0.25">
      <c r="R7" s="58"/>
      <c r="S7" s="58"/>
      <c r="T7" s="58"/>
      <c r="U7" s="58"/>
      <c r="V7" s="58"/>
      <c r="W7" s="58"/>
      <c r="X7" s="27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58"/>
      <c r="BG7" s="58"/>
      <c r="BH7" s="58"/>
      <c r="BI7" s="58"/>
      <c r="BJ7" s="58"/>
      <c r="BK7" s="58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</row>
    <row r="8" spans="18:99" s="1" customFormat="1" ht="6" customHeight="1" x14ac:dyDescent="0.25"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</row>
    <row r="9" spans="18:99" s="1" customFormat="1" ht="6" customHeight="1" x14ac:dyDescent="0.25">
      <c r="R9" s="28"/>
      <c r="S9" s="28"/>
      <c r="T9" s="28"/>
      <c r="U9" s="28"/>
      <c r="V9" s="28"/>
      <c r="W9" s="28"/>
      <c r="X9" s="28"/>
      <c r="Y9" s="28"/>
      <c r="Z9" s="59" t="s">
        <v>45</v>
      </c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29"/>
      <c r="BE9" s="24"/>
      <c r="BF9" s="28"/>
      <c r="BG9" s="28"/>
      <c r="BH9" s="28"/>
      <c r="BI9" s="28"/>
      <c r="BJ9" s="28"/>
      <c r="BK9" s="28"/>
      <c r="BL9" s="28"/>
      <c r="BM9" s="28"/>
      <c r="BN9" s="49" t="s">
        <v>46</v>
      </c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30"/>
      <c r="CS9" s="30"/>
      <c r="CT9" s="30"/>
      <c r="CU9" s="30"/>
    </row>
    <row r="10" spans="18:99" s="1" customFormat="1" ht="6" customHeight="1" x14ac:dyDescent="0.25">
      <c r="R10" s="24"/>
      <c r="S10" s="24"/>
      <c r="T10" s="24"/>
      <c r="U10" s="24"/>
      <c r="V10" s="24"/>
      <c r="W10" s="24"/>
      <c r="X10" s="24"/>
      <c r="Y10" s="24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29"/>
      <c r="BE10" s="24"/>
      <c r="BF10" s="24"/>
      <c r="BG10" s="24"/>
      <c r="BH10" s="24"/>
      <c r="BI10" s="24"/>
      <c r="BJ10" s="24"/>
      <c r="BK10" s="24"/>
      <c r="BL10" s="24"/>
      <c r="BM10" s="2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30"/>
      <c r="CS10" s="30"/>
      <c r="CT10" s="30"/>
      <c r="CU10" s="30"/>
    </row>
    <row r="11" spans="18:99" s="1" customFormat="1" ht="6" customHeight="1" x14ac:dyDescent="0.25">
      <c r="R11" s="24"/>
      <c r="S11" s="24"/>
      <c r="T11" s="24"/>
      <c r="U11" s="24"/>
      <c r="V11" s="24"/>
      <c r="W11" s="24"/>
      <c r="X11" s="24"/>
      <c r="Y11" s="24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29"/>
      <c r="BE11" s="24"/>
      <c r="BF11" s="24"/>
      <c r="BG11" s="24"/>
      <c r="BH11" s="24"/>
      <c r="BI11" s="24"/>
      <c r="BJ11" s="24"/>
      <c r="BK11" s="24"/>
      <c r="BL11" s="24"/>
      <c r="BM11" s="2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30"/>
      <c r="CS11" s="30"/>
      <c r="CT11" s="30"/>
      <c r="CU11" s="30"/>
    </row>
    <row r="12" spans="18:99" s="1" customFormat="1" ht="6" customHeight="1" x14ac:dyDescent="0.25">
      <c r="R12" s="24"/>
      <c r="S12" s="24"/>
      <c r="T12" s="24"/>
      <c r="U12" s="24"/>
      <c r="V12" s="24"/>
      <c r="W12" s="24"/>
      <c r="X12" s="24"/>
      <c r="Y12" s="24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29"/>
      <c r="BE12" s="24"/>
      <c r="BF12" s="24"/>
      <c r="BG12" s="24"/>
      <c r="BH12" s="24"/>
      <c r="BI12" s="24"/>
      <c r="BJ12" s="24"/>
      <c r="BK12" s="24"/>
      <c r="BL12" s="24"/>
      <c r="BM12" s="24"/>
      <c r="BN12" s="45" t="s">
        <v>47</v>
      </c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31"/>
      <c r="CS12" s="31"/>
      <c r="CT12" s="31"/>
      <c r="CU12" s="31"/>
    </row>
    <row r="13" spans="18:99" s="1" customFormat="1" ht="6" customHeight="1" x14ac:dyDescent="0.25">
      <c r="R13" s="24"/>
      <c r="S13" s="24"/>
      <c r="T13" s="24"/>
      <c r="U13" s="24"/>
      <c r="V13" s="24"/>
      <c r="W13" s="24"/>
      <c r="X13" s="24"/>
      <c r="Y13" s="24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29"/>
      <c r="BE13" s="24"/>
      <c r="BF13" s="24"/>
      <c r="BG13" s="24"/>
      <c r="BH13" s="24"/>
      <c r="BI13" s="24"/>
      <c r="BJ13" s="24"/>
      <c r="BK13" s="24"/>
      <c r="BL13" s="24"/>
      <c r="BM13" s="24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31"/>
      <c r="CS13" s="31"/>
      <c r="CT13" s="31"/>
      <c r="CU13" s="31"/>
    </row>
    <row r="14" spans="18:99" s="1" customFormat="1" ht="6" customHeight="1" x14ac:dyDescent="0.25">
      <c r="R14" s="24"/>
      <c r="S14" s="24"/>
      <c r="T14" s="24"/>
      <c r="U14" s="24"/>
      <c r="V14" s="24"/>
      <c r="W14" s="24"/>
      <c r="X14" s="24"/>
      <c r="Y14" s="24"/>
      <c r="Z14" s="48" t="s">
        <v>48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32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</row>
    <row r="15" spans="18:99" s="1" customFormat="1" ht="6" customHeight="1" x14ac:dyDescent="0.25">
      <c r="R15" s="24"/>
      <c r="S15" s="24"/>
      <c r="T15" s="24"/>
      <c r="U15" s="24"/>
      <c r="V15" s="24"/>
      <c r="W15" s="24"/>
      <c r="X15" s="24"/>
      <c r="Y15" s="24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32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</row>
    <row r="16" spans="18:99" s="1" customFormat="1" ht="6" customHeight="1" x14ac:dyDescent="0.25">
      <c r="R16" s="24"/>
      <c r="S16" s="24"/>
      <c r="T16" s="24"/>
      <c r="U16" s="24"/>
      <c r="V16" s="24"/>
      <c r="W16" s="24"/>
      <c r="X16" s="24"/>
      <c r="Y16" s="24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32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</row>
    <row r="17" spans="18:56" ht="6" customHeight="1" x14ac:dyDescent="0.25">
      <c r="Z17" s="46" t="s">
        <v>49</v>
      </c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33"/>
    </row>
    <row r="18" spans="18:56" ht="6" customHeight="1" x14ac:dyDescent="0.25"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33"/>
    </row>
    <row r="19" spans="18:56" ht="6" customHeight="1" x14ac:dyDescent="0.25"/>
    <row r="20" spans="18:56" ht="6" customHeight="1" x14ac:dyDescent="0.25"/>
    <row r="21" spans="18:56" ht="6" customHeight="1" x14ac:dyDescent="0.25">
      <c r="R21" s="28"/>
      <c r="S21" s="28"/>
      <c r="T21" s="28"/>
      <c r="U21" s="28"/>
      <c r="V21" s="28"/>
      <c r="W21" s="28"/>
      <c r="X21" s="28"/>
      <c r="Y21" s="28"/>
      <c r="Z21" s="54" t="s">
        <v>50</v>
      </c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34"/>
    </row>
    <row r="22" spans="18:56" ht="6" customHeight="1" x14ac:dyDescent="0.25"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34"/>
    </row>
    <row r="23" spans="18:56" ht="6" customHeight="1" x14ac:dyDescent="0.25">
      <c r="Z23" s="56" t="s">
        <v>51</v>
      </c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35"/>
    </row>
    <row r="24" spans="18:56" ht="6" customHeight="1" x14ac:dyDescent="0.25"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35"/>
    </row>
    <row r="25" spans="18:56" ht="6" customHeight="1" x14ac:dyDescent="0.25"/>
    <row r="26" spans="18:56" ht="6" customHeight="1" x14ac:dyDescent="0.25">
      <c r="Z26" s="46" t="s">
        <v>52</v>
      </c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33"/>
    </row>
    <row r="27" spans="18:56" ht="6" customHeight="1" x14ac:dyDescent="0.25"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33"/>
    </row>
    <row r="28" spans="18:56" ht="6" customHeight="1" x14ac:dyDescent="0.25"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</row>
    <row r="29" spans="18:56" ht="6" customHeight="1" x14ac:dyDescent="0.25"/>
    <row r="30" spans="18:56" ht="6" customHeight="1" x14ac:dyDescent="0.25"/>
    <row r="31" spans="18:56" ht="6" customHeight="1" x14ac:dyDescent="0.25"/>
    <row r="32" spans="18:56" ht="6" customHeight="1" x14ac:dyDescent="0.25">
      <c r="R32" s="28"/>
      <c r="S32" s="28"/>
      <c r="T32" s="28"/>
      <c r="U32" s="28"/>
      <c r="V32" s="28"/>
      <c r="W32" s="28"/>
      <c r="X32" s="28"/>
      <c r="Y32" s="28"/>
      <c r="Z32" s="42" t="s">
        <v>53</v>
      </c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37"/>
    </row>
    <row r="33" spans="18:99" s="1" customFormat="1" ht="6" customHeight="1" x14ac:dyDescent="0.25">
      <c r="R33" s="24"/>
      <c r="S33" s="24"/>
      <c r="T33" s="24"/>
      <c r="U33" s="24"/>
      <c r="V33" s="24"/>
      <c r="W33" s="24"/>
      <c r="X33" s="24"/>
      <c r="Y33" s="24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37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</row>
    <row r="34" spans="18:99" s="1" customFormat="1" ht="6" customHeight="1" x14ac:dyDescent="0.25">
      <c r="R34" s="24"/>
      <c r="S34" s="24"/>
      <c r="T34" s="24"/>
      <c r="U34" s="24"/>
      <c r="V34" s="24"/>
      <c r="W34" s="24"/>
      <c r="X34" s="24"/>
      <c r="Y34" s="24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37"/>
      <c r="BE34" s="24"/>
      <c r="BF34" s="28"/>
      <c r="BG34" s="28"/>
      <c r="BH34" s="28"/>
      <c r="BI34" s="28"/>
      <c r="BJ34" s="28"/>
      <c r="BK34" s="28"/>
      <c r="BL34" s="28"/>
      <c r="BM34" s="28"/>
      <c r="BN34" s="49" t="s">
        <v>54</v>
      </c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30"/>
      <c r="CS34" s="30"/>
      <c r="CT34" s="30"/>
      <c r="CU34" s="30"/>
    </row>
    <row r="35" spans="18:99" s="1" customFormat="1" ht="6" customHeight="1" x14ac:dyDescent="0.25">
      <c r="R35" s="24"/>
      <c r="S35" s="24"/>
      <c r="T35" s="24"/>
      <c r="U35" s="24"/>
      <c r="V35" s="24"/>
      <c r="W35" s="24"/>
      <c r="X35" s="24"/>
      <c r="Y35" s="24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37"/>
      <c r="BE35" s="24"/>
      <c r="BF35" s="24"/>
      <c r="BG35" s="24"/>
      <c r="BH35" s="24"/>
      <c r="BI35" s="24"/>
      <c r="BJ35" s="24"/>
      <c r="BK35" s="24"/>
      <c r="BL35" s="24"/>
      <c r="BM35" s="2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30"/>
      <c r="CS35" s="30"/>
      <c r="CT35" s="30"/>
      <c r="CU35" s="30"/>
    </row>
    <row r="36" spans="18:99" s="1" customFormat="1" ht="6" customHeight="1" x14ac:dyDescent="0.25">
      <c r="R36" s="24"/>
      <c r="S36" s="24"/>
      <c r="T36" s="24"/>
      <c r="U36" s="24"/>
      <c r="V36" s="24"/>
      <c r="W36" s="24"/>
      <c r="X36" s="24"/>
      <c r="Y36" s="24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37"/>
      <c r="BE36" s="24"/>
      <c r="BF36" s="24"/>
      <c r="BG36" s="24"/>
      <c r="BH36" s="24"/>
      <c r="BI36" s="24"/>
      <c r="BJ36" s="24"/>
      <c r="BK36" s="24"/>
      <c r="BL36" s="24"/>
      <c r="BM36" s="2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30"/>
      <c r="CS36" s="30"/>
      <c r="CT36" s="30"/>
      <c r="CU36" s="30"/>
    </row>
    <row r="37" spans="18:99" s="1" customFormat="1" ht="6" customHeight="1" x14ac:dyDescent="0.25">
      <c r="R37" s="24"/>
      <c r="S37" s="24"/>
      <c r="T37" s="24"/>
      <c r="U37" s="24"/>
      <c r="V37" s="24"/>
      <c r="W37" s="24"/>
      <c r="X37" s="24"/>
      <c r="Y37" s="24"/>
      <c r="Z37" s="48" t="s">
        <v>55</v>
      </c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32"/>
      <c r="BE37" s="24"/>
      <c r="BF37" s="24"/>
      <c r="BG37" s="24"/>
      <c r="BH37" s="24"/>
      <c r="BI37" s="24"/>
      <c r="BJ37" s="24"/>
      <c r="BK37" s="24"/>
      <c r="BL37" s="24"/>
      <c r="BM37" s="24"/>
      <c r="BN37" s="45" t="s">
        <v>56</v>
      </c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31"/>
      <c r="CS37" s="31"/>
      <c r="CT37" s="31"/>
      <c r="CU37" s="31"/>
    </row>
    <row r="38" spans="18:99" s="1" customFormat="1" ht="6" customHeight="1" x14ac:dyDescent="0.25">
      <c r="R38" s="24"/>
      <c r="S38" s="24"/>
      <c r="T38" s="24"/>
      <c r="U38" s="24"/>
      <c r="V38" s="24"/>
      <c r="W38" s="24"/>
      <c r="X38" s="24"/>
      <c r="Y38" s="24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32"/>
      <c r="BE38" s="24"/>
      <c r="BF38" s="24"/>
      <c r="BG38" s="24"/>
      <c r="BH38" s="24"/>
      <c r="BI38" s="24"/>
      <c r="BJ38" s="24"/>
      <c r="BK38" s="24"/>
      <c r="BL38" s="24"/>
      <c r="BM38" s="24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31"/>
      <c r="CS38" s="31"/>
      <c r="CT38" s="31"/>
      <c r="CU38" s="31"/>
    </row>
    <row r="39" spans="18:99" s="1" customFormat="1" ht="6" customHeight="1" x14ac:dyDescent="0.25">
      <c r="R39" s="24"/>
      <c r="S39" s="24"/>
      <c r="T39" s="24"/>
      <c r="U39" s="24"/>
      <c r="V39" s="24"/>
      <c r="W39" s="24"/>
      <c r="X39" s="24"/>
      <c r="Y39" s="24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32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</row>
    <row r="40" spans="18:99" s="1" customFormat="1" ht="6" customHeight="1" x14ac:dyDescent="0.25">
      <c r="R40" s="24"/>
      <c r="S40" s="24"/>
      <c r="T40" s="24"/>
      <c r="U40" s="24"/>
      <c r="V40" s="24"/>
      <c r="W40" s="24"/>
      <c r="X40" s="24"/>
      <c r="Y40" s="24"/>
      <c r="Z40" s="46" t="s">
        <v>57</v>
      </c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33"/>
      <c r="BE40" s="24"/>
      <c r="BF40" s="24"/>
      <c r="BG40" s="24"/>
      <c r="BH40" s="24"/>
      <c r="BI40" s="24"/>
      <c r="BJ40" s="24"/>
      <c r="BK40" s="24"/>
      <c r="BL40" s="24"/>
      <c r="BM40" s="24"/>
      <c r="BN40" s="44" t="s">
        <v>58</v>
      </c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30"/>
      <c r="CS40" s="30"/>
      <c r="CT40" s="30"/>
      <c r="CU40" s="30"/>
    </row>
    <row r="41" spans="18:99" s="1" customFormat="1" ht="6" customHeight="1" x14ac:dyDescent="0.25">
      <c r="R41" s="24"/>
      <c r="S41" s="24"/>
      <c r="T41" s="24"/>
      <c r="U41" s="24"/>
      <c r="V41" s="24"/>
      <c r="W41" s="24"/>
      <c r="X41" s="24"/>
      <c r="Y41" s="24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33"/>
      <c r="BE41" s="24"/>
      <c r="BF41" s="24"/>
      <c r="BG41" s="24"/>
      <c r="BH41" s="24"/>
      <c r="BI41" s="24"/>
      <c r="BJ41" s="24"/>
      <c r="BK41" s="24"/>
      <c r="BL41" s="24"/>
      <c r="BM41" s="2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30"/>
      <c r="CS41" s="30"/>
      <c r="CT41" s="30"/>
      <c r="CU41" s="30"/>
    </row>
    <row r="42" spans="18:99" s="1" customFormat="1" ht="6" customHeight="1" x14ac:dyDescent="0.25"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30"/>
      <c r="CS42" s="30"/>
      <c r="CT42" s="30"/>
      <c r="CU42" s="30"/>
    </row>
    <row r="43" spans="18:99" s="1" customFormat="1" ht="6" customHeight="1" x14ac:dyDescent="0.25">
      <c r="R43" s="28"/>
      <c r="S43" s="28"/>
      <c r="T43" s="28"/>
      <c r="U43" s="28"/>
      <c r="V43" s="28"/>
      <c r="W43" s="28"/>
      <c r="X43" s="28"/>
      <c r="Y43" s="28"/>
      <c r="Z43" s="42" t="s">
        <v>59</v>
      </c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37"/>
      <c r="BE43" s="24"/>
      <c r="BF43" s="24"/>
      <c r="BG43" s="24"/>
      <c r="BH43" s="24"/>
      <c r="BI43" s="24"/>
      <c r="BJ43" s="24"/>
      <c r="BK43" s="24"/>
      <c r="BL43" s="24"/>
      <c r="BM43" s="24"/>
      <c r="BN43" s="45" t="s">
        <v>60</v>
      </c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31"/>
      <c r="CS43" s="31"/>
      <c r="CT43" s="31"/>
      <c r="CU43" s="31"/>
    </row>
    <row r="44" spans="18:99" s="1" customFormat="1" ht="6" customHeight="1" x14ac:dyDescent="0.25">
      <c r="R44" s="24"/>
      <c r="S44" s="24"/>
      <c r="T44" s="24"/>
      <c r="U44" s="24"/>
      <c r="V44" s="24"/>
      <c r="W44" s="24"/>
      <c r="X44" s="24"/>
      <c r="Y44" s="24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37"/>
      <c r="BE44" s="24"/>
      <c r="BF44" s="24"/>
      <c r="BG44" s="24"/>
      <c r="BH44" s="24"/>
      <c r="BI44" s="24"/>
      <c r="BJ44" s="24"/>
      <c r="BK44" s="24"/>
      <c r="BL44" s="24"/>
      <c r="BM44" s="24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31"/>
      <c r="CS44" s="31"/>
      <c r="CT44" s="31"/>
      <c r="CU44" s="31"/>
    </row>
    <row r="45" spans="18:99" s="1" customFormat="1" ht="6" customHeight="1" x14ac:dyDescent="0.25">
      <c r="R45" s="24"/>
      <c r="S45" s="24"/>
      <c r="T45" s="24"/>
      <c r="U45" s="24"/>
      <c r="V45" s="24"/>
      <c r="W45" s="24"/>
      <c r="X45" s="24"/>
      <c r="Y45" s="24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37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</row>
    <row r="46" spans="18:99" s="1" customFormat="1" ht="6" customHeight="1" x14ac:dyDescent="0.25">
      <c r="R46" s="24"/>
      <c r="S46" s="24"/>
      <c r="T46" s="24"/>
      <c r="U46" s="24"/>
      <c r="V46" s="24"/>
      <c r="W46" s="24"/>
      <c r="X46" s="24"/>
      <c r="Y46" s="24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37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</row>
    <row r="47" spans="18:99" s="1" customFormat="1" ht="6" customHeight="1" x14ac:dyDescent="0.25">
      <c r="R47" s="24"/>
      <c r="S47" s="24"/>
      <c r="T47" s="24"/>
      <c r="U47" s="24"/>
      <c r="V47" s="24"/>
      <c r="W47" s="24"/>
      <c r="X47" s="24"/>
      <c r="Y47" s="24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37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</row>
    <row r="48" spans="18:99" s="1" customFormat="1" ht="6" customHeight="1" x14ac:dyDescent="0.25">
      <c r="R48" s="24"/>
      <c r="S48" s="24"/>
      <c r="T48" s="24"/>
      <c r="U48" s="24"/>
      <c r="V48" s="24"/>
      <c r="W48" s="24"/>
      <c r="X48" s="24"/>
      <c r="Y48" s="24"/>
      <c r="Z48" s="48" t="s">
        <v>61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32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</row>
    <row r="49" spans="2:99" s="1" customFormat="1" ht="6" customHeight="1" x14ac:dyDescent="0.2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32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</row>
    <row r="50" spans="2:99" s="1" customFormat="1" ht="6" customHeight="1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32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</row>
    <row r="51" spans="2:99" s="1" customFormat="1" ht="6" customHeight="1" x14ac:dyDescent="0.25">
      <c r="B51" s="52" t="s">
        <v>62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24"/>
      <c r="R51" s="24"/>
      <c r="S51" s="24"/>
      <c r="T51" s="24"/>
      <c r="U51" s="24"/>
      <c r="V51" s="24"/>
      <c r="W51" s="24"/>
      <c r="X51" s="24"/>
      <c r="Y51" s="24"/>
      <c r="Z51" s="46" t="s">
        <v>63</v>
      </c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33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</row>
    <row r="52" spans="2:99" s="1" customFormat="1" ht="6" customHeight="1" x14ac:dyDescent="0.25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24"/>
      <c r="R52" s="24"/>
      <c r="S52" s="24"/>
      <c r="T52" s="24"/>
      <c r="U52" s="24"/>
      <c r="V52" s="24"/>
      <c r="W52" s="24"/>
      <c r="X52" s="24"/>
      <c r="Y52" s="24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33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</row>
    <row r="53" spans="2:99" s="1" customFormat="1" ht="6" customHeight="1" x14ac:dyDescent="0.2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</row>
    <row r="54" spans="2:99" s="1" customFormat="1" ht="6" customHeight="1" x14ac:dyDescent="0.25">
      <c r="B54" s="50" t="s">
        <v>64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24"/>
      <c r="R54" s="28"/>
      <c r="S54" s="28"/>
      <c r="T54" s="28"/>
      <c r="U54" s="28"/>
      <c r="V54" s="28"/>
      <c r="W54" s="28"/>
      <c r="X54" s="28"/>
      <c r="Y54" s="28"/>
      <c r="Z54" s="42" t="s">
        <v>65</v>
      </c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37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</row>
    <row r="55" spans="2:99" s="1" customFormat="1" ht="6" customHeight="1" x14ac:dyDescent="0.25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24"/>
      <c r="R55" s="24"/>
      <c r="S55" s="24"/>
      <c r="T55" s="24"/>
      <c r="U55" s="24"/>
      <c r="V55" s="24"/>
      <c r="W55" s="24"/>
      <c r="X55" s="24"/>
      <c r="Y55" s="24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37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</row>
    <row r="56" spans="2:99" s="1" customFormat="1" ht="6" customHeight="1" x14ac:dyDescent="0.25"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24"/>
      <c r="R56" s="24"/>
      <c r="S56" s="24"/>
      <c r="T56" s="24"/>
      <c r="U56" s="24"/>
      <c r="V56" s="24"/>
      <c r="W56" s="24"/>
      <c r="X56" s="24"/>
      <c r="Y56" s="24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37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</row>
    <row r="57" spans="2:99" s="1" customFormat="1" ht="6" customHeight="1" x14ac:dyDescent="0.25">
      <c r="B57" s="53" t="s">
        <v>66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24"/>
      <c r="R57" s="24"/>
      <c r="S57" s="24"/>
      <c r="T57" s="24"/>
      <c r="U57" s="24"/>
      <c r="V57" s="24"/>
      <c r="W57" s="24"/>
      <c r="X57" s="24"/>
      <c r="Y57" s="24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37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</row>
    <row r="58" spans="2:99" s="1" customFormat="1" ht="6" customHeight="1" x14ac:dyDescent="0.25"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24"/>
      <c r="R58" s="24"/>
      <c r="S58" s="24"/>
      <c r="T58" s="24"/>
      <c r="U58" s="24"/>
      <c r="V58" s="24"/>
      <c r="W58" s="24"/>
      <c r="X58" s="24"/>
      <c r="Y58" s="24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37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</row>
    <row r="59" spans="2:99" s="1" customFormat="1" ht="6" customHeight="1" x14ac:dyDescent="0.25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48" t="s">
        <v>67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32"/>
      <c r="BE59" s="24"/>
      <c r="BF59" s="28"/>
      <c r="BG59" s="28"/>
      <c r="BH59" s="28"/>
      <c r="BI59" s="28"/>
      <c r="BJ59" s="28"/>
      <c r="BK59" s="28"/>
      <c r="BL59" s="28"/>
      <c r="BM59" s="28"/>
      <c r="BN59" s="49" t="s">
        <v>54</v>
      </c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30"/>
      <c r="CS59" s="30"/>
      <c r="CT59" s="30"/>
      <c r="CU59" s="30"/>
    </row>
    <row r="60" spans="2:99" s="1" customFormat="1" ht="6" customHeight="1" x14ac:dyDescent="0.25">
      <c r="B60" s="50" t="s">
        <v>68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24"/>
      <c r="R60" s="24"/>
      <c r="S60" s="24"/>
      <c r="T60" s="24"/>
      <c r="U60" s="24"/>
      <c r="V60" s="24"/>
      <c r="W60" s="24"/>
      <c r="X60" s="24"/>
      <c r="Y60" s="24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32"/>
      <c r="BE60" s="24"/>
      <c r="BF60" s="24"/>
      <c r="BG60" s="24"/>
      <c r="BH60" s="24"/>
      <c r="BI60" s="24"/>
      <c r="BJ60" s="24"/>
      <c r="BK60" s="24"/>
      <c r="BL60" s="24"/>
      <c r="BM60" s="2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30"/>
      <c r="CS60" s="30"/>
      <c r="CT60" s="30"/>
      <c r="CU60" s="30"/>
    </row>
    <row r="61" spans="2:99" s="1" customFormat="1" ht="6" customHeight="1" x14ac:dyDescent="0.25"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24"/>
      <c r="R61" s="24"/>
      <c r="S61" s="24"/>
      <c r="T61" s="24"/>
      <c r="U61" s="24"/>
      <c r="V61" s="24"/>
      <c r="W61" s="24"/>
      <c r="X61" s="24"/>
      <c r="Y61" s="24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32"/>
      <c r="BE61" s="24"/>
      <c r="BF61" s="24"/>
      <c r="BG61" s="24"/>
      <c r="BH61" s="24"/>
      <c r="BI61" s="24"/>
      <c r="BJ61" s="24"/>
      <c r="BK61" s="24"/>
      <c r="BL61" s="24"/>
      <c r="BM61" s="2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30"/>
      <c r="CS61" s="30"/>
      <c r="CT61" s="30"/>
      <c r="CU61" s="30"/>
    </row>
    <row r="62" spans="2:99" s="1" customFormat="1" ht="6" customHeight="1" x14ac:dyDescent="0.25"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24"/>
      <c r="R62" s="24"/>
      <c r="S62" s="24"/>
      <c r="T62" s="24"/>
      <c r="U62" s="24"/>
      <c r="V62" s="24"/>
      <c r="W62" s="24"/>
      <c r="X62" s="24"/>
      <c r="Y62" s="24"/>
      <c r="Z62" s="46" t="s">
        <v>69</v>
      </c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33"/>
      <c r="BE62" s="24"/>
      <c r="BF62" s="24"/>
      <c r="BG62" s="24"/>
      <c r="BH62" s="24"/>
      <c r="BI62" s="24"/>
      <c r="BJ62" s="24"/>
      <c r="BK62" s="24"/>
      <c r="BL62" s="24"/>
      <c r="BM62" s="24"/>
      <c r="BN62" s="45" t="s">
        <v>70</v>
      </c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31"/>
      <c r="CS62" s="31"/>
      <c r="CT62" s="31"/>
      <c r="CU62" s="31"/>
    </row>
    <row r="63" spans="2:99" s="1" customFormat="1" ht="6" customHeight="1" x14ac:dyDescent="0.25">
      <c r="B63" s="51" t="s">
        <v>71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24"/>
      <c r="R63" s="24"/>
      <c r="S63" s="24"/>
      <c r="T63" s="24"/>
      <c r="U63" s="24"/>
      <c r="V63" s="24"/>
      <c r="W63" s="24"/>
      <c r="X63" s="24"/>
      <c r="Y63" s="24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33"/>
      <c r="BE63" s="24"/>
      <c r="BF63" s="24"/>
      <c r="BG63" s="24"/>
      <c r="BH63" s="24"/>
      <c r="BI63" s="24"/>
      <c r="BJ63" s="24"/>
      <c r="BK63" s="24"/>
      <c r="BL63" s="24"/>
      <c r="BM63" s="24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31"/>
      <c r="CS63" s="31"/>
      <c r="CT63" s="31"/>
      <c r="CU63" s="31"/>
    </row>
    <row r="64" spans="2:99" s="1" customFormat="1" ht="6" customHeight="1" x14ac:dyDescent="0.2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</row>
    <row r="65" spans="18:99" s="1" customFormat="1" ht="6" customHeight="1" x14ac:dyDescent="0.25">
      <c r="R65" s="28"/>
      <c r="S65" s="28"/>
      <c r="T65" s="28"/>
      <c r="U65" s="28"/>
      <c r="V65" s="28"/>
      <c r="W65" s="28"/>
      <c r="X65" s="28"/>
      <c r="Y65" s="28"/>
      <c r="Z65" s="42" t="s">
        <v>72</v>
      </c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37"/>
      <c r="BE65" s="24"/>
      <c r="BF65" s="24"/>
      <c r="BG65" s="24"/>
      <c r="BH65" s="24"/>
      <c r="BI65" s="24"/>
      <c r="BJ65" s="24"/>
      <c r="BK65" s="24"/>
      <c r="BL65" s="24"/>
      <c r="BM65" s="24"/>
      <c r="BN65" s="44" t="s">
        <v>58</v>
      </c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30"/>
      <c r="CS65" s="30"/>
      <c r="CT65" s="30"/>
      <c r="CU65" s="30"/>
    </row>
    <row r="66" spans="18:99" s="1" customFormat="1" ht="6" customHeight="1" x14ac:dyDescent="0.25">
      <c r="R66" s="24"/>
      <c r="S66" s="24"/>
      <c r="T66" s="24"/>
      <c r="U66" s="24"/>
      <c r="V66" s="24"/>
      <c r="W66" s="24"/>
      <c r="X66" s="24"/>
      <c r="Y66" s="24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37"/>
      <c r="BE66" s="24"/>
      <c r="BF66" s="24"/>
      <c r="BG66" s="24"/>
      <c r="BH66" s="24"/>
      <c r="BI66" s="24"/>
      <c r="BJ66" s="24"/>
      <c r="BK66" s="24"/>
      <c r="BL66" s="24"/>
      <c r="BM66" s="2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30"/>
      <c r="CS66" s="30"/>
      <c r="CT66" s="30"/>
      <c r="CU66" s="30"/>
    </row>
    <row r="67" spans="18:99" s="1" customFormat="1" ht="6" customHeight="1" x14ac:dyDescent="0.25">
      <c r="R67" s="24"/>
      <c r="S67" s="24"/>
      <c r="T67" s="24"/>
      <c r="U67" s="24"/>
      <c r="V67" s="24"/>
      <c r="W67" s="24"/>
      <c r="X67" s="24"/>
      <c r="Y67" s="24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37"/>
      <c r="BE67" s="24"/>
      <c r="BF67" s="24"/>
      <c r="BG67" s="24"/>
      <c r="BH67" s="24"/>
      <c r="BI67" s="24"/>
      <c r="BJ67" s="24"/>
      <c r="BK67" s="24"/>
      <c r="BL67" s="24"/>
      <c r="BM67" s="2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30"/>
      <c r="CS67" s="30"/>
      <c r="CT67" s="30"/>
      <c r="CU67" s="30"/>
    </row>
    <row r="68" spans="18:99" s="1" customFormat="1" ht="6" customHeight="1" x14ac:dyDescent="0.25">
      <c r="R68" s="24"/>
      <c r="S68" s="24"/>
      <c r="T68" s="24"/>
      <c r="U68" s="24"/>
      <c r="V68" s="24"/>
      <c r="W68" s="24"/>
      <c r="X68" s="24"/>
      <c r="Y68" s="24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37"/>
      <c r="BE68" s="24"/>
      <c r="BF68" s="24"/>
      <c r="BG68" s="24"/>
      <c r="BH68" s="24"/>
      <c r="BI68" s="24"/>
      <c r="BJ68" s="24"/>
      <c r="BK68" s="24"/>
      <c r="BL68" s="24"/>
      <c r="BM68" s="24"/>
      <c r="BN68" s="45" t="s">
        <v>73</v>
      </c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31"/>
      <c r="CS68" s="31"/>
      <c r="CT68" s="31"/>
      <c r="CU68" s="31"/>
    </row>
    <row r="69" spans="18:99" s="1" customFormat="1" ht="6" customHeight="1" x14ac:dyDescent="0.25">
      <c r="R69" s="24"/>
      <c r="S69" s="24"/>
      <c r="T69" s="24"/>
      <c r="U69" s="24"/>
      <c r="V69" s="24"/>
      <c r="W69" s="24"/>
      <c r="X69" s="24"/>
      <c r="Y69" s="24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37"/>
      <c r="BE69" s="24"/>
      <c r="BF69" s="24"/>
      <c r="BG69" s="24"/>
      <c r="BH69" s="24"/>
      <c r="BI69" s="24"/>
      <c r="BJ69" s="24"/>
      <c r="BK69" s="24"/>
      <c r="BL69" s="24"/>
      <c r="BM69" s="24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31"/>
      <c r="CS69" s="31"/>
      <c r="CT69" s="31"/>
      <c r="CU69" s="31"/>
    </row>
    <row r="70" spans="18:99" s="1" customFormat="1" ht="6" customHeight="1" x14ac:dyDescent="0.25"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</row>
    <row r="71" spans="18:99" s="1" customFormat="1" ht="6" customHeight="1" x14ac:dyDescent="0.25">
      <c r="R71" s="24"/>
      <c r="S71" s="24"/>
      <c r="T71" s="24"/>
      <c r="U71" s="24"/>
      <c r="V71" s="24"/>
      <c r="W71" s="24"/>
      <c r="X71" s="24"/>
      <c r="Y71" s="24"/>
      <c r="Z71" s="46" t="s">
        <v>74</v>
      </c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36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</row>
    <row r="72" spans="18:99" s="1" customFormat="1" ht="6" customHeight="1" x14ac:dyDescent="0.25">
      <c r="R72" s="24"/>
      <c r="S72" s="24"/>
      <c r="T72" s="24"/>
      <c r="U72" s="24"/>
      <c r="V72" s="24"/>
      <c r="W72" s="24"/>
      <c r="X72" s="24"/>
      <c r="Y72" s="24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36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</row>
    <row r="73" spans="18:99" s="1" customFormat="1" ht="6" customHeight="1" x14ac:dyDescent="0.25"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</row>
    <row r="74" spans="18:99" s="1" customFormat="1" ht="6" customHeight="1" x14ac:dyDescent="0.25">
      <c r="R74" s="24"/>
      <c r="S74" s="24"/>
      <c r="T74" s="24"/>
      <c r="U74" s="24"/>
      <c r="V74" s="24"/>
      <c r="W74" s="24"/>
      <c r="X74" s="24"/>
      <c r="Y74" s="24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</row>
    <row r="75" spans="18:99" s="1" customFormat="1" ht="6" customHeight="1" x14ac:dyDescent="0.25">
      <c r="R75" s="24"/>
      <c r="S75" s="24"/>
      <c r="T75" s="24"/>
      <c r="U75" s="24"/>
      <c r="V75" s="24"/>
      <c r="W75" s="24"/>
      <c r="X75" s="24"/>
      <c r="Y75" s="24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</row>
    <row r="76" spans="18:99" s="1" customFormat="1" ht="6" customHeight="1" x14ac:dyDescent="0.25">
      <c r="R76" s="24"/>
      <c r="S76" s="24"/>
      <c r="T76" s="24"/>
      <c r="U76" s="24"/>
      <c r="V76" s="24"/>
      <c r="W76" s="24"/>
      <c r="X76" s="24"/>
      <c r="Y76" s="24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</row>
    <row r="77" spans="18:99" s="1" customFormat="1" ht="6" customHeight="1" x14ac:dyDescent="0.25">
      <c r="R77" s="24"/>
      <c r="S77" s="24"/>
      <c r="T77" s="24"/>
      <c r="U77" s="24"/>
      <c r="V77" s="24"/>
      <c r="W77" s="24"/>
      <c r="X77" s="24"/>
      <c r="Y77" s="24"/>
      <c r="Z77" s="47" t="s">
        <v>75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38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</row>
    <row r="78" spans="18:99" s="1" customFormat="1" ht="6" customHeight="1" x14ac:dyDescent="0.25">
      <c r="R78" s="24"/>
      <c r="S78" s="24"/>
      <c r="T78" s="24"/>
      <c r="U78" s="24"/>
      <c r="V78" s="24"/>
      <c r="W78" s="24"/>
      <c r="X78" s="24"/>
      <c r="Y78" s="24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38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</row>
    <row r="79" spans="18:99" s="1" customFormat="1" ht="6" customHeight="1" x14ac:dyDescent="0.25">
      <c r="R79" s="24"/>
      <c r="S79" s="24"/>
      <c r="T79" s="24"/>
      <c r="U79" s="24"/>
      <c r="V79" s="24"/>
      <c r="W79" s="24"/>
      <c r="X79" s="24"/>
      <c r="Y79" s="24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38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</row>
    <row r="80" spans="18:99" s="1" customFormat="1" ht="6" customHeight="1" x14ac:dyDescent="0.25">
      <c r="R80" s="24"/>
      <c r="S80" s="24"/>
      <c r="T80" s="24"/>
      <c r="U80" s="24"/>
      <c r="V80" s="24"/>
      <c r="W80" s="24"/>
      <c r="X80" s="24"/>
      <c r="Y80" s="24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38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</row>
    <row r="81" spans="26:56" ht="6" customHeight="1" x14ac:dyDescent="0.25"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38"/>
    </row>
    <row r="82" spans="26:56" ht="6" customHeight="1" x14ac:dyDescent="0.25">
      <c r="Z82" s="47" t="s">
        <v>76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38"/>
    </row>
    <row r="83" spans="26:56" ht="6" customHeight="1" x14ac:dyDescent="0.25"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38"/>
    </row>
    <row r="84" spans="26:56" ht="6" customHeight="1" x14ac:dyDescent="0.25"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38"/>
    </row>
    <row r="85" spans="26:56" ht="6" customHeight="1" x14ac:dyDescent="0.25"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38"/>
    </row>
    <row r="86" spans="26:56" ht="6" customHeight="1" x14ac:dyDescent="0.25"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38"/>
    </row>
    <row r="87" spans="26:56" ht="6" customHeight="1" x14ac:dyDescent="0.25"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38"/>
    </row>
    <row r="88" spans="26:56" ht="6" customHeight="1" x14ac:dyDescent="0.25"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38"/>
    </row>
    <row r="89" spans="26:56" ht="6" customHeight="1" x14ac:dyDescent="0.25"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38"/>
    </row>
    <row r="90" spans="26:56" ht="6" customHeight="1" x14ac:dyDescent="0.25">
      <c r="Z90" s="41" t="s">
        <v>77</v>
      </c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39"/>
    </row>
    <row r="91" spans="26:56" ht="6" customHeight="1" x14ac:dyDescent="0.25"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39"/>
    </row>
    <row r="92" spans="26:56" ht="6" customHeight="1" x14ac:dyDescent="0.25"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</row>
    <row r="93" spans="26:56" ht="6" customHeight="1" x14ac:dyDescent="0.25"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</row>
    <row r="94" spans="26:56" ht="6" customHeight="1" x14ac:dyDescent="0.25"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</row>
    <row r="95" spans="26:56" ht="6" customHeight="1" x14ac:dyDescent="0.25"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A0980B48-55B1-42C7-8298-6AB20325864E}"/>
    <hyperlink ref="B51" r:id="rId2" xr:uid="{405B1615-7AD7-4C74-A5EF-028474B7A32B}"/>
    <hyperlink ref="B57" r:id="rId3" xr:uid="{032323BE-3E00-46C2-AA71-04D4B0BF3625}"/>
    <hyperlink ref="Z4" r:id="rId4" xr:uid="{0EE4CF98-A6AA-4388-AF46-45CC6466D028}"/>
    <hyperlink ref="Z17" r:id="rId5" display="https://www.udemy.com/excel-mistrz-formul/?couponCode=STANDARDOWY" xr:uid="{08C45D9E-00DF-4628-92CD-D55F8BA63AFD}"/>
    <hyperlink ref="Z26" r:id="rId6" xr:uid="{FED0BDA6-8687-4534-994C-BA001CA4EEE3}"/>
    <hyperlink ref="Z40" r:id="rId7" display="https://www.udemy.com/excel-mistrz-formul/?couponCode=STANDARDOWY" xr:uid="{C84A8409-3651-43D3-A7F3-BB0AD065A6F0}"/>
    <hyperlink ref="Z51" r:id="rId8" display="https://www.udemy.com/excel-mistrz-formul/?couponCode=STANDARDOWY" xr:uid="{B94A0468-A42B-4BE9-9FF4-52081D066502}"/>
    <hyperlink ref="Z62" r:id="rId9" display="https://www.udemy.com/excel-mistrz-formul/?couponCode=STANDARDOWY" xr:uid="{3AF9DF9C-EC6D-4EC6-86ED-60061D7A538F}"/>
    <hyperlink ref="Z71" r:id="rId10" display="https://www.udemy.com/excel-mistrz-formul/?couponCode=STANDARDOWY" xr:uid="{802E7D0B-236D-4297-8FE0-6C43FABDF365}"/>
    <hyperlink ref="BN12" r:id="rId11" location="mistrz-excela-w-20-dni" xr:uid="{7A6B6E09-4A36-49D1-8A04-CDBFC601EB88}"/>
    <hyperlink ref="BN37" r:id="rId12" location="mistrz-excela-w-20-dni" display="http://ksplus.komputerswiat.pl/sklep#mistrz-excela-w-20-dni" xr:uid="{915EA827-1EA2-40FF-AE4D-7FDDC791962C}"/>
    <hyperlink ref="BN43" r:id="rId13" location="mistrz-excela-w-20-dni" display="http://ksplus.komputerswiat.pl/sklep#mistrz-excela-w-20-dni" xr:uid="{D055026E-5765-48EE-A06C-A5742E7BA4AA}"/>
    <hyperlink ref="BN62" r:id="rId14" location="mistrz-excela-w-20-dni" display="http://ksplus.komputerswiat.pl/sklep#mistrz-excela-w-20-dni" xr:uid="{FA7B0E1A-DE78-4475-9A59-3C3B2A98CC8C}"/>
    <hyperlink ref="BN68" r:id="rId15" location="mistrz-excela-w-20-dni" display="http://ksplus.komputerswiat.pl/sklep#mistrz-excela-w-20-dni" xr:uid="{5027436D-7C26-4478-B6B0-7B3BF6ED8D4D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F45"/>
  <sheetViews>
    <sheetView zoomScale="175" zoomScaleNormal="175" workbookViewId="0">
      <selection activeCell="D6" sqref="D6"/>
    </sheetView>
  </sheetViews>
  <sheetFormatPr defaultColWidth="9.140625" defaultRowHeight="14.25" x14ac:dyDescent="0.25"/>
  <cols>
    <col min="1" max="1" width="11.42578125" style="2" customWidth="1"/>
    <col min="2" max="2" width="11.5703125" style="2" bestFit="1" customWidth="1"/>
    <col min="3" max="3" width="16.28515625" style="2" customWidth="1"/>
    <col min="4" max="16384" width="9.140625" style="2"/>
  </cols>
  <sheetData>
    <row r="1" spans="1:6" x14ac:dyDescent="0.25">
      <c r="A1" s="7" t="s">
        <v>0</v>
      </c>
      <c r="B1" s="15">
        <v>5000</v>
      </c>
    </row>
    <row r="2" spans="1:6" x14ac:dyDescent="0.25">
      <c r="A2" s="7" t="s">
        <v>1</v>
      </c>
      <c r="B2" s="15">
        <v>3000</v>
      </c>
    </row>
    <row r="3" spans="1:6" x14ac:dyDescent="0.25">
      <c r="A3" s="7" t="s">
        <v>2</v>
      </c>
      <c r="B3" s="15">
        <f>Przychód-B2</f>
        <v>2000</v>
      </c>
      <c r="D3" s="16"/>
      <c r="F3" s="16"/>
    </row>
    <row r="6" spans="1:6" x14ac:dyDescent="0.25">
      <c r="A6" s="7" t="s">
        <v>3</v>
      </c>
      <c r="B6" s="7" t="s">
        <v>4</v>
      </c>
      <c r="C6" s="7" t="s">
        <v>11</v>
      </c>
      <c r="E6" s="7" t="s">
        <v>11</v>
      </c>
    </row>
    <row r="7" spans="1:6" x14ac:dyDescent="0.25">
      <c r="A7" s="17" t="s">
        <v>5</v>
      </c>
      <c r="B7" s="18">
        <v>2</v>
      </c>
      <c r="C7" s="19">
        <f>B3*VAT</f>
        <v>460</v>
      </c>
      <c r="E7" s="20">
        <v>0.23</v>
      </c>
    </row>
    <row r="8" spans="1:6" x14ac:dyDescent="0.25">
      <c r="A8" s="17" t="s">
        <v>6</v>
      </c>
      <c r="B8" s="18">
        <v>0.5</v>
      </c>
      <c r="C8" s="19">
        <f>B4*VAT</f>
        <v>0</v>
      </c>
    </row>
    <row r="9" spans="1:6" x14ac:dyDescent="0.25">
      <c r="A9" s="17" t="s">
        <v>7</v>
      </c>
      <c r="B9" s="18">
        <v>2.5</v>
      </c>
      <c r="C9" s="19">
        <f>B5*VAT</f>
        <v>0</v>
      </c>
    </row>
    <row r="10" spans="1:6" x14ac:dyDescent="0.25">
      <c r="A10" s="17" t="s">
        <v>8</v>
      </c>
      <c r="B10" s="18">
        <v>5</v>
      </c>
      <c r="C10" s="19" t="e">
        <f>B6*VAT</f>
        <v>#VALUE!</v>
      </c>
    </row>
    <row r="11" spans="1:6" x14ac:dyDescent="0.25">
      <c r="A11" s="17" t="s">
        <v>9</v>
      </c>
      <c r="B11" s="18">
        <v>0.2</v>
      </c>
      <c r="C11" s="19">
        <f>B7*VAT</f>
        <v>0.46</v>
      </c>
    </row>
    <row r="12" spans="1:6" x14ac:dyDescent="0.25">
      <c r="A12" s="21" t="s">
        <v>10</v>
      </c>
      <c r="B12" s="22">
        <v>0.1</v>
      </c>
      <c r="C12" s="19">
        <f>B8*VAT</f>
        <v>0.115</v>
      </c>
    </row>
    <row r="25" spans="3:4" x14ac:dyDescent="0.25">
      <c r="C25" s="23"/>
      <c r="D25" s="23"/>
    </row>
    <row r="26" spans="3:4" x14ac:dyDescent="0.25">
      <c r="C26" s="23"/>
      <c r="D26" s="23"/>
    </row>
    <row r="27" spans="3:4" x14ac:dyDescent="0.25">
      <c r="C27" s="23"/>
      <c r="D27" s="23"/>
    </row>
    <row r="28" spans="3:4" x14ac:dyDescent="0.25">
      <c r="C28" s="23"/>
      <c r="D28" s="23"/>
    </row>
    <row r="29" spans="3:4" x14ac:dyDescent="0.25">
      <c r="C29" s="23"/>
      <c r="D29" s="23"/>
    </row>
    <row r="30" spans="3:4" x14ac:dyDescent="0.25">
      <c r="C30" s="23"/>
      <c r="D30" s="23"/>
    </row>
    <row r="31" spans="3:4" x14ac:dyDescent="0.25">
      <c r="C31" s="23"/>
      <c r="D31" s="23"/>
    </row>
    <row r="32" spans="3:4" x14ac:dyDescent="0.25">
      <c r="C32" s="23"/>
      <c r="D32" s="23"/>
    </row>
    <row r="33" spans="3:4" x14ac:dyDescent="0.25">
      <c r="C33" s="23"/>
      <c r="D33" s="23"/>
    </row>
    <row r="34" spans="3:4" x14ac:dyDescent="0.25">
      <c r="C34" s="23"/>
      <c r="D34" s="23"/>
    </row>
    <row r="35" spans="3:4" x14ac:dyDescent="0.25">
      <c r="C35" s="23"/>
      <c r="D35" s="23"/>
    </row>
    <row r="36" spans="3:4" x14ac:dyDescent="0.25">
      <c r="C36" s="23"/>
      <c r="D36" s="23"/>
    </row>
    <row r="37" spans="3:4" x14ac:dyDescent="0.25">
      <c r="C37" s="23"/>
      <c r="D37" s="23"/>
    </row>
    <row r="38" spans="3:4" x14ac:dyDescent="0.25">
      <c r="D38" s="23"/>
    </row>
    <row r="39" spans="3:4" x14ac:dyDescent="0.25">
      <c r="D39" s="23"/>
    </row>
    <row r="40" spans="3:4" x14ac:dyDescent="0.25">
      <c r="D40" s="23"/>
    </row>
    <row r="41" spans="3:4" x14ac:dyDescent="0.25">
      <c r="D41" s="23"/>
    </row>
    <row r="42" spans="3:4" x14ac:dyDescent="0.25">
      <c r="D42" s="23"/>
    </row>
    <row r="43" spans="3:4" x14ac:dyDescent="0.25">
      <c r="D43" s="23"/>
    </row>
    <row r="44" spans="3:4" x14ac:dyDescent="0.25">
      <c r="D44" s="23"/>
    </row>
    <row r="45" spans="3:4" x14ac:dyDescent="0.25">
      <c r="D45" s="2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</sheetPr>
  <dimension ref="A1:C7"/>
  <sheetViews>
    <sheetView zoomScale="130" zoomScaleNormal="130" workbookViewId="0">
      <selection activeCell="E12" sqref="E12"/>
    </sheetView>
  </sheetViews>
  <sheetFormatPr defaultColWidth="9.140625" defaultRowHeight="14.25" x14ac:dyDescent="0.25"/>
  <cols>
    <col min="1" max="1" width="12" style="2" bestFit="1" customWidth="1"/>
    <col min="2" max="2" width="19.7109375" style="2" customWidth="1"/>
    <col min="3" max="3" width="22.42578125" style="2" bestFit="1" customWidth="1"/>
    <col min="4" max="4" width="3" style="2" customWidth="1"/>
    <col min="5" max="5" width="12.5703125" style="2" bestFit="1" customWidth="1"/>
    <col min="6" max="6" width="19.28515625" style="2" bestFit="1" customWidth="1"/>
    <col min="7" max="16384" width="9.140625" style="2"/>
  </cols>
  <sheetData>
    <row r="1" spans="1:3" ht="16.5" x14ac:dyDescent="0.25">
      <c r="A1" s="7" t="s">
        <v>12</v>
      </c>
      <c r="B1" s="13">
        <v>2.7182818284590402</v>
      </c>
      <c r="C1" s="2" t="s">
        <v>40</v>
      </c>
    </row>
    <row r="3" spans="1:3" x14ac:dyDescent="0.25">
      <c r="A3" s="7" t="s">
        <v>13</v>
      </c>
      <c r="B3" s="7" t="s">
        <v>14</v>
      </c>
      <c r="C3" s="7" t="s">
        <v>29</v>
      </c>
    </row>
    <row r="4" spans="1:3" x14ac:dyDescent="0.25">
      <c r="A4" s="12">
        <v>148.41315910257524</v>
      </c>
      <c r="B4" s="14">
        <f>LN(A4)</f>
        <v>4.9999999999999911</v>
      </c>
      <c r="C4" s="14">
        <f>LOG(A4,liczba_Eulera)</f>
        <v>5.0000000000000009</v>
      </c>
    </row>
    <row r="5" spans="1:3" x14ac:dyDescent="0.25">
      <c r="A5" s="12">
        <v>10</v>
      </c>
      <c r="B5" s="14">
        <f t="shared" ref="B5:B7" si="0">LN(A5)</f>
        <v>2.3025850929940459</v>
      </c>
      <c r="C5" s="14">
        <f t="shared" ref="C5:C7" si="1">LOG(A5,liczba_Eulera)</f>
        <v>2.3025850929940503</v>
      </c>
    </row>
    <row r="6" spans="1:3" x14ac:dyDescent="0.25">
      <c r="A6" s="12">
        <v>100</v>
      </c>
      <c r="B6" s="14">
        <f t="shared" si="0"/>
        <v>4.6051701859880918</v>
      </c>
      <c r="C6" s="14">
        <f t="shared" si="1"/>
        <v>4.6051701859881007</v>
      </c>
    </row>
    <row r="7" spans="1:3" x14ac:dyDescent="0.25">
      <c r="A7" s="12">
        <v>4.055199966844663</v>
      </c>
      <c r="B7" s="14">
        <f t="shared" si="0"/>
        <v>1.3999999999999972</v>
      </c>
      <c r="C7" s="14">
        <f t="shared" si="1"/>
        <v>1.4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</sheetPr>
  <dimension ref="A1:F11"/>
  <sheetViews>
    <sheetView zoomScale="130" zoomScaleNormal="130" workbookViewId="0">
      <selection activeCell="F1" sqref="F1"/>
    </sheetView>
  </sheetViews>
  <sheetFormatPr defaultColWidth="9.140625" defaultRowHeight="14.25" x14ac:dyDescent="0.25"/>
  <cols>
    <col min="1" max="1" width="13.5703125" style="2" bestFit="1" customWidth="1"/>
    <col min="2" max="2" width="16.140625" style="2" bestFit="1" customWidth="1"/>
    <col min="3" max="4" width="9.140625" style="2"/>
    <col min="5" max="5" width="3.28515625" style="2" customWidth="1"/>
    <col min="6" max="6" width="16.140625" style="2" bestFit="1" customWidth="1"/>
    <col min="7" max="7" width="9.85546875" style="2" bestFit="1" customWidth="1"/>
    <col min="8" max="16384" width="9.140625" style="2"/>
  </cols>
  <sheetData>
    <row r="1" spans="1:6" ht="15" customHeight="1" x14ac:dyDescent="0.25">
      <c r="C1" s="9" t="s">
        <v>17</v>
      </c>
      <c r="D1" s="10"/>
      <c r="F1" s="2" t="s">
        <v>18</v>
      </c>
    </row>
    <row r="2" spans="1:6" x14ac:dyDescent="0.25">
      <c r="A2" s="11" t="s">
        <v>15</v>
      </c>
      <c r="B2" s="11" t="s">
        <v>16</v>
      </c>
      <c r="C2" s="7" t="s">
        <v>18</v>
      </c>
      <c r="D2" s="7" t="s">
        <v>19</v>
      </c>
      <c r="F2" s="2" cm="1">
        <f t="array" aca="1" ref="F2:F10" ca="1">OFFSET($A$3:$A$11,0,MATCH($F$1,$B$2:$D$2,0))</f>
        <v>241</v>
      </c>
    </row>
    <row r="3" spans="1:6" x14ac:dyDescent="0.25">
      <c r="A3" s="12" t="s">
        <v>20</v>
      </c>
      <c r="B3" s="12">
        <v>1637</v>
      </c>
      <c r="C3" s="12">
        <v>241</v>
      </c>
      <c r="D3" s="12">
        <v>169</v>
      </c>
      <c r="F3" s="2">
        <f ca="1"/>
        <v>84</v>
      </c>
    </row>
    <row r="4" spans="1:6" x14ac:dyDescent="0.25">
      <c r="A4" s="12" t="s">
        <v>21</v>
      </c>
      <c r="B4" s="12">
        <v>1339</v>
      </c>
      <c r="C4" s="12">
        <v>84</v>
      </c>
      <c r="D4" s="12">
        <v>162</v>
      </c>
      <c r="F4" s="2">
        <f ca="1"/>
        <v>159</v>
      </c>
    </row>
    <row r="5" spans="1:6" x14ac:dyDescent="0.25">
      <c r="A5" s="12" t="s">
        <v>22</v>
      </c>
      <c r="B5" s="12">
        <v>1216</v>
      </c>
      <c r="C5" s="12">
        <v>159</v>
      </c>
      <c r="D5" s="12">
        <v>133</v>
      </c>
      <c r="F5" s="2">
        <f ca="1"/>
        <v>148</v>
      </c>
    </row>
    <row r="6" spans="1:6" x14ac:dyDescent="0.25">
      <c r="A6" s="12" t="s">
        <v>23</v>
      </c>
      <c r="B6" s="12">
        <v>1411</v>
      </c>
      <c r="C6" s="12">
        <v>148</v>
      </c>
      <c r="D6" s="12">
        <v>236</v>
      </c>
      <c r="F6" s="2">
        <f ca="1"/>
        <v>241</v>
      </c>
    </row>
    <row r="7" spans="1:6" x14ac:dyDescent="0.25">
      <c r="A7" s="12" t="s">
        <v>24</v>
      </c>
      <c r="B7" s="12">
        <v>1695</v>
      </c>
      <c r="C7" s="12">
        <v>241</v>
      </c>
      <c r="D7" s="12">
        <v>264</v>
      </c>
      <c r="F7" s="2">
        <f ca="1"/>
        <v>124</v>
      </c>
    </row>
    <row r="8" spans="1:6" x14ac:dyDescent="0.25">
      <c r="A8" s="12" t="s">
        <v>25</v>
      </c>
      <c r="B8" s="12">
        <v>1378</v>
      </c>
      <c r="C8" s="12">
        <v>124</v>
      </c>
      <c r="D8" s="12">
        <v>222</v>
      </c>
      <c r="F8" s="2">
        <f ca="1"/>
        <v>195</v>
      </c>
    </row>
    <row r="9" spans="1:6" x14ac:dyDescent="0.25">
      <c r="A9" s="12" t="s">
        <v>26</v>
      </c>
      <c r="B9" s="12">
        <v>1300</v>
      </c>
      <c r="C9" s="12">
        <v>195</v>
      </c>
      <c r="D9" s="12">
        <v>190</v>
      </c>
      <c r="F9" s="2">
        <f ca="1"/>
        <v>86</v>
      </c>
    </row>
    <row r="10" spans="1:6" x14ac:dyDescent="0.25">
      <c r="A10" s="12" t="s">
        <v>27</v>
      </c>
      <c r="B10" s="12">
        <v>1371</v>
      </c>
      <c r="C10" s="12">
        <v>86</v>
      </c>
      <c r="D10" s="12">
        <v>222</v>
      </c>
      <c r="F10" s="2">
        <f ca="1"/>
        <v>82</v>
      </c>
    </row>
    <row r="11" spans="1:6" x14ac:dyDescent="0.25">
      <c r="A11" s="12" t="s">
        <v>28</v>
      </c>
      <c r="B11" s="12">
        <v>1488</v>
      </c>
      <c r="C11" s="12">
        <v>82</v>
      </c>
      <c r="D11" s="12">
        <v>289</v>
      </c>
    </row>
  </sheetData>
  <dataValidations count="1">
    <dataValidation type="list" allowBlank="1" showInputMessage="1" showErrorMessage="1" sqref="F1" xr:uid="{00000000-0002-0000-0200-000000000000}">
      <formula1>$B$2:$D$2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I10"/>
  <sheetViews>
    <sheetView tabSelected="1" zoomScale="160" zoomScaleNormal="160" workbookViewId="0">
      <selection activeCell="J9" sqref="J9"/>
    </sheetView>
  </sheetViews>
  <sheetFormatPr defaultColWidth="9.140625" defaultRowHeight="14.25" x14ac:dyDescent="0.25"/>
  <cols>
    <col min="1" max="7" width="4" style="2" customWidth="1"/>
    <col min="8" max="8" width="3.28515625" style="2" customWidth="1"/>
    <col min="9" max="9" width="12" style="2" bestFit="1" customWidth="1"/>
    <col min="10" max="16384" width="9.140625" style="2"/>
  </cols>
  <sheetData>
    <row r="1" spans="1:9" x14ac:dyDescent="0.25">
      <c r="A1" s="2" t="s">
        <v>38</v>
      </c>
      <c r="B1" s="3" t="s">
        <v>39</v>
      </c>
    </row>
    <row r="2" spans="1:9" x14ac:dyDescent="0.25">
      <c r="A2" s="4"/>
    </row>
    <row r="3" spans="1:9" x14ac:dyDescent="0.25">
      <c r="A3" s="5" t="s">
        <v>37</v>
      </c>
      <c r="B3" s="6"/>
      <c r="C3" s="6"/>
      <c r="D3" s="6"/>
      <c r="E3" s="6"/>
      <c r="F3" s="6"/>
      <c r="G3" s="6"/>
    </row>
    <row r="4" spans="1:9" x14ac:dyDescent="0.25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</row>
    <row r="5" spans="1:9" x14ac:dyDescent="0.25">
      <c r="A5" s="8">
        <v>42366</v>
      </c>
      <c r="B5" s="8">
        <f>A5+1</f>
        <v>42367</v>
      </c>
      <c r="C5" s="8">
        <f t="shared" ref="C5:G5" si="0">B5+1</f>
        <v>42368</v>
      </c>
      <c r="D5" s="8">
        <f t="shared" si="0"/>
        <v>42369</v>
      </c>
      <c r="E5" s="8">
        <f t="shared" si="0"/>
        <v>42370</v>
      </c>
      <c r="F5" s="8">
        <f t="shared" si="0"/>
        <v>42371</v>
      </c>
      <c r="G5" s="8">
        <f t="shared" si="0"/>
        <v>42372</v>
      </c>
      <c r="I5" s="2" t="b">
        <f>MONTH(A5)&lt;&gt;1</f>
        <v>1</v>
      </c>
    </row>
    <row r="6" spans="1:9" x14ac:dyDescent="0.25">
      <c r="A6" s="8" cm="1">
        <f t="array" ref="A6">plus7</f>
        <v>42373</v>
      </c>
      <c r="B6" s="8" cm="1">
        <f t="array" ref="B6">plus7</f>
        <v>42374</v>
      </c>
      <c r="C6" s="8" cm="1">
        <f t="array" ref="C6">plus7</f>
        <v>42375</v>
      </c>
      <c r="D6" s="8" cm="1">
        <f t="array" ref="D6">plus7</f>
        <v>42376</v>
      </c>
      <c r="E6" s="8" cm="1">
        <f t="array" ref="E6">plus7</f>
        <v>42377</v>
      </c>
      <c r="F6" s="8" cm="1">
        <f t="array" ref="F6">plus7</f>
        <v>42378</v>
      </c>
      <c r="G6" s="8" cm="1">
        <f t="array" ref="G6">plus7</f>
        <v>42379</v>
      </c>
    </row>
    <row r="7" spans="1:9" x14ac:dyDescent="0.25">
      <c r="A7" s="8" cm="1">
        <f t="array" ref="A7">plus7</f>
        <v>42380</v>
      </c>
      <c r="B7" s="8" cm="1">
        <f t="array" ref="B7">plus7</f>
        <v>42381</v>
      </c>
      <c r="C7" s="8" cm="1">
        <f t="array" ref="C7">plus7</f>
        <v>42382</v>
      </c>
      <c r="D7" s="8" cm="1">
        <f t="array" ref="D7">plus7</f>
        <v>42383</v>
      </c>
      <c r="E7" s="8" cm="1">
        <f t="array" ref="E7">plus7</f>
        <v>42384</v>
      </c>
      <c r="F7" s="8" cm="1">
        <f t="array" ref="F7">plus7</f>
        <v>42385</v>
      </c>
      <c r="G7" s="8" cm="1">
        <f t="array" ref="G7">plus7</f>
        <v>42386</v>
      </c>
    </row>
    <row r="8" spans="1:9" x14ac:dyDescent="0.25">
      <c r="A8" s="8" cm="1">
        <f t="array" ref="A8">plus7</f>
        <v>42387</v>
      </c>
      <c r="B8" s="8" cm="1">
        <f t="array" ref="B8">plus7</f>
        <v>42388</v>
      </c>
      <c r="C8" s="8" cm="1">
        <f t="array" ref="C8">plus7</f>
        <v>42389</v>
      </c>
      <c r="D8" s="8" cm="1">
        <f t="array" ref="D8">plus7</f>
        <v>42390</v>
      </c>
      <c r="E8" s="8" cm="1">
        <f t="array" ref="E8">plus7</f>
        <v>42391</v>
      </c>
      <c r="F8" s="8" cm="1">
        <f t="array" ref="F8">plus7</f>
        <v>42392</v>
      </c>
      <c r="G8" s="8" cm="1">
        <f t="array" ref="G8">plus7</f>
        <v>42393</v>
      </c>
    </row>
    <row r="9" spans="1:9" x14ac:dyDescent="0.25">
      <c r="A9" s="8" cm="1">
        <f t="array" ref="A9">plus7</f>
        <v>42394</v>
      </c>
      <c r="B9" s="8" cm="1">
        <f t="array" ref="B9">plus7</f>
        <v>42395</v>
      </c>
      <c r="C9" s="8" cm="1">
        <f t="array" ref="C9">plus7</f>
        <v>42396</v>
      </c>
      <c r="D9" s="8" cm="1">
        <f t="array" ref="D9">plus7</f>
        <v>42397</v>
      </c>
      <c r="E9" s="8" cm="1">
        <f t="array" ref="E9">plus7</f>
        <v>42398</v>
      </c>
      <c r="F9" s="8" cm="1">
        <f t="array" ref="F9">plus7</f>
        <v>42399</v>
      </c>
      <c r="G9" s="8" cm="1">
        <f t="array" ref="G9">plus7</f>
        <v>42400</v>
      </c>
    </row>
    <row r="10" spans="1:9" x14ac:dyDescent="0.25">
      <c r="A10" s="8" cm="1">
        <f t="array" ref="A10">plus7</f>
        <v>42401</v>
      </c>
      <c r="B10" s="8" cm="1">
        <f t="array" ref="B10">plus7</f>
        <v>42402</v>
      </c>
      <c r="C10" s="8" cm="1">
        <f t="array" ref="C10">plus7</f>
        <v>42403</v>
      </c>
      <c r="D10" s="8" cm="1">
        <f t="array" ref="D10">plus7</f>
        <v>42404</v>
      </c>
      <c r="E10" s="8" cm="1">
        <f t="array" ref="E10">plus7</f>
        <v>42405</v>
      </c>
      <c r="F10" s="8" cm="1">
        <f t="array" ref="F10">plus7</f>
        <v>42406</v>
      </c>
      <c r="G10" s="8" cm="1">
        <f t="array" ref="G10">plus7</f>
        <v>42407</v>
      </c>
    </row>
  </sheetData>
  <conditionalFormatting sqref="A5:G10">
    <cfRule type="expression" dxfId="0" priority="1">
      <formula>MONTH(A5)&lt;&gt;1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4</vt:i4>
      </vt:variant>
    </vt:vector>
  </HeadingPairs>
  <TitlesOfParts>
    <vt:vector size="9" baseType="lpstr">
      <vt:lpstr>ExceliAdam</vt:lpstr>
      <vt:lpstr>Zakresy</vt:lpstr>
      <vt:lpstr>Stałe</vt:lpstr>
      <vt:lpstr>Formuła</vt:lpstr>
      <vt:lpstr>Kalendarz</vt:lpstr>
      <vt:lpstr>Koszt</vt:lpstr>
      <vt:lpstr>Przychód</vt:lpstr>
      <vt:lpstr>VAT</vt:lpstr>
      <vt:lpstr>Zysk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Hubert Wiedeński</cp:lastModifiedBy>
  <dcterms:created xsi:type="dcterms:W3CDTF">2015-10-25T07:22:57Z</dcterms:created>
  <dcterms:modified xsi:type="dcterms:W3CDTF">2026-10-30T21:14:05Z</dcterms:modified>
</cp:coreProperties>
</file>