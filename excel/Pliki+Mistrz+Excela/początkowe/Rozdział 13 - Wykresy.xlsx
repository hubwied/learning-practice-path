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 codeName="Ten_skoroszyt"/>
  <xr:revisionPtr revIDLastSave="0" documentId="13_ncr:1_{E7E8950A-DECA-41DC-9184-68D8771751C9}" xr6:coauthVersionLast="43" xr6:coauthVersionMax="43" xr10:uidLastSave="{00000000-0000-0000-0000-000000000000}"/>
  <bookViews>
    <workbookView xWindow="-108" yWindow="-108" windowWidth="23256" windowHeight="12576" tabRatio="751" xr2:uid="{00000000-000D-0000-FFFF-FFFF00000000}"/>
  </bookViews>
  <sheets>
    <sheet name="ExceliAdam" sheetId="17" r:id="rId1"/>
    <sheet name="Podstawy" sheetId="7" r:id="rId2"/>
    <sheet name="WykresyŚmieciowe" sheetId="14" r:id="rId3"/>
    <sheet name="KolumnowySłupkowy" sheetId="8" r:id="rId4"/>
    <sheet name="Kołowy" sheetId="9" r:id="rId5"/>
    <sheet name="DrugieKoło" sheetId="15" r:id="rId6"/>
    <sheet name="Histogram" sheetId="16" r:id="rId7"/>
    <sheet name="Liniowy" sheetId="11" r:id="rId8"/>
    <sheet name="XY" sheetId="12" r:id="rId9"/>
    <sheet name="Pomocniczy" sheetId="13" r:id="rId10"/>
    <sheet name="PrzebieguWCzasie" sheetId="6" r:id="rId11"/>
  </sheets>
  <externalReferences>
    <externalReference r:id="rId12"/>
  </externalReferences>
  <definedNames>
    <definedName name="_xlnm._FilterDatabase" localSheetId="5" hidden="1">DrugieKoło!#REF!</definedName>
    <definedName name="_xlnm._FilterDatabase" localSheetId="6" hidden="1">Histogram!$A$2:$A$49</definedName>
    <definedName name="_xlnm._FilterDatabase" localSheetId="3" hidden="1">KolumnowySłupkowy!#REF!</definedName>
    <definedName name="_xlnm._FilterDatabase" localSheetId="4" hidden="1">Kołowy!#REF!</definedName>
    <definedName name="_xlnm._FilterDatabase" localSheetId="7" hidden="1">Liniowy!#REF!</definedName>
    <definedName name="_xlnm._FilterDatabase" localSheetId="1" hidden="1">Podstawy!#REF!</definedName>
    <definedName name="_xlnm._FilterDatabase" localSheetId="9" hidden="1">Pomocniczy!$A$2:$D$8</definedName>
    <definedName name="_xlnm._FilterDatabase" localSheetId="10" hidden="1">PrzebieguWCzasie!#REF!</definedName>
    <definedName name="_xlnm._FilterDatabase" localSheetId="2" hidden="1">WykresyŚmieciowe!#REF!</definedName>
    <definedName name="_xlnm._FilterDatabase" localSheetId="8" hidden="1">XY!#REF!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pivotCaches>
    <pivotCache cacheId="2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6" l="1"/>
  <c r="D3" i="16" l="1"/>
  <c r="E3" i="16" s="1"/>
  <c r="F3" i="16" l="1"/>
  <c r="C4" i="16"/>
  <c r="D4" i="16" l="1"/>
  <c r="E4" i="16" s="1"/>
  <c r="F4" i="16" l="1"/>
  <c r="C5" i="16"/>
  <c r="D5" i="16" l="1"/>
  <c r="E5" i="16" s="1"/>
  <c r="F5" i="16" l="1"/>
  <c r="C6" i="16"/>
  <c r="D6" i="16" l="1"/>
  <c r="E6" i="16" s="1"/>
  <c r="F6" i="16" l="1"/>
  <c r="C7" i="16"/>
  <c r="D7" i="16" l="1"/>
  <c r="E7" i="16" s="1"/>
  <c r="F7" i="16" l="1"/>
  <c r="C8" i="16"/>
  <c r="F8" i="16" l="1"/>
  <c r="D8" i="16"/>
  <c r="C9" i="16" s="1"/>
  <c r="E8" i="16" l="1"/>
  <c r="D9" i="16"/>
  <c r="C10" i="16" s="1"/>
  <c r="F10" i="16" l="1"/>
  <c r="F9" i="16"/>
  <c r="E9" i="16"/>
  <c r="D10" i="16"/>
  <c r="C11" i="16" s="1"/>
  <c r="E10" i="16" l="1"/>
  <c r="D11" i="16"/>
  <c r="C12" i="16" s="1"/>
  <c r="F11" i="16" l="1"/>
  <c r="E11" i="16"/>
  <c r="D12" i="16"/>
  <c r="E12" i="16" s="1"/>
  <c r="F12" i="16" l="1"/>
  <c r="C13" i="16"/>
  <c r="E13" i="16" l="1"/>
  <c r="D13" i="16"/>
  <c r="F13" i="16" s="1"/>
  <c r="C2" i="6" l="1"/>
  <c r="D2" i="6" s="1"/>
  <c r="E2" i="6" s="1"/>
  <c r="F2" i="6" s="1"/>
  <c r="G2" i="6" s="1"/>
  <c r="H2" i="6" s="1"/>
  <c r="I2" i="6" s="1"/>
  <c r="L5" i="12"/>
  <c r="B10" i="15" l="1"/>
  <c r="E4" i="14" l="1"/>
  <c r="C2" i="11" l="1"/>
  <c r="D2" i="11" s="1"/>
  <c r="E2" i="11" s="1"/>
  <c r="F2" i="11" s="1"/>
  <c r="G2" i="11" s="1"/>
  <c r="H2" i="11" s="1"/>
  <c r="I2" i="11" s="1"/>
  <c r="D6" i="14" l="1"/>
  <c r="C6" i="14"/>
  <c r="B6" i="14"/>
  <c r="E5" i="14"/>
  <c r="E3" i="14"/>
  <c r="E6" i="14" l="1"/>
  <c r="D8" i="13"/>
  <c r="D7" i="13"/>
  <c r="D6" i="13"/>
  <c r="D5" i="13"/>
  <c r="D4" i="13"/>
  <c r="D3" i="13"/>
  <c r="K5" i="12"/>
  <c r="J5" i="12"/>
  <c r="I5" i="12"/>
  <c r="A1" i="11"/>
  <c r="D6" i="8"/>
  <c r="C6" i="8"/>
  <c r="B6" i="8"/>
  <c r="E5" i="8"/>
  <c r="E4" i="8"/>
  <c r="E3" i="8"/>
  <c r="F17" i="7"/>
  <c r="F5" i="7"/>
  <c r="F4" i="7"/>
  <c r="F3" i="7"/>
  <c r="F2" i="7"/>
  <c r="H18" i="6"/>
  <c r="F18" i="6"/>
  <c r="D18" i="6"/>
  <c r="H17" i="6"/>
  <c r="F17" i="6"/>
  <c r="D17" i="6"/>
  <c r="H16" i="6"/>
  <c r="F16" i="6"/>
  <c r="D16" i="6"/>
  <c r="H15" i="6"/>
  <c r="F15" i="6"/>
  <c r="D15" i="6"/>
  <c r="H14" i="6"/>
  <c r="F14" i="6"/>
  <c r="D14" i="6"/>
  <c r="H13" i="6"/>
  <c r="F13" i="6"/>
  <c r="D13" i="6"/>
  <c r="H12" i="6"/>
  <c r="F12" i="6"/>
  <c r="D12" i="6"/>
  <c r="H11" i="6"/>
  <c r="F11" i="6"/>
  <c r="D11" i="6"/>
  <c r="H10" i="6"/>
  <c r="F10" i="6"/>
  <c r="D10" i="6"/>
  <c r="A1" i="6"/>
  <c r="E6" i="8" l="1"/>
</calcChain>
</file>

<file path=xl/sharedStrings.xml><?xml version="1.0" encoding="utf-8"?>
<sst xmlns="http://schemas.openxmlformats.org/spreadsheetml/2006/main" count="164" uniqueCount="130">
  <si>
    <t>Miesiąc</t>
  </si>
  <si>
    <t>Sprzedaż</t>
  </si>
  <si>
    <t>Wydatki</t>
  </si>
  <si>
    <t>Styczeń</t>
  </si>
  <si>
    <t>Luty</t>
  </si>
  <si>
    <t>Marzec</t>
  </si>
  <si>
    <t>Kwiecień</t>
  </si>
  <si>
    <t>Maj</t>
  </si>
  <si>
    <t>Czerwiec</t>
  </si>
  <si>
    <t>Suma końcowa</t>
  </si>
  <si>
    <t>Produkt/Rok</t>
  </si>
  <si>
    <t>Gąbki</t>
  </si>
  <si>
    <t>Muszelki</t>
  </si>
  <si>
    <t>Piasek</t>
  </si>
  <si>
    <t>Data</t>
  </si>
  <si>
    <t>Dolar amerykański</t>
  </si>
  <si>
    <t>Euro</t>
  </si>
  <si>
    <t>Funt szterling</t>
  </si>
  <si>
    <t>Produkt</t>
  </si>
  <si>
    <t>paź</t>
  </si>
  <si>
    <t>lis</t>
  </si>
  <si>
    <t>gru</t>
  </si>
  <si>
    <t>Suma</t>
  </si>
  <si>
    <t>Nagłówki wierszy pojawią się w kodowanej kolorami 'Legendzie'</t>
  </si>
  <si>
    <t>wtedy będą automatycznie traktowane jako serie danych</t>
  </si>
  <si>
    <t>Wodorost</t>
  </si>
  <si>
    <t>Województwo</t>
  </si>
  <si>
    <t>L. mieszkanców</t>
  </si>
  <si>
    <t>Lubelskie</t>
  </si>
  <si>
    <t>Lubuskie</t>
  </si>
  <si>
    <t>Łódzkie</t>
  </si>
  <si>
    <t>Małopolskie</t>
  </si>
  <si>
    <t>Suma z Wartość</t>
  </si>
  <si>
    <t>Muszelki 3</t>
  </si>
  <si>
    <t>Żółwik</t>
  </si>
  <si>
    <t>Błazenek</t>
  </si>
  <si>
    <t>Muszelki 1</t>
  </si>
  <si>
    <t>Muszelki 2</t>
  </si>
  <si>
    <t>Wodorosty</t>
  </si>
  <si>
    <t>X -&gt; Y</t>
  </si>
  <si>
    <t>Rzędna y</t>
  </si>
  <si>
    <t>Nachylenie</t>
  </si>
  <si>
    <t>Współczynnik korelacji</t>
  </si>
  <si>
    <t>Gdzie linia przecina oś Y?</t>
  </si>
  <si>
    <t>Jak szybko idziesz w górę na 1 jednostkę X?</t>
  </si>
  <si>
    <t>Siła i kierunek linii (bez związku przyczynowego)</t>
  </si>
  <si>
    <t>Jak wielki wpływ ma X na Y (bez związku przyczynowego)</t>
  </si>
  <si>
    <t>b</t>
  </si>
  <si>
    <t>m</t>
  </si>
  <si>
    <t>R</t>
  </si>
  <si>
    <t>R^2</t>
  </si>
  <si>
    <t>Wykres pomocniczy</t>
  </si>
  <si>
    <t>Wydatki jako % z Sprzedaży</t>
  </si>
  <si>
    <t>Sprzedaż "Piaski Pustyni" zima 2015</t>
  </si>
  <si>
    <t>Słońce</t>
  </si>
  <si>
    <t>Deszcz</t>
  </si>
  <si>
    <t>Wiatr</t>
  </si>
  <si>
    <t>Sprzedaż "Słońce i Deszcz" zima 2015</t>
  </si>
  <si>
    <t>Mazowieckie</t>
  </si>
  <si>
    <t>Opolskie</t>
  </si>
  <si>
    <t>Podkarpackie</t>
  </si>
  <si>
    <t>Podlaskie</t>
  </si>
  <si>
    <t>Pomorskie</t>
  </si>
  <si>
    <t>Liczba godz. nauki</t>
  </si>
  <si>
    <t>Jak liczba godzin nauki wpływa na wynik egzaminu?</t>
  </si>
  <si>
    <t>Punkty z  egzaminu</t>
  </si>
  <si>
    <t>Współczynnik determinacji</t>
  </si>
  <si>
    <t>ODCIĘTA</t>
  </si>
  <si>
    <t>NACHYLENIE</t>
  </si>
  <si>
    <t>PEARSON</t>
  </si>
  <si>
    <t>R.KWADRAT</t>
  </si>
  <si>
    <t>Funkcja:</t>
  </si>
  <si>
    <t>Założenia</t>
  </si>
  <si>
    <t>Wynik egzaminu</t>
  </si>
  <si>
    <t>Dół</t>
  </si>
  <si>
    <t>Góra</t>
  </si>
  <si>
    <t>Zakresy punktowe</t>
  </si>
  <si>
    <t>Ile uczniów osiągnęło wynik z podanym zakresie</t>
  </si>
  <si>
    <t>CZĘSTOŚĆ</t>
  </si>
  <si>
    <t>Start</t>
  </si>
  <si>
    <t>Wielkość grupy</t>
  </si>
  <si>
    <t>Etykiety wierszy</t>
  </si>
  <si>
    <t>Liczba z Wynik egzaminu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</si>
  <si>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</si>
  <si>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</si>
  <si>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</si>
  <si>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</si>
  <si>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</si>
  <si>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</si>
  <si>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</si>
  <si>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</si>
  <si>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</si>
  <si>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90-100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</si>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</sst>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  <numFmt numFmtId="168" formatCode="#,##0\ &quot;zł&quot;"/>
  </numFmts>
  <fonts count="2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rgb="FFFFFFFF"/>
      <name val="Calibri"/>
      <family val="2"/>
      <charset val="238"/>
      <scheme val="minor"/>
    </font>
    <font>
      <sz val="10.5"/>
      <color theme="1"/>
      <name val="Cambria"/>
      <family val="1"/>
      <charset val="238"/>
    </font>
    <font>
      <b/>
      <sz val="10.5"/>
      <color theme="1"/>
      <name val="Calibri"/>
      <family val="2"/>
      <charset val="238"/>
      <scheme val="minor"/>
    </font>
    <font>
      <sz val="10.5"/>
      <name val="Calibri"/>
      <family val="2"/>
      <charset val="238"/>
      <scheme val="minor"/>
    </font>
    <font>
      <sz val="10.5"/>
      <color theme="1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/>
    <xf numFmtId="0" fontId="6" fillId="6" borderId="4">
      <alignment wrapText="1"/>
    </xf>
    <xf numFmtId="0" fontId="7" fillId="7" borderId="1" applyBorder="0">
      <alignment horizontal="centerContinuous" wrapText="1"/>
    </xf>
    <xf numFmtId="165" fontId="8" fillId="0" borderId="0" applyFont="0" applyFill="0" applyBorder="0" applyAlignment="0" applyProtection="0"/>
    <xf numFmtId="166" fontId="9" fillId="0" borderId="0"/>
    <xf numFmtId="0" fontId="2" fillId="5" borderId="0"/>
    <xf numFmtId="164" fontId="5" fillId="0" borderId="0" applyFont="0" applyFill="0" applyBorder="0" applyAlignment="0" applyProtection="0"/>
    <xf numFmtId="0" fontId="4" fillId="8" borderId="4">
      <alignment horizontal="center" vertical="center"/>
    </xf>
    <xf numFmtId="0" fontId="2" fillId="9" borderId="4">
      <alignment horizontal="center" vertical="center"/>
    </xf>
    <xf numFmtId="8" fontId="1" fillId="10" borderId="4" applyNumberFormat="0"/>
    <xf numFmtId="8" fontId="1" fillId="11" borderId="4" applyFont="0" applyBorder="0"/>
    <xf numFmtId="8" fontId="1" fillId="9" borderId="4" applyFont="0" applyBorder="0"/>
    <xf numFmtId="8" fontId="1" fillId="12" borderId="4" applyFont="0" applyBorder="0"/>
    <xf numFmtId="8" fontId="1" fillId="13" borderId="4" applyFont="0" applyBorder="0"/>
    <xf numFmtId="0" fontId="1" fillId="14" borderId="0" applyFont="0" applyBorder="0"/>
    <xf numFmtId="8" fontId="1" fillId="15" borderId="4" applyFont="0" applyBorder="0"/>
    <xf numFmtId="8" fontId="10" fillId="4" borderId="4"/>
    <xf numFmtId="8" fontId="10" fillId="4" borderId="4" applyNumberFormat="0"/>
    <xf numFmtId="8" fontId="10" fillId="4" borderId="4" applyNumberFormat="0" applyAlignment="0"/>
    <xf numFmtId="0" fontId="10" fillId="4" borderId="4"/>
    <xf numFmtId="167" fontId="11" fillId="0" borderId="0" applyFont="0" applyFill="0" applyBorder="0" applyProtection="0">
      <alignment horizontal="center"/>
    </xf>
    <xf numFmtId="0" fontId="12" fillId="0" borderId="0" applyNumberFormat="0" applyFill="0" applyBorder="0" applyAlignment="0" applyProtection="0"/>
    <xf numFmtId="0" fontId="10" fillId="3" borderId="1" applyBorder="0"/>
    <xf numFmtId="0" fontId="2" fillId="2" borderId="4"/>
    <xf numFmtId="0" fontId="8" fillId="0" borderId="0"/>
    <xf numFmtId="0" fontId="13" fillId="0" borderId="0"/>
    <xf numFmtId="8" fontId="1" fillId="16" borderId="4"/>
    <xf numFmtId="0" fontId="8" fillId="0" borderId="0">
      <alignment wrapText="1"/>
    </xf>
    <xf numFmtId="0" fontId="10" fillId="3" borderId="1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91">
    <xf numFmtId="0" fontId="0" fillId="0" borderId="0" xfId="0"/>
    <xf numFmtId="0" fontId="5" fillId="0" borderId="0" xfId="3"/>
    <xf numFmtId="0" fontId="15" fillId="5" borderId="1" xfId="3" applyFont="1" applyFill="1" applyBorder="1" applyAlignment="1">
      <alignment horizontal="centerContinuous"/>
    </xf>
    <xf numFmtId="0" fontId="16" fillId="0" borderId="0" xfId="3" applyFont="1"/>
    <xf numFmtId="0" fontId="17" fillId="18" borderId="4" xfId="0" applyFont="1" applyFill="1" applyBorder="1" applyAlignment="1">
      <alignment horizontal="center" vertical="center" wrapText="1"/>
    </xf>
    <xf numFmtId="168" fontId="16" fillId="0" borderId="4" xfId="3" applyNumberFormat="1" applyFont="1" applyBorder="1"/>
    <xf numFmtId="0" fontId="15" fillId="9" borderId="4" xfId="1" applyFont="1" applyFill="1" applyBorder="1" applyAlignment="1">
      <alignment horizontal="center"/>
    </xf>
    <xf numFmtId="0" fontId="15" fillId="9" borderId="6" xfId="1" applyFont="1" applyFill="1" applyBorder="1" applyAlignment="1">
      <alignment horizontal="centerContinuous"/>
    </xf>
    <xf numFmtId="14" fontId="16" fillId="0" borderId="4" xfId="3" applyNumberFormat="1" applyFont="1" applyBorder="1" applyAlignment="1">
      <alignment vertical="center" wrapText="1"/>
    </xf>
    <xf numFmtId="0" fontId="16" fillId="0" borderId="4" xfId="3" applyFont="1" applyBorder="1" applyAlignment="1">
      <alignment vertical="center" wrapText="1"/>
    </xf>
    <xf numFmtId="10" fontId="16" fillId="0" borderId="4" xfId="3" applyNumberFormat="1" applyFont="1" applyBorder="1"/>
    <xf numFmtId="10" fontId="16" fillId="0" borderId="4" xfId="3" applyNumberFormat="1" applyFont="1" applyBorder="1" applyAlignment="1">
      <alignment vertical="center" wrapText="1"/>
    </xf>
    <xf numFmtId="0" fontId="16" fillId="0" borderId="4" xfId="3" applyFont="1" applyBorder="1"/>
    <xf numFmtId="6" fontId="16" fillId="0" borderId="4" xfId="3" applyNumberFormat="1" applyFont="1" applyBorder="1"/>
    <xf numFmtId="9" fontId="16" fillId="0" borderId="4" xfId="3" applyNumberFormat="1" applyFont="1" applyBorder="1"/>
    <xf numFmtId="0" fontId="16" fillId="0" borderId="0" xfId="3" applyFont="1" applyBorder="1"/>
    <xf numFmtId="0" fontId="17" fillId="18" borderId="1" xfId="0" applyFont="1" applyFill="1" applyBorder="1" applyAlignment="1">
      <alignment horizontal="centerContinuous" vertical="center" wrapText="1"/>
    </xf>
    <xf numFmtId="0" fontId="17" fillId="18" borderId="13" xfId="0" applyFont="1" applyFill="1" applyBorder="1" applyAlignment="1">
      <alignment horizontal="centerContinuous" vertical="center" wrapText="1"/>
    </xf>
    <xf numFmtId="0" fontId="15" fillId="7" borderId="4" xfId="3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0" borderId="0" xfId="3" applyFont="1" applyBorder="1" applyAlignment="1">
      <alignment horizontal="right"/>
    </xf>
    <xf numFmtId="0" fontId="16" fillId="0" borderId="4" xfId="3" applyFont="1" applyBorder="1" applyAlignment="1">
      <alignment horizontal="center" vertical="center"/>
    </xf>
    <xf numFmtId="0" fontId="15" fillId="20" borderId="1" xfId="3" applyFont="1" applyFill="1" applyBorder="1" applyAlignment="1">
      <alignment horizontal="centerContinuous"/>
    </xf>
    <xf numFmtId="0" fontId="15" fillId="20" borderId="13" xfId="3" applyFont="1" applyFill="1" applyBorder="1" applyAlignment="1">
      <alignment horizontal="centerContinuous"/>
    </xf>
    <xf numFmtId="0" fontId="15" fillId="9" borderId="4" xfId="1" applyFont="1" applyFill="1" applyBorder="1" applyAlignment="1">
      <alignment horizontal="center" vertical="center" wrapText="1"/>
    </xf>
    <xf numFmtId="0" fontId="20" fillId="17" borderId="4" xfId="21" applyNumberFormat="1" applyFont="1" applyFill="1"/>
    <xf numFmtId="0" fontId="21" fillId="0" borderId="0" xfId="0" pivotButton="1" applyFont="1"/>
    <xf numFmtId="0" fontId="21" fillId="0" borderId="0" xfId="0" applyFont="1"/>
    <xf numFmtId="0" fontId="21" fillId="0" borderId="0" xfId="0" applyFont="1" applyAlignment="1">
      <alignment horizontal="left"/>
    </xf>
    <xf numFmtId="0" fontId="21" fillId="0" borderId="0" xfId="0" applyNumberFormat="1" applyFont="1"/>
    <xf numFmtId="0" fontId="17" fillId="18" borderId="4" xfId="0" applyFont="1" applyFill="1" applyBorder="1" applyAlignment="1">
      <alignment horizontal="center" vertical="center"/>
    </xf>
    <xf numFmtId="8" fontId="16" fillId="0" borderId="4" xfId="3" applyNumberFormat="1" applyFont="1" applyBorder="1"/>
    <xf numFmtId="0" fontId="16" fillId="0" borderId="6" xfId="3" applyFont="1" applyBorder="1"/>
    <xf numFmtId="8" fontId="16" fillId="0" borderId="6" xfId="3" applyNumberFormat="1" applyFont="1" applyBorder="1"/>
    <xf numFmtId="0" fontId="19" fillId="0" borderId="12" xfId="3" applyFont="1" applyBorder="1"/>
    <xf numFmtId="8" fontId="19" fillId="0" borderId="12" xfId="3" applyNumberFormat="1" applyFont="1" applyBorder="1"/>
    <xf numFmtId="0" fontId="20" fillId="0" borderId="4" xfId="32" applyFont="1" applyBorder="1" applyAlignment="1">
      <alignment horizontal="center" vertical="center" wrapText="1"/>
    </xf>
    <xf numFmtId="3" fontId="20" fillId="0" borderId="4" xfId="3" applyNumberFormat="1" applyFont="1" applyBorder="1" applyAlignment="1">
      <alignment horizontal="center" vertical="center" wrapText="1"/>
    </xf>
    <xf numFmtId="0" fontId="20" fillId="0" borderId="0" xfId="32" applyFont="1" applyBorder="1" applyAlignment="1">
      <alignment horizontal="center" vertical="center" wrapText="1"/>
    </xf>
    <xf numFmtId="3" fontId="20" fillId="0" borderId="0" xfId="3" applyNumberFormat="1" applyFont="1" applyBorder="1" applyAlignment="1">
      <alignment horizontal="center" vertical="center" wrapText="1"/>
    </xf>
    <xf numFmtId="8" fontId="20" fillId="17" borderId="4" xfId="21" applyNumberFormat="1" applyFont="1" applyFill="1"/>
    <xf numFmtId="0" fontId="16" fillId="0" borderId="0" xfId="3" applyNumberFormat="1" applyFont="1"/>
    <xf numFmtId="0" fontId="20" fillId="19" borderId="7" xfId="2" applyFont="1" applyFill="1" applyBorder="1"/>
    <xf numFmtId="0" fontId="20" fillId="19" borderId="8" xfId="2" applyFont="1" applyFill="1" applyBorder="1"/>
    <xf numFmtId="0" fontId="20" fillId="19" borderId="5" xfId="2" applyFont="1" applyFill="1" applyBorder="1"/>
    <xf numFmtId="0" fontId="20" fillId="19" borderId="9" xfId="2" applyFont="1" applyFill="1" applyBorder="1"/>
    <xf numFmtId="0" fontId="20" fillId="19" borderId="0" xfId="2" applyFont="1" applyFill="1" applyBorder="1"/>
    <xf numFmtId="0" fontId="20" fillId="19" borderId="10" xfId="2" applyFont="1" applyFill="1" applyBorder="1"/>
    <xf numFmtId="0" fontId="20" fillId="19" borderId="3" xfId="2" applyFont="1" applyFill="1" applyBorder="1"/>
    <xf numFmtId="0" fontId="20" fillId="19" borderId="11" xfId="2" applyFont="1" applyFill="1" applyBorder="1"/>
    <xf numFmtId="0" fontId="20" fillId="19" borderId="2" xfId="2" applyFont="1" applyFill="1" applyBorder="1"/>
    <xf numFmtId="0" fontId="20" fillId="19" borderId="4" xfId="2" applyFont="1" applyFill="1" applyBorder="1" applyAlignment="1">
      <alignment wrapText="1"/>
    </xf>
    <xf numFmtId="8" fontId="16" fillId="0" borderId="4" xfId="3" applyNumberFormat="1" applyFont="1" applyFill="1" applyBorder="1"/>
    <xf numFmtId="0" fontId="1" fillId="0" borderId="0" xfId="33"/>
    <xf numFmtId="0" fontId="3" fillId="0" borderId="0" xfId="34" applyFont="1" applyAlignment="1">
      <alignment vertical="center"/>
    </xf>
    <xf numFmtId="0" fontId="3" fillId="0" borderId="0" xfId="34" applyFont="1" applyAlignment="1">
      <alignment vertical="center"/>
    </xf>
    <xf numFmtId="0" fontId="22" fillId="0" borderId="0" xfId="35" applyFont="1" applyAlignment="1">
      <alignment vertical="center"/>
    </xf>
    <xf numFmtId="0" fontId="14" fillId="0" borderId="0" xfId="35" applyFont="1" applyAlignment="1">
      <alignment vertical="center"/>
    </xf>
    <xf numFmtId="0" fontId="23" fillId="0" borderId="0" xfId="33" applyFont="1" applyAlignment="1">
      <alignment vertical="center"/>
    </xf>
    <xf numFmtId="0" fontId="23" fillId="0" borderId="0" xfId="33" applyFont="1" applyAlignment="1">
      <alignment vertical="center"/>
    </xf>
    <xf numFmtId="0" fontId="1" fillId="0" borderId="8" xfId="33" applyBorder="1"/>
    <xf numFmtId="0" fontId="3" fillId="0" borderId="8" xfId="33" applyFont="1" applyBorder="1" applyAlignment="1">
      <alignment wrapText="1"/>
    </xf>
    <xf numFmtId="0" fontId="3" fillId="0" borderId="0" xfId="33" applyFont="1" applyBorder="1" applyAlignment="1">
      <alignment wrapText="1"/>
    </xf>
    <xf numFmtId="0" fontId="0" fillId="0" borderId="8" xfId="33" applyFont="1" applyBorder="1" applyAlignment="1">
      <alignment vertical="top"/>
    </xf>
    <xf numFmtId="0" fontId="0" fillId="0" borderId="0" xfId="33" applyFont="1" applyBorder="1" applyAlignment="1">
      <alignment vertical="top"/>
    </xf>
    <xf numFmtId="0" fontId="3" fillId="0" borderId="0" xfId="33" applyFont="1" applyBorder="1" applyAlignment="1">
      <alignment wrapText="1"/>
    </xf>
    <xf numFmtId="0" fontId="0" fillId="0" borderId="0" xfId="33" applyFont="1" applyBorder="1" applyAlignment="1">
      <alignment vertical="top"/>
    </xf>
    <xf numFmtId="0" fontId="22" fillId="0" borderId="0" xfId="35" applyFont="1" applyAlignment="1"/>
    <xf numFmtId="0" fontId="14" fillId="0" borderId="0" xfId="35" applyAlignment="1"/>
    <xf numFmtId="0" fontId="1" fillId="0" borderId="0" xfId="33" applyFont="1" applyAlignment="1">
      <alignment vertical="top"/>
    </xf>
    <xf numFmtId="0" fontId="1" fillId="0" borderId="0" xfId="33" applyFont="1" applyAlignment="1">
      <alignment vertical="top"/>
    </xf>
    <xf numFmtId="0" fontId="22" fillId="0" borderId="0" xfId="24" applyFont="1" applyAlignment="1"/>
    <xf numFmtId="0" fontId="22" fillId="0" borderId="0" xfId="24" applyFont="1" applyAlignment="1"/>
    <xf numFmtId="0" fontId="3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1" fillId="0" borderId="0" xfId="33" applyFont="1" applyAlignment="1">
      <alignment vertical="center"/>
    </xf>
    <xf numFmtId="0" fontId="1" fillId="0" borderId="0" xfId="33" applyFont="1" applyAlignment="1">
      <alignment vertical="center"/>
    </xf>
    <xf numFmtId="0" fontId="12" fillId="0" borderId="0" xfId="24" applyAlignment="1"/>
    <xf numFmtId="0" fontId="3" fillId="0" borderId="8" xfId="33" applyFont="1" applyBorder="1" applyAlignment="1">
      <alignment vertical="top" wrapText="1"/>
    </xf>
    <xf numFmtId="0" fontId="3" fillId="0" borderId="0" xfId="33" applyFont="1" applyBorder="1" applyAlignment="1">
      <alignment vertical="top" wrapText="1"/>
    </xf>
    <xf numFmtId="0" fontId="3" fillId="0" borderId="0" xfId="33" applyFont="1" applyBorder="1" applyAlignment="1">
      <alignment vertical="top" wrapText="1"/>
    </xf>
    <xf numFmtId="0" fontId="14" fillId="0" borderId="0" xfId="35" applyAlignment="1">
      <alignment vertical="center"/>
    </xf>
    <xf numFmtId="0" fontId="3" fillId="0" borderId="0" xfId="33" applyFont="1" applyAlignment="1"/>
    <xf numFmtId="0" fontId="14" fillId="0" borderId="0" xfId="35" applyAlignment="1">
      <alignment vertical="center"/>
    </xf>
    <xf numFmtId="0" fontId="12" fillId="0" borderId="0" xfId="36" applyAlignment="1">
      <alignment vertical="center"/>
    </xf>
    <xf numFmtId="0" fontId="1" fillId="21" borderId="0" xfId="33" applyFont="1" applyFill="1" applyAlignment="1">
      <alignment vertical="top" wrapText="1"/>
    </xf>
    <xf numFmtId="0" fontId="1" fillId="21" borderId="0" xfId="33" applyFont="1" applyFill="1" applyAlignment="1">
      <alignment vertical="top" wrapText="1"/>
    </xf>
    <xf numFmtId="0" fontId="1" fillId="21" borderId="0" xfId="33" applyFont="1" applyFill="1" applyAlignment="1">
      <alignment wrapText="1"/>
    </xf>
    <xf numFmtId="0" fontId="1" fillId="21" borderId="0" xfId="33" applyFont="1" applyFill="1" applyAlignment="1">
      <alignment wrapText="1"/>
    </xf>
    <xf numFmtId="0" fontId="1" fillId="0" borderId="0" xfId="33" applyFont="1" applyAlignment="1">
      <alignment vertical="top" wrapText="1"/>
    </xf>
  </cellXfs>
  <cellStyles count="37">
    <cellStyle name="60% — akcent 4" xfId="2" builtinId="44"/>
    <cellStyle name="Akcent 1" xfId="1" builtinId="29"/>
    <cellStyle name="blue" xfId="4" xr:uid="{00000000-0005-0000-0000-000002000000}"/>
    <cellStyle name="BlueTitle" xfId="5" xr:uid="{00000000-0005-0000-0000-000003000000}"/>
    <cellStyle name="Comma 2" xfId="6" xr:uid="{00000000-0005-0000-0000-000004000000}"/>
    <cellStyle name="Currency Round to thousands" xfId="7" xr:uid="{00000000-0005-0000-0000-000005000000}"/>
    <cellStyle name="Czarny" xfId="8" xr:uid="{00000000-0005-0000-0000-000006000000}"/>
    <cellStyle name="Dziesiętny 2" xfId="9" xr:uid="{00000000-0005-0000-0000-000007000000}"/>
    <cellStyle name="Excel - Etykieta" xfId="10" xr:uid="{00000000-0005-0000-0000-000008000000}"/>
    <cellStyle name="Excel - Etykiety light" xfId="11" xr:uid="{00000000-0005-0000-0000-000009000000}"/>
    <cellStyle name="Excel - Formuła" xfId="12" xr:uid="{00000000-0005-0000-0000-00000A000000}"/>
    <cellStyle name="Excel - green" xfId="13" xr:uid="{00000000-0005-0000-0000-00000B000000}"/>
    <cellStyle name="Excel - lightblue" xfId="14" xr:uid="{00000000-0005-0000-0000-00000C000000}"/>
    <cellStyle name="Excel - orange" xfId="15" xr:uid="{00000000-0005-0000-0000-00000D000000}"/>
    <cellStyle name="Excel - purple" xfId="16" xr:uid="{00000000-0005-0000-0000-00000E000000}"/>
    <cellStyle name="Excel - red" xfId="17" xr:uid="{00000000-0005-0000-0000-00000F000000}"/>
    <cellStyle name="Excel - yellow" xfId="18" xr:uid="{00000000-0005-0000-0000-000010000000}"/>
    <cellStyle name="Formuła" xfId="19" xr:uid="{00000000-0005-0000-0000-000011000000}"/>
    <cellStyle name="Formuła 2" xfId="20" xr:uid="{00000000-0005-0000-0000-000012000000}"/>
    <cellStyle name="Formuła 3" xfId="21" xr:uid="{00000000-0005-0000-0000-000013000000}"/>
    <cellStyle name="Formuła 4" xfId="22" xr:uid="{00000000-0005-0000-0000-000014000000}"/>
    <cellStyle name="Four-Digit Year" xfId="23" xr:uid="{00000000-0005-0000-0000-000015000000}"/>
    <cellStyle name="Hiperłącze" xfId="32" builtinId="8"/>
    <cellStyle name="Hiperłącze 2" xfId="24" xr:uid="{00000000-0005-0000-0000-000017000000}"/>
    <cellStyle name="Hiperłącze 2 2" xfId="35" xr:uid="{38923991-4DAA-464A-B8EA-99E78F1DB1F1}"/>
    <cellStyle name="Hiperłącze 2 3" xfId="36" xr:uid="{43AAFA19-C6C1-41F8-A41A-B84473772071}"/>
    <cellStyle name="Informacja" xfId="25" xr:uid="{00000000-0005-0000-0000-000018000000}"/>
    <cellStyle name="Nagłówek" xfId="26" xr:uid="{00000000-0005-0000-0000-000019000000}"/>
    <cellStyle name="Normal 2" xfId="27" xr:uid="{00000000-0005-0000-0000-00001A000000}"/>
    <cellStyle name="Normalny" xfId="0" builtinId="0"/>
    <cellStyle name="Normalny 2" xfId="3" xr:uid="{00000000-0005-0000-0000-00001C000000}"/>
    <cellStyle name="Normalny 2 3 2 2" xfId="33" xr:uid="{18C0DD36-F50C-4749-B941-1537D62CEE92}"/>
    <cellStyle name="Normalny 3" xfId="28" xr:uid="{00000000-0005-0000-0000-00001D000000}"/>
    <cellStyle name="Normalny 4 2" xfId="34" xr:uid="{E6859C44-4778-41DE-8D53-607BA036C14C}"/>
    <cellStyle name="Styl 1" xfId="29" xr:uid="{00000000-0005-0000-0000-00001E000000}"/>
    <cellStyle name="Wrap Text" xfId="30" xr:uid="{00000000-0005-0000-0000-00001F000000}"/>
    <cellStyle name="ziel" xfId="31" xr:uid="{00000000-0005-0000-0000-000020000000}"/>
  </cellStyles>
  <dxfs count="0"/>
  <tableStyles count="0" defaultTableStyle="TableStyleMedium2" defaultPivotStyle="PivotStyleLight16"/>
  <colors>
    <mruColors>
      <color rgb="FFCFF1D6"/>
      <color rgb="FF2EA3F2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WykresyŚmieciowe!$A$1</c:f>
          <c:strCache>
            <c:ptCount val="1"/>
            <c:pt idx="0">
              <c:v>Sprzedaż "Piaski Pustyni" zima 2015</c:v>
            </c:pt>
          </c:strCache>
        </c:strRef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6.4015966754155731E-2"/>
                  <c:y val="1.21613444152814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EE-4F8F-9164-1C87F920ABDA}"/>
                </c:ext>
              </c:extLst>
            </c:dLbl>
            <c:dLbl>
              <c:idx val="1"/>
              <c:layout>
                <c:manualLayout>
                  <c:x val="-3.7236184224349961E-2"/>
                  <c:y val="1.897783610382035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E-4F8F-9164-1C87F920ABDA}"/>
                </c:ext>
              </c:extLst>
            </c:dLbl>
            <c:dLbl>
              <c:idx val="2"/>
              <c:layout>
                <c:manualLayout>
                  <c:x val="-0.14410044388193866"/>
                  <c:y val="7.56393992417614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EE-4F8F-9164-1C87F920ABDA}"/>
                </c:ext>
              </c:extLst>
            </c:dLbl>
            <c:dLbl>
              <c:idx val="3"/>
              <c:layout>
                <c:manualLayout>
                  <c:x val="-4.1990813648293962E-2"/>
                  <c:y val="-1.04396325459317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EE-4F8F-9164-1C87F920ABD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WykresyŚmieciowe!$A$3:$A$5</c:f>
              <c:strCache>
                <c:ptCount val="3"/>
                <c:pt idx="0">
                  <c:v>Gąbki</c:v>
                </c:pt>
                <c:pt idx="1">
                  <c:v>Muszelki</c:v>
                </c:pt>
                <c:pt idx="2">
                  <c:v>Piasek</c:v>
                </c:pt>
              </c:strCache>
            </c:strRef>
          </c:cat>
          <c:val>
            <c:numRef>
              <c:f>WykresyŚmieciowe!$E$3:$E$5</c:f>
              <c:numCache>
                <c:formatCode>"zł"#,##0.00_);[Red]\("zł"#,##0.00\)</c:formatCode>
                <c:ptCount val="3"/>
                <c:pt idx="0">
                  <c:v>1355</c:v>
                </c:pt>
                <c:pt idx="1">
                  <c:v>1807</c:v>
                </c:pt>
                <c:pt idx="2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EE-4F8F-9164-1C87F920AB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WykresyŚmieciowe!$A$1</c:f>
          <c:strCache>
            <c:ptCount val="1"/>
            <c:pt idx="0">
              <c:v>Sprzedaż "Piaski Pustyni" zima 2015</c:v>
            </c:pt>
          </c:strCache>
        </c:strRef>
      </c:tx>
      <c:overlay val="0"/>
    </c:title>
    <c:autoTitleDeleted val="0"/>
    <c:view3D>
      <c:rotX val="2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Pt>
            <c:idx val="1"/>
            <c:bubble3D val="0"/>
            <c:spPr>
              <a:pattFill prst="horzBrick">
                <a:fgClr>
                  <a:schemeClr val="accent2"/>
                </a:fgClr>
                <a:bgClr>
                  <a:schemeClr val="bg1"/>
                </a:bgClr>
              </a:pattFill>
            </c:spPr>
            <c:extLst>
              <c:ext xmlns:c16="http://schemas.microsoft.com/office/drawing/2014/chart" uri="{C3380CC4-5D6E-409C-BE32-E72D297353CC}">
                <c16:uniqueId val="{00000001-EE9F-4224-A6AE-E077F942038E}"/>
              </c:ext>
            </c:extLst>
          </c:dPt>
          <c:dPt>
            <c:idx val="2"/>
            <c:bubble3D val="0"/>
            <c:spPr>
              <a:blipFill>
                <a:blip xmlns:r="http://schemas.openxmlformats.org/officeDocument/2006/relationships" r:embed="rId1"/>
                <a:tile tx="0" ty="0" sx="100000" sy="100000" flip="none" algn="tl"/>
              </a:blipFill>
            </c:spPr>
            <c:extLst>
              <c:ext xmlns:c16="http://schemas.microsoft.com/office/drawing/2014/chart" uri="{C3380CC4-5D6E-409C-BE32-E72D297353CC}">
                <c16:uniqueId val="{00000003-EE9F-4224-A6AE-E077F942038E}"/>
              </c:ext>
            </c:extLst>
          </c:dPt>
          <c:dLbls>
            <c:dLbl>
              <c:idx val="0"/>
              <c:layout>
                <c:manualLayout>
                  <c:x val="2.1742488798937087E-2"/>
                  <c:y val="-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9F-4224-A6AE-E077F942038E}"/>
                </c:ext>
              </c:extLst>
            </c:dLbl>
            <c:dLbl>
              <c:idx val="1"/>
              <c:layout>
                <c:manualLayout>
                  <c:x val="-0.27353389654444615"/>
                  <c:y val="5.2823709536307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9F-4224-A6AE-E077F942038E}"/>
                </c:ext>
              </c:extLst>
            </c:dLbl>
            <c:dLbl>
              <c:idx val="2"/>
              <c:layout>
                <c:manualLayout>
                  <c:x val="-9.3074215319413289E-2"/>
                  <c:y val="-1.23235637212015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9F-4224-A6AE-E077F942038E}"/>
                </c:ext>
              </c:extLst>
            </c:dLbl>
            <c:dLbl>
              <c:idx val="3"/>
              <c:layout>
                <c:manualLayout>
                  <c:x val="0.20754471823665721"/>
                  <c:y val="2.1967774861475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9F-4224-A6AE-E077F94203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WykresyŚmieciowe!$A$3:$A$5</c:f>
              <c:strCache>
                <c:ptCount val="3"/>
                <c:pt idx="0">
                  <c:v>Gąbki</c:v>
                </c:pt>
                <c:pt idx="1">
                  <c:v>Muszelki</c:v>
                </c:pt>
                <c:pt idx="2">
                  <c:v>Piasek</c:v>
                </c:pt>
              </c:strCache>
            </c:strRef>
          </c:cat>
          <c:val>
            <c:numRef>
              <c:f>WykresyŚmieciowe!$E$3:$E$5</c:f>
              <c:numCache>
                <c:formatCode>"zł"#,##0.00_);[Red]\("zł"#,##0.00\)</c:formatCode>
                <c:ptCount val="3"/>
                <c:pt idx="0">
                  <c:v>1355</c:v>
                </c:pt>
                <c:pt idx="1">
                  <c:v>1807</c:v>
                </c:pt>
                <c:pt idx="2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9F-4224-A6AE-E077F94203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F8CC674C-08C6-45FE-9292-FC36FFABC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14CE2843-2922-4EED-AD89-0825A12E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3093BB85-DD47-457E-A97D-057BDFE86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991D333C-6C47-4E6E-ADEE-EE6C7C0011CD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38BBF8-208F-41E3-9EDE-B8CFDDE3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8231958-50F1-414C-A3FD-9A207ABB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D4F7A4B-1AB9-4D64-AA97-AD6F6648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6FB0D82-792E-46BF-8B2D-4A5D172C5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1D47B0A-3637-4D47-A362-EFF5E3759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D1F0BE8-7E00-4F71-804B-D58D3709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C057C6F4-B468-4C83-9EF2-C71CFCC1C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7F1B99E7-7F75-41A1-AC4D-136F86E9F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ECAF73B9-F081-477C-AE9D-7BD45FAC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64649</xdr:colOff>
      <xdr:row>6</xdr:row>
      <xdr:rowOff>45515</xdr:rowOff>
    </xdr:from>
    <xdr:to>
      <xdr:col>5</xdr:col>
      <xdr:colOff>350399</xdr:colOff>
      <xdr:row>17</xdr:row>
      <xdr:rowOff>156883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80597</xdr:colOff>
      <xdr:row>19</xdr:row>
      <xdr:rowOff>7327</xdr:rowOff>
    </xdr:from>
    <xdr:to>
      <xdr:col>5</xdr:col>
      <xdr:colOff>571500</xdr:colOff>
      <xdr:row>33</xdr:row>
      <xdr:rowOff>29308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ysk%20Google/ksiazka%20na%20googledrive/Rozdzia&#322;%2013%20-%20Wykres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2421.635890046295" createdVersion="5" refreshedVersion="5" minRefreshableVersion="3" recordCount="47" xr:uid="{00000000-000A-0000-FFFF-FFFF00000000}">
  <cacheSource type="worksheet">
    <worksheetSource ref="A2:A49" sheet="Histogram" r:id="rId2"/>
  </cacheSource>
  <cacheFields count="1">
    <cacheField name="Wynik egzaminu" numFmtId="0">
      <sharedItems containsSemiMixedTypes="0" containsString="0" containsNumber="1" containsInteger="1" minValue="6" maxValue="100" count="35">
        <n v="99"/>
        <n v="84"/>
        <n v="26"/>
        <n v="74"/>
        <n v="11"/>
        <n v="30"/>
        <n v="78"/>
        <n v="38"/>
        <n v="76"/>
        <n v="50"/>
        <n v="56"/>
        <n v="53"/>
        <n v="13"/>
        <n v="65"/>
        <n v="83"/>
        <n v="40"/>
        <n v="100"/>
        <n v="49"/>
        <n v="66"/>
        <n v="64"/>
        <n v="22"/>
        <n v="75"/>
        <n v="21"/>
        <n v="47"/>
        <n v="48"/>
        <n v="89"/>
        <n v="97"/>
        <n v="72"/>
        <n v="6"/>
        <n v="62"/>
        <n v="88"/>
        <n v="54"/>
        <n v="60"/>
        <n v="12"/>
        <n v="69"/>
      </sharedItems>
      <fieldGroup base="0">
        <rangePr autoStart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x v="0"/>
  </r>
  <r>
    <x v="1"/>
  </r>
  <r>
    <x v="2"/>
  </r>
  <r>
    <x v="3"/>
  </r>
  <r>
    <x v="4"/>
  </r>
  <r>
    <x v="5"/>
  </r>
  <r>
    <x v="6"/>
  </r>
  <r>
    <x v="7"/>
  </r>
  <r>
    <x v="4"/>
  </r>
  <r>
    <x v="8"/>
  </r>
  <r>
    <x v="9"/>
  </r>
  <r>
    <x v="10"/>
  </r>
  <r>
    <x v="11"/>
  </r>
  <r>
    <x v="12"/>
  </r>
  <r>
    <x v="5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18"/>
  </r>
  <r>
    <x v="4"/>
  </r>
  <r>
    <x v="11"/>
  </r>
  <r>
    <x v="7"/>
  </r>
  <r>
    <x v="23"/>
  </r>
  <r>
    <x v="21"/>
  </r>
  <r>
    <x v="24"/>
  </r>
  <r>
    <x v="25"/>
  </r>
  <r>
    <x v="4"/>
  </r>
  <r>
    <x v="26"/>
  </r>
  <r>
    <x v="27"/>
  </r>
  <r>
    <x v="28"/>
  </r>
  <r>
    <x v="14"/>
  </r>
  <r>
    <x v="29"/>
  </r>
  <r>
    <x v="30"/>
  </r>
  <r>
    <x v="31"/>
  </r>
  <r>
    <x v="29"/>
  </r>
  <r>
    <x v="21"/>
  </r>
  <r>
    <x v="32"/>
  </r>
  <r>
    <x v="33"/>
  </r>
  <r>
    <x v="5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przestawna1" cacheId="26" applyNumberFormats="0" applyBorderFormats="0" applyFontFormats="0" applyPatternFormats="0" applyAlignmentFormats="0" applyWidthHeightFormats="1" dataCaption="Wartości" updatedVersion="5" minRefreshableVersion="3" useAutoFormatting="1" itemPrintTitles="1" createdVersion="4" indent="0" outline="1" outlineData="1" multipleFieldFilters="0">
  <location ref="C15:D26" firstHeaderRow="1" firstDataRow="1" firstDataCol="1"/>
  <pivotFields count="1"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Liczba z Wynik egzaminu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F141-7D86-4093-83CB-030B6308FA96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53" customWidth="1"/>
    <col min="100" max="101" width="2.44140625" style="1" customWidth="1"/>
    <col min="102" max="105" width="9.109375" style="53"/>
    <col min="106" max="106" width="10.6640625" style="53" customWidth="1"/>
    <col min="107" max="107" width="73.6640625" style="53" customWidth="1"/>
    <col min="108" max="108" width="6.33203125" style="53" customWidth="1"/>
    <col min="109" max="16384" width="9.109375" style="53"/>
  </cols>
  <sheetData>
    <row r="1" spans="18:99" s="1" customFormat="1" ht="6" customHeight="1"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</row>
    <row r="2" spans="18:99" s="1" customFormat="1" ht="6" customHeight="1">
      <c r="R2" s="53"/>
      <c r="S2" s="53"/>
      <c r="T2" s="53"/>
      <c r="U2" s="53"/>
      <c r="V2" s="53"/>
      <c r="W2" s="53"/>
      <c r="X2" s="53"/>
      <c r="Y2" s="53"/>
      <c r="Z2" s="54" t="s">
        <v>93</v>
      </c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5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</row>
    <row r="3" spans="18:99" s="1" customFormat="1" ht="6" customHeight="1">
      <c r="R3" s="53"/>
      <c r="S3" s="53"/>
      <c r="T3" s="53"/>
      <c r="U3" s="53"/>
      <c r="V3" s="53"/>
      <c r="W3" s="53"/>
      <c r="X3" s="53"/>
      <c r="Y3" s="53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5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</row>
    <row r="4" spans="18:99" s="1" customFormat="1" ht="6" customHeight="1">
      <c r="R4" s="53"/>
      <c r="S4" s="53"/>
      <c r="T4" s="53"/>
      <c r="U4" s="53"/>
      <c r="V4" s="53"/>
      <c r="W4" s="53"/>
      <c r="X4" s="53"/>
      <c r="Y4" s="53"/>
      <c r="Z4" s="56" t="s">
        <v>94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7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</row>
    <row r="5" spans="18:99" s="1" customFormat="1" ht="6" customHeight="1">
      <c r="R5" s="58" t="s">
        <v>95</v>
      </c>
      <c r="S5" s="58"/>
      <c r="T5" s="58"/>
      <c r="U5" s="58"/>
      <c r="V5" s="58"/>
      <c r="W5" s="58"/>
      <c r="X5" s="53"/>
      <c r="Y5" s="53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7"/>
      <c r="BE5" s="53"/>
      <c r="BF5" s="58" t="s">
        <v>96</v>
      </c>
      <c r="BG5" s="58"/>
      <c r="BH5" s="58"/>
      <c r="BI5" s="58"/>
      <c r="BJ5" s="58"/>
      <c r="BK5" s="58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</row>
    <row r="6" spans="18:99" s="1" customFormat="1" ht="6" customHeight="1">
      <c r="R6" s="58"/>
      <c r="S6" s="58"/>
      <c r="T6" s="58"/>
      <c r="U6" s="58"/>
      <c r="V6" s="58"/>
      <c r="W6" s="58"/>
      <c r="X6" s="53"/>
      <c r="Y6" s="53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7"/>
      <c r="BE6" s="53"/>
      <c r="BF6" s="58"/>
      <c r="BG6" s="58"/>
      <c r="BH6" s="58"/>
      <c r="BI6" s="58"/>
      <c r="BJ6" s="58"/>
      <c r="BK6" s="58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</row>
    <row r="7" spans="18:99" s="1" customFormat="1" ht="6" customHeight="1">
      <c r="R7" s="58"/>
      <c r="S7" s="58"/>
      <c r="T7" s="58"/>
      <c r="U7" s="58"/>
      <c r="V7" s="58"/>
      <c r="W7" s="58"/>
      <c r="X7" s="59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8"/>
      <c r="BG7" s="58"/>
      <c r="BH7" s="58"/>
      <c r="BI7" s="58"/>
      <c r="BJ7" s="58"/>
      <c r="BK7" s="58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</row>
    <row r="8" spans="18:99" s="1" customFormat="1" ht="6" customHeight="1"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</row>
    <row r="9" spans="18:99" s="1" customFormat="1" ht="6" customHeight="1">
      <c r="R9" s="60"/>
      <c r="S9" s="60"/>
      <c r="T9" s="60"/>
      <c r="U9" s="60"/>
      <c r="V9" s="60"/>
      <c r="W9" s="60"/>
      <c r="X9" s="60"/>
      <c r="Y9" s="60"/>
      <c r="Z9" s="61" t="s">
        <v>97</v>
      </c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2"/>
      <c r="BE9" s="53"/>
      <c r="BF9" s="60"/>
      <c r="BG9" s="60"/>
      <c r="BH9" s="60"/>
      <c r="BI9" s="60"/>
      <c r="BJ9" s="60"/>
      <c r="BK9" s="60"/>
      <c r="BL9" s="60"/>
      <c r="BM9" s="60"/>
      <c r="BN9" s="63" t="s">
        <v>98</v>
      </c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4"/>
      <c r="CS9" s="64"/>
      <c r="CT9" s="64"/>
      <c r="CU9" s="64"/>
    </row>
    <row r="10" spans="18:99" s="1" customFormat="1" ht="6" customHeight="1">
      <c r="R10" s="53"/>
      <c r="S10" s="53"/>
      <c r="T10" s="53"/>
      <c r="U10" s="53"/>
      <c r="V10" s="53"/>
      <c r="W10" s="53"/>
      <c r="X10" s="53"/>
      <c r="Y10" s="53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2"/>
      <c r="BE10" s="53"/>
      <c r="BF10" s="53"/>
      <c r="BG10" s="53"/>
      <c r="BH10" s="53"/>
      <c r="BI10" s="53"/>
      <c r="BJ10" s="53"/>
      <c r="BK10" s="53"/>
      <c r="BL10" s="53"/>
      <c r="BM10" s="53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4"/>
      <c r="CS10" s="64"/>
      <c r="CT10" s="64"/>
      <c r="CU10" s="64"/>
    </row>
    <row r="11" spans="18:99" s="1" customFormat="1" ht="6" customHeight="1">
      <c r="R11" s="53"/>
      <c r="S11" s="53"/>
      <c r="T11" s="53"/>
      <c r="U11" s="53"/>
      <c r="V11" s="53"/>
      <c r="W11" s="53"/>
      <c r="X11" s="53"/>
      <c r="Y11" s="53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2"/>
      <c r="BE11" s="53"/>
      <c r="BF11" s="53"/>
      <c r="BG11" s="53"/>
      <c r="BH11" s="53"/>
      <c r="BI11" s="53"/>
      <c r="BJ11" s="53"/>
      <c r="BK11" s="53"/>
      <c r="BL11" s="53"/>
      <c r="BM11" s="53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4"/>
      <c r="CS11" s="64"/>
      <c r="CT11" s="64"/>
      <c r="CU11" s="64"/>
    </row>
    <row r="12" spans="18:99" s="1" customFormat="1" ht="6" customHeight="1">
      <c r="R12" s="53"/>
      <c r="S12" s="53"/>
      <c r="T12" s="53"/>
      <c r="U12" s="53"/>
      <c r="V12" s="53"/>
      <c r="W12" s="53"/>
      <c r="X12" s="53"/>
      <c r="Y12" s="53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2"/>
      <c r="BE12" s="53"/>
      <c r="BF12" s="53"/>
      <c r="BG12" s="53"/>
      <c r="BH12" s="53"/>
      <c r="BI12" s="53"/>
      <c r="BJ12" s="53"/>
      <c r="BK12" s="53"/>
      <c r="BL12" s="53"/>
      <c r="BM12" s="53"/>
      <c r="BN12" s="67" t="s">
        <v>99</v>
      </c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8"/>
      <c r="CS12" s="68"/>
      <c r="CT12" s="68"/>
      <c r="CU12" s="68"/>
    </row>
    <row r="13" spans="18:99" s="1" customFormat="1" ht="6" customHeight="1">
      <c r="R13" s="53"/>
      <c r="S13" s="53"/>
      <c r="T13" s="53"/>
      <c r="U13" s="53"/>
      <c r="V13" s="53"/>
      <c r="W13" s="53"/>
      <c r="X13" s="53"/>
      <c r="Y13" s="53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2"/>
      <c r="BE13" s="53"/>
      <c r="BF13" s="53"/>
      <c r="BG13" s="53"/>
      <c r="BH13" s="53"/>
      <c r="BI13" s="53"/>
      <c r="BJ13" s="53"/>
      <c r="BK13" s="53"/>
      <c r="BL13" s="53"/>
      <c r="BM13" s="53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8"/>
      <c r="CS13" s="68"/>
      <c r="CT13" s="68"/>
      <c r="CU13" s="68"/>
    </row>
    <row r="14" spans="18:99" s="1" customFormat="1" ht="6" customHeight="1">
      <c r="R14" s="53"/>
      <c r="S14" s="53"/>
      <c r="T14" s="53"/>
      <c r="U14" s="53"/>
      <c r="V14" s="53"/>
      <c r="W14" s="53"/>
      <c r="X14" s="53"/>
      <c r="Y14" s="53"/>
      <c r="Z14" s="69" t="s">
        <v>100</v>
      </c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70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</row>
    <row r="15" spans="18:99" s="1" customFormat="1" ht="6" customHeight="1">
      <c r="R15" s="53"/>
      <c r="S15" s="53"/>
      <c r="T15" s="53"/>
      <c r="U15" s="53"/>
      <c r="V15" s="53"/>
      <c r="W15" s="53"/>
      <c r="X15" s="53"/>
      <c r="Y15" s="53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70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</row>
    <row r="16" spans="18:99" s="1" customFormat="1" ht="6" customHeight="1">
      <c r="R16" s="53"/>
      <c r="S16" s="53"/>
      <c r="T16" s="53"/>
      <c r="U16" s="53"/>
      <c r="V16" s="53"/>
      <c r="W16" s="53"/>
      <c r="X16" s="53"/>
      <c r="Y16" s="53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70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</row>
    <row r="17" spans="18:101" s="53" customFormat="1" ht="6" customHeight="1">
      <c r="Z17" s="71" t="s">
        <v>101</v>
      </c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2"/>
      <c r="CV17" s="1"/>
      <c r="CW17" s="1"/>
    </row>
    <row r="18" spans="18:101" s="53" customFormat="1" ht="6" customHeight="1"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2"/>
      <c r="CV18" s="1"/>
      <c r="CW18" s="1"/>
    </row>
    <row r="19" spans="18:101" s="53" customFormat="1" ht="6" customHeight="1">
      <c r="CV19" s="1"/>
      <c r="CW19" s="1"/>
    </row>
    <row r="20" spans="18:101" s="53" customFormat="1" ht="6" customHeight="1">
      <c r="CV20" s="1"/>
      <c r="CW20" s="1"/>
    </row>
    <row r="21" spans="18:101" s="53" customFormat="1" ht="6" customHeight="1">
      <c r="R21" s="60"/>
      <c r="S21" s="60"/>
      <c r="T21" s="60"/>
      <c r="U21" s="60"/>
      <c r="V21" s="60"/>
      <c r="W21" s="60"/>
      <c r="X21" s="60"/>
      <c r="Y21" s="60"/>
      <c r="Z21" s="73" t="s">
        <v>102</v>
      </c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4"/>
      <c r="CV21" s="1"/>
      <c r="CW21" s="1"/>
    </row>
    <row r="22" spans="18:101" s="53" customFormat="1" ht="6" customHeight="1"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4"/>
      <c r="CV22" s="1"/>
      <c r="CW22" s="1"/>
    </row>
    <row r="23" spans="18:101" s="53" customFormat="1" ht="6" customHeight="1">
      <c r="Z23" s="76" t="s">
        <v>103</v>
      </c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7"/>
      <c r="CV23" s="1"/>
      <c r="CW23" s="1"/>
    </row>
    <row r="24" spans="18:101" s="53" customFormat="1" ht="6" customHeight="1"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7"/>
      <c r="CV24" s="1"/>
      <c r="CW24" s="1"/>
    </row>
    <row r="25" spans="18:101" s="53" customFormat="1" ht="6" customHeight="1">
      <c r="CV25" s="1"/>
      <c r="CW25" s="1"/>
    </row>
    <row r="26" spans="18:101" s="53" customFormat="1" ht="6" customHeight="1">
      <c r="Z26" s="71" t="s">
        <v>104</v>
      </c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2"/>
      <c r="CV26" s="1"/>
      <c r="CW26" s="1"/>
    </row>
    <row r="27" spans="18:101" s="53" customFormat="1" ht="6" customHeight="1"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CV27" s="1"/>
      <c r="CW27" s="1"/>
    </row>
    <row r="28" spans="18:101" s="53" customFormat="1" ht="6" customHeight="1"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CV28" s="1"/>
      <c r="CW28" s="1"/>
    </row>
    <row r="29" spans="18:101" s="53" customFormat="1" ht="6" customHeight="1">
      <c r="CV29" s="1"/>
      <c r="CW29" s="1"/>
    </row>
    <row r="30" spans="18:101" s="53" customFormat="1" ht="6" customHeight="1">
      <c r="CV30" s="1"/>
      <c r="CW30" s="1"/>
    </row>
    <row r="31" spans="18:101" s="53" customFormat="1" ht="6" customHeight="1">
      <c r="CV31" s="1"/>
      <c r="CW31" s="1"/>
    </row>
    <row r="32" spans="18:101" s="53" customFormat="1" ht="6" customHeight="1">
      <c r="R32" s="60"/>
      <c r="S32" s="60"/>
      <c r="T32" s="60"/>
      <c r="U32" s="60"/>
      <c r="V32" s="60"/>
      <c r="W32" s="60"/>
      <c r="X32" s="60"/>
      <c r="Y32" s="60"/>
      <c r="Z32" s="79" t="s">
        <v>105</v>
      </c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80"/>
      <c r="CV32" s="1"/>
      <c r="CW32" s="1"/>
    </row>
    <row r="33" spans="18:99" s="1" customFormat="1" ht="6" customHeight="1">
      <c r="R33" s="53"/>
      <c r="S33" s="53"/>
      <c r="T33" s="53"/>
      <c r="U33" s="53"/>
      <c r="V33" s="53"/>
      <c r="W33" s="53"/>
      <c r="X33" s="53"/>
      <c r="Y33" s="53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0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</row>
    <row r="34" spans="18:99" s="1" customFormat="1" ht="6" customHeight="1">
      <c r="R34" s="53"/>
      <c r="S34" s="53"/>
      <c r="T34" s="53"/>
      <c r="U34" s="53"/>
      <c r="V34" s="53"/>
      <c r="W34" s="53"/>
      <c r="X34" s="53"/>
      <c r="Y34" s="53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0"/>
      <c r="BE34" s="53"/>
      <c r="BF34" s="60"/>
      <c r="BG34" s="60"/>
      <c r="BH34" s="60"/>
      <c r="BI34" s="60"/>
      <c r="BJ34" s="60"/>
      <c r="BK34" s="60"/>
      <c r="BL34" s="60"/>
      <c r="BM34" s="60"/>
      <c r="BN34" s="63" t="s">
        <v>106</v>
      </c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4"/>
      <c r="CS34" s="64"/>
      <c r="CT34" s="64"/>
      <c r="CU34" s="64"/>
    </row>
    <row r="35" spans="18:99" s="1" customFormat="1" ht="6" customHeight="1">
      <c r="R35" s="53"/>
      <c r="S35" s="53"/>
      <c r="T35" s="53"/>
      <c r="U35" s="53"/>
      <c r="V35" s="53"/>
      <c r="W35" s="53"/>
      <c r="X35" s="53"/>
      <c r="Y35" s="53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0"/>
      <c r="BE35" s="53"/>
      <c r="BF35" s="53"/>
      <c r="BG35" s="53"/>
      <c r="BH35" s="53"/>
      <c r="BI35" s="53"/>
      <c r="BJ35" s="53"/>
      <c r="BK35" s="53"/>
      <c r="BL35" s="53"/>
      <c r="BM35" s="53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4"/>
      <c r="CS35" s="64"/>
      <c r="CT35" s="64"/>
      <c r="CU35" s="64"/>
    </row>
    <row r="36" spans="18:99" s="1" customFormat="1" ht="6" customHeight="1">
      <c r="R36" s="53"/>
      <c r="S36" s="53"/>
      <c r="T36" s="53"/>
      <c r="U36" s="53"/>
      <c r="V36" s="53"/>
      <c r="W36" s="53"/>
      <c r="X36" s="53"/>
      <c r="Y36" s="53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0"/>
      <c r="BE36" s="53"/>
      <c r="BF36" s="53"/>
      <c r="BG36" s="53"/>
      <c r="BH36" s="53"/>
      <c r="BI36" s="53"/>
      <c r="BJ36" s="53"/>
      <c r="BK36" s="53"/>
      <c r="BL36" s="53"/>
      <c r="BM36" s="53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4"/>
      <c r="CS36" s="64"/>
      <c r="CT36" s="64"/>
      <c r="CU36" s="64"/>
    </row>
    <row r="37" spans="18:99" s="1" customFormat="1" ht="6" customHeight="1">
      <c r="R37" s="53"/>
      <c r="S37" s="53"/>
      <c r="T37" s="53"/>
      <c r="U37" s="53"/>
      <c r="V37" s="53"/>
      <c r="W37" s="53"/>
      <c r="X37" s="53"/>
      <c r="Y37" s="53"/>
      <c r="Z37" s="69" t="s">
        <v>107</v>
      </c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70"/>
      <c r="BE37" s="53"/>
      <c r="BF37" s="53"/>
      <c r="BG37" s="53"/>
      <c r="BH37" s="53"/>
      <c r="BI37" s="53"/>
      <c r="BJ37" s="53"/>
      <c r="BK37" s="53"/>
      <c r="BL37" s="53"/>
      <c r="BM37" s="53"/>
      <c r="BN37" s="67" t="s">
        <v>108</v>
      </c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8"/>
      <c r="CS37" s="68"/>
      <c r="CT37" s="68"/>
      <c r="CU37" s="68"/>
    </row>
    <row r="38" spans="18:99" s="1" customFormat="1" ht="6" customHeight="1">
      <c r="R38" s="53"/>
      <c r="S38" s="53"/>
      <c r="T38" s="53"/>
      <c r="U38" s="53"/>
      <c r="V38" s="53"/>
      <c r="W38" s="53"/>
      <c r="X38" s="53"/>
      <c r="Y38" s="53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70"/>
      <c r="BE38" s="53"/>
      <c r="BF38" s="53"/>
      <c r="BG38" s="53"/>
      <c r="BH38" s="53"/>
      <c r="BI38" s="53"/>
      <c r="BJ38" s="53"/>
      <c r="BK38" s="53"/>
      <c r="BL38" s="53"/>
      <c r="BM38" s="53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8"/>
      <c r="CS38" s="68"/>
      <c r="CT38" s="68"/>
      <c r="CU38" s="68"/>
    </row>
    <row r="39" spans="18:99" s="1" customFormat="1" ht="6" customHeight="1">
      <c r="R39" s="53"/>
      <c r="S39" s="53"/>
      <c r="T39" s="53"/>
      <c r="U39" s="53"/>
      <c r="V39" s="53"/>
      <c r="W39" s="53"/>
      <c r="X39" s="53"/>
      <c r="Y39" s="53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70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</row>
    <row r="40" spans="18:99" s="1" customFormat="1" ht="6" customHeight="1">
      <c r="R40" s="53"/>
      <c r="S40" s="53"/>
      <c r="T40" s="53"/>
      <c r="U40" s="53"/>
      <c r="V40" s="53"/>
      <c r="W40" s="53"/>
      <c r="X40" s="53"/>
      <c r="Y40" s="53"/>
      <c r="Z40" s="71" t="s">
        <v>109</v>
      </c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2"/>
      <c r="BE40" s="53"/>
      <c r="BF40" s="53"/>
      <c r="BG40" s="53"/>
      <c r="BH40" s="53"/>
      <c r="BI40" s="53"/>
      <c r="BJ40" s="53"/>
      <c r="BK40" s="53"/>
      <c r="BL40" s="53"/>
      <c r="BM40" s="53"/>
      <c r="BN40" s="66" t="s">
        <v>110</v>
      </c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4"/>
      <c r="CS40" s="64"/>
      <c r="CT40" s="64"/>
      <c r="CU40" s="64"/>
    </row>
    <row r="41" spans="18:99" s="1" customFormat="1" ht="6" customHeight="1">
      <c r="R41" s="53"/>
      <c r="S41" s="53"/>
      <c r="T41" s="53"/>
      <c r="U41" s="53"/>
      <c r="V41" s="53"/>
      <c r="W41" s="53"/>
      <c r="X41" s="53"/>
      <c r="Y41" s="53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2"/>
      <c r="BE41" s="53"/>
      <c r="BF41" s="53"/>
      <c r="BG41" s="53"/>
      <c r="BH41" s="53"/>
      <c r="BI41" s="53"/>
      <c r="BJ41" s="53"/>
      <c r="BK41" s="53"/>
      <c r="BL41" s="53"/>
      <c r="BM41" s="53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4"/>
      <c r="CS41" s="64"/>
      <c r="CT41" s="64"/>
      <c r="CU41" s="64"/>
    </row>
    <row r="42" spans="18:99" s="1" customFormat="1" ht="6" customHeight="1"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4"/>
      <c r="CS42" s="64"/>
      <c r="CT42" s="64"/>
      <c r="CU42" s="64"/>
    </row>
    <row r="43" spans="18:99" s="1" customFormat="1" ht="6" customHeight="1">
      <c r="R43" s="60"/>
      <c r="S43" s="60"/>
      <c r="T43" s="60"/>
      <c r="U43" s="60"/>
      <c r="V43" s="60"/>
      <c r="W43" s="60"/>
      <c r="X43" s="60"/>
      <c r="Y43" s="60"/>
      <c r="Z43" s="79" t="s">
        <v>111</v>
      </c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80"/>
      <c r="BE43" s="53"/>
      <c r="BF43" s="53"/>
      <c r="BG43" s="53"/>
      <c r="BH43" s="53"/>
      <c r="BI43" s="53"/>
      <c r="BJ43" s="53"/>
      <c r="BK43" s="53"/>
      <c r="BL43" s="53"/>
      <c r="BM43" s="53"/>
      <c r="BN43" s="67" t="s">
        <v>112</v>
      </c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8"/>
      <c r="CS43" s="68"/>
      <c r="CT43" s="68"/>
      <c r="CU43" s="68"/>
    </row>
    <row r="44" spans="18:99" s="1" customFormat="1" ht="6" customHeight="1">
      <c r="R44" s="53"/>
      <c r="S44" s="53"/>
      <c r="T44" s="53"/>
      <c r="U44" s="53"/>
      <c r="V44" s="53"/>
      <c r="W44" s="53"/>
      <c r="X44" s="53"/>
      <c r="Y44" s="53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0"/>
      <c r="BE44" s="53"/>
      <c r="BF44" s="53"/>
      <c r="BG44" s="53"/>
      <c r="BH44" s="53"/>
      <c r="BI44" s="53"/>
      <c r="BJ44" s="53"/>
      <c r="BK44" s="53"/>
      <c r="BL44" s="53"/>
      <c r="BM44" s="53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8"/>
      <c r="CS44" s="68"/>
      <c r="CT44" s="68"/>
      <c r="CU44" s="68"/>
    </row>
    <row r="45" spans="18:99" s="1" customFormat="1" ht="6" customHeight="1">
      <c r="R45" s="53"/>
      <c r="S45" s="53"/>
      <c r="T45" s="53"/>
      <c r="U45" s="53"/>
      <c r="V45" s="53"/>
      <c r="W45" s="53"/>
      <c r="X45" s="53"/>
      <c r="Y45" s="53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0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</row>
    <row r="46" spans="18:99" s="1" customFormat="1" ht="6" customHeight="1">
      <c r="R46" s="53"/>
      <c r="S46" s="53"/>
      <c r="T46" s="53"/>
      <c r="U46" s="53"/>
      <c r="V46" s="53"/>
      <c r="W46" s="53"/>
      <c r="X46" s="53"/>
      <c r="Y46" s="53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0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</row>
    <row r="47" spans="18:99" s="1" customFormat="1" ht="6" customHeight="1">
      <c r="R47" s="53"/>
      <c r="S47" s="53"/>
      <c r="T47" s="53"/>
      <c r="U47" s="53"/>
      <c r="V47" s="53"/>
      <c r="W47" s="53"/>
      <c r="X47" s="53"/>
      <c r="Y47" s="53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0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</row>
    <row r="48" spans="18:99" s="1" customFormat="1" ht="6" customHeight="1">
      <c r="R48" s="53"/>
      <c r="S48" s="53"/>
      <c r="T48" s="53"/>
      <c r="U48" s="53"/>
      <c r="V48" s="53"/>
      <c r="W48" s="53"/>
      <c r="X48" s="53"/>
      <c r="Y48" s="53"/>
      <c r="Z48" s="69" t="s">
        <v>113</v>
      </c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70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</row>
    <row r="49" spans="2:99" s="1" customFormat="1" ht="6" customHeight="1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70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</row>
    <row r="50" spans="2:99" s="1" customFormat="1" ht="6" customHeight="1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70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</row>
    <row r="51" spans="2:99" s="1" customFormat="1" ht="6" customHeight="1">
      <c r="B51" s="56" t="s">
        <v>114</v>
      </c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3"/>
      <c r="R51" s="53"/>
      <c r="S51" s="53"/>
      <c r="T51" s="53"/>
      <c r="U51" s="53"/>
      <c r="V51" s="53"/>
      <c r="W51" s="53"/>
      <c r="X51" s="53"/>
      <c r="Y51" s="53"/>
      <c r="Z51" s="71" t="s">
        <v>115</v>
      </c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2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</row>
    <row r="52" spans="2:99" s="1" customFormat="1" ht="6" customHeight="1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3"/>
      <c r="R52" s="53"/>
      <c r="S52" s="53"/>
      <c r="T52" s="53"/>
      <c r="U52" s="53"/>
      <c r="V52" s="53"/>
      <c r="W52" s="53"/>
      <c r="X52" s="53"/>
      <c r="Y52" s="53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2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</row>
    <row r="53" spans="2:99" s="1" customFormat="1" ht="6" customHeight="1"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</row>
    <row r="54" spans="2:99" s="1" customFormat="1" ht="6" customHeight="1">
      <c r="B54" s="83" t="s">
        <v>116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53"/>
      <c r="R54" s="60"/>
      <c r="S54" s="60"/>
      <c r="T54" s="60"/>
      <c r="U54" s="60"/>
      <c r="V54" s="60"/>
      <c r="W54" s="60"/>
      <c r="X54" s="60"/>
      <c r="Y54" s="60"/>
      <c r="Z54" s="79" t="s">
        <v>117</v>
      </c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80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</row>
    <row r="55" spans="2:99" s="1" customFormat="1" ht="6" customHeight="1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53"/>
      <c r="R55" s="53"/>
      <c r="S55" s="53"/>
      <c r="T55" s="53"/>
      <c r="U55" s="53"/>
      <c r="V55" s="53"/>
      <c r="W55" s="53"/>
      <c r="X55" s="53"/>
      <c r="Y55" s="53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0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</row>
    <row r="56" spans="2:99" s="1" customFormat="1" ht="6" customHeight="1"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53"/>
      <c r="R56" s="53"/>
      <c r="S56" s="53"/>
      <c r="T56" s="53"/>
      <c r="U56" s="53"/>
      <c r="V56" s="53"/>
      <c r="W56" s="53"/>
      <c r="X56" s="53"/>
      <c r="Y56" s="53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0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</row>
    <row r="57" spans="2:99" s="1" customFormat="1" ht="6" customHeight="1">
      <c r="B57" s="84" t="s">
        <v>118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53"/>
      <c r="R57" s="53"/>
      <c r="S57" s="53"/>
      <c r="T57" s="53"/>
      <c r="U57" s="53"/>
      <c r="V57" s="53"/>
      <c r="W57" s="53"/>
      <c r="X57" s="53"/>
      <c r="Y57" s="53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0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</row>
    <row r="58" spans="2:99" s="1" customFormat="1" ht="6" customHeight="1"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53"/>
      <c r="R58" s="53"/>
      <c r="S58" s="53"/>
      <c r="T58" s="53"/>
      <c r="U58" s="53"/>
      <c r="V58" s="53"/>
      <c r="W58" s="53"/>
      <c r="X58" s="53"/>
      <c r="Y58" s="53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0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</row>
    <row r="59" spans="2:99" s="1" customFormat="1" ht="6" customHeight="1"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69" t="s">
        <v>119</v>
      </c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70"/>
      <c r="BE59" s="53"/>
      <c r="BF59" s="60"/>
      <c r="BG59" s="60"/>
      <c r="BH59" s="60"/>
      <c r="BI59" s="60"/>
      <c r="BJ59" s="60"/>
      <c r="BK59" s="60"/>
      <c r="BL59" s="60"/>
      <c r="BM59" s="60"/>
      <c r="BN59" s="63" t="s">
        <v>106</v>
      </c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4"/>
      <c r="CS59" s="64"/>
      <c r="CT59" s="64"/>
      <c r="CU59" s="64"/>
    </row>
    <row r="60" spans="2:99" s="1" customFormat="1" ht="6" customHeight="1">
      <c r="B60" s="83" t="s">
        <v>120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53"/>
      <c r="R60" s="53"/>
      <c r="S60" s="53"/>
      <c r="T60" s="53"/>
      <c r="U60" s="53"/>
      <c r="V60" s="53"/>
      <c r="W60" s="53"/>
      <c r="X60" s="53"/>
      <c r="Y60" s="53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70"/>
      <c r="BE60" s="53"/>
      <c r="BF60" s="53"/>
      <c r="BG60" s="53"/>
      <c r="BH60" s="53"/>
      <c r="BI60" s="53"/>
      <c r="BJ60" s="53"/>
      <c r="BK60" s="53"/>
      <c r="BL60" s="53"/>
      <c r="BM60" s="53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4"/>
      <c r="CS60" s="64"/>
      <c r="CT60" s="64"/>
      <c r="CU60" s="64"/>
    </row>
    <row r="61" spans="2:99" s="1" customFormat="1" ht="6" customHeight="1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53"/>
      <c r="R61" s="53"/>
      <c r="S61" s="53"/>
      <c r="T61" s="53"/>
      <c r="U61" s="53"/>
      <c r="V61" s="53"/>
      <c r="W61" s="53"/>
      <c r="X61" s="53"/>
      <c r="Y61" s="53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70"/>
      <c r="BE61" s="53"/>
      <c r="BF61" s="53"/>
      <c r="BG61" s="53"/>
      <c r="BH61" s="53"/>
      <c r="BI61" s="53"/>
      <c r="BJ61" s="53"/>
      <c r="BK61" s="53"/>
      <c r="BL61" s="53"/>
      <c r="BM61" s="53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4"/>
      <c r="CS61" s="64"/>
      <c r="CT61" s="64"/>
      <c r="CU61" s="64"/>
    </row>
    <row r="62" spans="2:99" s="1" customFormat="1" ht="6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53"/>
      <c r="R62" s="53"/>
      <c r="S62" s="53"/>
      <c r="T62" s="53"/>
      <c r="U62" s="53"/>
      <c r="V62" s="53"/>
      <c r="W62" s="53"/>
      <c r="X62" s="53"/>
      <c r="Y62" s="53"/>
      <c r="Z62" s="71" t="s">
        <v>121</v>
      </c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2"/>
      <c r="BE62" s="53"/>
      <c r="BF62" s="53"/>
      <c r="BG62" s="53"/>
      <c r="BH62" s="53"/>
      <c r="BI62" s="53"/>
      <c r="BJ62" s="53"/>
      <c r="BK62" s="53"/>
      <c r="BL62" s="53"/>
      <c r="BM62" s="53"/>
      <c r="BN62" s="67" t="s">
        <v>122</v>
      </c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8"/>
      <c r="CS62" s="68"/>
      <c r="CT62" s="68"/>
      <c r="CU62" s="68"/>
    </row>
    <row r="63" spans="2:99" s="1" customFormat="1" ht="6" customHeight="1">
      <c r="B63" s="85" t="s">
        <v>123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53"/>
      <c r="R63" s="53"/>
      <c r="S63" s="53"/>
      <c r="T63" s="53"/>
      <c r="U63" s="53"/>
      <c r="V63" s="53"/>
      <c r="W63" s="53"/>
      <c r="X63" s="53"/>
      <c r="Y63" s="53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2"/>
      <c r="BE63" s="53"/>
      <c r="BF63" s="53"/>
      <c r="BG63" s="53"/>
      <c r="BH63" s="53"/>
      <c r="BI63" s="53"/>
      <c r="BJ63" s="53"/>
      <c r="BK63" s="53"/>
      <c r="BL63" s="53"/>
      <c r="BM63" s="53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8"/>
      <c r="CS63" s="68"/>
      <c r="CT63" s="68"/>
      <c r="CU63" s="68"/>
    </row>
    <row r="64" spans="2:99" s="1" customFormat="1" ht="6" customHeight="1"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</row>
    <row r="65" spans="18:99" s="1" customFormat="1" ht="6" customHeight="1">
      <c r="R65" s="60"/>
      <c r="S65" s="60"/>
      <c r="T65" s="60"/>
      <c r="U65" s="60"/>
      <c r="V65" s="60"/>
      <c r="W65" s="60"/>
      <c r="X65" s="60"/>
      <c r="Y65" s="60"/>
      <c r="Z65" s="79" t="s">
        <v>124</v>
      </c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80"/>
      <c r="BE65" s="53"/>
      <c r="BF65" s="53"/>
      <c r="BG65" s="53"/>
      <c r="BH65" s="53"/>
      <c r="BI65" s="53"/>
      <c r="BJ65" s="53"/>
      <c r="BK65" s="53"/>
      <c r="BL65" s="53"/>
      <c r="BM65" s="53"/>
      <c r="BN65" s="66" t="s">
        <v>110</v>
      </c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4"/>
      <c r="CS65" s="64"/>
      <c r="CT65" s="64"/>
      <c r="CU65" s="64"/>
    </row>
    <row r="66" spans="18:99" s="1" customFormat="1" ht="6" customHeight="1">
      <c r="R66" s="53"/>
      <c r="S66" s="53"/>
      <c r="T66" s="53"/>
      <c r="U66" s="53"/>
      <c r="V66" s="53"/>
      <c r="W66" s="53"/>
      <c r="X66" s="53"/>
      <c r="Y66" s="53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0"/>
      <c r="BE66" s="53"/>
      <c r="BF66" s="53"/>
      <c r="BG66" s="53"/>
      <c r="BH66" s="53"/>
      <c r="BI66" s="53"/>
      <c r="BJ66" s="53"/>
      <c r="BK66" s="53"/>
      <c r="BL66" s="53"/>
      <c r="BM66" s="53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4"/>
      <c r="CS66" s="64"/>
      <c r="CT66" s="64"/>
      <c r="CU66" s="64"/>
    </row>
    <row r="67" spans="18:99" s="1" customFormat="1" ht="6" customHeight="1">
      <c r="R67" s="53"/>
      <c r="S67" s="53"/>
      <c r="T67" s="53"/>
      <c r="U67" s="53"/>
      <c r="V67" s="53"/>
      <c r="W67" s="53"/>
      <c r="X67" s="53"/>
      <c r="Y67" s="53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0"/>
      <c r="BE67" s="53"/>
      <c r="BF67" s="53"/>
      <c r="BG67" s="53"/>
      <c r="BH67" s="53"/>
      <c r="BI67" s="53"/>
      <c r="BJ67" s="53"/>
      <c r="BK67" s="53"/>
      <c r="BL67" s="53"/>
      <c r="BM67" s="53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4"/>
      <c r="CS67" s="64"/>
      <c r="CT67" s="64"/>
      <c r="CU67" s="64"/>
    </row>
    <row r="68" spans="18:99" s="1" customFormat="1" ht="6" customHeight="1">
      <c r="R68" s="53"/>
      <c r="S68" s="53"/>
      <c r="T68" s="53"/>
      <c r="U68" s="53"/>
      <c r="V68" s="53"/>
      <c r="W68" s="53"/>
      <c r="X68" s="53"/>
      <c r="Y68" s="53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0"/>
      <c r="BE68" s="53"/>
      <c r="BF68" s="53"/>
      <c r="BG68" s="53"/>
      <c r="BH68" s="53"/>
      <c r="BI68" s="53"/>
      <c r="BJ68" s="53"/>
      <c r="BK68" s="53"/>
      <c r="BL68" s="53"/>
      <c r="BM68" s="53"/>
      <c r="BN68" s="67" t="s">
        <v>125</v>
      </c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8"/>
      <c r="CS68" s="68"/>
      <c r="CT68" s="68"/>
      <c r="CU68" s="68"/>
    </row>
    <row r="69" spans="18:99" s="1" customFormat="1" ht="6" customHeight="1">
      <c r="R69" s="53"/>
      <c r="S69" s="53"/>
      <c r="T69" s="53"/>
      <c r="U69" s="53"/>
      <c r="V69" s="53"/>
      <c r="W69" s="53"/>
      <c r="X69" s="53"/>
      <c r="Y69" s="53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0"/>
      <c r="BE69" s="53"/>
      <c r="BF69" s="53"/>
      <c r="BG69" s="53"/>
      <c r="BH69" s="53"/>
      <c r="BI69" s="53"/>
      <c r="BJ69" s="53"/>
      <c r="BK69" s="53"/>
      <c r="BL69" s="53"/>
      <c r="BM69" s="53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8"/>
      <c r="CS69" s="68"/>
      <c r="CT69" s="68"/>
      <c r="CU69" s="68"/>
    </row>
    <row r="70" spans="18:99" s="1" customFormat="1" ht="6" customHeight="1"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</row>
    <row r="71" spans="18:99" s="1" customFormat="1" ht="6" customHeight="1">
      <c r="R71" s="53"/>
      <c r="S71" s="53"/>
      <c r="T71" s="53"/>
      <c r="U71" s="53"/>
      <c r="V71" s="53"/>
      <c r="W71" s="53"/>
      <c r="X71" s="53"/>
      <c r="Y71" s="53"/>
      <c r="Z71" s="71" t="s">
        <v>126</v>
      </c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8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</row>
    <row r="72" spans="18:99" s="1" customFormat="1" ht="6" customHeight="1">
      <c r="R72" s="53"/>
      <c r="S72" s="53"/>
      <c r="T72" s="53"/>
      <c r="U72" s="53"/>
      <c r="V72" s="53"/>
      <c r="W72" s="53"/>
      <c r="X72" s="53"/>
      <c r="Y72" s="53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8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</row>
    <row r="73" spans="18:99" s="1" customFormat="1" ht="6" customHeight="1"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</row>
    <row r="74" spans="18:99" s="1" customFormat="1" ht="6" customHeight="1">
      <c r="R74" s="53"/>
      <c r="S74" s="53"/>
      <c r="T74" s="53"/>
      <c r="U74" s="53"/>
      <c r="V74" s="53"/>
      <c r="W74" s="53"/>
      <c r="X74" s="53"/>
      <c r="Y74" s="53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</row>
    <row r="75" spans="18:99" s="1" customFormat="1" ht="6" customHeight="1">
      <c r="R75" s="53"/>
      <c r="S75" s="53"/>
      <c r="T75" s="53"/>
      <c r="U75" s="53"/>
      <c r="V75" s="53"/>
      <c r="W75" s="53"/>
      <c r="X75" s="53"/>
      <c r="Y75" s="53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</row>
    <row r="76" spans="18:99" s="1" customFormat="1" ht="6" customHeight="1">
      <c r="R76" s="53"/>
      <c r="S76" s="53"/>
      <c r="T76" s="53"/>
      <c r="U76" s="53"/>
      <c r="V76" s="53"/>
      <c r="W76" s="53"/>
      <c r="X76" s="53"/>
      <c r="Y76" s="53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</row>
    <row r="77" spans="18:99" s="1" customFormat="1" ht="6" customHeight="1">
      <c r="R77" s="53"/>
      <c r="S77" s="53"/>
      <c r="T77" s="53"/>
      <c r="U77" s="53"/>
      <c r="V77" s="53"/>
      <c r="W77" s="53"/>
      <c r="X77" s="53"/>
      <c r="Y77" s="53"/>
      <c r="Z77" s="86" t="s">
        <v>127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7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</row>
    <row r="78" spans="18:99" s="1" customFormat="1" ht="6" customHeight="1">
      <c r="R78" s="53"/>
      <c r="S78" s="53"/>
      <c r="T78" s="53"/>
      <c r="U78" s="53"/>
      <c r="V78" s="53"/>
      <c r="W78" s="53"/>
      <c r="X78" s="53"/>
      <c r="Y78" s="53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7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</row>
    <row r="79" spans="18:99" s="1" customFormat="1" ht="6" customHeight="1">
      <c r="R79" s="53"/>
      <c r="S79" s="53"/>
      <c r="T79" s="53"/>
      <c r="U79" s="53"/>
      <c r="V79" s="53"/>
      <c r="W79" s="53"/>
      <c r="X79" s="53"/>
      <c r="Y79" s="53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7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</row>
    <row r="80" spans="18:99" s="1" customFormat="1" ht="6" customHeight="1">
      <c r="R80" s="53"/>
      <c r="S80" s="53"/>
      <c r="T80" s="53"/>
      <c r="U80" s="53"/>
      <c r="V80" s="53"/>
      <c r="W80" s="53"/>
      <c r="X80" s="53"/>
      <c r="Y80" s="53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7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</row>
    <row r="81" spans="26:101" s="53" customFormat="1" ht="6" customHeight="1"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7"/>
      <c r="CV81" s="1"/>
      <c r="CW81" s="1"/>
    </row>
    <row r="82" spans="26:101" s="53" customFormat="1" ht="6" customHeight="1">
      <c r="Z82" s="86" t="s">
        <v>128</v>
      </c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7"/>
      <c r="CV82" s="1"/>
      <c r="CW82" s="1"/>
    </row>
    <row r="83" spans="26:101" s="53" customFormat="1" ht="6" customHeight="1"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7"/>
      <c r="CV83" s="1"/>
      <c r="CW83" s="1"/>
    </row>
    <row r="84" spans="26:101" s="53" customFormat="1" ht="6" customHeight="1"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7"/>
      <c r="CV84" s="1"/>
      <c r="CW84" s="1"/>
    </row>
    <row r="85" spans="26:101" s="53" customFormat="1" ht="6" customHeight="1"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7"/>
      <c r="CV85" s="1"/>
      <c r="CW85" s="1"/>
    </row>
    <row r="86" spans="26:101" s="53" customFormat="1" ht="6" customHeight="1"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7"/>
      <c r="CV86" s="1"/>
      <c r="CW86" s="1"/>
    </row>
    <row r="87" spans="26:101" s="53" customFormat="1" ht="6" customHeight="1"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7"/>
      <c r="CV87" s="1"/>
      <c r="CW87" s="1"/>
    </row>
    <row r="88" spans="26:101" s="53" customFormat="1" ht="6" customHeight="1"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7"/>
      <c r="CV88" s="1"/>
      <c r="CW88" s="1"/>
    </row>
    <row r="89" spans="26:101" s="53" customFormat="1" ht="6" customHeight="1"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7"/>
      <c r="CV89" s="1"/>
      <c r="CW89" s="1"/>
    </row>
    <row r="90" spans="26:101" s="53" customFormat="1" ht="6" customHeight="1">
      <c r="Z90" s="88" t="s">
        <v>129</v>
      </c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9"/>
      <c r="CV90" s="1"/>
      <c r="CW90" s="1"/>
    </row>
    <row r="91" spans="26:101" s="53" customFormat="1" ht="6" customHeight="1"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9"/>
      <c r="CV91" s="1"/>
      <c r="CW91" s="1"/>
    </row>
    <row r="92" spans="26:101" s="53" customFormat="1" ht="6" customHeight="1"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CV92" s="1"/>
      <c r="CW92" s="1"/>
    </row>
    <row r="93" spans="26:101" s="53" customFormat="1" ht="6" customHeight="1"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CV93" s="1"/>
      <c r="CW93" s="1"/>
    </row>
    <row r="94" spans="26:101" s="53" customFormat="1" ht="6" customHeight="1"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CV94" s="1"/>
      <c r="CW94" s="1"/>
    </row>
    <row r="95" spans="26:101" s="53" customFormat="1" ht="6" customHeight="1"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CV95" s="1"/>
      <c r="CW95" s="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F19DF68B-7BA7-4DF3-B103-80C1ACCEE284}"/>
    <hyperlink ref="B51" r:id="rId2" xr:uid="{4BB2FEA8-57E0-478F-B2E7-464CC02C9E4A}"/>
    <hyperlink ref="B57" r:id="rId3" xr:uid="{62DE6F24-8D41-4EDD-A448-9B981280E0DE}"/>
    <hyperlink ref="Z4" r:id="rId4" xr:uid="{33BCEFC0-49DF-4445-95D7-F0924B9E5C64}"/>
    <hyperlink ref="Z17" r:id="rId5" display="https://www.udemy.com/excel-mistrz-formul/?couponCode=STANDARDOWY" xr:uid="{37A8AAC7-400A-43FC-9C55-5749FDAE5F7C}"/>
    <hyperlink ref="Z26" r:id="rId6" xr:uid="{A84474D6-883A-4EB9-9EFF-C8CC15A5A9AC}"/>
    <hyperlink ref="Z40" r:id="rId7" display="https://www.udemy.com/excel-mistrz-formul/?couponCode=STANDARDOWY" xr:uid="{02EB9A2A-D4D5-4351-86CF-0B2054001D69}"/>
    <hyperlink ref="Z51" r:id="rId8" display="https://www.udemy.com/excel-mistrz-formul/?couponCode=STANDARDOWY" xr:uid="{E5A2D56B-FD85-4524-AA97-E5A058D3B453}"/>
    <hyperlink ref="Z62" r:id="rId9" display="https://www.udemy.com/excel-mistrz-formul/?couponCode=STANDARDOWY" xr:uid="{E594DE95-C7D1-4104-B3FC-C2DC68186372}"/>
    <hyperlink ref="Z71" r:id="rId10" display="https://www.udemy.com/excel-mistrz-formul/?couponCode=STANDARDOWY" xr:uid="{03E98D20-FA79-4304-84D3-B87518FCE02B}"/>
    <hyperlink ref="BN12" r:id="rId11" location="mistrz-excela-w-20-dni" xr:uid="{5B41B1E1-5029-4E40-8218-2AB049032D77}"/>
    <hyperlink ref="BN37" r:id="rId12" location="mistrz-excela-w-20-dni" display="http://ksplus.komputerswiat.pl/sklep#mistrz-excela-w-20-dni" xr:uid="{B46C32CD-7F37-446A-9C0C-8FF7ADBF4B92}"/>
    <hyperlink ref="BN43" r:id="rId13" location="mistrz-excela-w-20-dni" display="http://ksplus.komputerswiat.pl/sklep#mistrz-excela-w-20-dni" xr:uid="{B9FE1846-5EAA-4CB1-961E-E4ACBEFCCCC1}"/>
    <hyperlink ref="BN62" r:id="rId14" location="mistrz-excela-w-20-dni" display="http://ksplus.komputerswiat.pl/sklep#mistrz-excela-w-20-dni" xr:uid="{720C0707-66BB-4105-8904-614996F1DF1D}"/>
    <hyperlink ref="BN68" r:id="rId15" location="mistrz-excela-w-20-dni" display="http://ksplus.komputerswiat.pl/sklep#mistrz-excela-w-20-dni" xr:uid="{6136389B-0ADA-47EE-BC3D-D0DD27B6AF75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2:L21"/>
  <sheetViews>
    <sheetView zoomScale="115" zoomScaleNormal="115" workbookViewId="0"/>
  </sheetViews>
  <sheetFormatPr defaultColWidth="9.109375" defaultRowHeight="14.4"/>
  <cols>
    <col min="1" max="1" width="24.88671875" style="3" customWidth="1"/>
    <col min="2" max="4" width="9.109375" style="3"/>
    <col min="5" max="5" width="3.5546875" style="3" customWidth="1"/>
    <col min="6" max="16384" width="9.109375" style="3"/>
  </cols>
  <sheetData>
    <row r="2" spans="1:12">
      <c r="A2" s="12"/>
      <c r="B2" s="30" t="s">
        <v>19</v>
      </c>
      <c r="C2" s="30" t="s">
        <v>20</v>
      </c>
      <c r="D2" s="30" t="s">
        <v>21</v>
      </c>
      <c r="F2" s="42" t="str">
        <f>CHAR(17)&amp;" Nagłówki kolumn to  'Kategorie' i będą wyświetlane w poziomie "</f>
        <v xml:space="preserve">_x0011_ Nagłówki kolumn to  'Kategorie' i będą wyświetlane w poziomie </v>
      </c>
      <c r="G2" s="43"/>
      <c r="H2" s="43"/>
      <c r="I2" s="43"/>
      <c r="J2" s="43"/>
      <c r="K2" s="43"/>
      <c r="L2" s="44"/>
    </row>
    <row r="3" spans="1:12">
      <c r="A3" s="30" t="s">
        <v>11</v>
      </c>
      <c r="B3" s="31">
        <v>61</v>
      </c>
      <c r="C3" s="31">
        <v>35.5</v>
      </c>
      <c r="D3" s="31">
        <v>39</v>
      </c>
      <c r="F3" s="45" t="str">
        <f>CHAR(17)&amp;" Wartości  "&amp;FIXED(B3,2)&amp;", "&amp;FIXED(C3,2)&amp;", "&amp;FIXED(D3,2)&amp;" to 'Seria "&amp;A3&amp;"'."</f>
        <v>_x0011_ Wartości  61,00, 35,50, 39,00 to 'Seria Gąbki'.</v>
      </c>
      <c r="G3" s="46"/>
      <c r="H3" s="46"/>
      <c r="I3" s="46"/>
      <c r="J3" s="46"/>
      <c r="K3" s="46"/>
      <c r="L3" s="47"/>
    </row>
    <row r="4" spans="1:12">
      <c r="A4" s="30" t="s">
        <v>12</v>
      </c>
      <c r="B4" s="31">
        <v>72.849999999999994</v>
      </c>
      <c r="C4" s="31">
        <v>55.5</v>
      </c>
      <c r="D4" s="31">
        <v>52.35</v>
      </c>
      <c r="F4" s="45" t="str">
        <f t="shared" ref="F4:F5" si="0">CHAR(17)&amp;" Wartości  "&amp;FIXED(B4,2)&amp;", "&amp;FIXED(C4,2)&amp;", "&amp;FIXED(D4,2)&amp;" to 'Seria "&amp;A4&amp;"'."</f>
        <v>_x0011_ Wartości  72,85, 55,50, 52,35 to 'Seria Muszelki'.</v>
      </c>
      <c r="G4" s="46"/>
      <c r="H4" s="46"/>
      <c r="I4" s="46"/>
      <c r="J4" s="46"/>
      <c r="K4" s="46"/>
      <c r="L4" s="47"/>
    </row>
    <row r="5" spans="1:12">
      <c r="A5" s="30" t="s">
        <v>13</v>
      </c>
      <c r="B5" s="31">
        <v>17.8</v>
      </c>
      <c r="C5" s="31">
        <v>18.399999999999999</v>
      </c>
      <c r="D5" s="31">
        <v>14.100000000000001</v>
      </c>
      <c r="F5" s="48" t="str">
        <f t="shared" si="0"/>
        <v>_x0011_ Wartości  17,80, 18,40, 14,10 to 'Seria Piasek'.</v>
      </c>
      <c r="G5" s="49"/>
      <c r="H5" s="49"/>
      <c r="I5" s="49"/>
      <c r="J5" s="49"/>
      <c r="K5" s="49"/>
      <c r="L5" s="50"/>
    </row>
    <row r="7" spans="1:12" ht="43.2">
      <c r="A7" s="51" t="s">
        <v>23</v>
      </c>
    </row>
    <row r="9" spans="1:12">
      <c r="C9" s="41"/>
    </row>
    <row r="17" spans="1:12">
      <c r="A17" s="12"/>
      <c r="B17" s="30" t="s">
        <v>19</v>
      </c>
      <c r="C17" s="30" t="s">
        <v>20</v>
      </c>
      <c r="D17" s="30" t="s">
        <v>21</v>
      </c>
      <c r="F17" s="42" t="str">
        <f>CHAR(17)&amp;" Jeśli nagłówków kolumn jest mniej niż nagłówków wierszy"</f>
        <v>_x0011_ Jeśli nagłówków kolumn jest mniej niż nagłówków wierszy</v>
      </c>
      <c r="G17" s="43"/>
      <c r="H17" s="43"/>
      <c r="I17" s="43"/>
      <c r="J17" s="43"/>
      <c r="K17" s="43"/>
      <c r="L17" s="44"/>
    </row>
    <row r="18" spans="1:12">
      <c r="A18" s="30" t="s">
        <v>11</v>
      </c>
      <c r="B18" s="31">
        <v>61</v>
      </c>
      <c r="C18" s="31">
        <v>35.5</v>
      </c>
      <c r="D18" s="31">
        <v>39</v>
      </c>
      <c r="F18" s="48" t="s">
        <v>24</v>
      </c>
      <c r="G18" s="49"/>
      <c r="H18" s="49"/>
      <c r="I18" s="49"/>
      <c r="J18" s="49"/>
      <c r="K18" s="49"/>
      <c r="L18" s="50"/>
    </row>
    <row r="19" spans="1:12">
      <c r="A19" s="30" t="s">
        <v>12</v>
      </c>
      <c r="B19" s="31">
        <v>72.849999999999994</v>
      </c>
      <c r="C19" s="31">
        <v>55.5</v>
      </c>
      <c r="D19" s="31">
        <v>52.35</v>
      </c>
    </row>
    <row r="20" spans="1:12">
      <c r="A20" s="30" t="s">
        <v>13</v>
      </c>
      <c r="B20" s="31">
        <v>17.8</v>
      </c>
      <c r="C20" s="31">
        <v>18.399999999999999</v>
      </c>
      <c r="D20" s="31">
        <v>14.100000000000001</v>
      </c>
    </row>
    <row r="21" spans="1:12">
      <c r="A21" s="30" t="s">
        <v>25</v>
      </c>
      <c r="B21" s="52">
        <v>22.5</v>
      </c>
      <c r="C21" s="52">
        <v>31.2</v>
      </c>
      <c r="D21" s="52">
        <v>28.4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E109"/>
  <sheetViews>
    <sheetView zoomScale="85" zoomScaleNormal="85" workbookViewId="0"/>
  </sheetViews>
  <sheetFormatPr defaultColWidth="9.109375" defaultRowHeight="14.4"/>
  <cols>
    <col min="1" max="1" width="21.44140625" style="3" bestFit="1" customWidth="1"/>
    <col min="2" max="5" width="13.6640625" style="3" customWidth="1"/>
    <col min="6" max="16384" width="9.109375" style="3"/>
  </cols>
  <sheetData>
    <row r="1" spans="1:5">
      <c r="A1" s="2" t="s">
        <v>53</v>
      </c>
      <c r="B1" s="2"/>
      <c r="C1" s="2"/>
      <c r="D1" s="2"/>
      <c r="E1" s="2"/>
    </row>
    <row r="2" spans="1:5">
      <c r="A2" s="30" t="s">
        <v>18</v>
      </c>
      <c r="B2" s="30" t="s">
        <v>19</v>
      </c>
      <c r="C2" s="30" t="s">
        <v>20</v>
      </c>
      <c r="D2" s="30" t="s">
        <v>21</v>
      </c>
      <c r="E2" s="30" t="s">
        <v>22</v>
      </c>
    </row>
    <row r="3" spans="1:5">
      <c r="A3" s="30" t="s">
        <v>11</v>
      </c>
      <c r="B3" s="31">
        <v>610</v>
      </c>
      <c r="C3" s="31">
        <v>355</v>
      </c>
      <c r="D3" s="31">
        <v>390</v>
      </c>
      <c r="E3" s="40">
        <f>SUM(B3:D3)</f>
        <v>1355</v>
      </c>
    </row>
    <row r="4" spans="1:5">
      <c r="A4" s="30" t="s">
        <v>12</v>
      </c>
      <c r="B4" s="31">
        <v>728.5</v>
      </c>
      <c r="C4" s="31">
        <v>555</v>
      </c>
      <c r="D4" s="31">
        <v>523.5</v>
      </c>
      <c r="E4" s="40">
        <f>SUM(B4:D4)</f>
        <v>1807</v>
      </c>
    </row>
    <row r="5" spans="1:5">
      <c r="A5" s="30" t="s">
        <v>13</v>
      </c>
      <c r="B5" s="31">
        <v>178</v>
      </c>
      <c r="C5" s="31">
        <v>184</v>
      </c>
      <c r="D5" s="31">
        <v>141</v>
      </c>
      <c r="E5" s="40">
        <f>SUM(B5:D5)</f>
        <v>503</v>
      </c>
    </row>
    <row r="6" spans="1:5">
      <c r="A6" s="30" t="s">
        <v>22</v>
      </c>
      <c r="B6" s="40">
        <f>SUM(B3:B5)</f>
        <v>1516.5</v>
      </c>
      <c r="C6" s="40">
        <f>SUM(C3:C5)</f>
        <v>1094</v>
      </c>
      <c r="D6" s="40">
        <f>SUM(D3:D5)</f>
        <v>1054.5</v>
      </c>
      <c r="E6" s="40">
        <f>SUM(B6:D6)</f>
        <v>3665</v>
      </c>
    </row>
    <row r="100" spans="4:4">
      <c r="D100" s="41"/>
    </row>
    <row r="101" spans="4:4">
      <c r="D101" s="41"/>
    </row>
    <row r="102" spans="4:4">
      <c r="D102" s="41"/>
    </row>
    <row r="103" spans="4:4">
      <c r="D103" s="41"/>
    </row>
    <row r="104" spans="4:4">
      <c r="D104" s="41"/>
    </row>
    <row r="105" spans="4:4">
      <c r="D105" s="41"/>
    </row>
    <row r="106" spans="4:4">
      <c r="D106" s="41"/>
    </row>
    <row r="107" spans="4:4">
      <c r="D107" s="41"/>
    </row>
    <row r="108" spans="4:4">
      <c r="D108" s="41"/>
    </row>
    <row r="109" spans="4:4">
      <c r="D109" s="4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E6"/>
  <sheetViews>
    <sheetView zoomScale="115" zoomScaleNormal="115" workbookViewId="0"/>
  </sheetViews>
  <sheetFormatPr defaultColWidth="9.109375" defaultRowHeight="14.4"/>
  <cols>
    <col min="1" max="1" width="10.44140625" style="3" customWidth="1"/>
    <col min="2" max="5" width="10.6640625" style="3" bestFit="1" customWidth="1"/>
    <col min="6" max="6" width="4" style="3" customWidth="1"/>
    <col min="7" max="16384" width="9.109375" style="3"/>
  </cols>
  <sheetData>
    <row r="1" spans="1:5">
      <c r="A1" s="2" t="s">
        <v>57</v>
      </c>
      <c r="B1" s="2"/>
      <c r="C1" s="2"/>
      <c r="D1" s="2"/>
      <c r="E1" s="2"/>
    </row>
    <row r="2" spans="1:5">
      <c r="A2" s="30" t="s">
        <v>18</v>
      </c>
      <c r="B2" s="30" t="s">
        <v>19</v>
      </c>
      <c r="C2" s="30" t="s">
        <v>20</v>
      </c>
      <c r="D2" s="30" t="s">
        <v>21</v>
      </c>
      <c r="E2" s="30" t="s">
        <v>22</v>
      </c>
    </row>
    <row r="3" spans="1:5">
      <c r="A3" s="30" t="s">
        <v>56</v>
      </c>
      <c r="B3" s="31">
        <v>854</v>
      </c>
      <c r="C3" s="31">
        <v>697</v>
      </c>
      <c r="D3" s="31">
        <v>746</v>
      </c>
      <c r="E3" s="40">
        <f>SUM(B3:D3)</f>
        <v>2297</v>
      </c>
    </row>
    <row r="4" spans="1:5">
      <c r="A4" s="30" t="s">
        <v>54</v>
      </c>
      <c r="B4" s="31">
        <v>919.9</v>
      </c>
      <c r="C4" s="31">
        <v>877</v>
      </c>
      <c r="D4" s="31">
        <v>832.9</v>
      </c>
      <c r="E4" s="40">
        <f>(SUM(B4:D4))</f>
        <v>2629.8</v>
      </c>
    </row>
    <row r="5" spans="1:5">
      <c r="A5" s="30" t="s">
        <v>55</v>
      </c>
      <c r="B5" s="31">
        <v>749.2</v>
      </c>
      <c r="C5" s="31">
        <v>757.59999999999991</v>
      </c>
      <c r="D5" s="31">
        <v>697.40000000000009</v>
      </c>
      <c r="E5" s="40">
        <f>SUM(B5:D5)</f>
        <v>2204.1999999999998</v>
      </c>
    </row>
    <row r="6" spans="1:5">
      <c r="A6" s="30" t="s">
        <v>22</v>
      </c>
      <c r="B6" s="40">
        <f>SUM(B3:B5)</f>
        <v>2523.1000000000004</v>
      </c>
      <c r="C6" s="40">
        <f>SUM(C3:C5)</f>
        <v>2331.6</v>
      </c>
      <c r="D6" s="40">
        <f>SUM(D3:D5)</f>
        <v>2276.3000000000002</v>
      </c>
      <c r="E6" s="40">
        <f>SUM(B6:D6)</f>
        <v>7131.0000000000009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B18"/>
  <sheetViews>
    <sheetView zoomScale="115" zoomScaleNormal="115" workbookViewId="0"/>
  </sheetViews>
  <sheetFormatPr defaultColWidth="9.109375" defaultRowHeight="14.4"/>
  <cols>
    <col min="1" max="1" width="14" style="3" bestFit="1" customWidth="1"/>
    <col min="2" max="2" width="14.88671875" style="3" bestFit="1" customWidth="1"/>
    <col min="3" max="16384" width="9.109375" style="3"/>
  </cols>
  <sheetData>
    <row r="1" spans="1:2">
      <c r="A1" s="30" t="s">
        <v>26</v>
      </c>
      <c r="B1" s="30" t="s">
        <v>27</v>
      </c>
    </row>
    <row r="2" spans="1:2">
      <c r="A2" s="36" t="s">
        <v>28</v>
      </c>
      <c r="B2" s="37">
        <v>2171857</v>
      </c>
    </row>
    <row r="3" spans="1:2">
      <c r="A3" s="36" t="s">
        <v>29</v>
      </c>
      <c r="B3" s="37">
        <v>1023158</v>
      </c>
    </row>
    <row r="4" spans="1:2">
      <c r="A4" s="36" t="s">
        <v>30</v>
      </c>
      <c r="B4" s="37">
        <v>2533681</v>
      </c>
    </row>
    <row r="5" spans="1:2">
      <c r="A5" s="36" t="s">
        <v>31</v>
      </c>
      <c r="B5" s="37">
        <v>3346796</v>
      </c>
    </row>
    <row r="6" spans="1:2">
      <c r="A6" s="38"/>
      <c r="B6" s="39"/>
    </row>
    <row r="7" spans="1:2">
      <c r="A7" s="38"/>
      <c r="B7" s="39"/>
    </row>
    <row r="8" spans="1:2">
      <c r="A8" s="38"/>
      <c r="B8" s="39"/>
    </row>
    <row r="9" spans="1:2">
      <c r="A9" s="38"/>
      <c r="B9" s="39"/>
    </row>
    <row r="10" spans="1:2">
      <c r="A10" s="38"/>
      <c r="B10" s="39"/>
    </row>
    <row r="11" spans="1:2">
      <c r="A11" s="38"/>
      <c r="B11" s="39"/>
    </row>
    <row r="13" spans="1:2">
      <c r="A13" s="30" t="s">
        <v>26</v>
      </c>
      <c r="B13" s="30" t="s">
        <v>27</v>
      </c>
    </row>
    <row r="14" spans="1:2">
      <c r="A14" s="36" t="s">
        <v>58</v>
      </c>
      <c r="B14" s="37">
        <v>5285604</v>
      </c>
    </row>
    <row r="15" spans="1:2">
      <c r="A15" s="36" t="s">
        <v>59</v>
      </c>
      <c r="B15" s="37">
        <v>1013950</v>
      </c>
    </row>
    <row r="16" spans="1:2">
      <c r="A16" s="36" t="s">
        <v>60</v>
      </c>
      <c r="B16" s="37">
        <v>2128687</v>
      </c>
    </row>
    <row r="17" spans="1:2">
      <c r="A17" s="36" t="s">
        <v>61</v>
      </c>
      <c r="B17" s="37">
        <v>1200982</v>
      </c>
    </row>
    <row r="18" spans="1:2">
      <c r="A18" s="36" t="s">
        <v>62</v>
      </c>
      <c r="B18" s="37">
        <v>2302077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9">
    <tabColor rgb="FF1E73BE"/>
  </sheetPr>
  <dimension ref="A1:B11"/>
  <sheetViews>
    <sheetView zoomScale="115" zoomScaleNormal="115" workbookViewId="0"/>
  </sheetViews>
  <sheetFormatPr defaultColWidth="9.109375" defaultRowHeight="14.4"/>
  <cols>
    <col min="1" max="1" width="14" style="3" bestFit="1" customWidth="1"/>
    <col min="2" max="2" width="14.88671875" style="3" bestFit="1" customWidth="1"/>
    <col min="3" max="16384" width="9.109375" style="3"/>
  </cols>
  <sheetData>
    <row r="1" spans="1:2">
      <c r="A1" s="30" t="s">
        <v>18</v>
      </c>
      <c r="B1" s="30" t="s">
        <v>32</v>
      </c>
    </row>
    <row r="2" spans="1:2">
      <c r="A2" s="12" t="s">
        <v>33</v>
      </c>
      <c r="B2" s="31">
        <v>2140</v>
      </c>
    </row>
    <row r="3" spans="1:2">
      <c r="A3" s="12" t="s">
        <v>34</v>
      </c>
      <c r="B3" s="31">
        <v>1670</v>
      </c>
    </row>
    <row r="4" spans="1:2">
      <c r="A4" s="12" t="s">
        <v>35</v>
      </c>
      <c r="B4" s="31">
        <v>1180</v>
      </c>
    </row>
    <row r="5" spans="1:2">
      <c r="A5" s="12" t="s">
        <v>36</v>
      </c>
      <c r="B5" s="31">
        <v>658</v>
      </c>
    </row>
    <row r="6" spans="1:2">
      <c r="A6" s="12" t="s">
        <v>37</v>
      </c>
      <c r="B6" s="31">
        <v>657</v>
      </c>
    </row>
    <row r="7" spans="1:2">
      <c r="A7" s="12" t="s">
        <v>11</v>
      </c>
      <c r="B7" s="31">
        <v>146.5</v>
      </c>
    </row>
    <row r="8" spans="1:2">
      <c r="A8" s="12" t="s">
        <v>38</v>
      </c>
      <c r="B8" s="31">
        <v>100.19999999999996</v>
      </c>
    </row>
    <row r="9" spans="1:2" ht="15" thickBot="1">
      <c r="A9" s="32" t="s">
        <v>13</v>
      </c>
      <c r="B9" s="33">
        <v>45.099999999999994</v>
      </c>
    </row>
    <row r="10" spans="1:2" ht="15" thickBot="1">
      <c r="A10" s="34" t="s">
        <v>9</v>
      </c>
      <c r="B10" s="35">
        <f>SUM(B2:B9)</f>
        <v>6596.8</v>
      </c>
    </row>
    <row r="11" spans="1:2" ht="15" thickTop="1"/>
  </sheetData>
  <sortState xmlns:xlrd2="http://schemas.microsoft.com/office/spreadsheetml/2017/richdata2" ref="A2:B9">
    <sortCondition descending="1" ref="B2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>
    <tabColor rgb="FF1E73BE"/>
  </sheetPr>
  <dimension ref="A1:J49"/>
  <sheetViews>
    <sheetView zoomScale="115" zoomScaleNormal="115" workbookViewId="0"/>
  </sheetViews>
  <sheetFormatPr defaultColWidth="9.109375" defaultRowHeight="14.4"/>
  <cols>
    <col min="1" max="1" width="9.5546875" style="3" bestFit="1" customWidth="1"/>
    <col min="2" max="2" width="4.88671875" style="3" customWidth="1"/>
    <col min="3" max="3" width="17.6640625" style="3" customWidth="1"/>
    <col min="4" max="4" width="23.109375" style="3" customWidth="1"/>
    <col min="5" max="5" width="17.6640625" style="3" customWidth="1"/>
    <col min="6" max="6" width="17.33203125" style="3" bestFit="1" customWidth="1"/>
    <col min="7" max="7" width="10.5546875" style="3" customWidth="1"/>
    <col min="8" max="12" width="9.33203125" style="3" bestFit="1" customWidth="1"/>
    <col min="13" max="16384" width="9.109375" style="3"/>
  </cols>
  <sheetData>
    <row r="1" spans="1:10">
      <c r="I1" s="22" t="s">
        <v>72</v>
      </c>
      <c r="J1" s="23"/>
    </row>
    <row r="2" spans="1:10" ht="43.2">
      <c r="A2" s="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I2" s="24" t="s">
        <v>79</v>
      </c>
      <c r="J2" s="24" t="s">
        <v>80</v>
      </c>
    </row>
    <row r="3" spans="1:10">
      <c r="A3" s="12">
        <v>99</v>
      </c>
      <c r="C3" s="12">
        <f>I3</f>
        <v>0</v>
      </c>
      <c r="D3" s="12">
        <f t="shared" ref="D3:D13" si="0">C3+$J$3</f>
        <v>10</v>
      </c>
      <c r="E3" s="12" t="str">
        <f>" &lt;="&amp;D3</f>
        <v xml:space="preserve"> &lt;=10</v>
      </c>
      <c r="F3" s="25">
        <f>COUNTIFS($A$3:$A$49,"&gt;="&amp;C3,$A$3:$A$49,"&lt;="&amp;D3)</f>
        <v>1</v>
      </c>
      <c r="G3" s="25"/>
      <c r="I3" s="12">
        <v>0</v>
      </c>
      <c r="J3" s="12">
        <v>10</v>
      </c>
    </row>
    <row r="4" spans="1:10">
      <c r="A4" s="12">
        <v>84</v>
      </c>
      <c r="C4" s="12">
        <f>D3</f>
        <v>10</v>
      </c>
      <c r="D4" s="12">
        <f t="shared" si="0"/>
        <v>20</v>
      </c>
      <c r="E4" s="12" t="str">
        <f>" &gt;"&amp;C4&amp;" ORAZ &lt;="&amp;D4</f>
        <v xml:space="preserve"> &gt;10 ORAZ &lt;=20</v>
      </c>
      <c r="F4" s="25">
        <f>COUNTIFS($A$3:$A$49,"&gt;"&amp;C4,$A$3:$A$49,"&lt;="&amp;D4)</f>
        <v>6</v>
      </c>
      <c r="G4" s="25"/>
    </row>
    <row r="5" spans="1:10">
      <c r="A5" s="12">
        <v>26</v>
      </c>
      <c r="C5" s="12">
        <f t="shared" ref="C5:C13" si="1">D4</f>
        <v>20</v>
      </c>
      <c r="D5" s="12">
        <f t="shared" si="0"/>
        <v>30</v>
      </c>
      <c r="E5" s="12" t="str">
        <f t="shared" ref="E5:E12" si="2">" &gt;"&amp;C5&amp;" ORAZ &lt;="&amp;D5</f>
        <v xml:space="preserve"> &gt;20 ORAZ &lt;=30</v>
      </c>
      <c r="F5" s="25">
        <f t="shared" ref="F5:F13" si="3">COUNTIFS($A$3:$A$49,"&gt;"&amp;C5,$A$3:$A$49,"&lt;="&amp;D5)</f>
        <v>6</v>
      </c>
      <c r="G5" s="25"/>
    </row>
    <row r="6" spans="1:10">
      <c r="A6" s="12">
        <v>74</v>
      </c>
      <c r="C6" s="12">
        <f t="shared" si="1"/>
        <v>30</v>
      </c>
      <c r="D6" s="12">
        <f t="shared" si="0"/>
        <v>40</v>
      </c>
      <c r="E6" s="12" t="str">
        <f t="shared" si="2"/>
        <v xml:space="preserve"> &gt;30 ORAZ &lt;=40</v>
      </c>
      <c r="F6" s="25">
        <f t="shared" si="3"/>
        <v>3</v>
      </c>
      <c r="G6" s="25"/>
    </row>
    <row r="7" spans="1:10">
      <c r="A7" s="12">
        <v>11</v>
      </c>
      <c r="C7" s="12">
        <f t="shared" si="1"/>
        <v>40</v>
      </c>
      <c r="D7" s="12">
        <f t="shared" si="0"/>
        <v>50</v>
      </c>
      <c r="E7" s="12" t="str">
        <f t="shared" si="2"/>
        <v xml:space="preserve"> &gt;40 ORAZ &lt;=50</v>
      </c>
      <c r="F7" s="25">
        <f t="shared" si="3"/>
        <v>4</v>
      </c>
      <c r="G7" s="25"/>
    </row>
    <row r="8" spans="1:10">
      <c r="A8" s="12">
        <v>30</v>
      </c>
      <c r="C8" s="12">
        <f t="shared" si="1"/>
        <v>50</v>
      </c>
      <c r="D8" s="12">
        <f t="shared" si="0"/>
        <v>60</v>
      </c>
      <c r="E8" s="12" t="str">
        <f t="shared" si="2"/>
        <v xml:space="preserve"> &gt;50 ORAZ &lt;=60</v>
      </c>
      <c r="F8" s="25">
        <f t="shared" si="3"/>
        <v>5</v>
      </c>
      <c r="G8" s="25"/>
    </row>
    <row r="9" spans="1:10">
      <c r="A9" s="12">
        <v>78</v>
      </c>
      <c r="C9" s="12">
        <f t="shared" si="1"/>
        <v>60</v>
      </c>
      <c r="D9" s="12">
        <f t="shared" si="0"/>
        <v>70</v>
      </c>
      <c r="E9" s="12" t="str">
        <f t="shared" si="2"/>
        <v xml:space="preserve"> &gt;60 ORAZ &lt;=70</v>
      </c>
      <c r="F9" s="25">
        <f t="shared" si="3"/>
        <v>7</v>
      </c>
      <c r="G9" s="25"/>
    </row>
    <row r="10" spans="1:10">
      <c r="A10" s="12">
        <v>38</v>
      </c>
      <c r="C10" s="12">
        <f t="shared" si="1"/>
        <v>70</v>
      </c>
      <c r="D10" s="12">
        <f t="shared" si="0"/>
        <v>80</v>
      </c>
      <c r="E10" s="12" t="str">
        <f t="shared" si="2"/>
        <v xml:space="preserve"> &gt;70 ORAZ &lt;=80</v>
      </c>
      <c r="F10" s="25">
        <f t="shared" si="3"/>
        <v>7</v>
      </c>
      <c r="G10" s="25"/>
    </row>
    <row r="11" spans="1:10">
      <c r="A11" s="12">
        <v>11</v>
      </c>
      <c r="C11" s="12">
        <f t="shared" si="1"/>
        <v>80</v>
      </c>
      <c r="D11" s="12">
        <f t="shared" si="0"/>
        <v>90</v>
      </c>
      <c r="E11" s="12" t="str">
        <f t="shared" si="2"/>
        <v xml:space="preserve"> &gt;80 ORAZ &lt;=90</v>
      </c>
      <c r="F11" s="25">
        <f t="shared" si="3"/>
        <v>5</v>
      </c>
      <c r="G11" s="25"/>
    </row>
    <row r="12" spans="1:10">
      <c r="A12" s="12">
        <v>76</v>
      </c>
      <c r="C12" s="12">
        <f t="shared" si="1"/>
        <v>90</v>
      </c>
      <c r="D12" s="12">
        <f t="shared" si="0"/>
        <v>100</v>
      </c>
      <c r="E12" s="12" t="str">
        <f t="shared" si="2"/>
        <v xml:space="preserve"> &gt;90 ORAZ &lt;=100</v>
      </c>
      <c r="F12" s="25">
        <f t="shared" si="3"/>
        <v>3</v>
      </c>
      <c r="G12" s="25"/>
    </row>
    <row r="13" spans="1:10">
      <c r="A13" s="12">
        <v>50</v>
      </c>
      <c r="C13" s="12">
        <f t="shared" si="1"/>
        <v>100</v>
      </c>
      <c r="D13" s="12">
        <f t="shared" si="0"/>
        <v>110</v>
      </c>
      <c r="E13" s="12" t="str">
        <f>" &gt;"&amp;C13</f>
        <v xml:space="preserve"> &gt;100</v>
      </c>
      <c r="F13" s="25">
        <f t="shared" si="3"/>
        <v>0</v>
      </c>
      <c r="G13" s="25"/>
    </row>
    <row r="14" spans="1:10">
      <c r="A14" s="12">
        <v>56</v>
      </c>
      <c r="G14" s="15"/>
    </row>
    <row r="15" spans="1:10">
      <c r="A15" s="12">
        <v>53</v>
      </c>
      <c r="C15" s="26" t="s">
        <v>81</v>
      </c>
      <c r="D15" s="27" t="s">
        <v>82</v>
      </c>
    </row>
    <row r="16" spans="1:10">
      <c r="A16" s="12">
        <v>13</v>
      </c>
      <c r="C16" s="28" t="s">
        <v>83</v>
      </c>
      <c r="D16" s="29">
        <v>1</v>
      </c>
    </row>
    <row r="17" spans="1:4">
      <c r="A17" s="12">
        <v>30</v>
      </c>
      <c r="C17" s="28" t="s">
        <v>84</v>
      </c>
      <c r="D17" s="29">
        <v>6</v>
      </c>
    </row>
    <row r="18" spans="1:4">
      <c r="A18" s="12">
        <v>65</v>
      </c>
      <c r="C18" s="28" t="s">
        <v>85</v>
      </c>
      <c r="D18" s="29">
        <v>3</v>
      </c>
    </row>
    <row r="19" spans="1:4">
      <c r="A19" s="12">
        <v>83</v>
      </c>
      <c r="C19" s="28" t="s">
        <v>86</v>
      </c>
      <c r="D19" s="29">
        <v>5</v>
      </c>
    </row>
    <row r="20" spans="1:4">
      <c r="A20" s="12">
        <v>40</v>
      </c>
      <c r="C20" s="28" t="s">
        <v>87</v>
      </c>
      <c r="D20" s="29">
        <v>4</v>
      </c>
    </row>
    <row r="21" spans="1:4">
      <c r="A21" s="12">
        <v>100</v>
      </c>
      <c r="C21" s="28" t="s">
        <v>88</v>
      </c>
      <c r="D21" s="29">
        <v>5</v>
      </c>
    </row>
    <row r="22" spans="1:4">
      <c r="A22" s="12">
        <v>49</v>
      </c>
      <c r="C22" s="28" t="s">
        <v>89</v>
      </c>
      <c r="D22" s="29">
        <v>8</v>
      </c>
    </row>
    <row r="23" spans="1:4">
      <c r="A23" s="12">
        <v>66</v>
      </c>
      <c r="C23" s="28" t="s">
        <v>90</v>
      </c>
      <c r="D23" s="29">
        <v>7</v>
      </c>
    </row>
    <row r="24" spans="1:4">
      <c r="A24" s="12">
        <v>64</v>
      </c>
      <c r="C24" s="28" t="s">
        <v>91</v>
      </c>
      <c r="D24" s="29">
        <v>5</v>
      </c>
    </row>
    <row r="25" spans="1:4">
      <c r="A25" s="12">
        <v>22</v>
      </c>
      <c r="C25" s="28" t="s">
        <v>92</v>
      </c>
      <c r="D25" s="29">
        <v>3</v>
      </c>
    </row>
    <row r="26" spans="1:4">
      <c r="A26" s="12">
        <v>75</v>
      </c>
      <c r="C26" s="28" t="s">
        <v>9</v>
      </c>
      <c r="D26" s="29">
        <v>47</v>
      </c>
    </row>
    <row r="27" spans="1:4">
      <c r="A27" s="12">
        <v>21</v>
      </c>
    </row>
    <row r="28" spans="1:4">
      <c r="A28" s="12">
        <v>66</v>
      </c>
    </row>
    <row r="29" spans="1:4">
      <c r="A29" s="12">
        <v>11</v>
      </c>
    </row>
    <row r="30" spans="1:4">
      <c r="A30" s="12">
        <v>53</v>
      </c>
    </row>
    <row r="31" spans="1:4">
      <c r="A31" s="12">
        <v>38</v>
      </c>
    </row>
    <row r="32" spans="1:4">
      <c r="A32" s="12">
        <v>47</v>
      </c>
    </row>
    <row r="33" spans="1:1">
      <c r="A33" s="12">
        <v>75</v>
      </c>
    </row>
    <row r="34" spans="1:1">
      <c r="A34" s="12">
        <v>48</v>
      </c>
    </row>
    <row r="35" spans="1:1">
      <c r="A35" s="12">
        <v>89</v>
      </c>
    </row>
    <row r="36" spans="1:1">
      <c r="A36" s="12">
        <v>11</v>
      </c>
    </row>
    <row r="37" spans="1:1">
      <c r="A37" s="12">
        <v>97</v>
      </c>
    </row>
    <row r="38" spans="1:1">
      <c r="A38" s="12">
        <v>72</v>
      </c>
    </row>
    <row r="39" spans="1:1">
      <c r="A39" s="12">
        <v>6</v>
      </c>
    </row>
    <row r="40" spans="1:1">
      <c r="A40" s="12">
        <v>83</v>
      </c>
    </row>
    <row r="41" spans="1:1">
      <c r="A41" s="12">
        <v>62</v>
      </c>
    </row>
    <row r="42" spans="1:1">
      <c r="A42" s="12">
        <v>88</v>
      </c>
    </row>
    <row r="43" spans="1:1">
      <c r="A43" s="12">
        <v>54</v>
      </c>
    </row>
    <row r="44" spans="1:1">
      <c r="A44" s="12">
        <v>62</v>
      </c>
    </row>
    <row r="45" spans="1:1">
      <c r="A45" s="12">
        <v>75</v>
      </c>
    </row>
    <row r="46" spans="1:1">
      <c r="A46" s="12">
        <v>60</v>
      </c>
    </row>
    <row r="47" spans="1:1">
      <c r="A47" s="12">
        <v>12</v>
      </c>
    </row>
    <row r="48" spans="1:1">
      <c r="A48" s="12">
        <v>30</v>
      </c>
    </row>
    <row r="49" spans="1:1">
      <c r="A49" s="12">
        <v>69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6">
    <tabColor rgb="FF1E73BE"/>
  </sheetPr>
  <dimension ref="A1:I5"/>
  <sheetViews>
    <sheetView zoomScale="115" zoomScaleNormal="115" workbookViewId="0"/>
  </sheetViews>
  <sheetFormatPr defaultColWidth="9.109375" defaultRowHeight="14.4"/>
  <cols>
    <col min="1" max="1" width="12.33203125" style="3" bestFit="1" customWidth="1"/>
    <col min="2" max="9" width="9.109375" style="3" customWidth="1"/>
    <col min="10" max="11" width="9.33203125" style="3" bestFit="1" customWidth="1"/>
    <col min="12" max="16384" width="9.109375" style="3"/>
  </cols>
  <sheetData>
    <row r="1" spans="1:9">
      <c r="A1" s="2" t="str">
        <f>"Sprzedaż 'Piaski Pustyni' na przełomie "&amp;B2&amp;"-"&amp;I2</f>
        <v>Sprzedaż 'Piaski Pustyni' na przełomie 2008-2015</v>
      </c>
      <c r="B1" s="2"/>
      <c r="C1" s="2"/>
      <c r="D1" s="2"/>
      <c r="E1" s="2"/>
      <c r="F1" s="2"/>
      <c r="G1" s="2"/>
      <c r="H1" s="2"/>
      <c r="I1" s="2"/>
    </row>
    <row r="2" spans="1:9">
      <c r="A2" s="4" t="s">
        <v>10</v>
      </c>
      <c r="B2" s="4">
        <v>2008</v>
      </c>
      <c r="C2" s="4">
        <f>B2+1</f>
        <v>2009</v>
      </c>
      <c r="D2" s="4">
        <f t="shared" ref="D2:I2" si="0">C2+1</f>
        <v>2010</v>
      </c>
      <c r="E2" s="4">
        <f t="shared" si="0"/>
        <v>2011</v>
      </c>
      <c r="F2" s="4">
        <f t="shared" si="0"/>
        <v>2012</v>
      </c>
      <c r="G2" s="4">
        <f t="shared" si="0"/>
        <v>2013</v>
      </c>
      <c r="H2" s="4">
        <f t="shared" si="0"/>
        <v>2014</v>
      </c>
      <c r="I2" s="4">
        <f t="shared" si="0"/>
        <v>2015</v>
      </c>
    </row>
    <row r="3" spans="1:9">
      <c r="A3" s="4" t="s">
        <v>11</v>
      </c>
      <c r="B3" s="5">
        <v>15983</v>
      </c>
      <c r="C3" s="5">
        <v>14822</v>
      </c>
      <c r="D3" s="5">
        <v>11257</v>
      </c>
      <c r="E3" s="5">
        <v>10845</v>
      </c>
      <c r="F3" s="5">
        <v>15528</v>
      </c>
      <c r="G3" s="5">
        <v>13661</v>
      </c>
      <c r="H3" s="5">
        <v>13989</v>
      </c>
      <c r="I3" s="5">
        <v>16369</v>
      </c>
    </row>
    <row r="4" spans="1:9">
      <c r="A4" s="4" t="s">
        <v>12</v>
      </c>
      <c r="B4" s="5">
        <v>25330</v>
      </c>
      <c r="C4" s="5">
        <v>24466</v>
      </c>
      <c r="D4" s="5">
        <v>22167</v>
      </c>
      <c r="E4" s="5">
        <v>22748</v>
      </c>
      <c r="F4" s="5">
        <v>20713</v>
      </c>
      <c r="G4" s="5">
        <v>21089</v>
      </c>
      <c r="H4" s="5">
        <v>22094</v>
      </c>
      <c r="I4" s="5">
        <v>22176</v>
      </c>
    </row>
    <row r="5" spans="1:9">
      <c r="A5" s="4" t="s">
        <v>13</v>
      </c>
      <c r="B5" s="5">
        <v>6935</v>
      </c>
      <c r="C5" s="5">
        <v>5286</v>
      </c>
      <c r="D5" s="5">
        <v>7777</v>
      </c>
      <c r="E5" s="5">
        <v>8891</v>
      </c>
      <c r="F5" s="5">
        <v>5790</v>
      </c>
      <c r="G5" s="5">
        <v>5290</v>
      </c>
      <c r="H5" s="5">
        <v>5404</v>
      </c>
      <c r="I5" s="5">
        <v>6220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>
    <tabColor rgb="FF1E73BE"/>
  </sheetPr>
  <dimension ref="A1:L50"/>
  <sheetViews>
    <sheetView zoomScale="115" zoomScaleNormal="115" workbookViewId="0"/>
  </sheetViews>
  <sheetFormatPr defaultColWidth="9.109375" defaultRowHeight="14.4"/>
  <cols>
    <col min="1" max="1" width="12.109375" style="3" customWidth="1"/>
    <col min="2" max="2" width="15.109375" style="3" bestFit="1" customWidth="1"/>
    <col min="3" max="6" width="15.109375" style="3" customWidth="1"/>
    <col min="7" max="8" width="11.88671875" style="15" bestFit="1" customWidth="1"/>
    <col min="9" max="9" width="13.5546875" style="3" bestFit="1" customWidth="1"/>
    <col min="10" max="10" width="21.44140625" style="3" bestFit="1" customWidth="1"/>
    <col min="11" max="11" width="23.109375" style="3" bestFit="1" customWidth="1"/>
    <col min="12" max="12" width="27.5546875" style="3" bestFit="1" customWidth="1"/>
    <col min="13" max="15" width="9.33203125" style="3" bestFit="1" customWidth="1"/>
    <col min="16" max="16384" width="9.109375" style="3"/>
  </cols>
  <sheetData>
    <row r="1" spans="1:12" ht="15" customHeight="1">
      <c r="A1" s="2" t="s">
        <v>39</v>
      </c>
      <c r="B1" s="2"/>
      <c r="I1" s="4" t="s">
        <v>40</v>
      </c>
      <c r="J1" s="4" t="s">
        <v>41</v>
      </c>
      <c r="K1" s="4" t="s">
        <v>42</v>
      </c>
      <c r="L1" s="4" t="s">
        <v>66</v>
      </c>
    </row>
    <row r="2" spans="1:12" ht="28.8">
      <c r="A2" s="16" t="s">
        <v>64</v>
      </c>
      <c r="B2" s="17"/>
      <c r="I2" s="18" t="s">
        <v>43</v>
      </c>
      <c r="J2" s="18" t="s">
        <v>44</v>
      </c>
      <c r="K2" s="18" t="s">
        <v>45</v>
      </c>
      <c r="L2" s="18" t="s">
        <v>46</v>
      </c>
    </row>
    <row r="3" spans="1:12" ht="15" customHeight="1">
      <c r="A3" s="4" t="s">
        <v>63</v>
      </c>
      <c r="B3" s="4" t="s">
        <v>65</v>
      </c>
      <c r="D3" s="19"/>
      <c r="I3" s="4" t="s">
        <v>47</v>
      </c>
      <c r="J3" s="4" t="s">
        <v>48</v>
      </c>
      <c r="K3" s="4" t="s">
        <v>49</v>
      </c>
      <c r="L3" s="4" t="s">
        <v>50</v>
      </c>
    </row>
    <row r="4" spans="1:12">
      <c r="A4" s="12">
        <v>12</v>
      </c>
      <c r="B4" s="12">
        <v>56</v>
      </c>
      <c r="D4" s="19"/>
      <c r="H4" s="20" t="s">
        <v>71</v>
      </c>
      <c r="I4" s="4" t="s">
        <v>67</v>
      </c>
      <c r="J4" s="4" t="s">
        <v>68</v>
      </c>
      <c r="K4" s="4" t="s">
        <v>69</v>
      </c>
      <c r="L4" s="4" t="s">
        <v>70</v>
      </c>
    </row>
    <row r="5" spans="1:12">
      <c r="A5" s="12">
        <v>13</v>
      </c>
      <c r="B5" s="12">
        <v>31</v>
      </c>
      <c r="I5" s="21">
        <f>INTERCEPT($B$4:$B$50,$A$4:$A$50)</f>
        <v>9.1804533983304992</v>
      </c>
      <c r="J5" s="21">
        <f>SLOPE($B$4:$B$50,$A$4:$A$50)</f>
        <v>2.1952718880093176</v>
      </c>
      <c r="K5" s="21">
        <f>PEARSON($B$4:$B$50,$A$4:$A$50)</f>
        <v>0.90846629838198423</v>
      </c>
      <c r="L5" s="21">
        <f>RSQ($B$4:$B$50,$A$4:$A$50)</f>
        <v>0.82531101529586481</v>
      </c>
    </row>
    <row r="6" spans="1:12">
      <c r="A6" s="12">
        <v>4</v>
      </c>
      <c r="B6" s="12">
        <v>17</v>
      </c>
    </row>
    <row r="7" spans="1:12">
      <c r="A7" s="12">
        <v>15</v>
      </c>
      <c r="B7" s="12">
        <v>65</v>
      </c>
    </row>
    <row r="8" spans="1:12">
      <c r="A8" s="12">
        <v>45</v>
      </c>
      <c r="B8" s="12">
        <v>96</v>
      </c>
    </row>
    <row r="9" spans="1:12">
      <c r="A9" s="12">
        <v>29</v>
      </c>
      <c r="B9" s="12">
        <v>70</v>
      </c>
      <c r="H9" s="19"/>
    </row>
    <row r="10" spans="1:12">
      <c r="A10" s="12">
        <v>32</v>
      </c>
      <c r="B10" s="12">
        <v>83</v>
      </c>
    </row>
    <row r="11" spans="1:12">
      <c r="A11" s="12">
        <v>30</v>
      </c>
      <c r="B11" s="12">
        <v>69</v>
      </c>
    </row>
    <row r="12" spans="1:12">
      <c r="A12" s="12">
        <v>16</v>
      </c>
      <c r="B12" s="12">
        <v>59</v>
      </c>
    </row>
    <row r="13" spans="1:12">
      <c r="A13" s="12">
        <v>5</v>
      </c>
      <c r="B13" s="12">
        <v>18</v>
      </c>
    </row>
    <row r="14" spans="1:12">
      <c r="A14" s="12">
        <v>8</v>
      </c>
      <c r="B14" s="12">
        <v>38</v>
      </c>
    </row>
    <row r="15" spans="1:12">
      <c r="A15" s="12">
        <v>16</v>
      </c>
      <c r="B15" s="12">
        <v>37</v>
      </c>
    </row>
    <row r="16" spans="1:12">
      <c r="A16" s="12">
        <v>22</v>
      </c>
      <c r="B16" s="12">
        <v>56</v>
      </c>
    </row>
    <row r="17" spans="1:2">
      <c r="A17" s="12">
        <v>4</v>
      </c>
      <c r="B17" s="12">
        <v>15</v>
      </c>
    </row>
    <row r="18" spans="1:2">
      <c r="A18" s="12">
        <v>10</v>
      </c>
      <c r="B18" s="12">
        <v>30</v>
      </c>
    </row>
    <row r="19" spans="1:2">
      <c r="A19" s="12">
        <v>4</v>
      </c>
      <c r="B19" s="12">
        <v>7</v>
      </c>
    </row>
    <row r="20" spans="1:2">
      <c r="A20" s="12">
        <v>5</v>
      </c>
      <c r="B20" s="12">
        <v>16</v>
      </c>
    </row>
    <row r="21" spans="1:2">
      <c r="A21" s="12">
        <v>11</v>
      </c>
      <c r="B21" s="12">
        <v>48</v>
      </c>
    </row>
    <row r="22" spans="1:2">
      <c r="A22" s="12">
        <v>3</v>
      </c>
      <c r="B22" s="12">
        <v>7</v>
      </c>
    </row>
    <row r="23" spans="1:2">
      <c r="A23" s="12">
        <v>17</v>
      </c>
      <c r="B23" s="12">
        <v>40</v>
      </c>
    </row>
    <row r="24" spans="1:2">
      <c r="A24" s="12">
        <v>15</v>
      </c>
      <c r="B24" s="12">
        <v>53</v>
      </c>
    </row>
    <row r="25" spans="1:2">
      <c r="A25" s="12">
        <v>23</v>
      </c>
      <c r="B25" s="12">
        <v>60</v>
      </c>
    </row>
    <row r="26" spans="1:2">
      <c r="A26" s="12">
        <v>4</v>
      </c>
      <c r="B26" s="12">
        <v>17</v>
      </c>
    </row>
    <row r="27" spans="1:2">
      <c r="A27" s="12">
        <v>33</v>
      </c>
      <c r="B27" s="12">
        <v>75</v>
      </c>
    </row>
    <row r="28" spans="1:2">
      <c r="A28" s="12">
        <v>20</v>
      </c>
      <c r="B28" s="12">
        <v>81</v>
      </c>
    </row>
    <row r="29" spans="1:2">
      <c r="A29" s="12">
        <v>3</v>
      </c>
      <c r="B29" s="12">
        <v>7</v>
      </c>
    </row>
    <row r="30" spans="1:2">
      <c r="A30" s="12">
        <v>12</v>
      </c>
      <c r="B30" s="12">
        <v>51</v>
      </c>
    </row>
    <row r="31" spans="1:2">
      <c r="A31" s="12">
        <v>14</v>
      </c>
      <c r="B31" s="12">
        <v>68</v>
      </c>
    </row>
    <row r="32" spans="1:2">
      <c r="A32" s="12">
        <v>41</v>
      </c>
      <c r="B32" s="12">
        <v>100</v>
      </c>
    </row>
    <row r="33" spans="1:2">
      <c r="A33" s="12">
        <v>27</v>
      </c>
      <c r="B33" s="12">
        <v>54</v>
      </c>
    </row>
    <row r="34" spans="1:2">
      <c r="A34" s="12">
        <v>1</v>
      </c>
      <c r="B34" s="12">
        <v>2</v>
      </c>
    </row>
    <row r="35" spans="1:2">
      <c r="A35" s="12">
        <v>5</v>
      </c>
      <c r="B35" s="12">
        <v>15</v>
      </c>
    </row>
    <row r="36" spans="1:2">
      <c r="A36" s="12">
        <v>25</v>
      </c>
      <c r="B36" s="12">
        <v>50</v>
      </c>
    </row>
    <row r="37" spans="1:2">
      <c r="A37" s="12">
        <v>17</v>
      </c>
      <c r="B37" s="12">
        <v>67</v>
      </c>
    </row>
    <row r="38" spans="1:2">
      <c r="A38" s="12">
        <v>2</v>
      </c>
      <c r="B38" s="12">
        <v>5</v>
      </c>
    </row>
    <row r="39" spans="1:2">
      <c r="A39" s="12">
        <v>14</v>
      </c>
      <c r="B39" s="12">
        <v>43</v>
      </c>
    </row>
    <row r="40" spans="1:2">
      <c r="A40" s="12">
        <v>12</v>
      </c>
      <c r="B40" s="12">
        <v>45</v>
      </c>
    </row>
    <row r="41" spans="1:2">
      <c r="A41" s="12">
        <v>8</v>
      </c>
      <c r="B41" s="12">
        <v>19</v>
      </c>
    </row>
    <row r="42" spans="1:2">
      <c r="A42" s="12">
        <v>1</v>
      </c>
      <c r="B42" s="12">
        <v>4</v>
      </c>
    </row>
    <row r="43" spans="1:2">
      <c r="A43" s="12">
        <v>36</v>
      </c>
      <c r="B43" s="12">
        <v>86</v>
      </c>
    </row>
    <row r="44" spans="1:2">
      <c r="A44" s="12">
        <v>29</v>
      </c>
      <c r="B44" s="12">
        <v>58</v>
      </c>
    </row>
    <row r="45" spans="1:2">
      <c r="A45" s="12">
        <v>4</v>
      </c>
      <c r="B45" s="12">
        <v>15</v>
      </c>
    </row>
    <row r="46" spans="1:2">
      <c r="A46" s="12">
        <v>4</v>
      </c>
      <c r="B46" s="12">
        <v>8</v>
      </c>
    </row>
    <row r="47" spans="1:2">
      <c r="A47" s="12">
        <v>16</v>
      </c>
      <c r="B47" s="12">
        <v>32</v>
      </c>
    </row>
    <row r="48" spans="1:2">
      <c r="A48" s="12">
        <v>6</v>
      </c>
      <c r="B48" s="12">
        <v>18</v>
      </c>
    </row>
    <row r="49" spans="1:2">
      <c r="A49" s="12">
        <v>18</v>
      </c>
      <c r="B49" s="12">
        <v>58</v>
      </c>
    </row>
    <row r="50" spans="1:2">
      <c r="A50" s="12">
        <v>3</v>
      </c>
      <c r="B50" s="12">
        <v>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>
    <tabColor rgb="FF1E73BE"/>
  </sheetPr>
  <dimension ref="A1:D8"/>
  <sheetViews>
    <sheetView zoomScale="115" zoomScaleNormal="115" workbookViewId="0"/>
  </sheetViews>
  <sheetFormatPr defaultColWidth="9.109375" defaultRowHeight="14.4"/>
  <cols>
    <col min="1" max="1" width="9.109375" style="3" bestFit="1" customWidth="1"/>
    <col min="2" max="2" width="9" style="3" bestFit="1" customWidth="1"/>
    <col min="3" max="3" width="8.44140625" style="3" bestFit="1" customWidth="1"/>
    <col min="4" max="4" width="16" style="3" bestFit="1" customWidth="1"/>
    <col min="5" max="16384" width="9.109375" style="3"/>
  </cols>
  <sheetData>
    <row r="1" spans="1:4">
      <c r="A1" s="2" t="s">
        <v>51</v>
      </c>
      <c r="B1" s="2"/>
      <c r="C1" s="2"/>
      <c r="D1" s="2"/>
    </row>
    <row r="2" spans="1:4" ht="28.8">
      <c r="A2" s="4" t="s">
        <v>0</v>
      </c>
      <c r="B2" s="4" t="s">
        <v>1</v>
      </c>
      <c r="C2" s="4" t="s">
        <v>2</v>
      </c>
      <c r="D2" s="4" t="s">
        <v>52</v>
      </c>
    </row>
    <row r="3" spans="1:4">
      <c r="A3" s="12" t="s">
        <v>3</v>
      </c>
      <c r="B3" s="13">
        <v>877</v>
      </c>
      <c r="C3" s="13">
        <v>570</v>
      </c>
      <c r="D3" s="14">
        <f>C3/B3</f>
        <v>0.64994298745724055</v>
      </c>
    </row>
    <row r="4" spans="1:4">
      <c r="A4" s="12" t="s">
        <v>4</v>
      </c>
      <c r="B4" s="13">
        <v>740</v>
      </c>
      <c r="C4" s="13">
        <v>473</v>
      </c>
      <c r="D4" s="14">
        <f t="shared" ref="D4:D8" si="0">C4/B4</f>
        <v>0.63918918918918921</v>
      </c>
    </row>
    <row r="5" spans="1:4">
      <c r="A5" s="12" t="s">
        <v>5</v>
      </c>
      <c r="B5" s="13">
        <v>682</v>
      </c>
      <c r="C5" s="13">
        <v>470</v>
      </c>
      <c r="D5" s="14">
        <f t="shared" si="0"/>
        <v>0.68914956011730211</v>
      </c>
    </row>
    <row r="6" spans="1:4">
      <c r="A6" s="12" t="s">
        <v>6</v>
      </c>
      <c r="B6" s="13">
        <v>592</v>
      </c>
      <c r="C6" s="13">
        <v>444</v>
      </c>
      <c r="D6" s="14">
        <f t="shared" si="0"/>
        <v>0.75</v>
      </c>
    </row>
    <row r="7" spans="1:4">
      <c r="A7" s="12" t="s">
        <v>7</v>
      </c>
      <c r="B7" s="13">
        <v>502</v>
      </c>
      <c r="C7" s="13">
        <v>316</v>
      </c>
      <c r="D7" s="14">
        <f t="shared" si="0"/>
        <v>0.62948207171314741</v>
      </c>
    </row>
    <row r="8" spans="1:4">
      <c r="A8" s="12" t="s">
        <v>8</v>
      </c>
      <c r="B8" s="13">
        <v>790</v>
      </c>
      <c r="C8" s="13">
        <v>521</v>
      </c>
      <c r="D8" s="14">
        <f t="shared" si="0"/>
        <v>0.65949367088607591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1">
    <tabColor rgb="FF1E73BE"/>
  </sheetPr>
  <dimension ref="A1:I19"/>
  <sheetViews>
    <sheetView zoomScale="130" zoomScaleNormal="130" workbookViewId="0"/>
  </sheetViews>
  <sheetFormatPr defaultColWidth="9.109375" defaultRowHeight="14.4"/>
  <cols>
    <col min="1" max="1" width="12.109375" style="3" bestFit="1" customWidth="1"/>
    <col min="2" max="9" width="11" style="3" customWidth="1"/>
    <col min="10" max="16384" width="9.109375" style="3"/>
  </cols>
  <sheetData>
    <row r="1" spans="1:9">
      <c r="A1" s="2" t="str">
        <f>"Sprzedaż 'Piaski Pustyni' na przełomie "&amp;B2&amp;"-"&amp;I2</f>
        <v>Sprzedaż 'Piaski Pustyni' na przełomie 2008-2015</v>
      </c>
      <c r="B1" s="2"/>
      <c r="C1" s="2"/>
      <c r="D1" s="2"/>
      <c r="E1" s="2"/>
      <c r="F1" s="2"/>
      <c r="G1" s="2"/>
      <c r="H1" s="2"/>
      <c r="I1" s="2"/>
    </row>
    <row r="2" spans="1:9">
      <c r="A2" s="4" t="s">
        <v>10</v>
      </c>
      <c r="B2" s="4">
        <v>2008</v>
      </c>
      <c r="C2" s="4">
        <f>B2+1</f>
        <v>2009</v>
      </c>
      <c r="D2" s="4">
        <f t="shared" ref="D2:I2" si="0">C2+1</f>
        <v>2010</v>
      </c>
      <c r="E2" s="4">
        <f t="shared" si="0"/>
        <v>2011</v>
      </c>
      <c r="F2" s="4">
        <f t="shared" si="0"/>
        <v>2012</v>
      </c>
      <c r="G2" s="4">
        <f t="shared" si="0"/>
        <v>2013</v>
      </c>
      <c r="H2" s="4">
        <f t="shared" si="0"/>
        <v>2014</v>
      </c>
      <c r="I2" s="4">
        <f t="shared" si="0"/>
        <v>2015</v>
      </c>
    </row>
    <row r="3" spans="1:9" ht="24" customHeight="1">
      <c r="A3" s="4" t="s">
        <v>11</v>
      </c>
      <c r="B3" s="5">
        <v>127864</v>
      </c>
      <c r="C3" s="5">
        <v>118576</v>
      </c>
      <c r="D3" s="5">
        <v>90056</v>
      </c>
      <c r="E3" s="5">
        <v>86760</v>
      </c>
      <c r="F3" s="5">
        <v>124224</v>
      </c>
      <c r="G3" s="5">
        <v>109288</v>
      </c>
      <c r="H3" s="5">
        <v>111912</v>
      </c>
      <c r="I3" s="5">
        <v>130952</v>
      </c>
    </row>
    <row r="4" spans="1:9" ht="24" customHeight="1">
      <c r="A4" s="4" t="s">
        <v>12</v>
      </c>
      <c r="B4" s="5">
        <v>202640</v>
      </c>
      <c r="C4" s="5">
        <v>195728</v>
      </c>
      <c r="D4" s="5">
        <v>177336</v>
      </c>
      <c r="E4" s="5">
        <v>181984</v>
      </c>
      <c r="F4" s="5">
        <v>165704</v>
      </c>
      <c r="G4" s="5">
        <v>168712</v>
      </c>
      <c r="H4" s="5">
        <v>176752</v>
      </c>
      <c r="I4" s="5">
        <v>177408</v>
      </c>
    </row>
    <row r="5" spans="1:9" ht="24" customHeight="1">
      <c r="A5" s="4" t="s">
        <v>13</v>
      </c>
      <c r="B5" s="5">
        <v>55480</v>
      </c>
      <c r="C5" s="5">
        <v>42288</v>
      </c>
      <c r="D5" s="5">
        <v>62216</v>
      </c>
      <c r="E5" s="5">
        <v>71128</v>
      </c>
      <c r="F5" s="5">
        <v>46320</v>
      </c>
      <c r="G5" s="5">
        <v>42320</v>
      </c>
      <c r="H5" s="5">
        <v>43232</v>
      </c>
      <c r="I5" s="5">
        <v>49760</v>
      </c>
    </row>
    <row r="8" spans="1:9" ht="27" customHeight="1"/>
    <row r="9" spans="1:9">
      <c r="B9" s="6" t="s">
        <v>14</v>
      </c>
      <c r="C9" s="7" t="s">
        <v>15</v>
      </c>
      <c r="D9" s="7"/>
      <c r="E9" s="7" t="s">
        <v>16</v>
      </c>
      <c r="F9" s="7"/>
      <c r="G9" s="7" t="s">
        <v>17</v>
      </c>
      <c r="H9" s="7"/>
    </row>
    <row r="10" spans="1:9">
      <c r="B10" s="8">
        <v>41668</v>
      </c>
      <c r="C10" s="9">
        <v>3.0829</v>
      </c>
      <c r="D10" s="10">
        <f t="shared" ref="D10:D18" si="1">(C10-C11)/C11</f>
        <v>6.3326260812796098E-3</v>
      </c>
      <c r="E10" s="9">
        <v>4.2154999999999996</v>
      </c>
      <c r="F10" s="10">
        <f t="shared" ref="F10:F18" si="2">(E10-E11)/E11</f>
        <v>7.8418246587132583E-3</v>
      </c>
      <c r="G10" s="9">
        <v>5.1121999999999996</v>
      </c>
      <c r="H10" s="10">
        <f t="shared" ref="H10:H18" si="3">(G10-G11)/G11</f>
        <v>6.9927314988082545E-3</v>
      </c>
    </row>
    <row r="11" spans="1:9">
      <c r="B11" s="8">
        <v>41667</v>
      </c>
      <c r="C11" s="9">
        <v>3.0634999999999999</v>
      </c>
      <c r="D11" s="10">
        <f t="shared" si="1"/>
        <v>-8.0624271467426966E-3</v>
      </c>
      <c r="E11" s="9">
        <v>4.1826999999999996</v>
      </c>
      <c r="F11" s="10">
        <f t="shared" si="2"/>
        <v>-1.0971601522782677E-2</v>
      </c>
      <c r="G11" s="9">
        <v>5.0766999999999998</v>
      </c>
      <c r="H11" s="10">
        <f t="shared" si="3"/>
        <v>-6.0498081290625595E-3</v>
      </c>
    </row>
    <row r="12" spans="1:9">
      <c r="B12" s="8">
        <v>41666</v>
      </c>
      <c r="C12" s="9">
        <v>3.0884</v>
      </c>
      <c r="D12" s="10">
        <f t="shared" si="1"/>
        <v>5.1095128063266262E-3</v>
      </c>
      <c r="E12" s="9">
        <v>4.2290999999999999</v>
      </c>
      <c r="F12" s="10">
        <f t="shared" si="2"/>
        <v>6.5930404150997962E-3</v>
      </c>
      <c r="G12" s="9">
        <v>5.1075999999999997</v>
      </c>
      <c r="H12" s="10">
        <f t="shared" si="3"/>
        <v>7.8320802005003908E-5</v>
      </c>
    </row>
    <row r="13" spans="1:9">
      <c r="B13" s="8">
        <v>41663</v>
      </c>
      <c r="C13" s="9">
        <v>3.0727000000000002</v>
      </c>
      <c r="D13" s="10">
        <f t="shared" si="1"/>
        <v>5.4975620930005466E-3</v>
      </c>
      <c r="E13" s="9">
        <v>4.2013999999999996</v>
      </c>
      <c r="F13" s="10">
        <f t="shared" si="2"/>
        <v>8.0376208642239967E-3</v>
      </c>
      <c r="G13" s="9">
        <v>5.1071999999999997</v>
      </c>
      <c r="H13" s="10">
        <f t="shared" si="3"/>
        <v>6.7018844122052768E-3</v>
      </c>
    </row>
    <row r="14" spans="1:9">
      <c r="B14" s="8">
        <v>41662</v>
      </c>
      <c r="C14" s="9">
        <v>3.0558999999999998</v>
      </c>
      <c r="D14" s="10">
        <f t="shared" si="1"/>
        <v>-6.5667566073924766E-3</v>
      </c>
      <c r="E14" s="9">
        <v>4.1679000000000004</v>
      </c>
      <c r="F14" s="10">
        <f t="shared" si="2"/>
        <v>2.3998656075267799E-4</v>
      </c>
      <c r="G14" s="9">
        <v>5.0731999999999999</v>
      </c>
      <c r="H14" s="10">
        <f t="shared" si="3"/>
        <v>-3.4180646682120583E-3</v>
      </c>
    </row>
    <row r="15" spans="1:9">
      <c r="B15" s="8">
        <v>41661</v>
      </c>
      <c r="C15" s="9">
        <v>3.0760999999999998</v>
      </c>
      <c r="D15" s="10">
        <f t="shared" si="1"/>
        <v>-6.5013165165938945E-5</v>
      </c>
      <c r="E15" s="9">
        <v>4.1669</v>
      </c>
      <c r="F15" s="10">
        <f t="shared" si="2"/>
        <v>5.28249333685548E-4</v>
      </c>
      <c r="G15" s="9">
        <v>5.0906000000000002</v>
      </c>
      <c r="H15" s="10">
        <f t="shared" si="3"/>
        <v>7.3215133766028019E-3</v>
      </c>
    </row>
    <row r="16" spans="1:9">
      <c r="B16" s="8">
        <v>41660</v>
      </c>
      <c r="C16" s="9">
        <v>3.0762999999999998</v>
      </c>
      <c r="D16" s="10">
        <f t="shared" si="1"/>
        <v>2.7053455019555904E-3</v>
      </c>
      <c r="E16" s="9">
        <v>4.1646999999999998</v>
      </c>
      <c r="F16" s="10">
        <f t="shared" si="2"/>
        <v>1.4668398018563926E-3</v>
      </c>
      <c r="G16" s="9">
        <v>5.0536000000000003</v>
      </c>
      <c r="H16" s="10">
        <f t="shared" si="3"/>
        <v>1.5855398763278909E-3</v>
      </c>
    </row>
    <row r="17" spans="2:8">
      <c r="B17" s="8">
        <v>41659</v>
      </c>
      <c r="C17" s="9">
        <v>3.0680000000000001</v>
      </c>
      <c r="D17" s="10">
        <f t="shared" si="1"/>
        <v>2.7454569224735137E-3</v>
      </c>
      <c r="E17" s="9">
        <v>4.1585999999999999</v>
      </c>
      <c r="F17" s="10">
        <f t="shared" si="2"/>
        <v>-3.6056825557079323E-4</v>
      </c>
      <c r="G17" s="9">
        <v>5.0456000000000003</v>
      </c>
      <c r="H17" s="10">
        <f t="shared" si="3"/>
        <v>2.8422077793016564E-3</v>
      </c>
    </row>
    <row r="18" spans="2:8">
      <c r="B18" s="8">
        <v>41656</v>
      </c>
      <c r="C18" s="9">
        <v>3.0596000000000001</v>
      </c>
      <c r="D18" s="10">
        <f t="shared" si="1"/>
        <v>9.8148269318854725E-4</v>
      </c>
      <c r="E18" s="9">
        <v>4.1600999999999999</v>
      </c>
      <c r="F18" s="10">
        <f t="shared" si="2"/>
        <v>-1.1045213340696658E-3</v>
      </c>
      <c r="G18" s="9">
        <v>5.0312999999999999</v>
      </c>
      <c r="H18" s="10">
        <f t="shared" si="3"/>
        <v>6.7029492976910018E-3</v>
      </c>
    </row>
    <row r="19" spans="2:8">
      <c r="B19" s="8">
        <v>41655</v>
      </c>
      <c r="C19" s="9">
        <v>3.0566</v>
      </c>
      <c r="D19" s="11">
        <v>2.3E-3</v>
      </c>
      <c r="E19" s="9">
        <v>4.1646999999999998</v>
      </c>
      <c r="F19" s="10">
        <v>-3.0000000000000001E-3</v>
      </c>
      <c r="G19" s="9">
        <v>4.9977999999999998</v>
      </c>
      <c r="H19" s="11">
        <v>-1.8E-3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ExceliAdam</vt:lpstr>
      <vt:lpstr>Podstawy</vt:lpstr>
      <vt:lpstr>WykresyŚmieciowe</vt:lpstr>
      <vt:lpstr>KolumnowySłupkowy</vt:lpstr>
      <vt:lpstr>Kołowy</vt:lpstr>
      <vt:lpstr>DrugieKoło</vt:lpstr>
      <vt:lpstr>Histogram</vt:lpstr>
      <vt:lpstr>Liniowy</vt:lpstr>
      <vt:lpstr>XY</vt:lpstr>
      <vt:lpstr>Pomocniczy</vt:lpstr>
      <vt:lpstr>PrzebieguWCzasie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2016-06-16T10:10:14Z</dcterms:created>
  <dcterms:modified xsi:type="dcterms:W3CDTF">2019-05-13T09:11:37Z</dcterms:modified>
</cp:coreProperties>
</file>