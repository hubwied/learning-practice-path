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F5CF90F2-E263-4962-8FBF-CEF82C721CF9}" xr6:coauthVersionLast="47" xr6:coauthVersionMax="47" xr10:uidLastSave="{00000000-0000-0000-0000-000000000000}"/>
  <bookViews>
    <workbookView xWindow="-120" yWindow="-120" windowWidth="38640" windowHeight="21120" tabRatio="777" activeTab="12" xr2:uid="{00000000-000D-0000-FFFF-FFFF00000000}"/>
  </bookViews>
  <sheets>
    <sheet name="ExceliAdam" sheetId="44" r:id="rId1"/>
    <sheet name="PierwszyKontakt" sheetId="39" r:id="rId2"/>
    <sheet name="PaskiDanych" sheetId="21" r:id="rId3"/>
    <sheet name="SkaleKolorów" sheetId="40" r:id="rId4"/>
    <sheet name="ZestawyIkon" sheetId="41" r:id="rId5"/>
    <sheet name="Interakcja" sheetId="42" r:id="rId6"/>
    <sheet name="Usuwanie" sheetId="25" r:id="rId7"/>
    <sheet name="TabelePrzestawne" sheetId="31" r:id="rId8"/>
    <sheet name="PierwszaFormuła" sheetId="43" r:id="rId9"/>
    <sheet name="2D" sheetId="29" r:id="rId10"/>
    <sheet name="Weekend" sheetId="35" r:id="rId11"/>
    <sheet name="Duplikaty" sheetId="38" r:id="rId12"/>
    <sheet name="Czy A jest w B" sheetId="33" r:id="rId13"/>
  </sheets>
  <definedNames>
    <definedName name="_xlnm._FilterDatabase" localSheetId="9" hidden="1">'2D'!$A$1:$D$12</definedName>
    <definedName name="_xlnm._FilterDatabase" localSheetId="12" hidden="1">'Czy A jest w B'!#REF!</definedName>
    <definedName name="_xlnm._FilterDatabase" localSheetId="8" hidden="1">PierwszaFormuła!$A$1:$D$435</definedName>
    <definedName name="_xlnm._FilterDatabase" localSheetId="1" hidden="1">PierwszyKontakt!#REF!</definedName>
    <definedName name="_xlnm._FilterDatabase" localSheetId="7" hidden="1">TabelePrzestawne!#REF!</definedName>
    <definedName name="_xlnm._FilterDatabase" localSheetId="10" hidden="1">Weekend!#REF!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3" l="1"/>
  <c r="G4" i="33"/>
  <c r="G5" i="33"/>
  <c r="G6" i="33"/>
  <c r="G7" i="33"/>
  <c r="G8" i="33"/>
  <c r="G9" i="33"/>
  <c r="G10" i="33"/>
  <c r="G11" i="33"/>
  <c r="G12" i="33"/>
  <c r="G13" i="33"/>
  <c r="G14" i="33"/>
  <c r="G15" i="33"/>
  <c r="G2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2" i="33"/>
  <c r="B3" i="38"/>
  <c r="B4" i="38"/>
  <c r="B5" i="38"/>
  <c r="B6" i="38"/>
  <c r="B7" i="38"/>
  <c r="B8" i="38"/>
  <c r="B9" i="38"/>
  <c r="B10" i="38"/>
  <c r="B11" i="38"/>
  <c r="B12" i="38"/>
  <c r="B13" i="38"/>
  <c r="B2" i="38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" i="35"/>
  <c r="K6" i="29"/>
  <c r="U6" i="29"/>
  <c r="V6" i="29"/>
  <c r="W6" i="29"/>
  <c r="X6" i="29"/>
  <c r="Y6" i="29"/>
  <c r="Z6" i="29"/>
  <c r="T6" i="29"/>
  <c r="K7" i="29"/>
  <c r="L7" i="29"/>
  <c r="M7" i="29"/>
  <c r="N7" i="29"/>
  <c r="O7" i="29"/>
  <c r="P7" i="29"/>
  <c r="Q7" i="29"/>
  <c r="R7" i="29"/>
  <c r="K8" i="29"/>
  <c r="L8" i="29"/>
  <c r="M8" i="29"/>
  <c r="N8" i="29"/>
  <c r="O8" i="29"/>
  <c r="P8" i="29"/>
  <c r="Q8" i="29"/>
  <c r="R8" i="29"/>
  <c r="K9" i="29"/>
  <c r="L9" i="29"/>
  <c r="M9" i="29"/>
  <c r="N9" i="29"/>
  <c r="O9" i="29"/>
  <c r="P9" i="29"/>
  <c r="Q9" i="29"/>
  <c r="R9" i="29"/>
  <c r="K10" i="29"/>
  <c r="L10" i="29"/>
  <c r="M10" i="29"/>
  <c r="N10" i="29"/>
  <c r="O10" i="29"/>
  <c r="P10" i="29"/>
  <c r="Q10" i="29"/>
  <c r="R10" i="29"/>
  <c r="K11" i="29"/>
  <c r="L11" i="29"/>
  <c r="M11" i="29"/>
  <c r="N11" i="29"/>
  <c r="O11" i="29"/>
  <c r="P11" i="29"/>
  <c r="Q11" i="29"/>
  <c r="R11" i="29"/>
  <c r="K12" i="29"/>
  <c r="L12" i="29"/>
  <c r="M12" i="29"/>
  <c r="N12" i="29"/>
  <c r="O12" i="29"/>
  <c r="P12" i="29"/>
  <c r="Q12" i="29"/>
  <c r="R12" i="29"/>
  <c r="K13" i="29"/>
  <c r="L13" i="29"/>
  <c r="M13" i="29"/>
  <c r="N13" i="29"/>
  <c r="O13" i="29"/>
  <c r="P13" i="29"/>
  <c r="Q13" i="29"/>
  <c r="R13" i="29"/>
  <c r="L6" i="29"/>
  <c r="M6" i="29"/>
  <c r="N6" i="29"/>
  <c r="O6" i="29"/>
  <c r="P6" i="29"/>
  <c r="Q6" i="29"/>
  <c r="R6" i="29"/>
  <c r="G3" i="43"/>
  <c r="F3" i="43"/>
  <c r="F4" i="43"/>
  <c r="G4" i="43"/>
  <c r="F5" i="43"/>
  <c r="G5" i="43"/>
  <c r="F6" i="43"/>
  <c r="G6" i="43"/>
  <c r="F7" i="43"/>
  <c r="G7" i="43"/>
  <c r="F8" i="43"/>
  <c r="G8" i="43"/>
  <c r="F9" i="43"/>
  <c r="G9" i="43"/>
  <c r="F10" i="43"/>
  <c r="G10" i="43"/>
  <c r="F11" i="43"/>
  <c r="G11" i="43"/>
  <c r="F12" i="43"/>
  <c r="G12" i="43"/>
  <c r="F13" i="43"/>
  <c r="G13" i="43"/>
  <c r="F14" i="43"/>
  <c r="G14" i="43"/>
  <c r="F15" i="43"/>
  <c r="G15" i="43"/>
  <c r="F16" i="43"/>
  <c r="G16" i="43"/>
  <c r="F17" i="43"/>
  <c r="G17" i="43"/>
  <c r="F18" i="43"/>
  <c r="G18" i="43"/>
  <c r="F19" i="43"/>
  <c r="G19" i="43"/>
  <c r="F20" i="43"/>
  <c r="G20" i="43"/>
  <c r="F21" i="43"/>
  <c r="G21" i="43"/>
  <c r="F22" i="43"/>
  <c r="G22" i="43"/>
  <c r="F23" i="43"/>
  <c r="G23" i="43"/>
  <c r="F24" i="43"/>
  <c r="G24" i="43"/>
  <c r="F25" i="43"/>
  <c r="G25" i="43"/>
  <c r="F26" i="43"/>
  <c r="G26" i="43"/>
  <c r="F27" i="43"/>
  <c r="G27" i="43"/>
  <c r="F28" i="43"/>
  <c r="G28" i="43"/>
  <c r="F29" i="43"/>
  <c r="G29" i="43"/>
  <c r="F30" i="43"/>
  <c r="G30" i="43"/>
  <c r="F31" i="43"/>
  <c r="G31" i="43"/>
  <c r="F32" i="43"/>
  <c r="G32" i="43"/>
  <c r="F33" i="43"/>
  <c r="G33" i="43"/>
  <c r="F34" i="43"/>
  <c r="G34" i="43"/>
  <c r="F35" i="43"/>
  <c r="G35" i="43"/>
  <c r="F36" i="43"/>
  <c r="G36" i="43"/>
  <c r="F37" i="43"/>
  <c r="G37" i="43"/>
  <c r="G2" i="43"/>
  <c r="F2" i="43"/>
  <c r="H3" i="41"/>
  <c r="H2" i="41"/>
  <c r="D3" i="39"/>
  <c r="H6" i="41" l="1"/>
  <c r="H5" i="41"/>
  <c r="H4" i="41"/>
  <c r="E8" i="21" l="1"/>
  <c r="D8" i="21"/>
  <c r="C8" i="21"/>
  <c r="B8" i="21"/>
  <c r="F7" i="21"/>
  <c r="F6" i="21"/>
  <c r="F5" i="21"/>
  <c r="F4" i="21"/>
  <c r="F3" i="21"/>
  <c r="F2" i="21"/>
  <c r="F8" i="21" l="1"/>
</calcChain>
</file>

<file path=xl/sharedStrings.xml><?xml version="1.0" encoding="utf-8"?>
<sst xmlns="http://schemas.openxmlformats.org/spreadsheetml/2006/main" count="726" uniqueCount="131">
  <si>
    <t>Data</t>
  </si>
  <si>
    <t>Sprzedawcy</t>
  </si>
  <si>
    <t>Ryszard</t>
  </si>
  <si>
    <t>Tadeusz</t>
  </si>
  <si>
    <t>Stefan</t>
  </si>
  <si>
    <t>Marianna</t>
  </si>
  <si>
    <t>Suma:</t>
  </si>
  <si>
    <t>Ryszard Mały</t>
  </si>
  <si>
    <t>Styczeń</t>
  </si>
  <si>
    <t>Tomasz Dziupla</t>
  </si>
  <si>
    <t>Luty</t>
  </si>
  <si>
    <t>Renata Dzień</t>
  </si>
  <si>
    <t>Marzec</t>
  </si>
  <si>
    <t>Ariel Syrenka</t>
  </si>
  <si>
    <t>Kwiecień</t>
  </si>
  <si>
    <t>Sebastian Krab</t>
  </si>
  <si>
    <t>Maj</t>
  </si>
  <si>
    <t>Florian Ryba</t>
  </si>
  <si>
    <t>Czerwiec</t>
  </si>
  <si>
    <t>Eryk Książe</t>
  </si>
  <si>
    <t>Urszula Ośmiornica</t>
  </si>
  <si>
    <t>Juliusz Serce</t>
  </si>
  <si>
    <t>Pracownik</t>
  </si>
  <si>
    <t>Fabryka</t>
  </si>
  <si>
    <t>Mini</t>
  </si>
  <si>
    <t>Motylek</t>
  </si>
  <si>
    <t>MAX</t>
  </si>
  <si>
    <t>Stonoga</t>
  </si>
  <si>
    <t>MIN</t>
  </si>
  <si>
    <t>Sknerus</t>
  </si>
  <si>
    <t>Żuczek</t>
  </si>
  <si>
    <t>Śr. Min-max</t>
  </si>
  <si>
    <t>Goofy</t>
  </si>
  <si>
    <t>Donald</t>
  </si>
  <si>
    <t>Ptaszek</t>
  </si>
  <si>
    <t>Sprzedawca</t>
  </si>
  <si>
    <t>Sprzedaż</t>
  </si>
  <si>
    <t>KWS</t>
  </si>
  <si>
    <t>Gloria Okrągła</t>
  </si>
  <si>
    <t>Aleks Król</t>
  </si>
  <si>
    <t>Atylla Chomik</t>
  </si>
  <si>
    <t>Dory Ultramarynka</t>
  </si>
  <si>
    <t>Maurycy Poddany</t>
  </si>
  <si>
    <t>Julian Ogoniasty</t>
  </si>
  <si>
    <t>Marlena Kotowska</t>
  </si>
  <si>
    <t>Marlin Ryba</t>
  </si>
  <si>
    <t>Nemo Błazenek</t>
  </si>
  <si>
    <t>Melman Chory</t>
  </si>
  <si>
    <t>Marlin</t>
  </si>
  <si>
    <t>Miesiąc</t>
  </si>
  <si>
    <t>Mar</t>
  </si>
  <si>
    <t>Sprzedaż Konsultantów  2014</t>
  </si>
  <si>
    <t>Sty</t>
  </si>
  <si>
    <t>Lut</t>
  </si>
  <si>
    <t>Kwi</t>
  </si>
  <si>
    <t>Cze</t>
  </si>
  <si>
    <t>Nemo</t>
  </si>
  <si>
    <t>Marlena</t>
  </si>
  <si>
    <t>Atylla</t>
  </si>
  <si>
    <t>Aleks</t>
  </si>
  <si>
    <t>Melman</t>
  </si>
  <si>
    <t>Gloria</t>
  </si>
  <si>
    <t>Produkcja</t>
  </si>
  <si>
    <t>Suma z Produkcja</t>
  </si>
  <si>
    <t>Donald Suma</t>
  </si>
  <si>
    <t>Goofy Suma</t>
  </si>
  <si>
    <t>Mini Suma</t>
  </si>
  <si>
    <t>Sknerus Suma</t>
  </si>
  <si>
    <t>Suma końcowa</t>
  </si>
  <si>
    <t>Sprzedawcy lista A</t>
  </si>
  <si>
    <t>Sprzedawcy lista B</t>
  </si>
  <si>
    <t>Tomasz Paluch</t>
  </si>
  <si>
    <t>Renata Noc</t>
  </si>
  <si>
    <t>Florian Narybek</t>
  </si>
  <si>
    <t>Marian Dziś</t>
  </si>
  <si>
    <t>Ryszard Olbrzym</t>
  </si>
  <si>
    <t>Suzan Kałamarnica</t>
  </si>
  <si>
    <t>Teresa Czerwona</t>
  </si>
  <si>
    <t>Juliusz Tchórz</t>
  </si>
  <si>
    <t>Franek Niziołek</t>
  </si>
  <si>
    <t>Alladyn Złodziej</t>
  </si>
  <si>
    <t>Mariola Niewielka</t>
  </si>
  <si>
    <t>Jasmina Księżniczka</t>
  </si>
  <si>
    <t>Pomocnicza</t>
  </si>
  <si>
    <t>Duplikaty</t>
  </si>
  <si>
    <t>Powyżej średniej</t>
  </si>
  <si>
    <t>Wyniki testów</t>
  </si>
  <si>
    <t>Średnia</t>
  </si>
  <si>
    <t>Pierwsze 30%</t>
  </si>
  <si>
    <t>Miesiąc/
Sprzedawca</t>
  </si>
  <si>
    <t>Punkty</t>
  </si>
  <si>
    <t>Produkcja w fabryce Robaczek 2015</t>
  </si>
  <si>
    <t>Mateusz Czerwony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</si>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</sst>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\ &quot;zł&quot;;[Red]\-#,##0\ &quot;zł&quot;"/>
    <numFmt numFmtId="165" formatCode="#,##0.00\ &quot;zł&quot;;[Red]\-#,##0.00\ &quot;zł&quot;"/>
    <numFmt numFmtId="166" formatCode="_-* #,##0.00\ _z_ł_-;\-* #,##0.00\ _z_ł_-;_-* &quot;-&quot;??\ _z_ł_-;_-@_-"/>
    <numFmt numFmtId="167" formatCode="&quot;$&quot;#,##0,"/>
    <numFmt numFmtId="168" formatCode="d\-mmm\-yyyy"/>
    <numFmt numFmtId="169" formatCode="d\ mmm\ yyyy\,\ ddd"/>
  </numFmts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8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8" borderId="1">
      <alignment wrapText="1"/>
    </xf>
    <xf numFmtId="0" fontId="8" fillId="9" borderId="2" applyBorder="0">
      <alignment horizontal="centerContinuous" wrapText="1"/>
    </xf>
    <xf numFmtId="43" fontId="9" fillId="0" borderId="0" applyFont="0" applyFill="0" applyBorder="0" applyAlignment="0" applyProtection="0"/>
    <xf numFmtId="167" fontId="10" fillId="0" borderId="0"/>
    <xf numFmtId="0" fontId="2" fillId="5" borderId="0"/>
    <xf numFmtId="166" fontId="5" fillId="0" borderId="0" applyFont="0" applyFill="0" applyBorder="0" applyAlignment="0" applyProtection="0"/>
    <xf numFmtId="0" fontId="3" fillId="10" borderId="1">
      <alignment horizontal="center" vertical="center"/>
    </xf>
    <xf numFmtId="0" fontId="2" fillId="6" borderId="1">
      <alignment horizontal="center" vertical="center"/>
    </xf>
    <xf numFmtId="165" fontId="1" fillId="7" borderId="1" applyNumberFormat="0"/>
    <xf numFmtId="165" fontId="1" fillId="11" borderId="1" applyFont="0" applyBorder="0"/>
    <xf numFmtId="165" fontId="1" fillId="6" borderId="1" applyFont="0" applyBorder="0"/>
    <xf numFmtId="165" fontId="1" fillId="12" borderId="1" applyFont="0" applyBorder="0"/>
    <xf numFmtId="165" fontId="1" fillId="13" borderId="1" applyFont="0" applyBorder="0"/>
    <xf numFmtId="0" fontId="1" fillId="14" borderId="0" applyFont="0" applyBorder="0"/>
    <xf numFmtId="165" fontId="1" fillId="15" borderId="1" applyFont="0" applyBorder="0"/>
    <xf numFmtId="165" fontId="6" fillId="4" borderId="1"/>
    <xf numFmtId="165" fontId="6" fillId="4" borderId="1" applyNumberFormat="0"/>
    <xf numFmtId="165" fontId="6" fillId="4" borderId="1" applyNumberFormat="0" applyAlignment="0"/>
    <xf numFmtId="168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165" fontId="1" fillId="16" borderId="1"/>
    <xf numFmtId="0" fontId="9" fillId="0" borderId="0">
      <alignment wrapText="1"/>
    </xf>
    <xf numFmtId="0" fontId="6" fillId="3" borderId="2"/>
    <xf numFmtId="0" fontId="3" fillId="3" borderId="0" applyNumberFormat="0" applyBorder="0" applyAlignment="0" applyProtection="0"/>
    <xf numFmtId="9" fontId="1" fillId="0" borderId="0" applyFont="0" applyFill="0" applyBorder="0" applyAlignment="0" applyProtection="0"/>
    <xf numFmtId="165" fontId="1" fillId="7" borderId="1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0" fontId="5" fillId="0" borderId="0" xfId="3"/>
    <xf numFmtId="0" fontId="14" fillId="6" borderId="1" xfId="12" applyFont="1">
      <alignment horizontal="center" vertical="center"/>
    </xf>
    <xf numFmtId="0" fontId="15" fillId="0" borderId="0" xfId="0" applyFont="1"/>
    <xf numFmtId="0" fontId="16" fillId="0" borderId="0" xfId="0" applyFont="1"/>
    <xf numFmtId="0" fontId="15" fillId="0" borderId="1" xfId="0" applyFont="1" applyBorder="1"/>
    <xf numFmtId="0" fontId="15" fillId="0" borderId="3" xfId="0" applyFont="1" applyBorder="1"/>
    <xf numFmtId="9" fontId="14" fillId="6" borderId="1" xfId="1" applyNumberFormat="1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Continuous"/>
    </xf>
    <xf numFmtId="0" fontId="17" fillId="18" borderId="4" xfId="0" applyFont="1" applyFill="1" applyBorder="1" applyAlignment="1">
      <alignment horizontal="centerContinuous"/>
    </xf>
    <xf numFmtId="169" fontId="16" fillId="0" borderId="1" xfId="0" applyNumberFormat="1" applyFont="1" applyBorder="1"/>
    <xf numFmtId="0" fontId="16" fillId="0" borderId="1" xfId="0" applyFont="1" applyBorder="1"/>
    <xf numFmtId="0" fontId="16" fillId="17" borderId="1" xfId="33" applyNumberFormat="1" applyFont="1" applyFill="1"/>
    <xf numFmtId="0" fontId="14" fillId="6" borderId="1" xfId="1" applyFont="1" applyFill="1" applyBorder="1" applyAlignment="1">
      <alignment horizontal="center" vertical="center"/>
    </xf>
    <xf numFmtId="164" fontId="18" fillId="0" borderId="1" xfId="0" applyNumberFormat="1" applyFont="1" applyBorder="1"/>
    <xf numFmtId="164" fontId="18" fillId="0" borderId="5" xfId="0" applyNumberFormat="1" applyFont="1" applyBorder="1"/>
    <xf numFmtId="164" fontId="18" fillId="0" borderId="3" xfId="0" applyNumberFormat="1" applyFont="1" applyBorder="1"/>
    <xf numFmtId="164" fontId="18" fillId="0" borderId="6" xfId="0" applyNumberFormat="1" applyFont="1" applyBorder="1"/>
    <xf numFmtId="164" fontId="16" fillId="0" borderId="0" xfId="0" applyNumberFormat="1" applyFont="1"/>
    <xf numFmtId="14" fontId="16" fillId="0" borderId="1" xfId="0" applyNumberFormat="1" applyFont="1" applyBorder="1"/>
    <xf numFmtId="165" fontId="16" fillId="0" borderId="1" xfId="0" applyNumberFormat="1" applyFont="1" applyBorder="1"/>
    <xf numFmtId="0" fontId="16" fillId="0" borderId="0" xfId="0" pivotButton="1" applyFont="1"/>
    <xf numFmtId="0" fontId="17" fillId="19" borderId="1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/>
    </xf>
    <xf numFmtId="0" fontId="16" fillId="0" borderId="4" xfId="3" applyFont="1" applyBorder="1"/>
    <xf numFmtId="0" fontId="16" fillId="0" borderId="8" xfId="3" applyFont="1" applyBorder="1"/>
    <xf numFmtId="0" fontId="17" fillId="19" borderId="1" xfId="0" applyFont="1" applyFill="1" applyBorder="1" applyAlignment="1">
      <alignment horizontal="center" vertical="center"/>
    </xf>
    <xf numFmtId="9" fontId="14" fillId="6" borderId="1" xfId="32" applyFont="1" applyFill="1" applyBorder="1" applyAlignment="1">
      <alignment horizontal="center" vertical="center"/>
    </xf>
    <xf numFmtId="165" fontId="16" fillId="0" borderId="0" xfId="0" applyNumberFormat="1" applyFont="1"/>
    <xf numFmtId="165" fontId="16" fillId="0" borderId="1" xfId="15" applyFont="1" applyFill="1"/>
    <xf numFmtId="165" fontId="16" fillId="17" borderId="1" xfId="0" applyNumberFormat="1" applyFont="1" applyFill="1" applyBorder="1"/>
    <xf numFmtId="0" fontId="18" fillId="3" borderId="1" xfId="31" applyFont="1" applyBorder="1"/>
    <xf numFmtId="0" fontId="16" fillId="0" borderId="0" xfId="3" applyFont="1"/>
    <xf numFmtId="0" fontId="16" fillId="0" borderId="1" xfId="3" applyFont="1" applyBorder="1"/>
    <xf numFmtId="0" fontId="16" fillId="17" borderId="1" xfId="3" applyFont="1" applyFill="1" applyBorder="1"/>
    <xf numFmtId="0" fontId="1" fillId="0" borderId="0" xfId="34"/>
    <xf numFmtId="0" fontId="13" fillId="0" borderId="0" xfId="35" applyFont="1" applyAlignment="1">
      <alignment vertical="center"/>
    </xf>
    <xf numFmtId="0" fontId="19" fillId="0" borderId="0" xfId="36" applyAlignment="1">
      <alignment vertical="center"/>
    </xf>
    <xf numFmtId="0" fontId="21" fillId="0" borderId="0" xfId="34" applyFont="1" applyAlignment="1">
      <alignment vertical="center"/>
    </xf>
    <xf numFmtId="0" fontId="1" fillId="0" borderId="8" xfId="34" applyBorder="1"/>
    <xf numFmtId="0" fontId="13" fillId="0" borderId="0" xfId="34" applyFont="1" applyAlignment="1">
      <alignment wrapText="1"/>
    </xf>
    <xf numFmtId="0" fontId="0" fillId="0" borderId="0" xfId="34" applyFont="1" applyAlignment="1">
      <alignment vertical="top"/>
    </xf>
    <xf numFmtId="0" fontId="19" fillId="0" borderId="0" xfId="36" applyAlignment="1"/>
    <xf numFmtId="0" fontId="1" fillId="0" borderId="0" xfId="34" applyAlignment="1">
      <alignment vertical="top"/>
    </xf>
    <xf numFmtId="0" fontId="20" fillId="0" borderId="0" xfId="2" applyFont="1" applyAlignment="1"/>
    <xf numFmtId="0" fontId="13" fillId="0" borderId="0" xfId="34" applyFont="1" applyAlignment="1">
      <alignment vertical="center"/>
    </xf>
    <xf numFmtId="0" fontId="1" fillId="0" borderId="0" xfId="34" applyAlignment="1">
      <alignment vertical="center"/>
    </xf>
    <xf numFmtId="0" fontId="4" fillId="0" borderId="0" xfId="2" applyAlignment="1"/>
    <xf numFmtId="0" fontId="13" fillId="0" borderId="0" xfId="34" applyFont="1" applyAlignment="1">
      <alignment vertical="top" wrapText="1"/>
    </xf>
    <xf numFmtId="0" fontId="1" fillId="20" borderId="0" xfId="34" applyFill="1" applyAlignment="1">
      <alignment vertical="top" wrapText="1"/>
    </xf>
    <xf numFmtId="0" fontId="1" fillId="20" borderId="0" xfId="34" applyFill="1" applyAlignment="1">
      <alignment wrapText="1"/>
    </xf>
    <xf numFmtId="0" fontId="1" fillId="0" borderId="0" xfId="34" applyAlignment="1">
      <alignment vertical="top" wrapText="1"/>
    </xf>
    <xf numFmtId="0" fontId="1" fillId="20" borderId="0" xfId="34" applyFill="1" applyAlignment="1">
      <alignment wrapText="1"/>
    </xf>
    <xf numFmtId="0" fontId="13" fillId="0" borderId="8" xfId="34" applyFont="1" applyBorder="1" applyAlignment="1">
      <alignment vertical="top" wrapText="1"/>
    </xf>
    <xf numFmtId="0" fontId="13" fillId="0" borderId="0" xfId="34" applyFont="1" applyAlignment="1">
      <alignment vertical="top" wrapText="1"/>
    </xf>
    <xf numFmtId="0" fontId="0" fillId="0" borderId="0" xfId="34" applyFont="1" applyAlignment="1">
      <alignment vertical="top"/>
    </xf>
    <xf numFmtId="0" fontId="20" fillId="0" borderId="0" xfId="36" applyFont="1" applyAlignment="1"/>
    <xf numFmtId="0" fontId="20" fillId="0" borderId="0" xfId="2" applyFont="1" applyAlignment="1"/>
    <xf numFmtId="0" fontId="1" fillId="20" borderId="0" xfId="34" applyFill="1" applyAlignment="1">
      <alignment vertical="top" wrapText="1"/>
    </xf>
    <xf numFmtId="0" fontId="1" fillId="0" borderId="0" xfId="34" applyAlignment="1">
      <alignment vertical="top"/>
    </xf>
    <xf numFmtId="0" fontId="0" fillId="0" borderId="8" xfId="34" applyFont="1" applyBorder="1" applyAlignment="1">
      <alignment vertical="top"/>
    </xf>
    <xf numFmtId="0" fontId="13" fillId="0" borderId="0" xfId="34" applyFont="1"/>
    <xf numFmtId="0" fontId="4" fillId="0" borderId="0" xfId="37" applyAlignment="1">
      <alignment vertical="center"/>
    </xf>
    <xf numFmtId="0" fontId="20" fillId="0" borderId="0" xfId="36" applyFont="1" applyAlignment="1">
      <alignment vertical="center"/>
    </xf>
    <xf numFmtId="0" fontId="19" fillId="0" borderId="0" xfId="36" applyAlignment="1">
      <alignment vertical="center"/>
    </xf>
    <xf numFmtId="0" fontId="13" fillId="0" borderId="8" xfId="34" applyFont="1" applyBorder="1" applyAlignment="1">
      <alignment vertical="center"/>
    </xf>
    <xf numFmtId="0" fontId="13" fillId="0" borderId="0" xfId="34" applyFont="1" applyAlignment="1">
      <alignment vertical="center"/>
    </xf>
    <xf numFmtId="0" fontId="1" fillId="0" borderId="0" xfId="34" applyAlignment="1">
      <alignment vertical="center"/>
    </xf>
    <xf numFmtId="0" fontId="13" fillId="0" borderId="0" xfId="35" applyFont="1" applyAlignment="1">
      <alignment vertical="center"/>
    </xf>
    <xf numFmtId="0" fontId="21" fillId="0" borderId="0" xfId="34" applyFont="1" applyAlignment="1">
      <alignment vertical="center"/>
    </xf>
    <xf numFmtId="0" fontId="13" fillId="0" borderId="8" xfId="34" applyFont="1" applyBorder="1" applyAlignment="1">
      <alignment wrapText="1"/>
    </xf>
    <xf numFmtId="0" fontId="13" fillId="0" borderId="0" xfId="34" applyFont="1" applyAlignment="1">
      <alignment wrapText="1"/>
    </xf>
  </cellXfs>
  <cellStyles count="38">
    <cellStyle name="60% — akcent 4" xfId="31" builtinId="44"/>
    <cellStyle name="Akcent 1" xfId="1" builtinId="29"/>
    <cellStyle name="blue" xfId="5" xr:uid="{00000000-0005-0000-0000-000002000000}"/>
    <cellStyle name="BlueTitle" xfId="6" xr:uid="{00000000-0005-0000-0000-000003000000}"/>
    <cellStyle name="Comma 2" xfId="7" xr:uid="{00000000-0005-0000-0000-000004000000}"/>
    <cellStyle name="Currency Round to thousands" xfId="8" xr:uid="{00000000-0005-0000-0000-000005000000}"/>
    <cellStyle name="Czarny" xfId="9" xr:uid="{00000000-0005-0000-0000-000006000000}"/>
    <cellStyle name="Dziesiętny 2" xfId="10" xr:uid="{00000000-0005-0000-0000-000007000000}"/>
    <cellStyle name="Excel - Etykieta" xfId="11" xr:uid="{00000000-0005-0000-0000-000008000000}"/>
    <cellStyle name="Excel - Etykiety light" xfId="12" xr:uid="{00000000-0005-0000-0000-000009000000}"/>
    <cellStyle name="Excel - Formuła" xfId="13" xr:uid="{00000000-0005-0000-0000-00000A000000}"/>
    <cellStyle name="Excel - Formuła 2" xfId="33" xr:uid="{00000000-0005-0000-0000-00000B000000}"/>
    <cellStyle name="Excel - green" xfId="14" xr:uid="{00000000-0005-0000-0000-00000C000000}"/>
    <cellStyle name="Excel - lightblue" xfId="15" xr:uid="{00000000-0005-0000-0000-00000D000000}"/>
    <cellStyle name="Excel - orange" xfId="16" xr:uid="{00000000-0005-0000-0000-00000E000000}"/>
    <cellStyle name="Excel - purple" xfId="17" xr:uid="{00000000-0005-0000-0000-00000F000000}"/>
    <cellStyle name="Excel - red" xfId="18" xr:uid="{00000000-0005-0000-0000-000010000000}"/>
    <cellStyle name="Excel - yellow" xfId="19" xr:uid="{00000000-0005-0000-0000-000011000000}"/>
    <cellStyle name="Formuła" xfId="20" xr:uid="{00000000-0005-0000-0000-000012000000}"/>
    <cellStyle name="Formuła 2" xfId="21" xr:uid="{00000000-0005-0000-0000-000013000000}"/>
    <cellStyle name="Formuła 3" xfId="22" xr:uid="{00000000-0005-0000-0000-000014000000}"/>
    <cellStyle name="Formuła 4" xfId="4" xr:uid="{00000000-0005-0000-0000-000015000000}"/>
    <cellStyle name="Four-Digit Year" xfId="23" xr:uid="{00000000-0005-0000-0000-000016000000}"/>
    <cellStyle name="Hiperłącze 2" xfId="2" xr:uid="{00000000-0005-0000-0000-000017000000}"/>
    <cellStyle name="Hiperłącze 2 2" xfId="36" xr:uid="{929F77E2-C354-4054-9246-5CB0C960C08F}"/>
    <cellStyle name="Hiperłącze 2 3" xfId="37" xr:uid="{22B53931-2FCD-4C84-BDD6-9D031FFE06A0}"/>
    <cellStyle name="Informacja" xfId="24" xr:uid="{00000000-0005-0000-0000-000018000000}"/>
    <cellStyle name="Nagłówek" xfId="25" xr:uid="{00000000-0005-0000-0000-000019000000}"/>
    <cellStyle name="Normal 2" xfId="26" xr:uid="{00000000-0005-0000-0000-00001A000000}"/>
    <cellStyle name="Normalny" xfId="0" builtinId="0"/>
    <cellStyle name="Normalny 2" xfId="3" xr:uid="{00000000-0005-0000-0000-00001C000000}"/>
    <cellStyle name="Normalny 2 3 2 2" xfId="34" xr:uid="{ED1EE7A4-DAB9-4378-8EC0-41B696283E6F}"/>
    <cellStyle name="Normalny 3" xfId="27" xr:uid="{00000000-0005-0000-0000-00001D000000}"/>
    <cellStyle name="Normalny 4 2" xfId="35" xr:uid="{3852C045-D0E6-4801-8377-BAC34F02F90A}"/>
    <cellStyle name="Procentowy" xfId="32" builtinId="5"/>
    <cellStyle name="Styl 1" xfId="28" xr:uid="{00000000-0005-0000-0000-00001F000000}"/>
    <cellStyle name="Wrap Text" xfId="29" xr:uid="{00000000-0005-0000-0000-000020000000}"/>
    <cellStyle name="ziel" xfId="30" xr:uid="{00000000-0005-0000-0000-000021000000}"/>
  </cellStyles>
  <dxfs count="18"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</font>
      <fill>
        <patternFill>
          <bgColor theme="3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00"/>
          <bgColor rgb="FF2EA3F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FF1D6"/>
      <color rgb="FF1E73BE"/>
      <color rgb="FFCFC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1B0EA268-DB63-48A0-8BB4-448B64332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3B3C957F-DF57-4FF3-9259-0BA20533F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F53468CF-8BBC-42D8-9248-9966A664D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A8109D64-81DB-4C83-AB2C-B654DA476F93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562BF-CE36-4AF0-92A2-A2269DF9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7F483B-540C-4E6A-9D74-6A988745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ADEEA6E-F433-456E-960B-A04F172A6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C2B6F89-68C4-4D0D-9D28-2740E982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8340A4-DB29-48F7-9741-1A56A1B4B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5B82F1-983E-4390-AA77-6C65C3E6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B28922BA-38AD-4327-AC38-C278368E7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EDBEF86A-CDCC-4BE7-9E0F-77FD57AAF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6CE40707-FD36-4F82-B117-80DA08C7C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2375.789902430559" createdVersion="5" refreshedVersion="5" minRefreshableVersion="3" recordCount="30" xr:uid="{00000000-000A-0000-FFFF-FFFF01000000}">
  <cacheSource type="worksheet">
    <worksheetSource ref="A1:D31" sheet="TabelePrzestawne"/>
  </cacheSource>
  <cacheFields count="4">
    <cacheField name="Data" numFmtId="14">
      <sharedItems containsSemiMixedTypes="0" containsNonDate="0" containsDate="1" containsString="0" minDate="2014-09-02T00:00:00" maxDate="2014-11-15T00:00:00"/>
    </cacheField>
    <cacheField name="Pracownik" numFmtId="0">
      <sharedItems count="4">
        <s v="Mini"/>
        <s v="Sknerus"/>
        <s v="Goofy"/>
        <s v="Donald"/>
      </sharedItems>
    </cacheField>
    <cacheField name="Fabryka" numFmtId="0">
      <sharedItems count="4">
        <s v="Motylek"/>
        <s v="Stonoga"/>
        <s v="Żuczek"/>
        <s v="Ptaszek"/>
      </sharedItems>
    </cacheField>
    <cacheField name="Produkcja" numFmtId="0">
      <sharedItems containsSemiMixedTypes="0" containsString="0" containsNumber="1" containsInteger="1" minValue="103" maxValue="85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14-09-21T00:00:00"/>
    <x v="0"/>
    <x v="0"/>
    <n v="452"/>
  </r>
  <r>
    <d v="2014-09-09T00:00:00"/>
    <x v="0"/>
    <x v="1"/>
    <n v="682"/>
  </r>
  <r>
    <d v="2014-09-12T00:00:00"/>
    <x v="1"/>
    <x v="2"/>
    <n v="838"/>
  </r>
  <r>
    <d v="2014-09-15T00:00:00"/>
    <x v="1"/>
    <x v="2"/>
    <n v="804"/>
  </r>
  <r>
    <d v="2014-10-17T00:00:00"/>
    <x v="2"/>
    <x v="1"/>
    <n v="185"/>
  </r>
  <r>
    <d v="2014-11-14T00:00:00"/>
    <x v="3"/>
    <x v="1"/>
    <n v="397"/>
  </r>
  <r>
    <d v="2014-11-09T00:00:00"/>
    <x v="3"/>
    <x v="0"/>
    <n v="772"/>
  </r>
  <r>
    <d v="2014-09-13T00:00:00"/>
    <x v="1"/>
    <x v="3"/>
    <n v="794"/>
  </r>
  <r>
    <d v="2014-09-11T00:00:00"/>
    <x v="0"/>
    <x v="3"/>
    <n v="491"/>
  </r>
  <r>
    <d v="2014-10-05T00:00:00"/>
    <x v="1"/>
    <x v="0"/>
    <n v="750"/>
  </r>
  <r>
    <d v="2014-10-12T00:00:00"/>
    <x v="1"/>
    <x v="3"/>
    <n v="849"/>
  </r>
  <r>
    <d v="2014-11-04T00:00:00"/>
    <x v="2"/>
    <x v="3"/>
    <n v="275"/>
  </r>
  <r>
    <d v="2014-09-02T00:00:00"/>
    <x v="3"/>
    <x v="1"/>
    <n v="696"/>
  </r>
  <r>
    <d v="2014-09-14T00:00:00"/>
    <x v="1"/>
    <x v="2"/>
    <n v="573"/>
  </r>
  <r>
    <d v="2014-11-12T00:00:00"/>
    <x v="0"/>
    <x v="3"/>
    <n v="469"/>
  </r>
  <r>
    <d v="2014-09-21T00:00:00"/>
    <x v="2"/>
    <x v="1"/>
    <n v="303"/>
  </r>
  <r>
    <d v="2014-10-21T00:00:00"/>
    <x v="3"/>
    <x v="0"/>
    <n v="445"/>
  </r>
  <r>
    <d v="2014-09-04T00:00:00"/>
    <x v="3"/>
    <x v="0"/>
    <n v="695"/>
  </r>
  <r>
    <d v="2014-10-10T00:00:00"/>
    <x v="2"/>
    <x v="2"/>
    <n v="293"/>
  </r>
  <r>
    <d v="2014-09-08T00:00:00"/>
    <x v="3"/>
    <x v="3"/>
    <n v="681"/>
  </r>
  <r>
    <d v="2014-10-27T00:00:00"/>
    <x v="2"/>
    <x v="3"/>
    <n v="271"/>
  </r>
  <r>
    <d v="2014-11-10T00:00:00"/>
    <x v="1"/>
    <x v="0"/>
    <n v="824"/>
  </r>
  <r>
    <d v="2014-11-05T00:00:00"/>
    <x v="2"/>
    <x v="2"/>
    <n v="279"/>
  </r>
  <r>
    <d v="2014-09-30T00:00:00"/>
    <x v="2"/>
    <x v="0"/>
    <n v="227"/>
  </r>
  <r>
    <d v="2014-10-02T00:00:00"/>
    <x v="0"/>
    <x v="1"/>
    <n v="425"/>
  </r>
  <r>
    <d v="2014-10-28T00:00:00"/>
    <x v="3"/>
    <x v="0"/>
    <n v="103"/>
  </r>
  <r>
    <d v="2014-10-30T00:00:00"/>
    <x v="2"/>
    <x v="1"/>
    <n v="392"/>
  </r>
  <r>
    <d v="2014-11-04T00:00:00"/>
    <x v="3"/>
    <x v="3"/>
    <n v="530"/>
  </r>
  <r>
    <d v="2014-09-03T00:00:00"/>
    <x v="0"/>
    <x v="2"/>
    <n v="851"/>
  </r>
  <r>
    <d v="2014-09-04T00:00:00"/>
    <x v="0"/>
    <x v="2"/>
    <n v="7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3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4" indent="0" compact="0" compactData="0" multipleFieldFilters="0">
  <location ref="F4:H23" firstHeaderRow="1" firstDataRow="1" firstDataCol="2"/>
  <pivotFields count="4">
    <pivotField compact="0" numFmtId="14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dataField="1" compact="0" outline="0" showAll="0" defaultSubtotal="0"/>
  </pivotFields>
  <rowFields count="2">
    <field x="1"/>
    <field x="2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Items count="1">
    <i/>
  </colItems>
  <dataFields count="1">
    <dataField name="Suma z Produkcja" fld="3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G1:G11" totalsRowShown="0" headerRowDxfId="17" headerRowBorderDxfId="16" tableBorderDxfId="15" totalsRowBorderDxfId="14" dataCellStyle="Normalny 2">
  <autoFilter ref="G1:G11" xr:uid="{00000000-0009-0000-0100-000001000000}"/>
  <tableColumns count="1">
    <tableColumn id="1" xr3:uid="{00000000-0010-0000-0000-000001000000}" name="Punkty" dataDxfId="13" dataCellStyle="Normaln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D147-D8FA-4D86-A18F-852D97496168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/>
  <cols>
    <col min="1" max="99" width="2.42578125" style="35" customWidth="1"/>
    <col min="100" max="101" width="2.42578125" style="1" customWidth="1"/>
    <col min="102" max="105" width="9.140625" style="35"/>
    <col min="106" max="106" width="10.7109375" style="35" customWidth="1"/>
    <col min="107" max="107" width="73.7109375" style="35" customWidth="1"/>
    <col min="108" max="108" width="6.28515625" style="35" customWidth="1"/>
    <col min="109" max="16384" width="9.140625" style="35"/>
  </cols>
  <sheetData>
    <row r="1" spans="18:99" s="1" customFormat="1" ht="6" customHeight="1"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</row>
    <row r="2" spans="18:99" s="1" customFormat="1" ht="6" customHeight="1">
      <c r="R2" s="35"/>
      <c r="S2" s="35"/>
      <c r="T2" s="35"/>
      <c r="U2" s="35"/>
      <c r="V2" s="35"/>
      <c r="W2" s="35"/>
      <c r="X2" s="35"/>
      <c r="Y2" s="35"/>
      <c r="Z2" s="68" t="s">
        <v>93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36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3" spans="18:99" s="1" customFormat="1" ht="6" customHeight="1">
      <c r="R3" s="35"/>
      <c r="S3" s="35"/>
      <c r="T3" s="35"/>
      <c r="U3" s="35"/>
      <c r="V3" s="35"/>
      <c r="W3" s="35"/>
      <c r="X3" s="35"/>
      <c r="Y3" s="35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36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</row>
    <row r="4" spans="18:99" s="1" customFormat="1" ht="6" customHeight="1">
      <c r="R4" s="35"/>
      <c r="S4" s="35"/>
      <c r="T4" s="35"/>
      <c r="U4" s="35"/>
      <c r="V4" s="35"/>
      <c r="W4" s="35"/>
      <c r="X4" s="35"/>
      <c r="Y4" s="35"/>
      <c r="Z4" s="63" t="s">
        <v>94</v>
      </c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37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</row>
    <row r="5" spans="18:99" s="1" customFormat="1" ht="6" customHeight="1">
      <c r="R5" s="69" t="s">
        <v>95</v>
      </c>
      <c r="S5" s="69"/>
      <c r="T5" s="69"/>
      <c r="U5" s="69"/>
      <c r="V5" s="69"/>
      <c r="W5" s="69"/>
      <c r="X5" s="35"/>
      <c r="Y5" s="35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37"/>
      <c r="BE5" s="35"/>
      <c r="BF5" s="69" t="s">
        <v>96</v>
      </c>
      <c r="BG5" s="69"/>
      <c r="BH5" s="69"/>
      <c r="BI5" s="69"/>
      <c r="BJ5" s="69"/>
      <c r="BK5" s="69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</row>
    <row r="6" spans="18:99" s="1" customFormat="1" ht="6" customHeight="1">
      <c r="R6" s="69"/>
      <c r="S6" s="69"/>
      <c r="T6" s="69"/>
      <c r="U6" s="69"/>
      <c r="V6" s="69"/>
      <c r="W6" s="69"/>
      <c r="X6" s="35"/>
      <c r="Y6" s="35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37"/>
      <c r="BE6" s="35"/>
      <c r="BF6" s="69"/>
      <c r="BG6" s="69"/>
      <c r="BH6" s="69"/>
      <c r="BI6" s="69"/>
      <c r="BJ6" s="69"/>
      <c r="BK6" s="69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</row>
    <row r="7" spans="18:99" s="1" customFormat="1" ht="6" customHeight="1">
      <c r="R7" s="69"/>
      <c r="S7" s="69"/>
      <c r="T7" s="69"/>
      <c r="U7" s="69"/>
      <c r="V7" s="69"/>
      <c r="W7" s="69"/>
      <c r="X7" s="38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69"/>
      <c r="BG7" s="69"/>
      <c r="BH7" s="69"/>
      <c r="BI7" s="69"/>
      <c r="BJ7" s="69"/>
      <c r="BK7" s="69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</row>
    <row r="8" spans="18:99" s="1" customFormat="1" ht="6" customHeight="1"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</row>
    <row r="9" spans="18:99" s="1" customFormat="1" ht="6" customHeight="1">
      <c r="R9" s="39"/>
      <c r="S9" s="39"/>
      <c r="T9" s="39"/>
      <c r="U9" s="39"/>
      <c r="V9" s="39"/>
      <c r="W9" s="39"/>
      <c r="X9" s="39"/>
      <c r="Y9" s="39"/>
      <c r="Z9" s="70" t="s">
        <v>97</v>
      </c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40"/>
      <c r="BE9" s="35"/>
      <c r="BF9" s="39"/>
      <c r="BG9" s="39"/>
      <c r="BH9" s="39"/>
      <c r="BI9" s="39"/>
      <c r="BJ9" s="39"/>
      <c r="BK9" s="39"/>
      <c r="BL9" s="39"/>
      <c r="BM9" s="39"/>
      <c r="BN9" s="60" t="s">
        <v>98</v>
      </c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41"/>
      <c r="CS9" s="41"/>
      <c r="CT9" s="41"/>
      <c r="CU9" s="41"/>
    </row>
    <row r="10" spans="18:99" s="1" customFormat="1" ht="6" customHeight="1">
      <c r="R10" s="35"/>
      <c r="S10" s="35"/>
      <c r="T10" s="35"/>
      <c r="U10" s="35"/>
      <c r="V10" s="35"/>
      <c r="W10" s="35"/>
      <c r="X10" s="35"/>
      <c r="Y10" s="35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40"/>
      <c r="BE10" s="35"/>
      <c r="BF10" s="35"/>
      <c r="BG10" s="35"/>
      <c r="BH10" s="35"/>
      <c r="BI10" s="35"/>
      <c r="BJ10" s="35"/>
      <c r="BK10" s="35"/>
      <c r="BL10" s="35"/>
      <c r="BM10" s="3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41"/>
      <c r="CS10" s="41"/>
      <c r="CT10" s="41"/>
      <c r="CU10" s="41"/>
    </row>
    <row r="11" spans="18:99" s="1" customFormat="1" ht="6" customHeight="1">
      <c r="R11" s="35"/>
      <c r="S11" s="35"/>
      <c r="T11" s="35"/>
      <c r="U11" s="35"/>
      <c r="V11" s="35"/>
      <c r="W11" s="35"/>
      <c r="X11" s="35"/>
      <c r="Y11" s="35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40"/>
      <c r="BE11" s="35"/>
      <c r="BF11" s="35"/>
      <c r="BG11" s="35"/>
      <c r="BH11" s="35"/>
      <c r="BI11" s="35"/>
      <c r="BJ11" s="35"/>
      <c r="BK11" s="35"/>
      <c r="BL11" s="35"/>
      <c r="BM11" s="3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41"/>
      <c r="CS11" s="41"/>
      <c r="CT11" s="41"/>
      <c r="CU11" s="41"/>
    </row>
    <row r="12" spans="18:99" s="1" customFormat="1" ht="6" customHeight="1">
      <c r="R12" s="35"/>
      <c r="S12" s="35"/>
      <c r="T12" s="35"/>
      <c r="U12" s="35"/>
      <c r="V12" s="35"/>
      <c r="W12" s="35"/>
      <c r="X12" s="35"/>
      <c r="Y12" s="35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40"/>
      <c r="BE12" s="35"/>
      <c r="BF12" s="35"/>
      <c r="BG12" s="35"/>
      <c r="BH12" s="35"/>
      <c r="BI12" s="35"/>
      <c r="BJ12" s="35"/>
      <c r="BK12" s="35"/>
      <c r="BL12" s="35"/>
      <c r="BM12" s="35"/>
      <c r="BN12" s="56" t="s">
        <v>99</v>
      </c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42"/>
      <c r="CS12" s="42"/>
      <c r="CT12" s="42"/>
      <c r="CU12" s="42"/>
    </row>
    <row r="13" spans="18:99" s="1" customFormat="1" ht="6" customHeight="1">
      <c r="R13" s="35"/>
      <c r="S13" s="35"/>
      <c r="T13" s="35"/>
      <c r="U13" s="35"/>
      <c r="V13" s="35"/>
      <c r="W13" s="35"/>
      <c r="X13" s="35"/>
      <c r="Y13" s="35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40"/>
      <c r="BE13" s="35"/>
      <c r="BF13" s="35"/>
      <c r="BG13" s="35"/>
      <c r="BH13" s="35"/>
      <c r="BI13" s="35"/>
      <c r="BJ13" s="35"/>
      <c r="BK13" s="35"/>
      <c r="BL13" s="35"/>
      <c r="BM13" s="35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42"/>
      <c r="CS13" s="42"/>
      <c r="CT13" s="42"/>
      <c r="CU13" s="42"/>
    </row>
    <row r="14" spans="18:99" s="1" customFormat="1" ht="6" customHeight="1">
      <c r="R14" s="35"/>
      <c r="S14" s="35"/>
      <c r="T14" s="35"/>
      <c r="U14" s="35"/>
      <c r="V14" s="35"/>
      <c r="W14" s="35"/>
      <c r="X14" s="35"/>
      <c r="Y14" s="35"/>
      <c r="Z14" s="59" t="s">
        <v>100</v>
      </c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43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</row>
    <row r="15" spans="18:99" s="1" customFormat="1" ht="6" customHeight="1">
      <c r="R15" s="35"/>
      <c r="S15" s="35"/>
      <c r="T15" s="35"/>
      <c r="U15" s="35"/>
      <c r="V15" s="35"/>
      <c r="W15" s="35"/>
      <c r="X15" s="35"/>
      <c r="Y15" s="35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43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</row>
    <row r="16" spans="18:99" s="1" customFormat="1" ht="6" customHeight="1">
      <c r="R16" s="35"/>
      <c r="S16" s="35"/>
      <c r="T16" s="35"/>
      <c r="U16" s="35"/>
      <c r="V16" s="35"/>
      <c r="W16" s="35"/>
      <c r="X16" s="35"/>
      <c r="Y16" s="35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43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</row>
    <row r="17" spans="18:56" ht="6" customHeight="1">
      <c r="Z17" s="57" t="s">
        <v>101</v>
      </c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44"/>
    </row>
    <row r="18" spans="18:56" ht="6" customHeight="1"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44"/>
    </row>
    <row r="19" spans="18:56" ht="6" customHeight="1"/>
    <row r="20" spans="18:56" ht="6" customHeight="1"/>
    <row r="21" spans="18:56" ht="6" customHeight="1">
      <c r="R21" s="39"/>
      <c r="S21" s="39"/>
      <c r="T21" s="39"/>
      <c r="U21" s="39"/>
      <c r="V21" s="39"/>
      <c r="W21" s="39"/>
      <c r="X21" s="39"/>
      <c r="Y21" s="39"/>
      <c r="Z21" s="65" t="s">
        <v>102</v>
      </c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45"/>
    </row>
    <row r="22" spans="18:56" ht="6" customHeight="1"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45"/>
    </row>
    <row r="23" spans="18:56" ht="6" customHeight="1">
      <c r="Z23" s="67" t="s">
        <v>103</v>
      </c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46"/>
    </row>
    <row r="24" spans="18:56" ht="6" customHeight="1"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46"/>
    </row>
    <row r="25" spans="18:56" ht="6" customHeight="1"/>
    <row r="26" spans="18:56" ht="6" customHeight="1">
      <c r="Z26" s="57" t="s">
        <v>104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44"/>
    </row>
    <row r="27" spans="18:56" ht="6" customHeight="1"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44"/>
    </row>
    <row r="28" spans="18:56" ht="6" customHeight="1"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18:56" ht="6" customHeight="1"/>
    <row r="30" spans="18:56" ht="6" customHeight="1"/>
    <row r="31" spans="18:56" ht="6" customHeight="1"/>
    <row r="32" spans="18:56" ht="6" customHeight="1">
      <c r="R32" s="39"/>
      <c r="S32" s="39"/>
      <c r="T32" s="39"/>
      <c r="U32" s="39"/>
      <c r="V32" s="39"/>
      <c r="W32" s="39"/>
      <c r="X32" s="39"/>
      <c r="Y32" s="39"/>
      <c r="Z32" s="53" t="s">
        <v>105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48"/>
    </row>
    <row r="33" spans="18:99" s="1" customFormat="1" ht="6" customHeight="1">
      <c r="R33" s="35"/>
      <c r="S33" s="35"/>
      <c r="T33" s="35"/>
      <c r="U33" s="35"/>
      <c r="V33" s="35"/>
      <c r="W33" s="35"/>
      <c r="X33" s="35"/>
      <c r="Y33" s="35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48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</row>
    <row r="34" spans="18:99" s="1" customFormat="1" ht="6" customHeight="1">
      <c r="R34" s="35"/>
      <c r="S34" s="35"/>
      <c r="T34" s="35"/>
      <c r="U34" s="35"/>
      <c r="V34" s="35"/>
      <c r="W34" s="35"/>
      <c r="X34" s="35"/>
      <c r="Y34" s="35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48"/>
      <c r="BE34" s="35"/>
      <c r="BF34" s="39"/>
      <c r="BG34" s="39"/>
      <c r="BH34" s="39"/>
      <c r="BI34" s="39"/>
      <c r="BJ34" s="39"/>
      <c r="BK34" s="39"/>
      <c r="BL34" s="39"/>
      <c r="BM34" s="39"/>
      <c r="BN34" s="60" t="s">
        <v>106</v>
      </c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41"/>
      <c r="CS34" s="41"/>
      <c r="CT34" s="41"/>
      <c r="CU34" s="41"/>
    </row>
    <row r="35" spans="18:99" s="1" customFormat="1" ht="6" customHeight="1">
      <c r="R35" s="35"/>
      <c r="S35" s="35"/>
      <c r="T35" s="35"/>
      <c r="U35" s="35"/>
      <c r="V35" s="35"/>
      <c r="W35" s="35"/>
      <c r="X35" s="35"/>
      <c r="Y35" s="35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48"/>
      <c r="BE35" s="35"/>
      <c r="BF35" s="35"/>
      <c r="BG35" s="35"/>
      <c r="BH35" s="35"/>
      <c r="BI35" s="35"/>
      <c r="BJ35" s="35"/>
      <c r="BK35" s="35"/>
      <c r="BL35" s="35"/>
      <c r="BM35" s="3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41"/>
      <c r="CS35" s="41"/>
      <c r="CT35" s="41"/>
      <c r="CU35" s="41"/>
    </row>
    <row r="36" spans="18:99" s="1" customFormat="1" ht="6" customHeight="1">
      <c r="R36" s="35"/>
      <c r="S36" s="35"/>
      <c r="T36" s="35"/>
      <c r="U36" s="35"/>
      <c r="V36" s="35"/>
      <c r="W36" s="35"/>
      <c r="X36" s="35"/>
      <c r="Y36" s="35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48"/>
      <c r="BE36" s="35"/>
      <c r="BF36" s="35"/>
      <c r="BG36" s="35"/>
      <c r="BH36" s="35"/>
      <c r="BI36" s="35"/>
      <c r="BJ36" s="35"/>
      <c r="BK36" s="35"/>
      <c r="BL36" s="35"/>
      <c r="BM36" s="3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41"/>
      <c r="CS36" s="41"/>
      <c r="CT36" s="41"/>
      <c r="CU36" s="41"/>
    </row>
    <row r="37" spans="18:99" s="1" customFormat="1" ht="6" customHeight="1">
      <c r="R37" s="35"/>
      <c r="S37" s="35"/>
      <c r="T37" s="35"/>
      <c r="U37" s="35"/>
      <c r="V37" s="35"/>
      <c r="W37" s="35"/>
      <c r="X37" s="35"/>
      <c r="Y37" s="35"/>
      <c r="Z37" s="59" t="s">
        <v>107</v>
      </c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43"/>
      <c r="BE37" s="35"/>
      <c r="BF37" s="35"/>
      <c r="BG37" s="35"/>
      <c r="BH37" s="35"/>
      <c r="BI37" s="35"/>
      <c r="BJ37" s="35"/>
      <c r="BK37" s="35"/>
      <c r="BL37" s="35"/>
      <c r="BM37" s="35"/>
      <c r="BN37" s="56" t="s">
        <v>108</v>
      </c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42"/>
      <c r="CS37" s="42"/>
      <c r="CT37" s="42"/>
      <c r="CU37" s="42"/>
    </row>
    <row r="38" spans="18:99" s="1" customFormat="1" ht="6" customHeight="1">
      <c r="R38" s="35"/>
      <c r="S38" s="35"/>
      <c r="T38" s="35"/>
      <c r="U38" s="35"/>
      <c r="V38" s="35"/>
      <c r="W38" s="35"/>
      <c r="X38" s="35"/>
      <c r="Y38" s="35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43"/>
      <c r="BE38" s="35"/>
      <c r="BF38" s="35"/>
      <c r="BG38" s="35"/>
      <c r="BH38" s="35"/>
      <c r="BI38" s="35"/>
      <c r="BJ38" s="35"/>
      <c r="BK38" s="35"/>
      <c r="BL38" s="35"/>
      <c r="BM38" s="35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42"/>
      <c r="CS38" s="42"/>
      <c r="CT38" s="42"/>
      <c r="CU38" s="42"/>
    </row>
    <row r="39" spans="18:99" s="1" customFormat="1" ht="6" customHeight="1">
      <c r="R39" s="35"/>
      <c r="S39" s="35"/>
      <c r="T39" s="35"/>
      <c r="U39" s="35"/>
      <c r="V39" s="35"/>
      <c r="W39" s="35"/>
      <c r="X39" s="35"/>
      <c r="Y39" s="35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43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</row>
    <row r="40" spans="18:99" s="1" customFormat="1" ht="6" customHeight="1">
      <c r="R40" s="35"/>
      <c r="S40" s="35"/>
      <c r="T40" s="35"/>
      <c r="U40" s="35"/>
      <c r="V40" s="35"/>
      <c r="W40" s="35"/>
      <c r="X40" s="35"/>
      <c r="Y40" s="35"/>
      <c r="Z40" s="57" t="s">
        <v>109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44"/>
      <c r="BE40" s="35"/>
      <c r="BF40" s="35"/>
      <c r="BG40" s="35"/>
      <c r="BH40" s="35"/>
      <c r="BI40" s="35"/>
      <c r="BJ40" s="35"/>
      <c r="BK40" s="35"/>
      <c r="BL40" s="35"/>
      <c r="BM40" s="35"/>
      <c r="BN40" s="55" t="s">
        <v>110</v>
      </c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41"/>
      <c r="CS40" s="41"/>
      <c r="CT40" s="41"/>
      <c r="CU40" s="41"/>
    </row>
    <row r="41" spans="18:99" s="1" customFormat="1" ht="6" customHeight="1">
      <c r="R41" s="35"/>
      <c r="S41" s="35"/>
      <c r="T41" s="35"/>
      <c r="U41" s="35"/>
      <c r="V41" s="35"/>
      <c r="W41" s="35"/>
      <c r="X41" s="35"/>
      <c r="Y41" s="35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44"/>
      <c r="BE41" s="35"/>
      <c r="BF41" s="35"/>
      <c r="BG41" s="35"/>
      <c r="BH41" s="35"/>
      <c r="BI41" s="35"/>
      <c r="BJ41" s="35"/>
      <c r="BK41" s="35"/>
      <c r="BL41" s="35"/>
      <c r="BM41" s="3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41"/>
      <c r="CS41" s="41"/>
      <c r="CT41" s="41"/>
      <c r="CU41" s="41"/>
    </row>
    <row r="42" spans="18:99" s="1" customFormat="1" ht="6" customHeight="1"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41"/>
      <c r="CS42" s="41"/>
      <c r="CT42" s="41"/>
      <c r="CU42" s="41"/>
    </row>
    <row r="43" spans="18:99" s="1" customFormat="1" ht="6" customHeight="1">
      <c r="R43" s="39"/>
      <c r="S43" s="39"/>
      <c r="T43" s="39"/>
      <c r="U43" s="39"/>
      <c r="V43" s="39"/>
      <c r="W43" s="39"/>
      <c r="X43" s="39"/>
      <c r="Y43" s="39"/>
      <c r="Z43" s="53" t="s">
        <v>111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48"/>
      <c r="BE43" s="35"/>
      <c r="BF43" s="35"/>
      <c r="BG43" s="35"/>
      <c r="BH43" s="35"/>
      <c r="BI43" s="35"/>
      <c r="BJ43" s="35"/>
      <c r="BK43" s="35"/>
      <c r="BL43" s="35"/>
      <c r="BM43" s="35"/>
      <c r="BN43" s="56" t="s">
        <v>112</v>
      </c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42"/>
      <c r="CS43" s="42"/>
      <c r="CT43" s="42"/>
      <c r="CU43" s="42"/>
    </row>
    <row r="44" spans="18:99" s="1" customFormat="1" ht="6" customHeight="1">
      <c r="R44" s="35"/>
      <c r="S44" s="35"/>
      <c r="T44" s="35"/>
      <c r="U44" s="35"/>
      <c r="V44" s="35"/>
      <c r="W44" s="35"/>
      <c r="X44" s="35"/>
      <c r="Y44" s="35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48"/>
      <c r="BE44" s="35"/>
      <c r="BF44" s="35"/>
      <c r="BG44" s="35"/>
      <c r="BH44" s="35"/>
      <c r="BI44" s="35"/>
      <c r="BJ44" s="35"/>
      <c r="BK44" s="35"/>
      <c r="BL44" s="35"/>
      <c r="BM44" s="35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42"/>
      <c r="CS44" s="42"/>
      <c r="CT44" s="42"/>
      <c r="CU44" s="42"/>
    </row>
    <row r="45" spans="18:99" s="1" customFormat="1" ht="6" customHeight="1">
      <c r="R45" s="35"/>
      <c r="S45" s="35"/>
      <c r="T45" s="35"/>
      <c r="U45" s="35"/>
      <c r="V45" s="35"/>
      <c r="W45" s="35"/>
      <c r="X45" s="35"/>
      <c r="Y45" s="35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48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</row>
    <row r="46" spans="18:99" s="1" customFormat="1" ht="6" customHeight="1">
      <c r="R46" s="35"/>
      <c r="S46" s="35"/>
      <c r="T46" s="35"/>
      <c r="U46" s="35"/>
      <c r="V46" s="35"/>
      <c r="W46" s="35"/>
      <c r="X46" s="35"/>
      <c r="Y46" s="35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48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</row>
    <row r="47" spans="18:99" s="1" customFormat="1" ht="6" customHeight="1">
      <c r="R47" s="35"/>
      <c r="S47" s="35"/>
      <c r="T47" s="35"/>
      <c r="U47" s="35"/>
      <c r="V47" s="35"/>
      <c r="W47" s="35"/>
      <c r="X47" s="35"/>
      <c r="Y47" s="3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48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</row>
    <row r="48" spans="18:99" s="1" customFormat="1" ht="6" customHeight="1">
      <c r="R48" s="35"/>
      <c r="S48" s="35"/>
      <c r="T48" s="35"/>
      <c r="U48" s="35"/>
      <c r="V48" s="35"/>
      <c r="W48" s="35"/>
      <c r="X48" s="35"/>
      <c r="Y48" s="35"/>
      <c r="Z48" s="59" t="s">
        <v>113</v>
      </c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43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</row>
    <row r="49" spans="2:99" s="1" customFormat="1" ht="6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43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</row>
    <row r="50" spans="2:99" s="1" customFormat="1" ht="6" customHeight="1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43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</row>
    <row r="51" spans="2:99" s="1" customFormat="1" ht="6" customHeight="1">
      <c r="B51" s="63" t="s">
        <v>114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35"/>
      <c r="R51" s="35"/>
      <c r="S51" s="35"/>
      <c r="T51" s="35"/>
      <c r="U51" s="35"/>
      <c r="V51" s="35"/>
      <c r="W51" s="35"/>
      <c r="X51" s="35"/>
      <c r="Y51" s="35"/>
      <c r="Z51" s="57" t="s">
        <v>115</v>
      </c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44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</row>
    <row r="52" spans="2:99" s="1" customFormat="1" ht="6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35"/>
      <c r="R52" s="35"/>
      <c r="S52" s="35"/>
      <c r="T52" s="35"/>
      <c r="U52" s="35"/>
      <c r="V52" s="35"/>
      <c r="W52" s="35"/>
      <c r="X52" s="35"/>
      <c r="Y52" s="35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44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</row>
    <row r="53" spans="2:99" s="1" customFormat="1" ht="6" customHeight="1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</row>
    <row r="54" spans="2:99" s="1" customFormat="1" ht="6" customHeight="1">
      <c r="B54" s="61" t="s">
        <v>116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35"/>
      <c r="R54" s="39"/>
      <c r="S54" s="39"/>
      <c r="T54" s="39"/>
      <c r="U54" s="39"/>
      <c r="V54" s="39"/>
      <c r="W54" s="39"/>
      <c r="X54" s="39"/>
      <c r="Y54" s="39"/>
      <c r="Z54" s="53" t="s">
        <v>117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48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</row>
    <row r="55" spans="2:99" s="1" customFormat="1" ht="6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35"/>
      <c r="R55" s="35"/>
      <c r="S55" s="35"/>
      <c r="T55" s="35"/>
      <c r="U55" s="35"/>
      <c r="V55" s="35"/>
      <c r="W55" s="35"/>
      <c r="X55" s="35"/>
      <c r="Y55" s="3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48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</row>
    <row r="56" spans="2:99" s="1" customFormat="1" ht="6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35"/>
      <c r="R56" s="35"/>
      <c r="S56" s="35"/>
      <c r="T56" s="35"/>
      <c r="U56" s="35"/>
      <c r="V56" s="35"/>
      <c r="W56" s="35"/>
      <c r="X56" s="35"/>
      <c r="Y56" s="3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48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</row>
    <row r="57" spans="2:99" s="1" customFormat="1" ht="6" customHeight="1">
      <c r="B57" s="64" t="s">
        <v>118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35"/>
      <c r="R57" s="35"/>
      <c r="S57" s="35"/>
      <c r="T57" s="35"/>
      <c r="U57" s="35"/>
      <c r="V57" s="35"/>
      <c r="W57" s="35"/>
      <c r="X57" s="35"/>
      <c r="Y57" s="35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48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</row>
    <row r="58" spans="2:99" s="1" customFormat="1" ht="6" customHeight="1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35"/>
      <c r="R58" s="35"/>
      <c r="S58" s="35"/>
      <c r="T58" s="35"/>
      <c r="U58" s="35"/>
      <c r="V58" s="35"/>
      <c r="W58" s="35"/>
      <c r="X58" s="35"/>
      <c r="Y58" s="35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48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</row>
    <row r="59" spans="2:99" s="1" customFormat="1" ht="6" customHeight="1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59" t="s">
        <v>119</v>
      </c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43"/>
      <c r="BE59" s="35"/>
      <c r="BF59" s="39"/>
      <c r="BG59" s="39"/>
      <c r="BH59" s="39"/>
      <c r="BI59" s="39"/>
      <c r="BJ59" s="39"/>
      <c r="BK59" s="39"/>
      <c r="BL59" s="39"/>
      <c r="BM59" s="39"/>
      <c r="BN59" s="60" t="s">
        <v>106</v>
      </c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41"/>
      <c r="CS59" s="41"/>
      <c r="CT59" s="41"/>
      <c r="CU59" s="41"/>
    </row>
    <row r="60" spans="2:99" s="1" customFormat="1" ht="6" customHeight="1">
      <c r="B60" s="61" t="s">
        <v>120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35"/>
      <c r="R60" s="35"/>
      <c r="S60" s="35"/>
      <c r="T60" s="35"/>
      <c r="U60" s="35"/>
      <c r="V60" s="35"/>
      <c r="W60" s="35"/>
      <c r="X60" s="35"/>
      <c r="Y60" s="35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43"/>
      <c r="BE60" s="35"/>
      <c r="BF60" s="35"/>
      <c r="BG60" s="35"/>
      <c r="BH60" s="35"/>
      <c r="BI60" s="35"/>
      <c r="BJ60" s="35"/>
      <c r="BK60" s="35"/>
      <c r="BL60" s="35"/>
      <c r="BM60" s="3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41"/>
      <c r="CS60" s="41"/>
      <c r="CT60" s="41"/>
      <c r="CU60" s="41"/>
    </row>
    <row r="61" spans="2:99" s="1" customFormat="1" ht="6" customHeight="1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35"/>
      <c r="R61" s="35"/>
      <c r="S61" s="35"/>
      <c r="T61" s="35"/>
      <c r="U61" s="35"/>
      <c r="V61" s="35"/>
      <c r="W61" s="35"/>
      <c r="X61" s="35"/>
      <c r="Y61" s="35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43"/>
      <c r="BE61" s="35"/>
      <c r="BF61" s="35"/>
      <c r="BG61" s="35"/>
      <c r="BH61" s="35"/>
      <c r="BI61" s="35"/>
      <c r="BJ61" s="35"/>
      <c r="BK61" s="35"/>
      <c r="BL61" s="35"/>
      <c r="BM61" s="3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41"/>
      <c r="CS61" s="41"/>
      <c r="CT61" s="41"/>
      <c r="CU61" s="41"/>
    </row>
    <row r="62" spans="2:99" s="1" customFormat="1" ht="6" customHeight="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35"/>
      <c r="R62" s="35"/>
      <c r="S62" s="35"/>
      <c r="T62" s="35"/>
      <c r="U62" s="35"/>
      <c r="V62" s="35"/>
      <c r="W62" s="35"/>
      <c r="X62" s="35"/>
      <c r="Y62" s="35"/>
      <c r="Z62" s="57" t="s">
        <v>121</v>
      </c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44"/>
      <c r="BE62" s="35"/>
      <c r="BF62" s="35"/>
      <c r="BG62" s="35"/>
      <c r="BH62" s="35"/>
      <c r="BI62" s="35"/>
      <c r="BJ62" s="35"/>
      <c r="BK62" s="35"/>
      <c r="BL62" s="35"/>
      <c r="BM62" s="35"/>
      <c r="BN62" s="56" t="s">
        <v>122</v>
      </c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42"/>
      <c r="CS62" s="42"/>
      <c r="CT62" s="42"/>
      <c r="CU62" s="42"/>
    </row>
    <row r="63" spans="2:99" s="1" customFormat="1" ht="6" customHeight="1">
      <c r="B63" s="62" t="s">
        <v>123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35"/>
      <c r="R63" s="35"/>
      <c r="S63" s="35"/>
      <c r="T63" s="35"/>
      <c r="U63" s="35"/>
      <c r="V63" s="35"/>
      <c r="W63" s="35"/>
      <c r="X63" s="35"/>
      <c r="Y63" s="35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44"/>
      <c r="BE63" s="35"/>
      <c r="BF63" s="35"/>
      <c r="BG63" s="35"/>
      <c r="BH63" s="35"/>
      <c r="BI63" s="35"/>
      <c r="BJ63" s="35"/>
      <c r="BK63" s="35"/>
      <c r="BL63" s="35"/>
      <c r="BM63" s="35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42"/>
      <c r="CS63" s="42"/>
      <c r="CT63" s="42"/>
      <c r="CU63" s="42"/>
    </row>
    <row r="64" spans="2:99" s="1" customFormat="1" ht="6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</row>
    <row r="65" spans="18:99" s="1" customFormat="1" ht="6" customHeight="1">
      <c r="R65" s="39"/>
      <c r="S65" s="39"/>
      <c r="T65" s="39"/>
      <c r="U65" s="39"/>
      <c r="V65" s="39"/>
      <c r="W65" s="39"/>
      <c r="X65" s="39"/>
      <c r="Y65" s="39"/>
      <c r="Z65" s="53" t="s">
        <v>124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48"/>
      <c r="BE65" s="35"/>
      <c r="BF65" s="35"/>
      <c r="BG65" s="35"/>
      <c r="BH65" s="35"/>
      <c r="BI65" s="35"/>
      <c r="BJ65" s="35"/>
      <c r="BK65" s="35"/>
      <c r="BL65" s="35"/>
      <c r="BM65" s="35"/>
      <c r="BN65" s="55" t="s">
        <v>110</v>
      </c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41"/>
      <c r="CS65" s="41"/>
      <c r="CT65" s="41"/>
      <c r="CU65" s="41"/>
    </row>
    <row r="66" spans="18:99" s="1" customFormat="1" ht="6" customHeight="1">
      <c r="R66" s="35"/>
      <c r="S66" s="35"/>
      <c r="T66" s="35"/>
      <c r="U66" s="35"/>
      <c r="V66" s="35"/>
      <c r="W66" s="35"/>
      <c r="X66" s="35"/>
      <c r="Y66" s="35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48"/>
      <c r="BE66" s="35"/>
      <c r="BF66" s="35"/>
      <c r="BG66" s="35"/>
      <c r="BH66" s="35"/>
      <c r="BI66" s="35"/>
      <c r="BJ66" s="35"/>
      <c r="BK66" s="35"/>
      <c r="BL66" s="35"/>
      <c r="BM66" s="3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41"/>
      <c r="CS66" s="41"/>
      <c r="CT66" s="41"/>
      <c r="CU66" s="41"/>
    </row>
    <row r="67" spans="18:99" s="1" customFormat="1" ht="6" customHeight="1">
      <c r="R67" s="35"/>
      <c r="S67" s="35"/>
      <c r="T67" s="35"/>
      <c r="U67" s="35"/>
      <c r="V67" s="35"/>
      <c r="W67" s="35"/>
      <c r="X67" s="35"/>
      <c r="Y67" s="3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48"/>
      <c r="BE67" s="35"/>
      <c r="BF67" s="35"/>
      <c r="BG67" s="35"/>
      <c r="BH67" s="35"/>
      <c r="BI67" s="35"/>
      <c r="BJ67" s="35"/>
      <c r="BK67" s="35"/>
      <c r="BL67" s="35"/>
      <c r="BM67" s="3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41"/>
      <c r="CS67" s="41"/>
      <c r="CT67" s="41"/>
      <c r="CU67" s="41"/>
    </row>
    <row r="68" spans="18:99" s="1" customFormat="1" ht="6" customHeight="1">
      <c r="R68" s="35"/>
      <c r="S68" s="35"/>
      <c r="T68" s="35"/>
      <c r="U68" s="35"/>
      <c r="V68" s="35"/>
      <c r="W68" s="35"/>
      <c r="X68" s="35"/>
      <c r="Y68" s="3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48"/>
      <c r="BE68" s="35"/>
      <c r="BF68" s="35"/>
      <c r="BG68" s="35"/>
      <c r="BH68" s="35"/>
      <c r="BI68" s="35"/>
      <c r="BJ68" s="35"/>
      <c r="BK68" s="35"/>
      <c r="BL68" s="35"/>
      <c r="BM68" s="35"/>
      <c r="BN68" s="56" t="s">
        <v>125</v>
      </c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42"/>
      <c r="CS68" s="42"/>
      <c r="CT68" s="42"/>
      <c r="CU68" s="42"/>
    </row>
    <row r="69" spans="18:99" s="1" customFormat="1" ht="6" customHeight="1">
      <c r="R69" s="35"/>
      <c r="S69" s="35"/>
      <c r="T69" s="35"/>
      <c r="U69" s="35"/>
      <c r="V69" s="35"/>
      <c r="W69" s="35"/>
      <c r="X69" s="35"/>
      <c r="Y69" s="35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48"/>
      <c r="BE69" s="35"/>
      <c r="BF69" s="35"/>
      <c r="BG69" s="35"/>
      <c r="BH69" s="35"/>
      <c r="BI69" s="35"/>
      <c r="BJ69" s="35"/>
      <c r="BK69" s="35"/>
      <c r="BL69" s="35"/>
      <c r="BM69" s="35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42"/>
      <c r="CS69" s="42"/>
      <c r="CT69" s="42"/>
      <c r="CU69" s="42"/>
    </row>
    <row r="70" spans="18:99" s="1" customFormat="1" ht="6" customHeight="1"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</row>
    <row r="71" spans="18:99" s="1" customFormat="1" ht="6" customHeight="1">
      <c r="R71" s="35"/>
      <c r="S71" s="35"/>
      <c r="T71" s="35"/>
      <c r="U71" s="35"/>
      <c r="V71" s="35"/>
      <c r="W71" s="35"/>
      <c r="X71" s="35"/>
      <c r="Y71" s="35"/>
      <c r="Z71" s="57" t="s">
        <v>126</v>
      </c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47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</row>
    <row r="72" spans="18:99" s="1" customFormat="1" ht="6" customHeight="1">
      <c r="R72" s="35"/>
      <c r="S72" s="35"/>
      <c r="T72" s="35"/>
      <c r="U72" s="35"/>
      <c r="V72" s="35"/>
      <c r="W72" s="35"/>
      <c r="X72" s="35"/>
      <c r="Y72" s="35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47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</row>
    <row r="73" spans="18:99" s="1" customFormat="1" ht="6" customHeight="1"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</row>
    <row r="74" spans="18:99" s="1" customFormat="1" ht="6" customHeight="1">
      <c r="R74" s="35"/>
      <c r="S74" s="35"/>
      <c r="T74" s="35"/>
      <c r="U74" s="35"/>
      <c r="V74" s="35"/>
      <c r="W74" s="35"/>
      <c r="X74" s="35"/>
      <c r="Y74" s="35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</row>
    <row r="75" spans="18:99" s="1" customFormat="1" ht="6" customHeight="1">
      <c r="R75" s="35"/>
      <c r="S75" s="35"/>
      <c r="T75" s="35"/>
      <c r="U75" s="35"/>
      <c r="V75" s="35"/>
      <c r="W75" s="35"/>
      <c r="X75" s="35"/>
      <c r="Y75" s="35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</row>
    <row r="76" spans="18:99" s="1" customFormat="1" ht="6" customHeight="1">
      <c r="R76" s="35"/>
      <c r="S76" s="35"/>
      <c r="T76" s="35"/>
      <c r="U76" s="35"/>
      <c r="V76" s="35"/>
      <c r="W76" s="35"/>
      <c r="X76" s="35"/>
      <c r="Y76" s="35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</row>
    <row r="77" spans="18:99" s="1" customFormat="1" ht="6" customHeight="1">
      <c r="R77" s="35"/>
      <c r="S77" s="35"/>
      <c r="T77" s="35"/>
      <c r="U77" s="35"/>
      <c r="V77" s="35"/>
      <c r="W77" s="35"/>
      <c r="X77" s="35"/>
      <c r="Y77" s="35"/>
      <c r="Z77" s="58" t="s">
        <v>127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49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</row>
    <row r="78" spans="18:99" s="1" customFormat="1" ht="6" customHeight="1">
      <c r="R78" s="35"/>
      <c r="S78" s="35"/>
      <c r="T78" s="35"/>
      <c r="U78" s="35"/>
      <c r="V78" s="35"/>
      <c r="W78" s="35"/>
      <c r="X78" s="35"/>
      <c r="Y78" s="35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49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</row>
    <row r="79" spans="18:99" s="1" customFormat="1" ht="6" customHeight="1">
      <c r="R79" s="35"/>
      <c r="S79" s="35"/>
      <c r="T79" s="35"/>
      <c r="U79" s="35"/>
      <c r="V79" s="35"/>
      <c r="W79" s="35"/>
      <c r="X79" s="35"/>
      <c r="Y79" s="35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49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</row>
    <row r="80" spans="18:99" s="1" customFormat="1" ht="6" customHeight="1">
      <c r="R80" s="35"/>
      <c r="S80" s="35"/>
      <c r="T80" s="35"/>
      <c r="U80" s="35"/>
      <c r="V80" s="35"/>
      <c r="W80" s="35"/>
      <c r="X80" s="35"/>
      <c r="Y80" s="35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49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</row>
    <row r="81" spans="26:56" ht="6" customHeight="1"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49"/>
    </row>
    <row r="82" spans="26:56" ht="6" customHeight="1">
      <c r="Z82" s="58" t="s">
        <v>128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49"/>
    </row>
    <row r="83" spans="26:56" ht="6" customHeight="1"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49"/>
    </row>
    <row r="84" spans="26:56" ht="6" customHeight="1"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49"/>
    </row>
    <row r="85" spans="26:56" ht="6" customHeight="1"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49"/>
    </row>
    <row r="86" spans="26:56" ht="6" customHeight="1"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49"/>
    </row>
    <row r="87" spans="26:56" ht="6" customHeight="1"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49"/>
    </row>
    <row r="88" spans="26:56" ht="6" customHeight="1"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49"/>
    </row>
    <row r="89" spans="26:56" ht="6" customHeight="1"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49"/>
    </row>
    <row r="90" spans="26:56" ht="6" customHeight="1">
      <c r="Z90" s="52" t="s">
        <v>129</v>
      </c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0"/>
    </row>
    <row r="91" spans="26:56" ht="6" customHeight="1"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0"/>
    </row>
    <row r="92" spans="26:56" ht="6" customHeight="1"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</row>
    <row r="93" spans="26:56" ht="6" customHeight="1"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</row>
    <row r="94" spans="26:56" ht="6" customHeight="1"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</row>
    <row r="95" spans="26:56" ht="6" customHeight="1"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189F5753-E498-40D4-9164-AE23048F312F}"/>
    <hyperlink ref="B51" r:id="rId2" xr:uid="{C0BA8AE3-1D62-4745-BC23-8DF41CB8721B}"/>
    <hyperlink ref="B57" r:id="rId3" xr:uid="{E83C7DFA-B76D-47B2-A0C1-748E37C57CC7}"/>
    <hyperlink ref="Z4" r:id="rId4" xr:uid="{0B004C62-E596-498D-A99D-E6081E7AEB3D}"/>
    <hyperlink ref="Z17" r:id="rId5" display="https://www.udemy.com/excel-mistrz-formul/?couponCode=STANDARDOWY" xr:uid="{6EC3CDC5-BF8A-4B64-AE2A-66EA033EB9FB}"/>
    <hyperlink ref="Z26" r:id="rId6" xr:uid="{FC85FED9-CEFB-4CED-A4CB-CC88A0ECA07D}"/>
    <hyperlink ref="Z40" r:id="rId7" display="https://www.udemy.com/excel-mistrz-formul/?couponCode=STANDARDOWY" xr:uid="{515C1E51-9945-4738-886A-B9DFA64DE3B8}"/>
    <hyperlink ref="Z51" r:id="rId8" display="https://www.udemy.com/excel-mistrz-formul/?couponCode=STANDARDOWY" xr:uid="{85B24232-18A3-4AA2-B741-352B512EEFC9}"/>
    <hyperlink ref="Z62" r:id="rId9" display="https://www.udemy.com/excel-mistrz-formul/?couponCode=STANDARDOWY" xr:uid="{40E4A882-423C-4DE1-A9C7-EA412E0AC5D3}"/>
    <hyperlink ref="Z71" r:id="rId10" display="https://www.udemy.com/excel-mistrz-formul/?couponCode=STANDARDOWY" xr:uid="{4524B22C-1401-486B-9E62-23E41C0C9920}"/>
    <hyperlink ref="BN12" r:id="rId11" location="mistrz-excela-w-20-dni" xr:uid="{73354CDD-803D-4DE5-9FE5-F6B9B3B231CA}"/>
    <hyperlink ref="BN37" r:id="rId12" location="mistrz-excela-w-20-dni" display="http://ksplus.komputerswiat.pl/sklep#mistrz-excela-w-20-dni" xr:uid="{8D7081AD-F099-4DA1-A7C7-B973B58F7E72}"/>
    <hyperlink ref="BN43" r:id="rId13" location="mistrz-excela-w-20-dni" display="http://ksplus.komputerswiat.pl/sklep#mistrz-excela-w-20-dni" xr:uid="{0452D169-AD2C-4A88-92DC-E771425363A6}"/>
    <hyperlink ref="BN62" r:id="rId14" location="mistrz-excela-w-20-dni" display="http://ksplus.komputerswiat.pl/sklep#mistrz-excela-w-20-dni" xr:uid="{C5232D3A-A38C-47B0-A565-1666B2276BE7}"/>
    <hyperlink ref="BN68" r:id="rId15" location="mistrz-excela-w-20-dni" display="http://ksplus.komputerswiat.pl/sklep#mistrz-excela-w-20-dni" xr:uid="{D34A9685-A3E4-4C7A-90BB-71D9A6ABBCD5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14"/>
  <sheetViews>
    <sheetView zoomScale="115" zoomScaleNormal="115" workbookViewId="0">
      <selection activeCell="O18" sqref="O18:O19"/>
    </sheetView>
  </sheetViews>
  <sheetFormatPr defaultColWidth="9.140625" defaultRowHeight="14.25"/>
  <cols>
    <col min="1" max="1" width="18.140625" style="32" bestFit="1" customWidth="1"/>
    <col min="2" max="2" width="4" style="32" customWidth="1"/>
    <col min="3" max="3" width="16.28515625" style="32" bestFit="1" customWidth="1"/>
    <col min="4" max="4" width="7.42578125" style="32" customWidth="1"/>
    <col min="5" max="5" width="2.85546875" style="32" customWidth="1"/>
    <col min="6" max="6" width="13.140625" style="32" bestFit="1" customWidth="1"/>
    <col min="7" max="7" width="9.85546875" style="32" bestFit="1" customWidth="1"/>
    <col min="8" max="16384" width="9.140625" style="32"/>
  </cols>
  <sheetData>
    <row r="1" spans="1:6">
      <c r="A1" s="31" t="s">
        <v>84</v>
      </c>
      <c r="C1" s="31" t="s">
        <v>85</v>
      </c>
      <c r="F1" s="31" t="s">
        <v>88</v>
      </c>
    </row>
    <row r="2" spans="1:6">
      <c r="A2" s="26" t="s">
        <v>1</v>
      </c>
      <c r="C2" s="26" t="s">
        <v>86</v>
      </c>
      <c r="D2" s="26" t="s">
        <v>87</v>
      </c>
      <c r="F2" s="26" t="s">
        <v>36</v>
      </c>
    </row>
    <row r="3" spans="1:6">
      <c r="A3" s="33" t="s">
        <v>7</v>
      </c>
      <c r="C3" s="33">
        <v>66</v>
      </c>
      <c r="D3" s="34">
        <f>AVERAGE(C3:C14)</f>
        <v>45.333333333333336</v>
      </c>
      <c r="F3" s="33">
        <v>51</v>
      </c>
    </row>
    <row r="4" spans="1:6">
      <c r="A4" s="33" t="s">
        <v>9</v>
      </c>
      <c r="C4" s="33">
        <v>54</v>
      </c>
      <c r="F4" s="33">
        <v>96</v>
      </c>
    </row>
    <row r="5" spans="1:6">
      <c r="A5" s="33" t="s">
        <v>19</v>
      </c>
      <c r="C5" s="33">
        <v>3</v>
      </c>
      <c r="F5" s="33">
        <v>50</v>
      </c>
    </row>
    <row r="6" spans="1:6">
      <c r="A6" s="33" t="s">
        <v>13</v>
      </c>
      <c r="C6" s="33">
        <v>88</v>
      </c>
      <c r="F6" s="33">
        <v>29</v>
      </c>
    </row>
    <row r="7" spans="1:6">
      <c r="A7" s="33" t="s">
        <v>15</v>
      </c>
      <c r="C7" s="33">
        <v>26</v>
      </c>
      <c r="F7" s="33">
        <v>75</v>
      </c>
    </row>
    <row r="8" spans="1:6">
      <c r="A8" s="33" t="s">
        <v>17</v>
      </c>
      <c r="C8" s="33">
        <v>28</v>
      </c>
      <c r="E8" s="4"/>
      <c r="F8" s="33">
        <v>8</v>
      </c>
    </row>
    <row r="9" spans="1:6">
      <c r="A9" s="33" t="s">
        <v>17</v>
      </c>
      <c r="C9" s="33">
        <v>46</v>
      </c>
      <c r="F9" s="33">
        <v>56</v>
      </c>
    </row>
    <row r="10" spans="1:6">
      <c r="A10" s="33" t="s">
        <v>19</v>
      </c>
      <c r="C10" s="33">
        <v>49</v>
      </c>
      <c r="F10" s="33">
        <v>55</v>
      </c>
    </row>
    <row r="11" spans="1:6">
      <c r="A11" s="33" t="s">
        <v>7</v>
      </c>
      <c r="C11" s="33">
        <v>77</v>
      </c>
      <c r="F11" s="33">
        <v>39</v>
      </c>
    </row>
    <row r="12" spans="1:6">
      <c r="A12" s="33" t="s">
        <v>20</v>
      </c>
      <c r="C12" s="33">
        <v>19</v>
      </c>
      <c r="F12" s="33">
        <v>8</v>
      </c>
    </row>
    <row r="13" spans="1:6">
      <c r="A13" s="33" t="s">
        <v>15</v>
      </c>
      <c r="C13" s="33">
        <v>23</v>
      </c>
    </row>
    <row r="14" spans="1:6">
      <c r="A14" s="33" t="s">
        <v>21</v>
      </c>
      <c r="C14" s="33">
        <v>65</v>
      </c>
    </row>
  </sheetData>
  <sortState xmlns:xlrd2="http://schemas.microsoft.com/office/spreadsheetml/2017/richdata2" ref="F3:G12">
    <sortCondition ref="G3"/>
  </sortState>
  <conditionalFormatting sqref="A3:A14">
    <cfRule type="duplicateValues" dxfId="12" priority="3"/>
  </conditionalFormatting>
  <conditionalFormatting sqref="C3:C14">
    <cfRule type="aboveAverage" dxfId="11" priority="2"/>
  </conditionalFormatting>
  <conditionalFormatting sqref="F3:F12">
    <cfRule type="top10" dxfId="10" priority="1" percent="1" rank="3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  <pageSetUpPr fitToPage="1"/>
  </sheetPr>
  <dimension ref="A1:F16"/>
  <sheetViews>
    <sheetView zoomScale="130" zoomScaleNormal="130" workbookViewId="0">
      <selection activeCell="K13" sqref="K13"/>
    </sheetView>
  </sheetViews>
  <sheetFormatPr defaultColWidth="8.85546875" defaultRowHeight="14.25"/>
  <cols>
    <col min="1" max="1" width="9.140625" style="4" bestFit="1" customWidth="1"/>
    <col min="2" max="5" width="11.5703125" style="4" bestFit="1" customWidth="1"/>
    <col min="6" max="6" width="12.7109375" style="4" bestFit="1" customWidth="1"/>
    <col min="7" max="16384" width="8.85546875" style="4"/>
  </cols>
  <sheetData>
    <row r="1" spans="1:6" ht="42.75">
      <c r="A1" s="22" t="s">
        <v>89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</row>
    <row r="2" spans="1:6">
      <c r="A2" s="7" t="s">
        <v>8</v>
      </c>
      <c r="B2" s="20">
        <v>4749.34</v>
      </c>
      <c r="C2" s="20">
        <v>5611.98</v>
      </c>
      <c r="D2" s="20">
        <v>6535.97</v>
      </c>
      <c r="E2" s="20">
        <v>3273.58</v>
      </c>
      <c r="F2" s="30">
        <f t="shared" ref="F2:F8" si="0">SUM(B2:E2)</f>
        <v>20170.870000000003</v>
      </c>
    </row>
    <row r="3" spans="1:6">
      <c r="A3" s="7" t="s">
        <v>10</v>
      </c>
      <c r="B3" s="20">
        <v>6531.39</v>
      </c>
      <c r="C3" s="20">
        <v>3743.4</v>
      </c>
      <c r="D3" s="29">
        <v>8600.07</v>
      </c>
      <c r="E3" s="20">
        <v>9471.36</v>
      </c>
      <c r="F3" s="30">
        <f t="shared" si="0"/>
        <v>28346.22</v>
      </c>
    </row>
    <row r="4" spans="1:6">
      <c r="A4" s="7" t="s">
        <v>12</v>
      </c>
      <c r="B4" s="20">
        <v>3302.34</v>
      </c>
      <c r="C4" s="20">
        <v>12815.38</v>
      </c>
      <c r="D4" s="20">
        <v>11109.62</v>
      </c>
      <c r="E4" s="20">
        <v>4972.7299999999996</v>
      </c>
      <c r="F4" s="30">
        <f t="shared" si="0"/>
        <v>32200.07</v>
      </c>
    </row>
    <row r="5" spans="1:6">
      <c r="A5" s="7" t="s">
        <v>14</v>
      </c>
      <c r="B5" s="20">
        <v>7588.67</v>
      </c>
      <c r="C5" s="20">
        <v>3830.09</v>
      </c>
      <c r="D5" s="20">
        <v>9777.68</v>
      </c>
      <c r="E5" s="20">
        <v>8368.7099999999991</v>
      </c>
      <c r="F5" s="30">
        <f t="shared" si="0"/>
        <v>29565.15</v>
      </c>
    </row>
    <row r="6" spans="1:6">
      <c r="A6" s="7" t="s">
        <v>16</v>
      </c>
      <c r="B6" s="20">
        <v>4347.7700000000004</v>
      </c>
      <c r="C6" s="20">
        <v>8294.51</v>
      </c>
      <c r="D6" s="20">
        <v>4138.93</v>
      </c>
      <c r="E6" s="20">
        <v>9561.8700000000008</v>
      </c>
      <c r="F6" s="30">
        <f t="shared" si="0"/>
        <v>26343.08</v>
      </c>
    </row>
    <row r="7" spans="1:6">
      <c r="A7" s="7" t="s">
        <v>18</v>
      </c>
      <c r="B7" s="20">
        <v>2871.78</v>
      </c>
      <c r="C7" s="20">
        <v>3456.6</v>
      </c>
      <c r="D7" s="20">
        <v>5376.2</v>
      </c>
      <c r="E7" s="20">
        <v>8500.7800000000007</v>
      </c>
      <c r="F7" s="30">
        <f t="shared" si="0"/>
        <v>20205.36</v>
      </c>
    </row>
    <row r="8" spans="1:6">
      <c r="A8" s="7" t="s">
        <v>6</v>
      </c>
      <c r="B8" s="30">
        <f>SUM(B2:B7)</f>
        <v>29391.289999999997</v>
      </c>
      <c r="C8" s="30">
        <f>SUM(C2:C7)</f>
        <v>37751.96</v>
      </c>
      <c r="D8" s="30">
        <f>SUM(D2:D7)</f>
        <v>45538.47</v>
      </c>
      <c r="E8" s="30">
        <f>SUM(E2:E7)</f>
        <v>44149.03</v>
      </c>
      <c r="F8" s="30">
        <f t="shared" si="0"/>
        <v>156830.75</v>
      </c>
    </row>
    <row r="10" spans="1:6" ht="42.75">
      <c r="A10" s="22" t="s">
        <v>89</v>
      </c>
      <c r="B10" s="26" t="s">
        <v>2</v>
      </c>
      <c r="C10" s="26" t="s">
        <v>3</v>
      </c>
      <c r="D10" s="26" t="s">
        <v>4</v>
      </c>
      <c r="E10" s="26" t="s">
        <v>5</v>
      </c>
    </row>
    <row r="11" spans="1:6">
      <c r="A11" s="7" t="s">
        <v>8</v>
      </c>
      <c r="B11" s="20">
        <v>4749.34</v>
      </c>
      <c r="C11" s="20">
        <v>-3000</v>
      </c>
      <c r="D11" s="20">
        <v>6535.97</v>
      </c>
      <c r="E11" s="20">
        <v>3273.58</v>
      </c>
    </row>
    <row r="12" spans="1:6">
      <c r="A12" s="7" t="s">
        <v>10</v>
      </c>
      <c r="B12" s="20">
        <v>6531.39</v>
      </c>
      <c r="C12" s="20">
        <v>-2000</v>
      </c>
      <c r="D12" s="29">
        <v>8600.07</v>
      </c>
      <c r="E12" s="20">
        <v>9471.36</v>
      </c>
    </row>
    <row r="13" spans="1:6">
      <c r="A13" s="7" t="s">
        <v>12</v>
      </c>
      <c r="B13" s="20">
        <v>3302.34</v>
      </c>
      <c r="C13" s="20">
        <v>12815.38</v>
      </c>
      <c r="D13" s="20">
        <v>11109.62</v>
      </c>
      <c r="E13" s="20">
        <v>4972.7299999999996</v>
      </c>
    </row>
    <row r="14" spans="1:6">
      <c r="A14" s="7" t="s">
        <v>14</v>
      </c>
      <c r="B14" s="20">
        <v>7588.67</v>
      </c>
      <c r="C14" s="20">
        <v>3830.09</v>
      </c>
      <c r="D14" s="20">
        <v>9777.68</v>
      </c>
      <c r="E14" s="20">
        <v>8368.7099999999991</v>
      </c>
    </row>
    <row r="15" spans="1:6">
      <c r="A15" s="7" t="s">
        <v>16</v>
      </c>
      <c r="B15" s="20">
        <v>4347.7700000000004</v>
      </c>
      <c r="C15" s="20">
        <v>8294.51</v>
      </c>
      <c r="D15" s="20">
        <v>4138.93</v>
      </c>
      <c r="E15" s="20">
        <v>9561.8700000000008</v>
      </c>
    </row>
    <row r="16" spans="1:6">
      <c r="A16" s="7" t="s">
        <v>18</v>
      </c>
      <c r="B16" s="20">
        <v>2871.78</v>
      </c>
      <c r="C16" s="20">
        <v>3456.6</v>
      </c>
      <c r="D16" s="20">
        <v>5376.2</v>
      </c>
      <c r="E16" s="20">
        <v>8500.7800000000007</v>
      </c>
    </row>
  </sheetData>
  <conditionalFormatting sqref="B2:E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{587C78A4-E63F-4B9B-AB51-FDCED4A6714D}</x14:id>
        </ext>
      </extLst>
    </cfRule>
  </conditionalFormatting>
  <conditionalFormatting sqref="B11:E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{BD3A69EC-CC1C-4CC0-BCC4-964B23975837}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7C78A4-E63F-4B9B-AB51-FDCED4A671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B2:E7</xm:sqref>
        </x14:conditionalFormatting>
        <x14:conditionalFormatting xmlns:xm="http://schemas.microsoft.com/office/excel/2006/main">
          <x14:cfRule type="dataBar" id="{BD3A69EC-CC1C-4CC0-BCC4-964B239758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  <pageSetUpPr fitToPage="1"/>
  </sheetPr>
  <dimension ref="A1:E7"/>
  <sheetViews>
    <sheetView zoomScale="130" zoomScaleNormal="130" workbookViewId="0">
      <selection activeCell="I13" sqref="I13"/>
    </sheetView>
  </sheetViews>
  <sheetFormatPr defaultColWidth="8.85546875" defaultRowHeight="14.25"/>
  <cols>
    <col min="1" max="1" width="9.140625" style="4" bestFit="1" customWidth="1"/>
    <col min="2" max="5" width="11.5703125" style="4" bestFit="1" customWidth="1"/>
    <col min="6" max="6" width="12.7109375" style="4" bestFit="1" customWidth="1"/>
    <col min="7" max="16384" width="8.85546875" style="4"/>
  </cols>
  <sheetData>
    <row r="1" spans="1:5" ht="42.75">
      <c r="A1" s="22" t="s">
        <v>89</v>
      </c>
      <c r="B1" s="26" t="s">
        <v>2</v>
      </c>
      <c r="C1" s="26" t="s">
        <v>3</v>
      </c>
      <c r="D1" s="26" t="s">
        <v>4</v>
      </c>
      <c r="E1" s="26" t="s">
        <v>5</v>
      </c>
    </row>
    <row r="2" spans="1:5">
      <c r="A2" s="7" t="s">
        <v>8</v>
      </c>
      <c r="B2" s="20">
        <v>4749.34</v>
      </c>
      <c r="C2" s="20">
        <v>5611.98</v>
      </c>
      <c r="D2" s="20">
        <v>6535.97</v>
      </c>
      <c r="E2" s="20">
        <v>3273.58</v>
      </c>
    </row>
    <row r="3" spans="1:5">
      <c r="A3" s="7" t="s">
        <v>10</v>
      </c>
      <c r="B3" s="20">
        <v>6531.39</v>
      </c>
      <c r="C3" s="20">
        <v>3743.4</v>
      </c>
      <c r="D3" s="29">
        <v>8600.07</v>
      </c>
      <c r="E3" s="20">
        <v>9471.36</v>
      </c>
    </row>
    <row r="4" spans="1:5">
      <c r="A4" s="7" t="s">
        <v>12</v>
      </c>
      <c r="B4" s="20">
        <v>3302.34</v>
      </c>
      <c r="C4" s="20">
        <v>12815.38</v>
      </c>
      <c r="D4" s="20">
        <v>11109.62</v>
      </c>
      <c r="E4" s="20">
        <v>4972.7299999999996</v>
      </c>
    </row>
    <row r="5" spans="1:5">
      <c r="A5" s="7" t="s">
        <v>14</v>
      </c>
      <c r="B5" s="20">
        <v>7588.67</v>
      </c>
      <c r="C5" s="20">
        <v>3830.09</v>
      </c>
      <c r="D5" s="20">
        <v>9777.68</v>
      </c>
      <c r="E5" s="20">
        <v>8368.7099999999991</v>
      </c>
    </row>
    <row r="6" spans="1:5">
      <c r="A6" s="7" t="s">
        <v>16</v>
      </c>
      <c r="B6" s="20">
        <v>4347.7700000000004</v>
      </c>
      <c r="C6" s="20">
        <v>8294.51</v>
      </c>
      <c r="D6" s="20">
        <v>4138.93</v>
      </c>
      <c r="E6" s="20">
        <v>9561.8700000000008</v>
      </c>
    </row>
    <row r="7" spans="1:5">
      <c r="A7" s="7" t="s">
        <v>18</v>
      </c>
      <c r="B7" s="20">
        <v>2871.78</v>
      </c>
      <c r="C7" s="20">
        <v>3456.6</v>
      </c>
      <c r="D7" s="20">
        <v>5376.2</v>
      </c>
      <c r="E7" s="20">
        <v>8500.7800000000007</v>
      </c>
    </row>
  </sheetData>
  <conditionalFormatting sqref="B2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  <pageSetUpPr fitToPage="1"/>
  </sheetPr>
  <dimension ref="A1:H12"/>
  <sheetViews>
    <sheetView zoomScale="130" zoomScaleNormal="130" workbookViewId="0">
      <selection activeCell="B2" sqref="B2:E7"/>
    </sheetView>
  </sheetViews>
  <sheetFormatPr defaultColWidth="8.85546875" defaultRowHeight="14.25"/>
  <cols>
    <col min="1" max="1" width="9.140625" style="4" bestFit="1" customWidth="1"/>
    <col min="2" max="2" width="12.7109375" style="4" bestFit="1" customWidth="1"/>
    <col min="3" max="4" width="13.7109375" style="4" bestFit="1" customWidth="1"/>
    <col min="5" max="5" width="12.7109375" style="4" bestFit="1" customWidth="1"/>
    <col min="6" max="6" width="3.28515625" style="4" customWidth="1"/>
    <col min="7" max="7" width="11.140625" style="4" bestFit="1" customWidth="1"/>
    <col min="8" max="8" width="11.28515625" style="4" bestFit="1" customWidth="1"/>
    <col min="9" max="16384" width="8.85546875" style="4"/>
  </cols>
  <sheetData>
    <row r="1" spans="1:8" ht="42.75">
      <c r="A1" s="22" t="s">
        <v>89</v>
      </c>
      <c r="B1" s="26" t="s">
        <v>2</v>
      </c>
      <c r="C1" s="26" t="s">
        <v>3</v>
      </c>
      <c r="D1" s="26" t="s">
        <v>4</v>
      </c>
      <c r="E1" s="26" t="s">
        <v>5</v>
      </c>
    </row>
    <row r="2" spans="1:8">
      <c r="A2" s="7" t="s">
        <v>8</v>
      </c>
      <c r="B2" s="20">
        <v>4749.34</v>
      </c>
      <c r="C2" s="20">
        <v>5611.98</v>
      </c>
      <c r="D2" s="20">
        <v>6135.97</v>
      </c>
      <c r="E2" s="20">
        <v>9561.8700000000008</v>
      </c>
      <c r="G2" s="2" t="s">
        <v>28</v>
      </c>
      <c r="H2" s="20">
        <f>MIN(B2:E7)</f>
        <v>2871.78</v>
      </c>
    </row>
    <row r="3" spans="1:8">
      <c r="A3" s="7" t="s">
        <v>10</v>
      </c>
      <c r="B3" s="20">
        <v>8600.07</v>
      </c>
      <c r="C3" s="20">
        <v>3743.4</v>
      </c>
      <c r="D3" s="20">
        <v>6531.39</v>
      </c>
      <c r="E3" s="20">
        <v>9471.36</v>
      </c>
      <c r="G3" s="2" t="s">
        <v>26</v>
      </c>
      <c r="H3" s="20">
        <f>MAX(B2:E7)</f>
        <v>12815.38</v>
      </c>
    </row>
    <row r="4" spans="1:8">
      <c r="A4" s="7" t="s">
        <v>12</v>
      </c>
      <c r="B4" s="20">
        <v>3302.34</v>
      </c>
      <c r="C4" s="20">
        <v>12815.38</v>
      </c>
      <c r="D4" s="20">
        <v>11109.62</v>
      </c>
      <c r="E4" s="20">
        <v>4972.7299999999996</v>
      </c>
      <c r="G4" s="2" t="s">
        <v>31</v>
      </c>
      <c r="H4" s="20">
        <f>AVERAGE(H2:H3)</f>
        <v>7843.58</v>
      </c>
    </row>
    <row r="5" spans="1:8">
      <c r="A5" s="7" t="s">
        <v>14</v>
      </c>
      <c r="B5" s="20">
        <v>7588.67</v>
      </c>
      <c r="C5" s="20">
        <v>3830.09</v>
      </c>
      <c r="D5" s="20">
        <v>9777.68</v>
      </c>
      <c r="E5" s="20">
        <v>8368.7099999999991</v>
      </c>
      <c r="G5" s="27">
        <v>0.33</v>
      </c>
      <c r="H5" s="20">
        <f>($H$3-$H$2)*G5+$H$2</f>
        <v>6153.1679999999997</v>
      </c>
    </row>
    <row r="6" spans="1:8">
      <c r="A6" s="7" t="s">
        <v>16</v>
      </c>
      <c r="B6" s="20">
        <v>4347.7700000000004</v>
      </c>
      <c r="C6" s="20">
        <v>8294.51</v>
      </c>
      <c r="D6" s="20">
        <v>4138.93</v>
      </c>
      <c r="E6" s="20">
        <v>3273.58</v>
      </c>
      <c r="G6" s="27">
        <v>0.67</v>
      </c>
      <c r="H6" s="20">
        <f>($H$3-$H$2)*G6+$H$2</f>
        <v>9533.9920000000002</v>
      </c>
    </row>
    <row r="7" spans="1:8">
      <c r="A7" s="7" t="s">
        <v>18</v>
      </c>
      <c r="B7" s="20">
        <v>2871.78</v>
      </c>
      <c r="C7" s="20">
        <v>3456.6</v>
      </c>
      <c r="D7" s="20">
        <v>5376.2</v>
      </c>
      <c r="E7" s="20">
        <v>8500.7800000000007</v>
      </c>
    </row>
    <row r="11" spans="1:8">
      <c r="G11" s="28"/>
    </row>
    <row r="12" spans="1:8">
      <c r="G12" s="28"/>
    </row>
  </sheetData>
  <conditionalFormatting sqref="B2:E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  <pageSetUpPr fitToPage="1"/>
  </sheetPr>
  <dimension ref="A1:E18"/>
  <sheetViews>
    <sheetView zoomScale="130" zoomScaleNormal="130" workbookViewId="0">
      <selection activeCell="H12" sqref="H12"/>
    </sheetView>
  </sheetViews>
  <sheetFormatPr defaultColWidth="8.85546875" defaultRowHeight="14.25"/>
  <cols>
    <col min="1" max="1" width="9.140625" style="4" bestFit="1" customWidth="1"/>
    <col min="2" max="2" width="12.7109375" style="4" bestFit="1" customWidth="1"/>
    <col min="3" max="4" width="13.7109375" style="4" bestFit="1" customWidth="1"/>
    <col min="5" max="5" width="12.7109375" style="4" bestFit="1" customWidth="1"/>
    <col min="6" max="16384" width="8.85546875" style="4"/>
  </cols>
  <sheetData>
    <row r="1" spans="1:5" ht="42.75">
      <c r="A1" s="22" t="s">
        <v>89</v>
      </c>
      <c r="B1" s="26" t="s">
        <v>2</v>
      </c>
      <c r="C1" s="26" t="s">
        <v>3</v>
      </c>
      <c r="D1" s="26" t="s">
        <v>4</v>
      </c>
      <c r="E1" s="26" t="s">
        <v>5</v>
      </c>
    </row>
    <row r="2" spans="1:5">
      <c r="A2" s="7" t="s">
        <v>8</v>
      </c>
      <c r="B2" s="20">
        <v>4749.34</v>
      </c>
      <c r="C2" s="20">
        <v>5611.98</v>
      </c>
      <c r="D2" s="20">
        <v>6135.97</v>
      </c>
      <c r="E2" s="20">
        <v>9561.8700000000008</v>
      </c>
    </row>
    <row r="3" spans="1:5">
      <c r="A3" s="7" t="s">
        <v>10</v>
      </c>
      <c r="B3" s="20">
        <v>8600.07</v>
      </c>
      <c r="C3" s="20">
        <v>3743.4</v>
      </c>
      <c r="D3" s="20">
        <v>6531.39</v>
      </c>
      <c r="E3" s="20">
        <v>9471.36</v>
      </c>
    </row>
    <row r="4" spans="1:5">
      <c r="A4" s="7" t="s">
        <v>12</v>
      </c>
      <c r="B4" s="20">
        <v>3302.34</v>
      </c>
      <c r="C4" s="20">
        <v>12815.38</v>
      </c>
      <c r="D4" s="20">
        <v>11109.62</v>
      </c>
      <c r="E4" s="20">
        <v>4972.7299999999996</v>
      </c>
    </row>
    <row r="5" spans="1:5">
      <c r="A5" s="7" t="s">
        <v>14</v>
      </c>
      <c r="B5" s="20">
        <v>7588.67</v>
      </c>
      <c r="C5" s="20">
        <v>3830.09</v>
      </c>
      <c r="D5" s="20">
        <v>9777.68</v>
      </c>
      <c r="E5" s="20">
        <v>8368.7099999999991</v>
      </c>
    </row>
    <row r="6" spans="1:5">
      <c r="A6" s="7" t="s">
        <v>16</v>
      </c>
      <c r="B6" s="20">
        <v>4347.7700000000004</v>
      </c>
      <c r="C6" s="20">
        <v>8294.51</v>
      </c>
      <c r="D6" s="20">
        <v>4138.93</v>
      </c>
      <c r="E6" s="20">
        <v>3273.58</v>
      </c>
    </row>
    <row r="7" spans="1:5">
      <c r="A7" s="7" t="s">
        <v>18</v>
      </c>
      <c r="B7" s="20">
        <v>2871.78</v>
      </c>
      <c r="C7" s="20">
        <v>3456.6</v>
      </c>
      <c r="D7" s="20">
        <v>5376.2</v>
      </c>
      <c r="E7" s="20">
        <v>8500.7800000000007</v>
      </c>
    </row>
    <row r="18" spans="1:1">
      <c r="A18" s="4" t="s">
        <v>130</v>
      </c>
    </row>
  </sheetData>
  <conditionalFormatting sqref="B2:E7">
    <cfRule type="cellIs" dxfId="9" priority="1" operator="greaterThan">
      <formula>8000</formula>
    </cfRule>
    <cfRule type="cellIs" dxfId="8" priority="2" operator="greaterThan">
      <formula>4000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  <pageSetUpPr fitToPage="1"/>
  </sheetPr>
  <dimension ref="A1:G11"/>
  <sheetViews>
    <sheetView zoomScale="145" zoomScaleNormal="145" workbookViewId="0">
      <selection activeCell="D4" sqref="D4"/>
    </sheetView>
  </sheetViews>
  <sheetFormatPr defaultColWidth="8.85546875" defaultRowHeight="14.25"/>
  <cols>
    <col min="1" max="1" width="11.140625" style="4" customWidth="1"/>
    <col min="2" max="2" width="12.42578125" style="4" bestFit="1" customWidth="1"/>
    <col min="3" max="4" width="13.42578125" style="4" bestFit="1" customWidth="1"/>
    <col min="5" max="5" width="12.42578125" style="4" bestFit="1" customWidth="1"/>
    <col min="6" max="6" width="2.5703125" style="4" customWidth="1"/>
    <col min="7" max="16384" width="8.85546875" style="4"/>
  </cols>
  <sheetData>
    <row r="1" spans="1:7" ht="28.5">
      <c r="A1" s="22" t="s">
        <v>89</v>
      </c>
      <c r="B1" s="13" t="s">
        <v>2</v>
      </c>
      <c r="C1" s="13" t="s">
        <v>3</v>
      </c>
      <c r="D1" s="13" t="s">
        <v>4</v>
      </c>
      <c r="E1" s="13" t="s">
        <v>5</v>
      </c>
      <c r="G1" s="23" t="s">
        <v>90</v>
      </c>
    </row>
    <row r="2" spans="1:7">
      <c r="A2" s="7" t="s">
        <v>8</v>
      </c>
      <c r="B2" s="20">
        <v>4749.34</v>
      </c>
      <c r="C2" s="20">
        <v>5611.98</v>
      </c>
      <c r="D2" s="20">
        <v>6135.97</v>
      </c>
      <c r="E2" s="20">
        <v>9561.8700000000008</v>
      </c>
      <c r="G2" s="24">
        <v>51</v>
      </c>
    </row>
    <row r="3" spans="1:7">
      <c r="A3" s="7" t="s">
        <v>10</v>
      </c>
      <c r="B3" s="20">
        <v>8600.07</v>
      </c>
      <c r="C3" s="20">
        <v>3743.4</v>
      </c>
      <c r="D3" s="20">
        <v>6531.39</v>
      </c>
      <c r="E3" s="20">
        <v>9471.36</v>
      </c>
      <c r="G3" s="24">
        <v>96</v>
      </c>
    </row>
    <row r="4" spans="1:7">
      <c r="A4" s="7" t="s">
        <v>12</v>
      </c>
      <c r="B4" s="20">
        <v>3302.34</v>
      </c>
      <c r="C4" s="20">
        <v>12815.38</v>
      </c>
      <c r="D4" s="20">
        <v>11109.62</v>
      </c>
      <c r="E4" s="20">
        <v>4972.7299999999996</v>
      </c>
      <c r="G4" s="24">
        <v>50</v>
      </c>
    </row>
    <row r="5" spans="1:7">
      <c r="A5" s="7" t="s">
        <v>14</v>
      </c>
      <c r="B5" s="20">
        <v>7588.67</v>
      </c>
      <c r="C5" s="20">
        <v>3830.09</v>
      </c>
      <c r="D5" s="20">
        <v>9777.68</v>
      </c>
      <c r="E5" s="20">
        <v>8368.7099999999991</v>
      </c>
      <c r="G5" s="24">
        <v>29</v>
      </c>
    </row>
    <row r="6" spans="1:7">
      <c r="A6" s="7" t="s">
        <v>16</v>
      </c>
      <c r="B6" s="20">
        <v>4347.7700000000004</v>
      </c>
      <c r="C6" s="20">
        <v>8294.51</v>
      </c>
      <c r="D6" s="20">
        <v>4138.93</v>
      </c>
      <c r="E6" s="20">
        <v>3273.58</v>
      </c>
      <c r="G6" s="24">
        <v>75</v>
      </c>
    </row>
    <row r="7" spans="1:7">
      <c r="A7" s="7" t="s">
        <v>18</v>
      </c>
      <c r="B7" s="20">
        <v>2871.78</v>
      </c>
      <c r="C7" s="20">
        <v>3456.6</v>
      </c>
      <c r="D7" s="20">
        <v>5376.2</v>
      </c>
      <c r="E7" s="20">
        <v>8500.7800000000007</v>
      </c>
      <c r="G7" s="24">
        <v>8</v>
      </c>
    </row>
    <row r="8" spans="1:7">
      <c r="G8" s="24">
        <v>56</v>
      </c>
    </row>
    <row r="9" spans="1:7">
      <c r="G9" s="24">
        <v>55</v>
      </c>
    </row>
    <row r="10" spans="1:7">
      <c r="G10" s="24">
        <v>39</v>
      </c>
    </row>
    <row r="11" spans="1:7">
      <c r="G11" s="25">
        <v>8</v>
      </c>
    </row>
  </sheetData>
  <conditionalFormatting sqref="G2:G11">
    <cfRule type="aboveAverage" dxfId="7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>
    <tabColor rgb="FF1E73BE"/>
  </sheetPr>
  <dimension ref="A1:H31"/>
  <sheetViews>
    <sheetView zoomScale="115" zoomScaleNormal="115" workbookViewId="0">
      <selection activeCell="L10" sqref="L10"/>
    </sheetView>
  </sheetViews>
  <sheetFormatPr defaultColWidth="8.85546875" defaultRowHeight="14.25"/>
  <cols>
    <col min="1" max="1" width="11.28515625" style="4" bestFit="1" customWidth="1"/>
    <col min="2" max="2" width="10.140625" style="4" bestFit="1" customWidth="1"/>
    <col min="3" max="3" width="8.85546875" style="4" customWidth="1"/>
    <col min="4" max="4" width="9.7109375" style="4" bestFit="1" customWidth="1"/>
    <col min="5" max="5" width="3.140625" style="4" customWidth="1"/>
    <col min="6" max="6" width="17.7109375" style="4" bestFit="1" customWidth="1"/>
    <col min="7" max="7" width="10.140625" style="4" customWidth="1"/>
    <col min="8" max="8" width="16.42578125" style="4" bestFit="1" customWidth="1"/>
    <col min="9" max="16384" width="8.85546875" style="4"/>
  </cols>
  <sheetData>
    <row r="1" spans="1:8">
      <c r="A1" s="2" t="s">
        <v>0</v>
      </c>
      <c r="B1" s="2" t="s">
        <v>22</v>
      </c>
      <c r="C1" s="2" t="s">
        <v>23</v>
      </c>
      <c r="D1" s="2" t="s">
        <v>62</v>
      </c>
    </row>
    <row r="2" spans="1:8">
      <c r="A2" s="19">
        <v>41903</v>
      </c>
      <c r="B2" s="11" t="s">
        <v>24</v>
      </c>
      <c r="C2" s="11" t="s">
        <v>25</v>
      </c>
      <c r="D2" s="11">
        <v>452</v>
      </c>
    </row>
    <row r="3" spans="1:8">
      <c r="A3" s="19">
        <v>41891</v>
      </c>
      <c r="B3" s="11" t="s">
        <v>24</v>
      </c>
      <c r="C3" s="11" t="s">
        <v>27</v>
      </c>
      <c r="D3" s="11">
        <v>682</v>
      </c>
    </row>
    <row r="4" spans="1:8">
      <c r="A4" s="19">
        <v>41894</v>
      </c>
      <c r="B4" s="11" t="s">
        <v>29</v>
      </c>
      <c r="C4" s="11" t="s">
        <v>30</v>
      </c>
      <c r="D4" s="11">
        <v>838</v>
      </c>
      <c r="F4" s="21" t="s">
        <v>22</v>
      </c>
      <c r="G4" s="21" t="s">
        <v>23</v>
      </c>
      <c r="H4" s="4" t="s">
        <v>63</v>
      </c>
    </row>
    <row r="5" spans="1:8">
      <c r="A5" s="19">
        <v>41897</v>
      </c>
      <c r="B5" s="11" t="s">
        <v>29</v>
      </c>
      <c r="C5" s="11" t="s">
        <v>30</v>
      </c>
      <c r="D5" s="11">
        <v>804</v>
      </c>
      <c r="F5" s="4" t="s">
        <v>33</v>
      </c>
      <c r="G5" s="4" t="s">
        <v>25</v>
      </c>
      <c r="H5" s="4">
        <v>2015</v>
      </c>
    </row>
    <row r="6" spans="1:8">
      <c r="A6" s="19">
        <v>41929</v>
      </c>
      <c r="B6" s="11" t="s">
        <v>32</v>
      </c>
      <c r="C6" s="11" t="s">
        <v>27</v>
      </c>
      <c r="D6" s="11">
        <v>185</v>
      </c>
      <c r="G6" s="4" t="s">
        <v>34</v>
      </c>
      <c r="H6" s="4">
        <v>1211</v>
      </c>
    </row>
    <row r="7" spans="1:8">
      <c r="A7" s="19">
        <v>41957</v>
      </c>
      <c r="B7" s="11" t="s">
        <v>33</v>
      </c>
      <c r="C7" s="11" t="s">
        <v>27</v>
      </c>
      <c r="D7" s="11">
        <v>397</v>
      </c>
      <c r="G7" s="4" t="s">
        <v>27</v>
      </c>
      <c r="H7" s="4">
        <v>1093</v>
      </c>
    </row>
    <row r="8" spans="1:8">
      <c r="A8" s="19">
        <v>41952</v>
      </c>
      <c r="B8" s="11" t="s">
        <v>33</v>
      </c>
      <c r="C8" s="11" t="s">
        <v>25</v>
      </c>
      <c r="D8" s="11">
        <v>772</v>
      </c>
      <c r="F8" s="4" t="s">
        <v>64</v>
      </c>
      <c r="H8" s="4">
        <v>4319</v>
      </c>
    </row>
    <row r="9" spans="1:8">
      <c r="A9" s="19">
        <v>41895</v>
      </c>
      <c r="B9" s="11" t="s">
        <v>29</v>
      </c>
      <c r="C9" s="11" t="s">
        <v>34</v>
      </c>
      <c r="D9" s="11">
        <v>794</v>
      </c>
      <c r="F9" s="4" t="s">
        <v>32</v>
      </c>
      <c r="G9" s="4" t="s">
        <v>25</v>
      </c>
      <c r="H9" s="4">
        <v>227</v>
      </c>
    </row>
    <row r="10" spans="1:8">
      <c r="A10" s="19">
        <v>41893</v>
      </c>
      <c r="B10" s="11" t="s">
        <v>24</v>
      </c>
      <c r="C10" s="11" t="s">
        <v>34</v>
      </c>
      <c r="D10" s="11">
        <v>491</v>
      </c>
      <c r="G10" s="4" t="s">
        <v>34</v>
      </c>
      <c r="H10" s="4">
        <v>546</v>
      </c>
    </row>
    <row r="11" spans="1:8">
      <c r="A11" s="19">
        <v>41917</v>
      </c>
      <c r="B11" s="11" t="s">
        <v>29</v>
      </c>
      <c r="C11" s="11" t="s">
        <v>25</v>
      </c>
      <c r="D11" s="11">
        <v>750</v>
      </c>
      <c r="G11" s="4" t="s">
        <v>27</v>
      </c>
      <c r="H11" s="4">
        <v>880</v>
      </c>
    </row>
    <row r="12" spans="1:8">
      <c r="A12" s="19">
        <v>41924</v>
      </c>
      <c r="B12" s="11" t="s">
        <v>29</v>
      </c>
      <c r="C12" s="11" t="s">
        <v>34</v>
      </c>
      <c r="D12" s="11">
        <v>849</v>
      </c>
      <c r="G12" s="4" t="s">
        <v>30</v>
      </c>
      <c r="H12" s="4">
        <v>572</v>
      </c>
    </row>
    <row r="13" spans="1:8">
      <c r="A13" s="19">
        <v>41947</v>
      </c>
      <c r="B13" s="11" t="s">
        <v>32</v>
      </c>
      <c r="C13" s="11" t="s">
        <v>34</v>
      </c>
      <c r="D13" s="11">
        <v>275</v>
      </c>
      <c r="F13" s="4" t="s">
        <v>65</v>
      </c>
      <c r="H13" s="4">
        <v>2225</v>
      </c>
    </row>
    <row r="14" spans="1:8">
      <c r="A14" s="19">
        <v>41884</v>
      </c>
      <c r="B14" s="11" t="s">
        <v>33</v>
      </c>
      <c r="C14" s="11" t="s">
        <v>27</v>
      </c>
      <c r="D14" s="11">
        <v>696</v>
      </c>
      <c r="F14" s="4" t="s">
        <v>24</v>
      </c>
      <c r="G14" s="4" t="s">
        <v>25</v>
      </c>
      <c r="H14" s="4">
        <v>452</v>
      </c>
    </row>
    <row r="15" spans="1:8">
      <c r="A15" s="19">
        <v>41896</v>
      </c>
      <c r="B15" s="11" t="s">
        <v>29</v>
      </c>
      <c r="C15" s="11" t="s">
        <v>30</v>
      </c>
      <c r="D15" s="11">
        <v>573</v>
      </c>
      <c r="G15" s="4" t="s">
        <v>34</v>
      </c>
      <c r="H15" s="4">
        <v>960</v>
      </c>
    </row>
    <row r="16" spans="1:8">
      <c r="A16" s="19">
        <v>41955</v>
      </c>
      <c r="B16" s="11" t="s">
        <v>24</v>
      </c>
      <c r="C16" s="11" t="s">
        <v>34</v>
      </c>
      <c r="D16" s="11">
        <v>469</v>
      </c>
      <c r="G16" s="4" t="s">
        <v>27</v>
      </c>
      <c r="H16" s="4">
        <v>1107</v>
      </c>
    </row>
    <row r="17" spans="1:8">
      <c r="A17" s="19">
        <v>41903</v>
      </c>
      <c r="B17" s="11" t="s">
        <v>32</v>
      </c>
      <c r="C17" s="11" t="s">
        <v>27</v>
      </c>
      <c r="D17" s="11">
        <v>303</v>
      </c>
      <c r="G17" s="4" t="s">
        <v>30</v>
      </c>
      <c r="H17" s="4">
        <v>1630</v>
      </c>
    </row>
    <row r="18" spans="1:8">
      <c r="A18" s="19">
        <v>41933</v>
      </c>
      <c r="B18" s="11" t="s">
        <v>33</v>
      </c>
      <c r="C18" s="11" t="s">
        <v>25</v>
      </c>
      <c r="D18" s="11">
        <v>445</v>
      </c>
      <c r="F18" s="4" t="s">
        <v>66</v>
      </c>
      <c r="H18" s="4">
        <v>4149</v>
      </c>
    </row>
    <row r="19" spans="1:8">
      <c r="A19" s="19">
        <v>41886</v>
      </c>
      <c r="B19" s="11" t="s">
        <v>33</v>
      </c>
      <c r="C19" s="11" t="s">
        <v>25</v>
      </c>
      <c r="D19" s="11">
        <v>695</v>
      </c>
      <c r="F19" s="4" t="s">
        <v>29</v>
      </c>
      <c r="G19" s="4" t="s">
        <v>25</v>
      </c>
      <c r="H19" s="4">
        <v>1574</v>
      </c>
    </row>
    <row r="20" spans="1:8">
      <c r="A20" s="19">
        <v>41922</v>
      </c>
      <c r="B20" s="11" t="s">
        <v>32</v>
      </c>
      <c r="C20" s="11" t="s">
        <v>30</v>
      </c>
      <c r="D20" s="11">
        <v>293</v>
      </c>
      <c r="G20" s="4" t="s">
        <v>34</v>
      </c>
      <c r="H20" s="4">
        <v>1643</v>
      </c>
    </row>
    <row r="21" spans="1:8">
      <c r="A21" s="19">
        <v>41890</v>
      </c>
      <c r="B21" s="11" t="s">
        <v>33</v>
      </c>
      <c r="C21" s="11" t="s">
        <v>34</v>
      </c>
      <c r="D21" s="11">
        <v>681</v>
      </c>
      <c r="G21" s="4" t="s">
        <v>30</v>
      </c>
      <c r="H21" s="4">
        <v>2215</v>
      </c>
    </row>
    <row r="22" spans="1:8">
      <c r="A22" s="19">
        <v>41939</v>
      </c>
      <c r="B22" s="11" t="s">
        <v>32</v>
      </c>
      <c r="C22" s="11" t="s">
        <v>34</v>
      </c>
      <c r="D22" s="11">
        <v>271</v>
      </c>
      <c r="F22" s="4" t="s">
        <v>67</v>
      </c>
      <c r="H22" s="4">
        <v>5432</v>
      </c>
    </row>
    <row r="23" spans="1:8">
      <c r="A23" s="19">
        <v>41953</v>
      </c>
      <c r="B23" s="11" t="s">
        <v>29</v>
      </c>
      <c r="C23" s="11" t="s">
        <v>25</v>
      </c>
      <c r="D23" s="11">
        <v>824</v>
      </c>
      <c r="F23" s="4" t="s">
        <v>68</v>
      </c>
      <c r="H23" s="4">
        <v>16125</v>
      </c>
    </row>
    <row r="24" spans="1:8">
      <c r="A24" s="19">
        <v>41948</v>
      </c>
      <c r="B24" s="11" t="s">
        <v>32</v>
      </c>
      <c r="C24" s="11" t="s">
        <v>30</v>
      </c>
      <c r="D24" s="11">
        <v>279</v>
      </c>
    </row>
    <row r="25" spans="1:8">
      <c r="A25" s="19">
        <v>41912</v>
      </c>
      <c r="B25" s="11" t="s">
        <v>32</v>
      </c>
      <c r="C25" s="11" t="s">
        <v>25</v>
      </c>
      <c r="D25" s="11">
        <v>227</v>
      </c>
    </row>
    <row r="26" spans="1:8">
      <c r="A26" s="19">
        <v>41914</v>
      </c>
      <c r="B26" s="11" t="s">
        <v>24</v>
      </c>
      <c r="C26" s="11" t="s">
        <v>27</v>
      </c>
      <c r="D26" s="11">
        <v>425</v>
      </c>
    </row>
    <row r="27" spans="1:8">
      <c r="A27" s="19">
        <v>41940</v>
      </c>
      <c r="B27" s="11" t="s">
        <v>33</v>
      </c>
      <c r="C27" s="11" t="s">
        <v>25</v>
      </c>
      <c r="D27" s="11">
        <v>103</v>
      </c>
    </row>
    <row r="28" spans="1:8">
      <c r="A28" s="19">
        <v>41942</v>
      </c>
      <c r="B28" s="11" t="s">
        <v>32</v>
      </c>
      <c r="C28" s="11" t="s">
        <v>27</v>
      </c>
      <c r="D28" s="11">
        <v>392</v>
      </c>
    </row>
    <row r="29" spans="1:8">
      <c r="A29" s="19">
        <v>41947</v>
      </c>
      <c r="B29" s="11" t="s">
        <v>33</v>
      </c>
      <c r="C29" s="11" t="s">
        <v>34</v>
      </c>
      <c r="D29" s="11">
        <v>530</v>
      </c>
    </row>
    <row r="30" spans="1:8">
      <c r="A30" s="19">
        <v>41885</v>
      </c>
      <c r="B30" s="11" t="s">
        <v>24</v>
      </c>
      <c r="C30" s="11" t="s">
        <v>30</v>
      </c>
      <c r="D30" s="11">
        <v>851</v>
      </c>
    </row>
    <row r="31" spans="1:8">
      <c r="A31" s="19">
        <v>41886</v>
      </c>
      <c r="B31" s="11" t="s">
        <v>24</v>
      </c>
      <c r="C31" s="11" t="s">
        <v>30</v>
      </c>
      <c r="D31" s="11">
        <v>779</v>
      </c>
    </row>
  </sheetData>
  <conditionalFormatting pivot="1" sqref="H5:H23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>
    <tabColor rgb="FF1E73BE"/>
  </sheetPr>
  <dimension ref="A1:G435"/>
  <sheetViews>
    <sheetView zoomScale="130" zoomScaleNormal="130" workbookViewId="0">
      <selection activeCell="A2" sqref="A2:D435"/>
    </sheetView>
  </sheetViews>
  <sheetFormatPr defaultColWidth="8.85546875" defaultRowHeight="14.25"/>
  <cols>
    <col min="1" max="1" width="11.140625" style="4" bestFit="1" customWidth="1"/>
    <col min="2" max="2" width="17.7109375" style="4" bestFit="1" customWidth="1"/>
    <col min="3" max="4" width="10.42578125" style="4" bestFit="1" customWidth="1"/>
    <col min="5" max="16384" width="8.85546875" style="4"/>
  </cols>
  <sheetData>
    <row r="1" spans="1:7">
      <c r="A1" s="13" t="s">
        <v>0</v>
      </c>
      <c r="B1" s="13" t="s">
        <v>35</v>
      </c>
      <c r="C1" s="13" t="s">
        <v>36</v>
      </c>
      <c r="D1" s="13" t="s">
        <v>37</v>
      </c>
      <c r="F1" s="18">
        <v>1850</v>
      </c>
    </row>
    <row r="2" spans="1:7">
      <c r="A2" s="19">
        <v>41714</v>
      </c>
      <c r="B2" s="11" t="s">
        <v>38</v>
      </c>
      <c r="C2" s="20">
        <v>817.5</v>
      </c>
      <c r="D2" s="20">
        <v>278</v>
      </c>
      <c r="F2" s="4" t="b">
        <f>$C2&gt;$F$1</f>
        <v>0</v>
      </c>
      <c r="G2" s="4" t="b">
        <f>$C2&gt;$F$1</f>
        <v>0</v>
      </c>
    </row>
    <row r="3" spans="1:7">
      <c r="A3" s="19">
        <v>41649</v>
      </c>
      <c r="B3" s="11" t="s">
        <v>39</v>
      </c>
      <c r="C3" s="20">
        <v>2030.7500000000002</v>
      </c>
      <c r="D3" s="20">
        <v>832.5</v>
      </c>
      <c r="F3" s="4" t="b">
        <f t="shared" ref="F3:G37" si="0">$C3&gt;$F$1</f>
        <v>1</v>
      </c>
      <c r="G3" s="4" t="b">
        <f>$C3&gt;$F$1</f>
        <v>1</v>
      </c>
    </row>
    <row r="4" spans="1:7">
      <c r="A4" s="19">
        <v>41780</v>
      </c>
      <c r="B4" s="11" t="s">
        <v>38</v>
      </c>
      <c r="C4" s="20">
        <v>1860.5</v>
      </c>
      <c r="D4" s="20">
        <v>669.75</v>
      </c>
      <c r="F4" s="4" t="b">
        <f t="shared" si="0"/>
        <v>1</v>
      </c>
      <c r="G4" s="4" t="b">
        <f t="shared" si="0"/>
        <v>1</v>
      </c>
    </row>
    <row r="5" spans="1:7">
      <c r="A5" s="19">
        <v>41806</v>
      </c>
      <c r="B5" s="11" t="s">
        <v>40</v>
      </c>
      <c r="C5" s="20">
        <v>1829.75</v>
      </c>
      <c r="D5" s="20">
        <v>622</v>
      </c>
      <c r="F5" s="4" t="b">
        <f t="shared" si="0"/>
        <v>0</v>
      </c>
      <c r="G5" s="4" t="b">
        <f t="shared" si="0"/>
        <v>0</v>
      </c>
    </row>
    <row r="6" spans="1:7">
      <c r="A6" s="19">
        <v>41721</v>
      </c>
      <c r="B6" s="11" t="s">
        <v>39</v>
      </c>
      <c r="C6" s="20">
        <v>1798</v>
      </c>
      <c r="D6" s="20">
        <v>575.25</v>
      </c>
      <c r="F6" s="4" t="b">
        <f t="shared" si="0"/>
        <v>0</v>
      </c>
      <c r="G6" s="4" t="b">
        <f t="shared" si="0"/>
        <v>0</v>
      </c>
    </row>
    <row r="7" spans="1:7">
      <c r="A7" s="19">
        <v>41739</v>
      </c>
      <c r="B7" s="11" t="s">
        <v>41</v>
      </c>
      <c r="C7" s="20">
        <v>1389.5</v>
      </c>
      <c r="D7" s="20">
        <v>500.25000000000006</v>
      </c>
      <c r="F7" s="4" t="b">
        <f t="shared" si="0"/>
        <v>0</v>
      </c>
      <c r="G7" s="4" t="b">
        <f t="shared" si="0"/>
        <v>0</v>
      </c>
    </row>
    <row r="8" spans="1:7">
      <c r="A8" s="19">
        <v>41798</v>
      </c>
      <c r="B8" s="11" t="s">
        <v>39</v>
      </c>
      <c r="C8" s="20">
        <v>1222.75</v>
      </c>
      <c r="D8" s="20">
        <v>562.5</v>
      </c>
      <c r="F8" s="4" t="b">
        <f t="shared" si="0"/>
        <v>0</v>
      </c>
      <c r="G8" s="4" t="b">
        <f t="shared" si="0"/>
        <v>0</v>
      </c>
    </row>
    <row r="9" spans="1:7">
      <c r="A9" s="19">
        <v>41784</v>
      </c>
      <c r="B9" s="11" t="s">
        <v>41</v>
      </c>
      <c r="C9" s="20">
        <v>1361</v>
      </c>
      <c r="D9" s="20">
        <v>639.75</v>
      </c>
      <c r="F9" s="4" t="b">
        <f t="shared" si="0"/>
        <v>0</v>
      </c>
      <c r="G9" s="4" t="b">
        <f t="shared" si="0"/>
        <v>0</v>
      </c>
    </row>
    <row r="10" spans="1:7">
      <c r="A10" s="19">
        <v>41644</v>
      </c>
      <c r="B10" s="11" t="s">
        <v>41</v>
      </c>
      <c r="C10" s="20">
        <v>1544.75</v>
      </c>
      <c r="D10" s="20">
        <v>509.75</v>
      </c>
      <c r="F10" s="4" t="b">
        <f t="shared" si="0"/>
        <v>0</v>
      </c>
      <c r="G10" s="4" t="b">
        <f t="shared" si="0"/>
        <v>0</v>
      </c>
    </row>
    <row r="11" spans="1:7">
      <c r="A11" s="19">
        <v>41717</v>
      </c>
      <c r="B11" s="11" t="s">
        <v>42</v>
      </c>
      <c r="C11" s="20">
        <v>2454.25</v>
      </c>
      <c r="D11" s="20">
        <v>736.25</v>
      </c>
      <c r="F11" s="4" t="b">
        <f t="shared" si="0"/>
        <v>1</v>
      </c>
      <c r="G11" s="4" t="b">
        <f t="shared" si="0"/>
        <v>1</v>
      </c>
    </row>
    <row r="12" spans="1:7">
      <c r="A12" s="19">
        <v>41813</v>
      </c>
      <c r="B12" s="11" t="s">
        <v>43</v>
      </c>
      <c r="C12" s="20">
        <v>389.25</v>
      </c>
      <c r="D12" s="20">
        <v>171.25</v>
      </c>
      <c r="F12" s="4" t="b">
        <f t="shared" si="0"/>
        <v>0</v>
      </c>
      <c r="G12" s="4" t="b">
        <f t="shared" si="0"/>
        <v>0</v>
      </c>
    </row>
    <row r="13" spans="1:7">
      <c r="A13" s="19">
        <v>41670</v>
      </c>
      <c r="B13" s="11" t="s">
        <v>38</v>
      </c>
      <c r="C13" s="20">
        <v>2031.5</v>
      </c>
      <c r="D13" s="20">
        <v>772</v>
      </c>
      <c r="F13" s="4" t="b">
        <f t="shared" si="0"/>
        <v>1</v>
      </c>
      <c r="G13" s="4" t="b">
        <f t="shared" si="0"/>
        <v>1</v>
      </c>
    </row>
    <row r="14" spans="1:7">
      <c r="A14" s="19">
        <v>41792</v>
      </c>
      <c r="B14" s="11" t="s">
        <v>38</v>
      </c>
      <c r="C14" s="20">
        <v>917.75</v>
      </c>
      <c r="D14" s="20">
        <v>330.50000000000006</v>
      </c>
      <c r="F14" s="4" t="b">
        <f t="shared" si="0"/>
        <v>0</v>
      </c>
      <c r="G14" s="4" t="b">
        <f t="shared" si="0"/>
        <v>0</v>
      </c>
    </row>
    <row r="15" spans="1:7">
      <c r="A15" s="19">
        <v>41773</v>
      </c>
      <c r="B15" s="11" t="s">
        <v>44</v>
      </c>
      <c r="C15" s="20">
        <v>2446</v>
      </c>
      <c r="D15" s="20">
        <v>1051.75</v>
      </c>
      <c r="F15" s="4" t="b">
        <f t="shared" si="0"/>
        <v>1</v>
      </c>
      <c r="G15" s="4" t="b">
        <f t="shared" si="0"/>
        <v>1</v>
      </c>
    </row>
    <row r="16" spans="1:7">
      <c r="A16" s="19">
        <v>41813</v>
      </c>
      <c r="B16" s="11" t="s">
        <v>43</v>
      </c>
      <c r="C16" s="20">
        <v>1234</v>
      </c>
      <c r="D16" s="20">
        <v>604.75</v>
      </c>
      <c r="F16" s="4" t="b">
        <f t="shared" si="0"/>
        <v>0</v>
      </c>
      <c r="G16" s="4" t="b">
        <f t="shared" si="0"/>
        <v>0</v>
      </c>
    </row>
    <row r="17" spans="1:7">
      <c r="A17" s="19">
        <v>41765</v>
      </c>
      <c r="B17" s="11" t="s">
        <v>45</v>
      </c>
      <c r="C17" s="20">
        <v>1741.25</v>
      </c>
      <c r="D17" s="20">
        <v>713.99999999999989</v>
      </c>
      <c r="F17" s="4" t="b">
        <f t="shared" si="0"/>
        <v>0</v>
      </c>
      <c r="G17" s="4" t="b">
        <f t="shared" si="0"/>
        <v>0</v>
      </c>
    </row>
    <row r="18" spans="1:7">
      <c r="A18" s="19">
        <v>41663</v>
      </c>
      <c r="B18" s="11" t="s">
        <v>45</v>
      </c>
      <c r="C18" s="20">
        <v>1675.25</v>
      </c>
      <c r="D18" s="20">
        <v>820.74999999999989</v>
      </c>
      <c r="F18" s="4" t="b">
        <f t="shared" si="0"/>
        <v>0</v>
      </c>
      <c r="G18" s="4" t="b">
        <f t="shared" si="0"/>
        <v>0</v>
      </c>
    </row>
    <row r="19" spans="1:7">
      <c r="A19" s="19">
        <v>41701</v>
      </c>
      <c r="B19" s="11" t="s">
        <v>45</v>
      </c>
      <c r="C19" s="20">
        <v>552.25</v>
      </c>
      <c r="D19" s="20">
        <v>265</v>
      </c>
      <c r="F19" s="4" t="b">
        <f t="shared" si="0"/>
        <v>0</v>
      </c>
      <c r="G19" s="4" t="b">
        <f t="shared" si="0"/>
        <v>0</v>
      </c>
    </row>
    <row r="20" spans="1:7">
      <c r="A20" s="19">
        <v>41799</v>
      </c>
      <c r="B20" s="11" t="s">
        <v>43</v>
      </c>
      <c r="C20" s="20">
        <v>1411.75</v>
      </c>
      <c r="D20" s="20">
        <v>649.5</v>
      </c>
      <c r="F20" s="4" t="b">
        <f t="shared" si="0"/>
        <v>0</v>
      </c>
      <c r="G20" s="4" t="b">
        <f t="shared" si="0"/>
        <v>0</v>
      </c>
    </row>
    <row r="21" spans="1:7">
      <c r="A21" s="19">
        <v>41662</v>
      </c>
      <c r="B21" s="11" t="s">
        <v>40</v>
      </c>
      <c r="C21" s="20">
        <v>424.74999999999994</v>
      </c>
      <c r="D21" s="20">
        <v>148.75</v>
      </c>
      <c r="F21" s="4" t="b">
        <f t="shared" si="0"/>
        <v>0</v>
      </c>
      <c r="G21" s="4" t="b">
        <f t="shared" si="0"/>
        <v>0</v>
      </c>
    </row>
    <row r="22" spans="1:7">
      <c r="A22" s="19">
        <v>41780</v>
      </c>
      <c r="B22" s="11" t="s">
        <v>44</v>
      </c>
      <c r="C22" s="20">
        <v>1162.75</v>
      </c>
      <c r="D22" s="20">
        <v>383.75</v>
      </c>
      <c r="F22" s="4" t="b">
        <f t="shared" si="0"/>
        <v>0</v>
      </c>
      <c r="G22" s="4" t="b">
        <f t="shared" si="0"/>
        <v>0</v>
      </c>
    </row>
    <row r="23" spans="1:7">
      <c r="A23" s="19">
        <v>41800</v>
      </c>
      <c r="B23" s="11" t="s">
        <v>46</v>
      </c>
      <c r="C23" s="20">
        <v>1858.5000000000002</v>
      </c>
      <c r="D23" s="20">
        <v>855</v>
      </c>
      <c r="F23" s="4" t="b">
        <f t="shared" si="0"/>
        <v>1</v>
      </c>
      <c r="G23" s="4" t="b">
        <f t="shared" si="0"/>
        <v>1</v>
      </c>
    </row>
    <row r="24" spans="1:7">
      <c r="A24" s="19">
        <v>41651</v>
      </c>
      <c r="B24" s="11" t="s">
        <v>39</v>
      </c>
      <c r="C24" s="20">
        <v>2394.25</v>
      </c>
      <c r="D24" s="20">
        <v>766.25</v>
      </c>
      <c r="F24" s="4" t="b">
        <f t="shared" si="0"/>
        <v>1</v>
      </c>
      <c r="G24" s="4" t="b">
        <f t="shared" si="0"/>
        <v>1</v>
      </c>
    </row>
    <row r="25" spans="1:7">
      <c r="A25" s="19">
        <v>41643</v>
      </c>
      <c r="B25" s="11" t="s">
        <v>38</v>
      </c>
      <c r="C25" s="20">
        <v>2321.25</v>
      </c>
      <c r="D25" s="20">
        <v>951.75</v>
      </c>
      <c r="F25" s="4" t="b">
        <f t="shared" si="0"/>
        <v>1</v>
      </c>
      <c r="G25" s="4" t="b">
        <f t="shared" si="0"/>
        <v>1</v>
      </c>
    </row>
    <row r="26" spans="1:7">
      <c r="A26" s="19">
        <v>41707</v>
      </c>
      <c r="B26" s="11" t="s">
        <v>41</v>
      </c>
      <c r="C26" s="20">
        <v>1830.7500000000002</v>
      </c>
      <c r="D26" s="20">
        <v>659</v>
      </c>
      <c r="F26" s="4" t="b">
        <f t="shared" si="0"/>
        <v>0</v>
      </c>
      <c r="G26" s="4" t="b">
        <f t="shared" si="0"/>
        <v>0</v>
      </c>
    </row>
    <row r="27" spans="1:7">
      <c r="A27" s="19">
        <v>41800</v>
      </c>
      <c r="B27" s="11" t="s">
        <v>42</v>
      </c>
      <c r="C27" s="20">
        <v>2391</v>
      </c>
      <c r="D27" s="20">
        <v>980.25</v>
      </c>
      <c r="F27" s="4" t="b">
        <f t="shared" si="0"/>
        <v>1</v>
      </c>
      <c r="G27" s="4" t="b">
        <f t="shared" si="0"/>
        <v>1</v>
      </c>
    </row>
    <row r="28" spans="1:7">
      <c r="A28" s="19">
        <v>41743</v>
      </c>
      <c r="B28" s="11" t="s">
        <v>44</v>
      </c>
      <c r="C28" s="20">
        <v>1704.5000000000002</v>
      </c>
      <c r="D28" s="20">
        <v>733</v>
      </c>
      <c r="F28" s="4" t="b">
        <f t="shared" si="0"/>
        <v>0</v>
      </c>
      <c r="G28" s="4" t="b">
        <f t="shared" si="0"/>
        <v>0</v>
      </c>
    </row>
    <row r="29" spans="1:7">
      <c r="A29" s="19">
        <v>41739</v>
      </c>
      <c r="B29" s="11" t="s">
        <v>44</v>
      </c>
      <c r="C29" s="20">
        <v>504.25000000000006</v>
      </c>
      <c r="D29" s="20">
        <v>206.74999999999997</v>
      </c>
      <c r="F29" s="4" t="b">
        <f t="shared" si="0"/>
        <v>0</v>
      </c>
      <c r="G29" s="4" t="b">
        <f t="shared" si="0"/>
        <v>0</v>
      </c>
    </row>
    <row r="30" spans="1:7">
      <c r="A30" s="19">
        <v>41666</v>
      </c>
      <c r="B30" s="11" t="s">
        <v>41</v>
      </c>
      <c r="C30" s="20">
        <v>1143.5</v>
      </c>
      <c r="D30" s="20">
        <v>423.00000000000006</v>
      </c>
      <c r="F30" s="4" t="b">
        <f t="shared" si="0"/>
        <v>0</v>
      </c>
      <c r="G30" s="4" t="b">
        <f t="shared" si="0"/>
        <v>0</v>
      </c>
    </row>
    <row r="31" spans="1:7">
      <c r="A31" s="19">
        <v>41817</v>
      </c>
      <c r="B31" s="11" t="s">
        <v>39</v>
      </c>
      <c r="C31" s="20">
        <v>431.75</v>
      </c>
      <c r="D31" s="20">
        <v>211.50000000000003</v>
      </c>
      <c r="F31" s="4" t="b">
        <f t="shared" si="0"/>
        <v>0</v>
      </c>
      <c r="G31" s="4" t="b">
        <f t="shared" si="0"/>
        <v>0</v>
      </c>
    </row>
    <row r="32" spans="1:7">
      <c r="A32" s="19">
        <v>41674</v>
      </c>
      <c r="B32" s="11" t="s">
        <v>39</v>
      </c>
      <c r="C32" s="20">
        <v>1383.25</v>
      </c>
      <c r="D32" s="20">
        <v>498.00000000000006</v>
      </c>
      <c r="F32" s="4" t="b">
        <f t="shared" si="0"/>
        <v>0</v>
      </c>
      <c r="G32" s="4" t="b">
        <f t="shared" si="0"/>
        <v>0</v>
      </c>
    </row>
    <row r="33" spans="1:7">
      <c r="A33" s="19">
        <v>41768</v>
      </c>
      <c r="B33" s="11" t="s">
        <v>44</v>
      </c>
      <c r="C33" s="20">
        <v>1073</v>
      </c>
      <c r="D33" s="20">
        <v>429.25000000000006</v>
      </c>
      <c r="F33" s="4" t="b">
        <f t="shared" si="0"/>
        <v>0</v>
      </c>
      <c r="G33" s="4" t="b">
        <f t="shared" si="0"/>
        <v>0</v>
      </c>
    </row>
    <row r="34" spans="1:7">
      <c r="A34" s="19">
        <v>41763</v>
      </c>
      <c r="B34" s="11" t="s">
        <v>44</v>
      </c>
      <c r="C34" s="20">
        <v>1072.75</v>
      </c>
      <c r="D34" s="20">
        <v>536.5</v>
      </c>
      <c r="F34" s="4" t="b">
        <f t="shared" si="0"/>
        <v>0</v>
      </c>
      <c r="G34" s="4" t="b">
        <f t="shared" si="0"/>
        <v>0</v>
      </c>
    </row>
    <row r="35" spans="1:7">
      <c r="A35" s="19">
        <v>41750</v>
      </c>
      <c r="B35" s="11" t="s">
        <v>39</v>
      </c>
      <c r="C35" s="20">
        <v>1725.75</v>
      </c>
      <c r="D35" s="20">
        <v>586.75</v>
      </c>
      <c r="F35" s="4" t="b">
        <f t="shared" si="0"/>
        <v>0</v>
      </c>
      <c r="G35" s="4" t="b">
        <f t="shared" si="0"/>
        <v>0</v>
      </c>
    </row>
    <row r="36" spans="1:7">
      <c r="A36" s="19">
        <v>41820</v>
      </c>
      <c r="B36" s="11" t="s">
        <v>43</v>
      </c>
      <c r="C36" s="20">
        <v>475.99999999999994</v>
      </c>
      <c r="D36" s="20">
        <v>209.50000000000003</v>
      </c>
      <c r="F36" s="4" t="b">
        <f t="shared" si="0"/>
        <v>0</v>
      </c>
      <c r="G36" s="4" t="b">
        <f t="shared" si="0"/>
        <v>0</v>
      </c>
    </row>
    <row r="37" spans="1:7">
      <c r="A37" s="19">
        <v>41686</v>
      </c>
      <c r="B37" s="11" t="s">
        <v>45</v>
      </c>
      <c r="C37" s="20">
        <v>1486</v>
      </c>
      <c r="D37" s="20">
        <v>653.75</v>
      </c>
      <c r="F37" s="4" t="b">
        <f t="shared" si="0"/>
        <v>0</v>
      </c>
      <c r="G37" s="4" t="b">
        <f t="shared" si="0"/>
        <v>0</v>
      </c>
    </row>
    <row r="38" spans="1:7">
      <c r="A38" s="19">
        <v>41723</v>
      </c>
      <c r="B38" s="11" t="s">
        <v>46</v>
      </c>
      <c r="C38" s="20">
        <v>1662.25</v>
      </c>
      <c r="D38" s="20">
        <v>631.75</v>
      </c>
    </row>
    <row r="39" spans="1:7">
      <c r="A39" s="19">
        <v>41787</v>
      </c>
      <c r="B39" s="11" t="s">
        <v>42</v>
      </c>
      <c r="C39" s="20">
        <v>879.25000000000011</v>
      </c>
      <c r="D39" s="20">
        <v>316.5</v>
      </c>
    </row>
    <row r="40" spans="1:7">
      <c r="A40" s="19">
        <v>41725</v>
      </c>
      <c r="B40" s="11" t="s">
        <v>43</v>
      </c>
      <c r="C40" s="20">
        <v>1097.25</v>
      </c>
      <c r="D40" s="20">
        <v>395</v>
      </c>
    </row>
    <row r="41" spans="1:7">
      <c r="A41" s="19">
        <v>41730</v>
      </c>
      <c r="B41" s="11" t="s">
        <v>47</v>
      </c>
      <c r="C41" s="20">
        <v>628</v>
      </c>
      <c r="D41" s="20">
        <v>207.24999999999997</v>
      </c>
    </row>
    <row r="42" spans="1:7">
      <c r="A42" s="19">
        <v>41658</v>
      </c>
      <c r="B42" s="11" t="s">
        <v>40</v>
      </c>
      <c r="C42" s="20">
        <v>978.5</v>
      </c>
      <c r="D42" s="20">
        <v>401.25</v>
      </c>
    </row>
    <row r="43" spans="1:7">
      <c r="A43" s="19">
        <v>41790</v>
      </c>
      <c r="B43" s="11" t="s">
        <v>43</v>
      </c>
      <c r="C43" s="20">
        <v>1328.75</v>
      </c>
      <c r="D43" s="20">
        <v>558</v>
      </c>
    </row>
    <row r="44" spans="1:7">
      <c r="A44" s="19">
        <v>41756</v>
      </c>
      <c r="B44" s="11" t="s">
        <v>43</v>
      </c>
      <c r="C44" s="20">
        <v>2085.25</v>
      </c>
      <c r="D44" s="20">
        <v>980</v>
      </c>
    </row>
    <row r="45" spans="1:7">
      <c r="A45" s="19">
        <v>41667</v>
      </c>
      <c r="B45" s="11" t="s">
        <v>44</v>
      </c>
      <c r="C45" s="20">
        <v>1437.75</v>
      </c>
      <c r="D45" s="20">
        <v>431.25</v>
      </c>
    </row>
    <row r="46" spans="1:7">
      <c r="A46" s="19">
        <v>41750</v>
      </c>
      <c r="B46" s="11" t="s">
        <v>42</v>
      </c>
      <c r="C46" s="20">
        <v>2001.7499999999998</v>
      </c>
      <c r="D46" s="20">
        <v>800.75</v>
      </c>
    </row>
    <row r="47" spans="1:7">
      <c r="A47" s="19">
        <v>41769</v>
      </c>
      <c r="B47" s="11" t="s">
        <v>40</v>
      </c>
      <c r="C47" s="20">
        <v>378</v>
      </c>
      <c r="D47" s="20">
        <v>166.25</v>
      </c>
    </row>
    <row r="48" spans="1:7">
      <c r="A48" s="19">
        <v>41809</v>
      </c>
      <c r="B48" s="11" t="s">
        <v>45</v>
      </c>
      <c r="C48" s="20">
        <v>876.75</v>
      </c>
      <c r="D48" s="20">
        <v>377</v>
      </c>
    </row>
    <row r="49" spans="1:4">
      <c r="A49" s="19">
        <v>41737</v>
      </c>
      <c r="B49" s="11" t="s">
        <v>38</v>
      </c>
      <c r="C49" s="20">
        <v>374.00000000000006</v>
      </c>
      <c r="D49" s="20">
        <v>131</v>
      </c>
    </row>
    <row r="50" spans="1:4">
      <c r="A50" s="19">
        <v>41698</v>
      </c>
      <c r="B50" s="11" t="s">
        <v>44</v>
      </c>
      <c r="C50" s="20">
        <v>2056.5</v>
      </c>
      <c r="D50" s="20">
        <v>699.25</v>
      </c>
    </row>
    <row r="51" spans="1:4">
      <c r="A51" s="19">
        <v>41774</v>
      </c>
      <c r="B51" s="11" t="s">
        <v>43</v>
      </c>
      <c r="C51" s="20">
        <v>1315</v>
      </c>
      <c r="D51" s="20">
        <v>605</v>
      </c>
    </row>
    <row r="52" spans="1:4">
      <c r="A52" s="19">
        <v>41664</v>
      </c>
      <c r="B52" s="11" t="s">
        <v>40</v>
      </c>
      <c r="C52" s="20">
        <v>1819</v>
      </c>
      <c r="D52" s="20">
        <v>909.5</v>
      </c>
    </row>
    <row r="53" spans="1:4">
      <c r="A53" s="19">
        <v>41808</v>
      </c>
      <c r="B53" s="11" t="s">
        <v>38</v>
      </c>
      <c r="C53" s="20">
        <v>1686.25</v>
      </c>
      <c r="D53" s="20">
        <v>573.25</v>
      </c>
    </row>
    <row r="54" spans="1:4">
      <c r="A54" s="19">
        <v>41679</v>
      </c>
      <c r="B54" s="11" t="s">
        <v>47</v>
      </c>
      <c r="C54" s="20">
        <v>2366.5</v>
      </c>
      <c r="D54" s="20">
        <v>1112.25</v>
      </c>
    </row>
    <row r="55" spans="1:4">
      <c r="A55" s="19">
        <v>41715</v>
      </c>
      <c r="B55" s="11" t="s">
        <v>42</v>
      </c>
      <c r="C55" s="20">
        <v>1105.75</v>
      </c>
      <c r="D55" s="20">
        <v>475.5</v>
      </c>
    </row>
    <row r="56" spans="1:4">
      <c r="A56" s="19">
        <v>41794</v>
      </c>
      <c r="B56" s="11" t="s">
        <v>39</v>
      </c>
      <c r="C56" s="20">
        <v>2352</v>
      </c>
      <c r="D56" s="20">
        <v>729</v>
      </c>
    </row>
    <row r="57" spans="1:4">
      <c r="A57" s="19">
        <v>41658</v>
      </c>
      <c r="B57" s="11" t="s">
        <v>46</v>
      </c>
      <c r="C57" s="20">
        <v>1334.2499999999998</v>
      </c>
      <c r="D57" s="20">
        <v>573.75</v>
      </c>
    </row>
    <row r="58" spans="1:4">
      <c r="A58" s="19">
        <v>41650</v>
      </c>
      <c r="B58" s="11" t="s">
        <v>39</v>
      </c>
      <c r="C58" s="20">
        <v>1477.5</v>
      </c>
      <c r="D58" s="20">
        <v>561.5</v>
      </c>
    </row>
    <row r="59" spans="1:4">
      <c r="A59" s="19">
        <v>41815</v>
      </c>
      <c r="B59" s="11" t="s">
        <v>38</v>
      </c>
      <c r="C59" s="20">
        <v>666.75000000000011</v>
      </c>
      <c r="D59" s="20">
        <v>226.75</v>
      </c>
    </row>
    <row r="60" spans="1:4">
      <c r="A60" s="19">
        <v>41760</v>
      </c>
      <c r="B60" s="11" t="s">
        <v>43</v>
      </c>
      <c r="C60" s="20">
        <v>2126.25</v>
      </c>
      <c r="D60" s="20">
        <v>978</v>
      </c>
    </row>
    <row r="61" spans="1:4">
      <c r="A61" s="19">
        <v>41813</v>
      </c>
      <c r="B61" s="11" t="s">
        <v>45</v>
      </c>
      <c r="C61" s="20">
        <v>1972.25</v>
      </c>
      <c r="D61" s="20">
        <v>926.99999999999989</v>
      </c>
    </row>
    <row r="62" spans="1:4">
      <c r="A62" s="19">
        <v>41678</v>
      </c>
      <c r="B62" s="11" t="s">
        <v>46</v>
      </c>
      <c r="C62" s="20">
        <v>2438.75</v>
      </c>
      <c r="D62" s="20">
        <v>853.5</v>
      </c>
    </row>
    <row r="63" spans="1:4">
      <c r="A63" s="19">
        <v>41648</v>
      </c>
      <c r="B63" s="11" t="s">
        <v>45</v>
      </c>
      <c r="C63" s="20">
        <v>1803.9999999999998</v>
      </c>
      <c r="D63" s="20">
        <v>577.25</v>
      </c>
    </row>
    <row r="64" spans="1:4">
      <c r="A64" s="19">
        <v>41675</v>
      </c>
      <c r="B64" s="11" t="s">
        <v>43</v>
      </c>
      <c r="C64" s="20">
        <v>612.25</v>
      </c>
      <c r="D64" s="20">
        <v>202</v>
      </c>
    </row>
    <row r="65" spans="1:4">
      <c r="A65" s="19">
        <v>41724</v>
      </c>
      <c r="B65" s="11" t="s">
        <v>43</v>
      </c>
      <c r="C65" s="20">
        <v>1187.25</v>
      </c>
      <c r="D65" s="20">
        <v>415.50000000000006</v>
      </c>
    </row>
    <row r="66" spans="1:4">
      <c r="A66" s="19">
        <v>41774</v>
      </c>
      <c r="B66" s="11" t="s">
        <v>44</v>
      </c>
      <c r="C66" s="20">
        <v>1066</v>
      </c>
      <c r="D66" s="20">
        <v>533</v>
      </c>
    </row>
    <row r="67" spans="1:4">
      <c r="A67" s="19">
        <v>41715</v>
      </c>
      <c r="B67" s="11" t="s">
        <v>46</v>
      </c>
      <c r="C67" s="20">
        <v>1773.5</v>
      </c>
      <c r="D67" s="20">
        <v>727.25</v>
      </c>
    </row>
    <row r="68" spans="1:4">
      <c r="A68" s="19">
        <v>41817</v>
      </c>
      <c r="B68" s="11" t="s">
        <v>38</v>
      </c>
      <c r="C68" s="20">
        <v>503.00000000000006</v>
      </c>
      <c r="D68" s="20">
        <v>176</v>
      </c>
    </row>
    <row r="69" spans="1:4">
      <c r="A69" s="19">
        <v>41820</v>
      </c>
      <c r="B69" s="11" t="s">
        <v>44</v>
      </c>
      <c r="C69" s="20">
        <v>281.75</v>
      </c>
      <c r="D69" s="20">
        <v>84.5</v>
      </c>
    </row>
    <row r="70" spans="1:4">
      <c r="A70" s="19">
        <v>41692</v>
      </c>
      <c r="B70" s="11" t="s">
        <v>46</v>
      </c>
      <c r="C70" s="20">
        <v>2405.75</v>
      </c>
      <c r="D70" s="20">
        <v>1010.5000000000001</v>
      </c>
    </row>
    <row r="71" spans="1:4">
      <c r="A71" s="19">
        <v>41711</v>
      </c>
      <c r="B71" s="11" t="s">
        <v>43</v>
      </c>
      <c r="C71" s="20">
        <v>951.99999999999989</v>
      </c>
      <c r="D71" s="20">
        <v>438</v>
      </c>
    </row>
    <row r="72" spans="1:4">
      <c r="A72" s="19">
        <v>41800</v>
      </c>
      <c r="B72" s="11" t="s">
        <v>43</v>
      </c>
      <c r="C72" s="20">
        <v>576</v>
      </c>
      <c r="D72" s="20">
        <v>236.25</v>
      </c>
    </row>
    <row r="73" spans="1:4">
      <c r="A73" s="19">
        <v>41751</v>
      </c>
      <c r="B73" s="11" t="s">
        <v>45</v>
      </c>
      <c r="C73" s="20">
        <v>602</v>
      </c>
      <c r="D73" s="20">
        <v>277</v>
      </c>
    </row>
    <row r="74" spans="1:4">
      <c r="A74" s="19">
        <v>41671</v>
      </c>
      <c r="B74" s="11" t="s">
        <v>39</v>
      </c>
      <c r="C74" s="20">
        <v>409.25000000000006</v>
      </c>
      <c r="D74" s="20">
        <v>155.5</v>
      </c>
    </row>
    <row r="75" spans="1:4">
      <c r="A75" s="19">
        <v>41732</v>
      </c>
      <c r="B75" s="11" t="s">
        <v>41</v>
      </c>
      <c r="C75" s="20">
        <v>901.5</v>
      </c>
      <c r="D75" s="20">
        <v>342.5</v>
      </c>
    </row>
    <row r="76" spans="1:4">
      <c r="A76" s="19">
        <v>41715</v>
      </c>
      <c r="B76" s="11" t="s">
        <v>47</v>
      </c>
      <c r="C76" s="20">
        <v>1183.25</v>
      </c>
      <c r="D76" s="20">
        <v>520.75</v>
      </c>
    </row>
    <row r="77" spans="1:4">
      <c r="A77" s="19">
        <v>41713</v>
      </c>
      <c r="B77" s="11" t="s">
        <v>43</v>
      </c>
      <c r="C77" s="20">
        <v>1818.75</v>
      </c>
      <c r="D77" s="20">
        <v>563.75</v>
      </c>
    </row>
    <row r="78" spans="1:4">
      <c r="A78" s="19">
        <v>41778</v>
      </c>
      <c r="B78" s="11" t="s">
        <v>45</v>
      </c>
      <c r="C78" s="20">
        <v>781.75</v>
      </c>
      <c r="D78" s="20">
        <v>242.24999999999997</v>
      </c>
    </row>
    <row r="79" spans="1:4">
      <c r="A79" s="19">
        <v>41764</v>
      </c>
      <c r="B79" s="11" t="s">
        <v>38</v>
      </c>
      <c r="C79" s="20">
        <v>1835.5</v>
      </c>
      <c r="D79" s="20">
        <v>807.5</v>
      </c>
    </row>
    <row r="80" spans="1:4">
      <c r="A80" s="19">
        <v>41753</v>
      </c>
      <c r="B80" s="11" t="s">
        <v>42</v>
      </c>
      <c r="C80" s="20">
        <v>1446.7499999999998</v>
      </c>
      <c r="D80" s="20">
        <v>506.25</v>
      </c>
    </row>
    <row r="81" spans="1:4">
      <c r="A81" s="19">
        <v>41819</v>
      </c>
      <c r="B81" s="11" t="s">
        <v>45</v>
      </c>
      <c r="C81" s="20">
        <v>2228.5</v>
      </c>
      <c r="D81" s="20">
        <v>780</v>
      </c>
    </row>
    <row r="82" spans="1:4">
      <c r="A82" s="19">
        <v>41695</v>
      </c>
      <c r="B82" s="11" t="s">
        <v>47</v>
      </c>
      <c r="C82" s="20">
        <v>1670.75</v>
      </c>
      <c r="D82" s="20">
        <v>501.25</v>
      </c>
    </row>
    <row r="83" spans="1:4">
      <c r="A83" s="19">
        <v>41685</v>
      </c>
      <c r="B83" s="11" t="s">
        <v>40</v>
      </c>
      <c r="C83" s="20">
        <v>1720.75</v>
      </c>
      <c r="D83" s="20">
        <v>585</v>
      </c>
    </row>
    <row r="84" spans="1:4">
      <c r="A84" s="19">
        <v>41742</v>
      </c>
      <c r="B84" s="11" t="s">
        <v>47</v>
      </c>
      <c r="C84" s="20">
        <v>1880</v>
      </c>
      <c r="D84" s="20">
        <v>620.5</v>
      </c>
    </row>
    <row r="85" spans="1:4">
      <c r="A85" s="19">
        <v>41686</v>
      </c>
      <c r="B85" s="11" t="s">
        <v>44</v>
      </c>
      <c r="C85" s="20">
        <v>1521.0000000000002</v>
      </c>
      <c r="D85" s="20">
        <v>760.50000000000011</v>
      </c>
    </row>
    <row r="86" spans="1:4">
      <c r="A86" s="19">
        <v>41686</v>
      </c>
      <c r="B86" s="11" t="s">
        <v>47</v>
      </c>
      <c r="C86" s="20">
        <v>1264.75</v>
      </c>
      <c r="D86" s="20">
        <v>531.25</v>
      </c>
    </row>
    <row r="87" spans="1:4">
      <c r="A87" s="19">
        <v>41649</v>
      </c>
      <c r="B87" s="11" t="s">
        <v>42</v>
      </c>
      <c r="C87" s="20">
        <v>1166.25</v>
      </c>
      <c r="D87" s="20">
        <v>361.50000000000006</v>
      </c>
    </row>
    <row r="88" spans="1:4">
      <c r="A88" s="19">
        <v>41815</v>
      </c>
      <c r="B88" s="11" t="s">
        <v>43</v>
      </c>
      <c r="C88" s="20">
        <v>2152</v>
      </c>
      <c r="D88" s="20">
        <v>1011.5</v>
      </c>
    </row>
    <row r="89" spans="1:4">
      <c r="A89" s="19">
        <v>41725</v>
      </c>
      <c r="B89" s="11" t="s">
        <v>42</v>
      </c>
      <c r="C89" s="20">
        <v>1449</v>
      </c>
      <c r="D89" s="20">
        <v>449.25</v>
      </c>
    </row>
    <row r="90" spans="1:4">
      <c r="A90" s="19">
        <v>41721</v>
      </c>
      <c r="B90" s="11" t="s">
        <v>42</v>
      </c>
      <c r="C90" s="20">
        <v>430.99999999999994</v>
      </c>
      <c r="D90" s="20">
        <v>172.5</v>
      </c>
    </row>
    <row r="91" spans="1:4">
      <c r="A91" s="19">
        <v>41644</v>
      </c>
      <c r="B91" s="11" t="s">
        <v>43</v>
      </c>
      <c r="C91" s="20">
        <v>2276.5</v>
      </c>
      <c r="D91" s="20">
        <v>1001.75</v>
      </c>
    </row>
    <row r="92" spans="1:4">
      <c r="A92" s="19">
        <v>41677</v>
      </c>
      <c r="B92" s="11" t="s">
        <v>39</v>
      </c>
      <c r="C92" s="20">
        <v>1905.2499999999998</v>
      </c>
      <c r="D92" s="20">
        <v>609.75</v>
      </c>
    </row>
    <row r="93" spans="1:4">
      <c r="A93" s="19">
        <v>41712</v>
      </c>
      <c r="B93" s="11" t="s">
        <v>47</v>
      </c>
      <c r="C93" s="20">
        <v>1262.25</v>
      </c>
      <c r="D93" s="20">
        <v>479.75</v>
      </c>
    </row>
    <row r="94" spans="1:4">
      <c r="A94" s="19">
        <v>41645</v>
      </c>
      <c r="B94" s="11" t="s">
        <v>47</v>
      </c>
      <c r="C94" s="20">
        <v>494.5</v>
      </c>
      <c r="D94" s="20">
        <v>227.5</v>
      </c>
    </row>
    <row r="95" spans="1:4">
      <c r="A95" s="19">
        <v>41690</v>
      </c>
      <c r="B95" s="11" t="s">
        <v>45</v>
      </c>
      <c r="C95" s="20">
        <v>1532.5</v>
      </c>
      <c r="D95" s="20">
        <v>551.75</v>
      </c>
    </row>
    <row r="96" spans="1:4">
      <c r="A96" s="19">
        <v>41781</v>
      </c>
      <c r="B96" s="11" t="s">
        <v>38</v>
      </c>
      <c r="C96" s="20">
        <v>1503.5</v>
      </c>
      <c r="D96" s="20">
        <v>601.5</v>
      </c>
    </row>
    <row r="97" spans="1:4">
      <c r="A97" s="19">
        <v>41707</v>
      </c>
      <c r="B97" s="11" t="s">
        <v>41</v>
      </c>
      <c r="C97" s="20">
        <v>1877.75</v>
      </c>
      <c r="D97" s="20">
        <v>751</v>
      </c>
    </row>
    <row r="98" spans="1:4">
      <c r="A98" s="19">
        <v>41812</v>
      </c>
      <c r="B98" s="11" t="s">
        <v>40</v>
      </c>
      <c r="C98" s="20">
        <v>1109.5</v>
      </c>
      <c r="D98" s="20">
        <v>443.75</v>
      </c>
    </row>
    <row r="99" spans="1:4">
      <c r="A99" s="19">
        <v>41751</v>
      </c>
      <c r="B99" s="11" t="s">
        <v>39</v>
      </c>
      <c r="C99" s="20">
        <v>2185.75</v>
      </c>
      <c r="D99" s="20">
        <v>830.5</v>
      </c>
    </row>
    <row r="100" spans="1:4">
      <c r="A100" s="19">
        <v>41781</v>
      </c>
      <c r="B100" s="11" t="s">
        <v>41</v>
      </c>
      <c r="C100" s="20">
        <v>1886.75</v>
      </c>
      <c r="D100" s="20">
        <v>585</v>
      </c>
    </row>
    <row r="101" spans="1:4">
      <c r="A101" s="19">
        <v>41743</v>
      </c>
      <c r="B101" s="11" t="s">
        <v>38</v>
      </c>
      <c r="C101" s="20">
        <v>731.25</v>
      </c>
      <c r="D101" s="20">
        <v>365.75</v>
      </c>
    </row>
    <row r="102" spans="1:4">
      <c r="A102" s="19">
        <v>41718</v>
      </c>
      <c r="B102" s="11" t="s">
        <v>40</v>
      </c>
      <c r="C102" s="20">
        <v>1676.0000000000002</v>
      </c>
      <c r="D102" s="20">
        <v>687.25</v>
      </c>
    </row>
    <row r="103" spans="1:4">
      <c r="A103" s="19">
        <v>41684</v>
      </c>
      <c r="B103" s="11" t="s">
        <v>41</v>
      </c>
      <c r="C103" s="20">
        <v>781</v>
      </c>
      <c r="D103" s="20">
        <v>382.75</v>
      </c>
    </row>
    <row r="104" spans="1:4">
      <c r="A104" s="19">
        <v>41725</v>
      </c>
      <c r="B104" s="11" t="s">
        <v>47</v>
      </c>
      <c r="C104" s="20">
        <v>1677.75</v>
      </c>
      <c r="D104" s="20">
        <v>520</v>
      </c>
    </row>
    <row r="105" spans="1:4">
      <c r="A105" s="19">
        <v>41670</v>
      </c>
      <c r="B105" s="11" t="s">
        <v>44</v>
      </c>
      <c r="C105" s="20">
        <v>519.5</v>
      </c>
      <c r="D105" s="20">
        <v>233.75</v>
      </c>
    </row>
    <row r="106" spans="1:4">
      <c r="A106" s="19">
        <v>41762</v>
      </c>
      <c r="B106" s="11" t="s">
        <v>38</v>
      </c>
      <c r="C106" s="20">
        <v>1870</v>
      </c>
      <c r="D106" s="20">
        <v>916.25</v>
      </c>
    </row>
    <row r="107" spans="1:4">
      <c r="A107" s="19">
        <v>41694</v>
      </c>
      <c r="B107" s="11" t="s">
        <v>40</v>
      </c>
      <c r="C107" s="20">
        <v>494.00000000000006</v>
      </c>
      <c r="D107" s="20">
        <v>153.25</v>
      </c>
    </row>
    <row r="108" spans="1:4">
      <c r="A108" s="19">
        <v>41674</v>
      </c>
      <c r="B108" s="11" t="s">
        <v>40</v>
      </c>
      <c r="C108" s="20">
        <v>1696.5</v>
      </c>
      <c r="D108" s="20">
        <v>559.75</v>
      </c>
    </row>
    <row r="109" spans="1:4">
      <c r="A109" s="19">
        <v>41796</v>
      </c>
      <c r="B109" s="11" t="s">
        <v>40</v>
      </c>
      <c r="C109" s="20">
        <v>572</v>
      </c>
      <c r="D109" s="20">
        <v>194.5</v>
      </c>
    </row>
    <row r="110" spans="1:4">
      <c r="A110" s="19">
        <v>41709</v>
      </c>
      <c r="B110" s="11" t="s">
        <v>44</v>
      </c>
      <c r="C110" s="20">
        <v>1375.25</v>
      </c>
      <c r="D110" s="20">
        <v>412.5</v>
      </c>
    </row>
    <row r="111" spans="1:4">
      <c r="A111" s="19">
        <v>41806</v>
      </c>
      <c r="B111" s="11" t="s">
        <v>45</v>
      </c>
      <c r="C111" s="20">
        <v>401.75</v>
      </c>
      <c r="D111" s="20">
        <v>176.75</v>
      </c>
    </row>
    <row r="112" spans="1:4">
      <c r="A112" s="19">
        <v>41729</v>
      </c>
      <c r="B112" s="11" t="s">
        <v>44</v>
      </c>
      <c r="C112" s="20">
        <v>500.25000000000006</v>
      </c>
      <c r="D112" s="20">
        <v>180</v>
      </c>
    </row>
    <row r="113" spans="1:4">
      <c r="A113" s="19">
        <v>41651</v>
      </c>
      <c r="B113" s="11" t="s">
        <v>39</v>
      </c>
      <c r="C113" s="20">
        <v>531.25</v>
      </c>
      <c r="D113" s="20">
        <v>202</v>
      </c>
    </row>
    <row r="114" spans="1:4">
      <c r="A114" s="19">
        <v>41771</v>
      </c>
      <c r="B114" s="11" t="s">
        <v>40</v>
      </c>
      <c r="C114" s="20">
        <v>1014.4999999999999</v>
      </c>
      <c r="D114" s="20">
        <v>405.75</v>
      </c>
    </row>
    <row r="115" spans="1:4">
      <c r="A115" s="19">
        <v>41812</v>
      </c>
      <c r="B115" s="11" t="s">
        <v>42</v>
      </c>
      <c r="C115" s="20">
        <v>1945</v>
      </c>
      <c r="D115" s="20">
        <v>680.75</v>
      </c>
    </row>
    <row r="116" spans="1:4">
      <c r="A116" s="19">
        <v>41778</v>
      </c>
      <c r="B116" s="11" t="s">
        <v>40</v>
      </c>
      <c r="C116" s="20">
        <v>2212.5</v>
      </c>
      <c r="D116" s="20">
        <v>840.75</v>
      </c>
    </row>
    <row r="117" spans="1:4">
      <c r="A117" s="19">
        <v>41681</v>
      </c>
      <c r="B117" s="11" t="s">
        <v>42</v>
      </c>
      <c r="C117" s="20">
        <v>1704.25</v>
      </c>
      <c r="D117" s="20">
        <v>767</v>
      </c>
    </row>
    <row r="118" spans="1:4">
      <c r="A118" s="19">
        <v>41705</v>
      </c>
      <c r="B118" s="11" t="s">
        <v>38</v>
      </c>
      <c r="C118" s="20">
        <v>397.75</v>
      </c>
      <c r="D118" s="20">
        <v>167</v>
      </c>
    </row>
    <row r="119" spans="1:4">
      <c r="A119" s="19">
        <v>41811</v>
      </c>
      <c r="B119" s="11" t="s">
        <v>45</v>
      </c>
      <c r="C119" s="20">
        <v>615</v>
      </c>
      <c r="D119" s="20">
        <v>239.75</v>
      </c>
    </row>
    <row r="120" spans="1:4">
      <c r="A120" s="19">
        <v>41717</v>
      </c>
      <c r="B120" s="11" t="s">
        <v>47</v>
      </c>
      <c r="C120" s="20">
        <v>2097.5</v>
      </c>
      <c r="D120" s="20">
        <v>713.25</v>
      </c>
    </row>
    <row r="121" spans="1:4">
      <c r="A121" s="19">
        <v>41803</v>
      </c>
      <c r="B121" s="11" t="s">
        <v>45</v>
      </c>
      <c r="C121" s="20">
        <v>2070.5</v>
      </c>
      <c r="D121" s="20">
        <v>869.5</v>
      </c>
    </row>
    <row r="122" spans="1:4">
      <c r="A122" s="19">
        <v>41820</v>
      </c>
      <c r="B122" s="11" t="s">
        <v>38</v>
      </c>
      <c r="C122" s="20">
        <v>1746.75</v>
      </c>
      <c r="D122" s="20">
        <v>856.00000000000011</v>
      </c>
    </row>
    <row r="123" spans="1:4">
      <c r="A123" s="19">
        <v>41689</v>
      </c>
      <c r="B123" s="11" t="s">
        <v>41</v>
      </c>
      <c r="C123" s="20">
        <v>475.5</v>
      </c>
      <c r="D123" s="20">
        <v>237.75</v>
      </c>
    </row>
    <row r="124" spans="1:4">
      <c r="A124" s="19">
        <v>41813</v>
      </c>
      <c r="B124" s="11" t="s">
        <v>41</v>
      </c>
      <c r="C124" s="20">
        <v>2454.75</v>
      </c>
      <c r="D124" s="20">
        <v>834.5</v>
      </c>
    </row>
    <row r="125" spans="1:4">
      <c r="A125" s="19">
        <v>41687</v>
      </c>
      <c r="B125" s="11" t="s">
        <v>41</v>
      </c>
      <c r="C125" s="20">
        <v>1181</v>
      </c>
      <c r="D125" s="20">
        <v>378</v>
      </c>
    </row>
    <row r="126" spans="1:4">
      <c r="A126" s="19">
        <v>41704</v>
      </c>
      <c r="B126" s="11" t="s">
        <v>38</v>
      </c>
      <c r="C126" s="20">
        <v>2123.25</v>
      </c>
      <c r="D126" s="20">
        <v>658.24999999999989</v>
      </c>
    </row>
    <row r="127" spans="1:4">
      <c r="A127" s="19">
        <v>41684</v>
      </c>
      <c r="B127" s="11" t="s">
        <v>42</v>
      </c>
      <c r="C127" s="20">
        <v>2397.25</v>
      </c>
      <c r="D127" s="20">
        <v>767</v>
      </c>
    </row>
    <row r="128" spans="1:4">
      <c r="A128" s="19">
        <v>41798</v>
      </c>
      <c r="B128" s="11" t="s">
        <v>45</v>
      </c>
      <c r="C128" s="20">
        <v>1340.25</v>
      </c>
      <c r="D128" s="20">
        <v>630</v>
      </c>
    </row>
    <row r="129" spans="1:4">
      <c r="A129" s="19">
        <v>41653</v>
      </c>
      <c r="B129" s="11" t="s">
        <v>43</v>
      </c>
      <c r="C129" s="20">
        <v>2091.25</v>
      </c>
      <c r="D129" s="20">
        <v>1045.75</v>
      </c>
    </row>
    <row r="130" spans="1:4">
      <c r="A130" s="19">
        <v>41651</v>
      </c>
      <c r="B130" s="11" t="s">
        <v>42</v>
      </c>
      <c r="C130" s="20">
        <v>989.49999999999989</v>
      </c>
      <c r="D130" s="20">
        <v>375.99999999999994</v>
      </c>
    </row>
    <row r="131" spans="1:4">
      <c r="A131" s="19">
        <v>41785</v>
      </c>
      <c r="B131" s="11" t="s">
        <v>47</v>
      </c>
      <c r="C131" s="20">
        <v>1214.75</v>
      </c>
      <c r="D131" s="20">
        <v>546.75</v>
      </c>
    </row>
    <row r="132" spans="1:4">
      <c r="A132" s="19">
        <v>41816</v>
      </c>
      <c r="B132" s="11" t="s">
        <v>45</v>
      </c>
      <c r="C132" s="20">
        <v>2044.7500000000002</v>
      </c>
      <c r="D132" s="20">
        <v>981.49999999999989</v>
      </c>
    </row>
    <row r="133" spans="1:4">
      <c r="A133" s="19">
        <v>41705</v>
      </c>
      <c r="B133" s="11" t="s">
        <v>44</v>
      </c>
      <c r="C133" s="20">
        <v>309.75</v>
      </c>
      <c r="D133" s="20">
        <v>127</v>
      </c>
    </row>
    <row r="134" spans="1:4">
      <c r="A134" s="19">
        <v>41811</v>
      </c>
      <c r="B134" s="11" t="s">
        <v>45</v>
      </c>
      <c r="C134" s="20">
        <v>2443</v>
      </c>
      <c r="D134" s="20">
        <v>1050.5</v>
      </c>
    </row>
    <row r="135" spans="1:4">
      <c r="A135" s="19">
        <v>41719</v>
      </c>
      <c r="B135" s="11" t="s">
        <v>43</v>
      </c>
      <c r="C135" s="20">
        <v>507.75</v>
      </c>
      <c r="D135" s="20">
        <v>223.49999999999997</v>
      </c>
    </row>
    <row r="136" spans="1:4">
      <c r="A136" s="19">
        <v>41714</v>
      </c>
      <c r="B136" s="11" t="s">
        <v>39</v>
      </c>
      <c r="C136" s="20">
        <v>2181.75</v>
      </c>
      <c r="D136" s="20">
        <v>654.5</v>
      </c>
    </row>
    <row r="137" spans="1:4">
      <c r="A137" s="19">
        <v>41677</v>
      </c>
      <c r="B137" s="11" t="s">
        <v>39</v>
      </c>
      <c r="C137" s="20">
        <v>2034.75</v>
      </c>
      <c r="D137" s="20">
        <v>691.75000000000011</v>
      </c>
    </row>
    <row r="138" spans="1:4">
      <c r="A138" s="19">
        <v>41772</v>
      </c>
      <c r="B138" s="11" t="s">
        <v>43</v>
      </c>
      <c r="C138" s="20">
        <v>422.25</v>
      </c>
      <c r="D138" s="20">
        <v>169</v>
      </c>
    </row>
    <row r="139" spans="1:4">
      <c r="A139" s="19">
        <v>41754</v>
      </c>
      <c r="B139" s="11" t="s">
        <v>42</v>
      </c>
      <c r="C139" s="20">
        <v>2233.5</v>
      </c>
      <c r="D139" s="20">
        <v>871.00000000000011</v>
      </c>
    </row>
    <row r="140" spans="1:4">
      <c r="A140" s="19">
        <v>41814</v>
      </c>
      <c r="B140" s="11" t="s">
        <v>40</v>
      </c>
      <c r="C140" s="20">
        <v>1840.75</v>
      </c>
      <c r="D140" s="20">
        <v>754.75000000000011</v>
      </c>
    </row>
    <row r="141" spans="1:4">
      <c r="A141" s="19">
        <v>41651</v>
      </c>
      <c r="B141" s="11" t="s">
        <v>45</v>
      </c>
      <c r="C141" s="20">
        <v>1923.2500000000002</v>
      </c>
      <c r="D141" s="20">
        <v>826.99999999999989</v>
      </c>
    </row>
    <row r="142" spans="1:4">
      <c r="A142" s="19">
        <v>41713</v>
      </c>
      <c r="B142" s="11" t="s">
        <v>40</v>
      </c>
      <c r="C142" s="20">
        <v>401.99999999999994</v>
      </c>
      <c r="D142" s="20">
        <v>124.50000000000001</v>
      </c>
    </row>
    <row r="143" spans="1:4">
      <c r="A143" s="19">
        <v>41798</v>
      </c>
      <c r="B143" s="11" t="s">
        <v>40</v>
      </c>
      <c r="C143" s="20">
        <v>1363</v>
      </c>
      <c r="D143" s="20">
        <v>586</v>
      </c>
    </row>
    <row r="144" spans="1:4">
      <c r="A144" s="19">
        <v>41739</v>
      </c>
      <c r="B144" s="11" t="s">
        <v>42</v>
      </c>
      <c r="C144" s="20">
        <v>1789.5</v>
      </c>
      <c r="D144" s="20">
        <v>787.5</v>
      </c>
    </row>
    <row r="145" spans="1:4">
      <c r="A145" s="19">
        <v>41672</v>
      </c>
      <c r="B145" s="11" t="s">
        <v>43</v>
      </c>
      <c r="C145" s="20">
        <v>374.75</v>
      </c>
      <c r="D145" s="20">
        <v>153.75</v>
      </c>
    </row>
    <row r="146" spans="1:4">
      <c r="A146" s="19">
        <v>41797</v>
      </c>
      <c r="B146" s="11" t="s">
        <v>39</v>
      </c>
      <c r="C146" s="20">
        <v>656.5</v>
      </c>
      <c r="D146" s="20">
        <v>302</v>
      </c>
    </row>
    <row r="147" spans="1:4">
      <c r="A147" s="19">
        <v>41768</v>
      </c>
      <c r="B147" s="11" t="s">
        <v>45</v>
      </c>
      <c r="C147" s="20">
        <v>481.25</v>
      </c>
      <c r="D147" s="20">
        <v>240.75000000000003</v>
      </c>
    </row>
    <row r="148" spans="1:4">
      <c r="A148" s="19">
        <v>41780</v>
      </c>
      <c r="B148" s="11" t="s">
        <v>41</v>
      </c>
      <c r="C148" s="20">
        <v>2130.25</v>
      </c>
      <c r="D148" s="20">
        <v>1043.75</v>
      </c>
    </row>
    <row r="149" spans="1:4">
      <c r="A149" s="19">
        <v>41683</v>
      </c>
      <c r="B149" s="11" t="s">
        <v>42</v>
      </c>
      <c r="C149" s="20">
        <v>2285.25</v>
      </c>
      <c r="D149" s="20">
        <v>731.25</v>
      </c>
    </row>
    <row r="150" spans="1:4">
      <c r="A150" s="19">
        <v>41793</v>
      </c>
      <c r="B150" s="11" t="s">
        <v>40</v>
      </c>
      <c r="C150" s="20">
        <v>1105.25</v>
      </c>
      <c r="D150" s="20">
        <v>552.75</v>
      </c>
    </row>
    <row r="151" spans="1:4">
      <c r="A151" s="19">
        <v>41782</v>
      </c>
      <c r="B151" s="11" t="s">
        <v>40</v>
      </c>
      <c r="C151" s="20">
        <v>1929.75</v>
      </c>
      <c r="D151" s="20">
        <v>907</v>
      </c>
    </row>
    <row r="152" spans="1:4">
      <c r="A152" s="19">
        <v>41724</v>
      </c>
      <c r="B152" s="11" t="s">
        <v>41</v>
      </c>
      <c r="C152" s="20">
        <v>1942.7499999999998</v>
      </c>
      <c r="D152" s="20">
        <v>757.74999999999989</v>
      </c>
    </row>
    <row r="153" spans="1:4">
      <c r="A153" s="19">
        <v>41751</v>
      </c>
      <c r="B153" s="11" t="s">
        <v>38</v>
      </c>
      <c r="C153" s="20">
        <v>1977.2500000000002</v>
      </c>
      <c r="D153" s="20">
        <v>751.25</v>
      </c>
    </row>
    <row r="154" spans="1:4">
      <c r="A154" s="19">
        <v>41652</v>
      </c>
      <c r="B154" s="11" t="s">
        <v>40</v>
      </c>
      <c r="C154" s="20">
        <v>1630</v>
      </c>
      <c r="D154" s="20">
        <v>651.99999999999989</v>
      </c>
    </row>
    <row r="155" spans="1:4">
      <c r="A155" s="19">
        <v>41707</v>
      </c>
      <c r="B155" s="11" t="s">
        <v>41</v>
      </c>
      <c r="C155" s="20">
        <v>2325.75</v>
      </c>
      <c r="D155" s="20">
        <v>790.75</v>
      </c>
    </row>
    <row r="156" spans="1:4">
      <c r="A156" s="19">
        <v>41771</v>
      </c>
      <c r="B156" s="11" t="s">
        <v>47</v>
      </c>
      <c r="C156" s="20">
        <v>1903</v>
      </c>
      <c r="D156" s="20">
        <v>780.25</v>
      </c>
    </row>
    <row r="157" spans="1:4">
      <c r="A157" s="19">
        <v>41786</v>
      </c>
      <c r="B157" s="11" t="s">
        <v>46</v>
      </c>
      <c r="C157" s="20">
        <v>1934.75</v>
      </c>
      <c r="D157" s="20">
        <v>657.74999999999989</v>
      </c>
    </row>
    <row r="158" spans="1:4">
      <c r="A158" s="19">
        <v>41800</v>
      </c>
      <c r="B158" s="11" t="s">
        <v>41</v>
      </c>
      <c r="C158" s="20">
        <v>2127.5</v>
      </c>
      <c r="D158" s="20">
        <v>808.50000000000011</v>
      </c>
    </row>
    <row r="159" spans="1:4">
      <c r="A159" s="19">
        <v>41651</v>
      </c>
      <c r="B159" s="11" t="s">
        <v>38</v>
      </c>
      <c r="C159" s="20">
        <v>2224.25</v>
      </c>
      <c r="D159" s="20">
        <v>756.25</v>
      </c>
    </row>
    <row r="160" spans="1:4">
      <c r="A160" s="19">
        <v>41672</v>
      </c>
      <c r="B160" s="11" t="s">
        <v>47</v>
      </c>
      <c r="C160" s="20">
        <v>1880.7500000000002</v>
      </c>
      <c r="D160" s="20">
        <v>733.5</v>
      </c>
    </row>
    <row r="161" spans="1:4">
      <c r="A161" s="19">
        <v>41739</v>
      </c>
      <c r="B161" s="11" t="s">
        <v>45</v>
      </c>
      <c r="C161" s="20">
        <v>2124.75</v>
      </c>
      <c r="D161" s="20">
        <v>765</v>
      </c>
    </row>
    <row r="162" spans="1:4">
      <c r="A162" s="19">
        <v>41698</v>
      </c>
      <c r="B162" s="11" t="s">
        <v>42</v>
      </c>
      <c r="C162" s="20">
        <v>1149.25</v>
      </c>
      <c r="D162" s="20">
        <v>413.75</v>
      </c>
    </row>
    <row r="163" spans="1:4">
      <c r="A163" s="19">
        <v>41731</v>
      </c>
      <c r="B163" s="11" t="s">
        <v>44</v>
      </c>
      <c r="C163" s="20">
        <v>1595.25</v>
      </c>
      <c r="D163" s="20">
        <v>781.75</v>
      </c>
    </row>
    <row r="164" spans="1:4">
      <c r="A164" s="19">
        <v>41776</v>
      </c>
      <c r="B164" s="11" t="s">
        <v>41</v>
      </c>
      <c r="C164" s="20">
        <v>1425.25</v>
      </c>
      <c r="D164" s="20">
        <v>498.75</v>
      </c>
    </row>
    <row r="165" spans="1:4">
      <c r="A165" s="19">
        <v>41672</v>
      </c>
      <c r="B165" s="11" t="s">
        <v>44</v>
      </c>
      <c r="C165" s="20">
        <v>1288.5</v>
      </c>
      <c r="D165" s="20">
        <v>425.25000000000006</v>
      </c>
    </row>
    <row r="166" spans="1:4">
      <c r="A166" s="19">
        <v>41678</v>
      </c>
      <c r="B166" s="11" t="s">
        <v>41</v>
      </c>
      <c r="C166" s="20">
        <v>1964.7500000000002</v>
      </c>
      <c r="D166" s="20">
        <v>746.5</v>
      </c>
    </row>
    <row r="167" spans="1:4">
      <c r="A167" s="19">
        <v>41783</v>
      </c>
      <c r="B167" s="11" t="s">
        <v>46</v>
      </c>
      <c r="C167" s="20">
        <v>1917.25</v>
      </c>
      <c r="D167" s="20">
        <v>958.75</v>
      </c>
    </row>
    <row r="168" spans="1:4">
      <c r="A168" s="19">
        <v>41748</v>
      </c>
      <c r="B168" s="11" t="s">
        <v>39</v>
      </c>
      <c r="C168" s="20">
        <v>327.5</v>
      </c>
      <c r="D168" s="20">
        <v>157.25</v>
      </c>
    </row>
    <row r="169" spans="1:4">
      <c r="A169" s="19">
        <v>41810</v>
      </c>
      <c r="B169" s="11" t="s">
        <v>44</v>
      </c>
      <c r="C169" s="20">
        <v>633.75</v>
      </c>
      <c r="D169" s="20">
        <v>278.75</v>
      </c>
    </row>
    <row r="170" spans="1:4">
      <c r="A170" s="19">
        <v>41798</v>
      </c>
      <c r="B170" s="11" t="s">
        <v>44</v>
      </c>
      <c r="C170" s="20">
        <v>1438</v>
      </c>
      <c r="D170" s="20">
        <v>546.5</v>
      </c>
    </row>
    <row r="171" spans="1:4">
      <c r="A171" s="19">
        <v>41748</v>
      </c>
      <c r="B171" s="11" t="s">
        <v>45</v>
      </c>
      <c r="C171" s="20">
        <v>1732.5</v>
      </c>
      <c r="D171" s="20">
        <v>623.75</v>
      </c>
    </row>
    <row r="172" spans="1:4">
      <c r="A172" s="19">
        <v>41698</v>
      </c>
      <c r="B172" s="11" t="s">
        <v>45</v>
      </c>
      <c r="C172" s="20">
        <v>673.00000000000011</v>
      </c>
      <c r="D172" s="20">
        <v>302.75</v>
      </c>
    </row>
    <row r="173" spans="1:4">
      <c r="A173" s="19">
        <v>41784</v>
      </c>
      <c r="B173" s="11" t="s">
        <v>45</v>
      </c>
      <c r="C173" s="20">
        <v>585.75</v>
      </c>
      <c r="D173" s="20">
        <v>199.25</v>
      </c>
    </row>
    <row r="174" spans="1:4">
      <c r="A174" s="19">
        <v>41772</v>
      </c>
      <c r="B174" s="11" t="s">
        <v>40</v>
      </c>
      <c r="C174" s="20">
        <v>1555</v>
      </c>
      <c r="D174" s="20">
        <v>544.25</v>
      </c>
    </row>
    <row r="175" spans="1:4">
      <c r="A175" s="19">
        <v>41711</v>
      </c>
      <c r="B175" s="11" t="s">
        <v>39</v>
      </c>
      <c r="C175" s="20">
        <v>2423.5</v>
      </c>
      <c r="D175" s="20">
        <v>1090.5</v>
      </c>
    </row>
    <row r="176" spans="1:4">
      <c r="A176" s="19">
        <v>41754</v>
      </c>
      <c r="B176" s="11" t="s">
        <v>47</v>
      </c>
      <c r="C176" s="20">
        <v>979.75</v>
      </c>
      <c r="D176" s="20">
        <v>480</v>
      </c>
    </row>
    <row r="177" spans="1:4">
      <c r="A177" s="19">
        <v>41715</v>
      </c>
      <c r="B177" s="11" t="s">
        <v>40</v>
      </c>
      <c r="C177" s="20">
        <v>340.75</v>
      </c>
      <c r="D177" s="20">
        <v>129.5</v>
      </c>
    </row>
    <row r="178" spans="1:4">
      <c r="A178" s="19">
        <v>41751</v>
      </c>
      <c r="B178" s="11" t="s">
        <v>39</v>
      </c>
      <c r="C178" s="20">
        <v>870</v>
      </c>
      <c r="D178" s="20">
        <v>287</v>
      </c>
    </row>
    <row r="179" spans="1:4">
      <c r="A179" s="19">
        <v>41712</v>
      </c>
      <c r="B179" s="11" t="s">
        <v>45</v>
      </c>
      <c r="C179" s="20">
        <v>675.25</v>
      </c>
      <c r="D179" s="20">
        <v>202.5</v>
      </c>
    </row>
    <row r="180" spans="1:4">
      <c r="A180" s="19">
        <v>41667</v>
      </c>
      <c r="B180" s="11" t="s">
        <v>41</v>
      </c>
      <c r="C180" s="20">
        <v>598.25</v>
      </c>
      <c r="D180" s="20">
        <v>299.25</v>
      </c>
    </row>
    <row r="181" spans="1:4">
      <c r="A181" s="19">
        <v>41733</v>
      </c>
      <c r="B181" s="11" t="s">
        <v>41</v>
      </c>
      <c r="C181" s="20">
        <v>1137</v>
      </c>
      <c r="D181" s="20">
        <v>352.5</v>
      </c>
    </row>
    <row r="182" spans="1:4">
      <c r="A182" s="19">
        <v>41671</v>
      </c>
      <c r="B182" s="11" t="s">
        <v>40</v>
      </c>
      <c r="C182" s="20">
        <v>2452.5</v>
      </c>
      <c r="D182" s="20">
        <v>932</v>
      </c>
    </row>
    <row r="183" spans="1:4">
      <c r="A183" s="19">
        <v>41764</v>
      </c>
      <c r="B183" s="11" t="s">
        <v>41</v>
      </c>
      <c r="C183" s="20">
        <v>1952.5</v>
      </c>
      <c r="D183" s="20">
        <v>878.75</v>
      </c>
    </row>
    <row r="184" spans="1:4">
      <c r="A184" s="19">
        <v>41720</v>
      </c>
      <c r="B184" s="11" t="s">
        <v>39</v>
      </c>
      <c r="C184" s="20">
        <v>1003.25</v>
      </c>
      <c r="D184" s="20">
        <v>471.5</v>
      </c>
    </row>
    <row r="185" spans="1:4">
      <c r="A185" s="19">
        <v>41693</v>
      </c>
      <c r="B185" s="11" t="s">
        <v>39</v>
      </c>
      <c r="C185" s="20">
        <v>2193</v>
      </c>
      <c r="D185" s="20">
        <v>965</v>
      </c>
    </row>
    <row r="186" spans="1:4">
      <c r="A186" s="19">
        <v>41662</v>
      </c>
      <c r="B186" s="11" t="s">
        <v>42</v>
      </c>
      <c r="C186" s="20">
        <v>1976.5</v>
      </c>
      <c r="D186" s="20">
        <v>731.25</v>
      </c>
    </row>
    <row r="187" spans="1:4">
      <c r="A187" s="19">
        <v>41723</v>
      </c>
      <c r="B187" s="11" t="s">
        <v>46</v>
      </c>
      <c r="C187" s="20">
        <v>2055.5</v>
      </c>
      <c r="D187" s="20">
        <v>801.75</v>
      </c>
    </row>
    <row r="188" spans="1:4">
      <c r="A188" s="19">
        <v>41654</v>
      </c>
      <c r="B188" s="11" t="s">
        <v>45</v>
      </c>
      <c r="C188" s="20">
        <v>2434.75</v>
      </c>
      <c r="D188" s="20">
        <v>1193</v>
      </c>
    </row>
    <row r="189" spans="1:4">
      <c r="A189" s="19">
        <v>41679</v>
      </c>
      <c r="B189" s="11" t="s">
        <v>40</v>
      </c>
      <c r="C189" s="20">
        <v>1394.25</v>
      </c>
      <c r="D189" s="20">
        <v>599.5</v>
      </c>
    </row>
    <row r="190" spans="1:4">
      <c r="A190" s="19">
        <v>41674</v>
      </c>
      <c r="B190" s="11" t="s">
        <v>43</v>
      </c>
      <c r="C190" s="20">
        <v>1043.5</v>
      </c>
      <c r="D190" s="20">
        <v>407</v>
      </c>
    </row>
    <row r="191" spans="1:4">
      <c r="A191" s="19">
        <v>41764</v>
      </c>
      <c r="B191" s="11" t="s">
        <v>47</v>
      </c>
      <c r="C191" s="20">
        <v>455.75</v>
      </c>
      <c r="D191" s="20">
        <v>145.75</v>
      </c>
    </row>
    <row r="192" spans="1:4">
      <c r="A192" s="19">
        <v>41792</v>
      </c>
      <c r="B192" s="11" t="s">
        <v>38</v>
      </c>
      <c r="C192" s="20">
        <v>1912.25</v>
      </c>
      <c r="D192" s="20">
        <v>726.75</v>
      </c>
    </row>
    <row r="193" spans="1:4">
      <c r="A193" s="19">
        <v>41761</v>
      </c>
      <c r="B193" s="11" t="s">
        <v>42</v>
      </c>
      <c r="C193" s="20">
        <v>1621.5</v>
      </c>
      <c r="D193" s="20">
        <v>648.50000000000011</v>
      </c>
    </row>
    <row r="194" spans="1:4">
      <c r="A194" s="19">
        <v>41773</v>
      </c>
      <c r="B194" s="11" t="s">
        <v>45</v>
      </c>
      <c r="C194" s="20">
        <v>1617.5</v>
      </c>
      <c r="D194" s="20">
        <v>663.25</v>
      </c>
    </row>
    <row r="195" spans="1:4">
      <c r="A195" s="19">
        <v>41744</v>
      </c>
      <c r="B195" s="11" t="s">
        <v>42</v>
      </c>
      <c r="C195" s="20">
        <v>391.5</v>
      </c>
      <c r="D195" s="20">
        <v>195.75</v>
      </c>
    </row>
    <row r="196" spans="1:4">
      <c r="A196" s="19">
        <v>41746</v>
      </c>
      <c r="B196" s="11" t="s">
        <v>38</v>
      </c>
      <c r="C196" s="20">
        <v>675.5</v>
      </c>
      <c r="D196" s="20">
        <v>216.25</v>
      </c>
    </row>
    <row r="197" spans="1:4">
      <c r="A197" s="19">
        <v>41702</v>
      </c>
      <c r="B197" s="11" t="s">
        <v>41</v>
      </c>
      <c r="C197" s="20">
        <v>1314.25</v>
      </c>
      <c r="D197" s="20">
        <v>433.75</v>
      </c>
    </row>
    <row r="198" spans="1:4">
      <c r="A198" s="19">
        <v>41816</v>
      </c>
      <c r="B198" s="11" t="s">
        <v>41</v>
      </c>
      <c r="C198" s="20">
        <v>2467</v>
      </c>
      <c r="D198" s="20">
        <v>789.49999999999989</v>
      </c>
    </row>
    <row r="199" spans="1:4">
      <c r="A199" s="19">
        <v>41690</v>
      </c>
      <c r="B199" s="11" t="s">
        <v>40</v>
      </c>
      <c r="C199" s="20">
        <v>2154.25</v>
      </c>
      <c r="D199" s="20">
        <v>969.5</v>
      </c>
    </row>
    <row r="200" spans="1:4">
      <c r="A200" s="19">
        <v>41812</v>
      </c>
      <c r="B200" s="11" t="s">
        <v>38</v>
      </c>
      <c r="C200" s="20">
        <v>2232</v>
      </c>
      <c r="D200" s="20">
        <v>803.5</v>
      </c>
    </row>
    <row r="201" spans="1:4">
      <c r="A201" s="19">
        <v>41815</v>
      </c>
      <c r="B201" s="11" t="s">
        <v>44</v>
      </c>
      <c r="C201" s="20">
        <v>1132.25</v>
      </c>
      <c r="D201" s="20">
        <v>475.5</v>
      </c>
    </row>
    <row r="202" spans="1:4">
      <c r="A202" s="19">
        <v>41818</v>
      </c>
      <c r="B202" s="11" t="s">
        <v>46</v>
      </c>
      <c r="C202" s="20">
        <v>1689.7500000000002</v>
      </c>
      <c r="D202" s="20">
        <v>676</v>
      </c>
    </row>
    <row r="203" spans="1:4">
      <c r="A203" s="19">
        <v>41672</v>
      </c>
      <c r="B203" s="11" t="s">
        <v>41</v>
      </c>
      <c r="C203" s="20">
        <v>587.25</v>
      </c>
      <c r="D203" s="20">
        <v>240.75000000000003</v>
      </c>
    </row>
    <row r="204" spans="1:4">
      <c r="A204" s="19">
        <v>41790</v>
      </c>
      <c r="B204" s="11" t="s">
        <v>45</v>
      </c>
      <c r="C204" s="20">
        <v>1120.75</v>
      </c>
      <c r="D204" s="20">
        <v>560.5</v>
      </c>
    </row>
    <row r="205" spans="1:4">
      <c r="A205" s="19">
        <v>41809</v>
      </c>
      <c r="B205" s="11" t="s">
        <v>40</v>
      </c>
      <c r="C205" s="20">
        <v>2162</v>
      </c>
      <c r="D205" s="20">
        <v>1059.5</v>
      </c>
    </row>
    <row r="206" spans="1:4">
      <c r="A206" s="19">
        <v>41650</v>
      </c>
      <c r="B206" s="11" t="s">
        <v>42</v>
      </c>
      <c r="C206" s="20">
        <v>2198.25</v>
      </c>
      <c r="D206" s="20">
        <v>703.5</v>
      </c>
    </row>
    <row r="207" spans="1:4">
      <c r="A207" s="19">
        <v>41640</v>
      </c>
      <c r="B207" s="11" t="s">
        <v>43</v>
      </c>
      <c r="C207" s="20">
        <v>1898.5</v>
      </c>
      <c r="D207" s="20">
        <v>626.5</v>
      </c>
    </row>
    <row r="208" spans="1:4">
      <c r="A208" s="19">
        <v>41800</v>
      </c>
      <c r="B208" s="11" t="s">
        <v>38</v>
      </c>
      <c r="C208" s="20">
        <v>1381.75</v>
      </c>
      <c r="D208" s="20">
        <v>580.25</v>
      </c>
    </row>
    <row r="209" spans="1:4">
      <c r="A209" s="19">
        <v>41746</v>
      </c>
      <c r="B209" s="11" t="s">
        <v>42</v>
      </c>
      <c r="C209" s="20">
        <v>1445</v>
      </c>
      <c r="D209" s="20">
        <v>534.75</v>
      </c>
    </row>
    <row r="210" spans="1:4">
      <c r="A210" s="19">
        <v>41689</v>
      </c>
      <c r="B210" s="11" t="s">
        <v>45</v>
      </c>
      <c r="C210" s="20">
        <v>2251.5</v>
      </c>
      <c r="D210" s="20">
        <v>945.74999999999989</v>
      </c>
    </row>
    <row r="211" spans="1:4">
      <c r="A211" s="19">
        <v>41742</v>
      </c>
      <c r="B211" s="11" t="s">
        <v>46</v>
      </c>
      <c r="C211" s="20">
        <v>1484.5000000000002</v>
      </c>
      <c r="D211" s="20">
        <v>490</v>
      </c>
    </row>
    <row r="212" spans="1:4">
      <c r="A212" s="19">
        <v>41741</v>
      </c>
      <c r="B212" s="11" t="s">
        <v>45</v>
      </c>
      <c r="C212" s="20">
        <v>462.75000000000006</v>
      </c>
      <c r="D212" s="20">
        <v>194.24999999999997</v>
      </c>
    </row>
    <row r="213" spans="1:4">
      <c r="A213" s="19">
        <v>41796</v>
      </c>
      <c r="B213" s="11" t="s">
        <v>43</v>
      </c>
      <c r="C213" s="20">
        <v>492.25</v>
      </c>
      <c r="D213" s="20">
        <v>211.75</v>
      </c>
    </row>
    <row r="214" spans="1:4">
      <c r="A214" s="19">
        <v>41800</v>
      </c>
      <c r="B214" s="11" t="s">
        <v>45</v>
      </c>
      <c r="C214" s="20">
        <v>1130.75</v>
      </c>
      <c r="D214" s="20">
        <v>508.75</v>
      </c>
    </row>
    <row r="215" spans="1:4">
      <c r="A215" s="19">
        <v>41720</v>
      </c>
      <c r="B215" s="11" t="s">
        <v>45</v>
      </c>
      <c r="C215" s="20">
        <v>1240.25</v>
      </c>
      <c r="D215" s="20">
        <v>570.5</v>
      </c>
    </row>
    <row r="216" spans="1:4">
      <c r="A216" s="19">
        <v>41667</v>
      </c>
      <c r="B216" s="11" t="s">
        <v>39</v>
      </c>
      <c r="C216" s="20">
        <v>2023.2500000000002</v>
      </c>
      <c r="D216" s="20">
        <v>829.5</v>
      </c>
    </row>
    <row r="217" spans="1:4">
      <c r="A217" s="19">
        <v>41725</v>
      </c>
      <c r="B217" s="11" t="s">
        <v>42</v>
      </c>
      <c r="C217" s="20">
        <v>1841.75</v>
      </c>
      <c r="D217" s="20">
        <v>792</v>
      </c>
    </row>
    <row r="218" spans="1:4">
      <c r="A218" s="19">
        <v>41742</v>
      </c>
      <c r="B218" s="11" t="s">
        <v>45</v>
      </c>
      <c r="C218" s="20">
        <v>586</v>
      </c>
      <c r="D218" s="20">
        <v>205</v>
      </c>
    </row>
    <row r="219" spans="1:4">
      <c r="A219" s="19">
        <v>41713</v>
      </c>
      <c r="B219" s="11" t="s">
        <v>47</v>
      </c>
      <c r="C219" s="20">
        <v>905.25</v>
      </c>
      <c r="D219" s="20">
        <v>353</v>
      </c>
    </row>
    <row r="220" spans="1:4">
      <c r="A220" s="19">
        <v>41732</v>
      </c>
      <c r="B220" s="11" t="s">
        <v>42</v>
      </c>
      <c r="C220" s="20">
        <v>256</v>
      </c>
      <c r="D220" s="20">
        <v>82</v>
      </c>
    </row>
    <row r="221" spans="1:4">
      <c r="A221" s="19">
        <v>41724</v>
      </c>
      <c r="B221" s="11" t="s">
        <v>45</v>
      </c>
      <c r="C221" s="20">
        <v>1961</v>
      </c>
      <c r="D221" s="20">
        <v>666.75000000000011</v>
      </c>
    </row>
    <row r="222" spans="1:4">
      <c r="A222" s="19">
        <v>41809</v>
      </c>
      <c r="B222" s="11" t="s">
        <v>40</v>
      </c>
      <c r="C222" s="20">
        <v>2177</v>
      </c>
      <c r="D222" s="20">
        <v>892.5</v>
      </c>
    </row>
    <row r="223" spans="1:4">
      <c r="A223" s="19">
        <v>41708</v>
      </c>
      <c r="B223" s="11" t="s">
        <v>41</v>
      </c>
      <c r="C223" s="20">
        <v>1105.5</v>
      </c>
      <c r="D223" s="20">
        <v>431.25</v>
      </c>
    </row>
    <row r="224" spans="1:4">
      <c r="A224" s="19">
        <v>41815</v>
      </c>
      <c r="B224" s="11" t="s">
        <v>42</v>
      </c>
      <c r="C224" s="20">
        <v>2279.5</v>
      </c>
      <c r="D224" s="20">
        <v>1094.25</v>
      </c>
    </row>
    <row r="225" spans="1:4">
      <c r="A225" s="19">
        <v>41808</v>
      </c>
      <c r="B225" s="11" t="s">
        <v>47</v>
      </c>
      <c r="C225" s="20">
        <v>1831.25</v>
      </c>
      <c r="D225" s="20">
        <v>842.5</v>
      </c>
    </row>
    <row r="226" spans="1:4">
      <c r="A226" s="19">
        <v>41642</v>
      </c>
      <c r="B226" s="11" t="s">
        <v>41</v>
      </c>
      <c r="C226" s="20">
        <v>717.75</v>
      </c>
      <c r="D226" s="20">
        <v>258.5</v>
      </c>
    </row>
    <row r="227" spans="1:4">
      <c r="A227" s="19">
        <v>41779</v>
      </c>
      <c r="B227" s="11" t="s">
        <v>46</v>
      </c>
      <c r="C227" s="20">
        <v>1143.5</v>
      </c>
      <c r="D227" s="20">
        <v>480.25000000000006</v>
      </c>
    </row>
    <row r="228" spans="1:4">
      <c r="A228" s="19">
        <v>41684</v>
      </c>
      <c r="B228" s="11" t="s">
        <v>44</v>
      </c>
      <c r="C228" s="20">
        <v>280.5</v>
      </c>
      <c r="D228" s="20">
        <v>95.25</v>
      </c>
    </row>
    <row r="229" spans="1:4">
      <c r="A229" s="19">
        <v>41784</v>
      </c>
      <c r="B229" s="11" t="s">
        <v>42</v>
      </c>
      <c r="C229" s="20">
        <v>362.75</v>
      </c>
      <c r="D229" s="20">
        <v>145</v>
      </c>
    </row>
    <row r="230" spans="1:4">
      <c r="A230" s="19">
        <v>41812</v>
      </c>
      <c r="B230" s="11" t="s">
        <v>38</v>
      </c>
      <c r="C230" s="20">
        <v>509.49999999999994</v>
      </c>
      <c r="D230" s="20">
        <v>162.99999999999997</v>
      </c>
    </row>
    <row r="231" spans="1:4">
      <c r="A231" s="19">
        <v>41807</v>
      </c>
      <c r="B231" s="11" t="s">
        <v>43</v>
      </c>
      <c r="C231" s="20">
        <v>1144.5</v>
      </c>
      <c r="D231" s="20">
        <v>560.75</v>
      </c>
    </row>
    <row r="232" spans="1:4">
      <c r="A232" s="19">
        <v>41745</v>
      </c>
      <c r="B232" s="11" t="s">
        <v>46</v>
      </c>
      <c r="C232" s="20">
        <v>723.25</v>
      </c>
      <c r="D232" s="20">
        <v>238.75</v>
      </c>
    </row>
    <row r="233" spans="1:4">
      <c r="A233" s="19">
        <v>41711</v>
      </c>
      <c r="B233" s="11" t="s">
        <v>40</v>
      </c>
      <c r="C233" s="20">
        <v>540</v>
      </c>
      <c r="D233" s="20">
        <v>189</v>
      </c>
    </row>
    <row r="234" spans="1:4">
      <c r="A234" s="19">
        <v>41774</v>
      </c>
      <c r="B234" s="11" t="s">
        <v>44</v>
      </c>
      <c r="C234" s="20">
        <v>2080.25</v>
      </c>
      <c r="D234" s="20">
        <v>624</v>
      </c>
    </row>
    <row r="235" spans="1:4">
      <c r="A235" s="19">
        <v>41694</v>
      </c>
      <c r="B235" s="11" t="s">
        <v>40</v>
      </c>
      <c r="C235" s="20">
        <v>460.25</v>
      </c>
      <c r="D235" s="20">
        <v>175</v>
      </c>
    </row>
    <row r="236" spans="1:4">
      <c r="A236" s="19">
        <v>41793</v>
      </c>
      <c r="B236" s="11" t="s">
        <v>44</v>
      </c>
      <c r="C236" s="20">
        <v>1263</v>
      </c>
      <c r="D236" s="20">
        <v>391.5</v>
      </c>
    </row>
    <row r="237" spans="1:4">
      <c r="A237" s="19">
        <v>41820</v>
      </c>
      <c r="B237" s="11" t="s">
        <v>45</v>
      </c>
      <c r="C237" s="20">
        <v>646.75</v>
      </c>
      <c r="D237" s="20">
        <v>194</v>
      </c>
    </row>
    <row r="238" spans="1:4">
      <c r="A238" s="19">
        <v>41778</v>
      </c>
      <c r="B238" s="11" t="s">
        <v>41</v>
      </c>
      <c r="C238" s="20">
        <v>296.75</v>
      </c>
      <c r="D238" s="20">
        <v>148.5</v>
      </c>
    </row>
    <row r="239" spans="1:4">
      <c r="A239" s="19">
        <v>41656</v>
      </c>
      <c r="B239" s="11" t="s">
        <v>39</v>
      </c>
      <c r="C239" s="20">
        <v>893.75</v>
      </c>
      <c r="D239" s="20">
        <v>339.75</v>
      </c>
    </row>
    <row r="240" spans="1:4">
      <c r="A240" s="19">
        <v>41774</v>
      </c>
      <c r="B240" s="11" t="s">
        <v>39</v>
      </c>
      <c r="C240" s="20">
        <v>1036.5</v>
      </c>
      <c r="D240" s="20">
        <v>476.75</v>
      </c>
    </row>
    <row r="241" spans="1:4">
      <c r="A241" s="19">
        <v>41744</v>
      </c>
      <c r="B241" s="11" t="s">
        <v>46</v>
      </c>
      <c r="C241" s="20">
        <v>639</v>
      </c>
      <c r="D241" s="20">
        <v>287.5</v>
      </c>
    </row>
    <row r="242" spans="1:4">
      <c r="A242" s="19">
        <v>41735</v>
      </c>
      <c r="B242" s="11" t="s">
        <v>38</v>
      </c>
      <c r="C242" s="20">
        <v>354.75</v>
      </c>
      <c r="D242" s="20">
        <v>145.5</v>
      </c>
    </row>
    <row r="243" spans="1:4">
      <c r="A243" s="19">
        <v>41725</v>
      </c>
      <c r="B243" s="11" t="s">
        <v>46</v>
      </c>
      <c r="C243" s="20">
        <v>1922.5</v>
      </c>
      <c r="D243" s="20">
        <v>942</v>
      </c>
    </row>
    <row r="244" spans="1:4">
      <c r="A244" s="19">
        <v>41787</v>
      </c>
      <c r="B244" s="11" t="s">
        <v>42</v>
      </c>
      <c r="C244" s="20">
        <v>1463</v>
      </c>
      <c r="D244" s="20">
        <v>643.75</v>
      </c>
    </row>
    <row r="245" spans="1:4">
      <c r="A245" s="19">
        <v>41797</v>
      </c>
      <c r="B245" s="11" t="s">
        <v>46</v>
      </c>
      <c r="C245" s="20">
        <v>1751.5</v>
      </c>
      <c r="D245" s="20">
        <v>595.5</v>
      </c>
    </row>
    <row r="246" spans="1:4">
      <c r="A246" s="19">
        <v>41736</v>
      </c>
      <c r="B246" s="11" t="s">
        <v>47</v>
      </c>
      <c r="C246" s="20">
        <v>1645.75</v>
      </c>
      <c r="D246" s="20">
        <v>740.5</v>
      </c>
    </row>
    <row r="247" spans="1:4">
      <c r="A247" s="19">
        <v>41737</v>
      </c>
      <c r="B247" s="11" t="s">
        <v>45</v>
      </c>
      <c r="C247" s="20">
        <v>336.25</v>
      </c>
      <c r="D247" s="20">
        <v>161.5</v>
      </c>
    </row>
    <row r="248" spans="1:4">
      <c r="A248" s="19">
        <v>41773</v>
      </c>
      <c r="B248" s="11" t="s">
        <v>39</v>
      </c>
      <c r="C248" s="20">
        <v>2250.25</v>
      </c>
      <c r="D248" s="20">
        <v>720</v>
      </c>
    </row>
    <row r="249" spans="1:4">
      <c r="A249" s="19">
        <v>41721</v>
      </c>
      <c r="B249" s="11" t="s">
        <v>43</v>
      </c>
      <c r="C249" s="20">
        <v>1159.5</v>
      </c>
      <c r="D249" s="20">
        <v>347.75</v>
      </c>
    </row>
    <row r="250" spans="1:4">
      <c r="A250" s="19">
        <v>41730</v>
      </c>
      <c r="B250" s="11" t="s">
        <v>38</v>
      </c>
      <c r="C250" s="20">
        <v>2028.25</v>
      </c>
      <c r="D250" s="20">
        <v>750.5</v>
      </c>
    </row>
    <row r="251" spans="1:4">
      <c r="A251" s="19">
        <v>41684</v>
      </c>
      <c r="B251" s="11" t="s">
        <v>42</v>
      </c>
      <c r="C251" s="20">
        <v>1961.75</v>
      </c>
      <c r="D251" s="20">
        <v>804.25000000000011</v>
      </c>
    </row>
    <row r="252" spans="1:4">
      <c r="A252" s="19">
        <v>41703</v>
      </c>
      <c r="B252" s="11" t="s">
        <v>42</v>
      </c>
      <c r="C252" s="20">
        <v>1289.7500000000002</v>
      </c>
      <c r="D252" s="20">
        <v>387</v>
      </c>
    </row>
    <row r="253" spans="1:4">
      <c r="A253" s="19">
        <v>41812</v>
      </c>
      <c r="B253" s="11" t="s">
        <v>43</v>
      </c>
      <c r="C253" s="20">
        <v>782.74999999999989</v>
      </c>
      <c r="D253" s="20">
        <v>258.25</v>
      </c>
    </row>
    <row r="254" spans="1:4">
      <c r="A254" s="19">
        <v>41655</v>
      </c>
      <c r="B254" s="11" t="s">
        <v>42</v>
      </c>
      <c r="C254" s="20">
        <v>1124.25</v>
      </c>
      <c r="D254" s="20">
        <v>551</v>
      </c>
    </row>
    <row r="255" spans="1:4">
      <c r="A255" s="19">
        <v>41782</v>
      </c>
      <c r="B255" s="11" t="s">
        <v>39</v>
      </c>
      <c r="C255" s="20">
        <v>1258.5</v>
      </c>
      <c r="D255" s="20">
        <v>553.75</v>
      </c>
    </row>
    <row r="256" spans="1:4">
      <c r="A256" s="19">
        <v>41736</v>
      </c>
      <c r="B256" s="11" t="s">
        <v>41</v>
      </c>
      <c r="C256" s="20">
        <v>300</v>
      </c>
      <c r="D256" s="20">
        <v>147</v>
      </c>
    </row>
    <row r="257" spans="1:4">
      <c r="A257" s="19">
        <v>41812</v>
      </c>
      <c r="B257" s="11" t="s">
        <v>41</v>
      </c>
      <c r="C257" s="20">
        <v>877.5</v>
      </c>
      <c r="D257" s="20">
        <v>342.25</v>
      </c>
    </row>
    <row r="258" spans="1:4">
      <c r="A258" s="19">
        <v>41785</v>
      </c>
      <c r="B258" s="11" t="s">
        <v>45</v>
      </c>
      <c r="C258" s="20">
        <v>1794.7500000000002</v>
      </c>
      <c r="D258" s="20">
        <v>861.5</v>
      </c>
    </row>
    <row r="259" spans="1:4">
      <c r="A259" s="19">
        <v>41763</v>
      </c>
      <c r="B259" s="11" t="s">
        <v>46</v>
      </c>
      <c r="C259" s="20">
        <v>872.25</v>
      </c>
      <c r="D259" s="20">
        <v>305.25</v>
      </c>
    </row>
    <row r="260" spans="1:4">
      <c r="A260" s="19">
        <v>41798</v>
      </c>
      <c r="B260" s="11" t="s">
        <v>39</v>
      </c>
      <c r="C260" s="20">
        <v>2266.5</v>
      </c>
      <c r="D260" s="20">
        <v>748.00000000000011</v>
      </c>
    </row>
    <row r="261" spans="1:4">
      <c r="A261" s="19">
        <v>41687</v>
      </c>
      <c r="B261" s="11" t="s">
        <v>41</v>
      </c>
      <c r="C261" s="20">
        <v>1470</v>
      </c>
      <c r="D261" s="20">
        <v>558.5</v>
      </c>
    </row>
    <row r="262" spans="1:4">
      <c r="A262" s="19">
        <v>41750</v>
      </c>
      <c r="B262" s="11" t="s">
        <v>45</v>
      </c>
      <c r="C262" s="20">
        <v>1648.2500000000002</v>
      </c>
      <c r="D262" s="20">
        <v>741.75000000000011</v>
      </c>
    </row>
    <row r="263" spans="1:4">
      <c r="A263" s="19">
        <v>41794</v>
      </c>
      <c r="B263" s="11" t="s">
        <v>42</v>
      </c>
      <c r="C263" s="20">
        <v>1188</v>
      </c>
      <c r="D263" s="20">
        <v>522.75</v>
      </c>
    </row>
    <row r="264" spans="1:4">
      <c r="A264" s="19">
        <v>41673</v>
      </c>
      <c r="B264" s="11" t="s">
        <v>44</v>
      </c>
      <c r="C264" s="20">
        <v>2123.5</v>
      </c>
      <c r="D264" s="20">
        <v>679.5</v>
      </c>
    </row>
    <row r="265" spans="1:4">
      <c r="A265" s="19">
        <v>41716</v>
      </c>
      <c r="B265" s="11" t="s">
        <v>40</v>
      </c>
      <c r="C265" s="20">
        <v>1367.5</v>
      </c>
      <c r="D265" s="20">
        <v>683.75</v>
      </c>
    </row>
    <row r="266" spans="1:4">
      <c r="A266" s="19">
        <v>41749</v>
      </c>
      <c r="B266" s="11" t="s">
        <v>40</v>
      </c>
      <c r="C266" s="20">
        <v>1562</v>
      </c>
      <c r="D266" s="20">
        <v>781</v>
      </c>
    </row>
    <row r="267" spans="1:4">
      <c r="A267" s="19">
        <v>41815</v>
      </c>
      <c r="B267" s="11" t="s">
        <v>43</v>
      </c>
      <c r="C267" s="20">
        <v>375.99999999999994</v>
      </c>
      <c r="D267" s="20">
        <v>127.75</v>
      </c>
    </row>
    <row r="268" spans="1:4">
      <c r="A268" s="19">
        <v>41711</v>
      </c>
      <c r="B268" s="11" t="s">
        <v>38</v>
      </c>
      <c r="C268" s="20">
        <v>1707.5</v>
      </c>
      <c r="D268" s="20">
        <v>836.75</v>
      </c>
    </row>
    <row r="269" spans="1:4">
      <c r="A269" s="19">
        <v>41707</v>
      </c>
      <c r="B269" s="11" t="s">
        <v>41</v>
      </c>
      <c r="C269" s="20">
        <v>899.75000000000011</v>
      </c>
      <c r="D269" s="20">
        <v>360</v>
      </c>
    </row>
    <row r="270" spans="1:4">
      <c r="A270" s="19">
        <v>41791</v>
      </c>
      <c r="B270" s="11" t="s">
        <v>46</v>
      </c>
      <c r="C270" s="20">
        <v>858.50000000000011</v>
      </c>
      <c r="D270" s="20">
        <v>257.5</v>
      </c>
    </row>
    <row r="271" spans="1:4">
      <c r="A271" s="19">
        <v>41716</v>
      </c>
      <c r="B271" s="11" t="s">
        <v>38</v>
      </c>
      <c r="C271" s="20">
        <v>2404</v>
      </c>
      <c r="D271" s="20">
        <v>793.25</v>
      </c>
    </row>
    <row r="272" spans="1:4">
      <c r="A272" s="19">
        <v>41766</v>
      </c>
      <c r="B272" s="11" t="s">
        <v>42</v>
      </c>
      <c r="C272" s="20">
        <v>1297.5</v>
      </c>
      <c r="D272" s="20">
        <v>519</v>
      </c>
    </row>
    <row r="273" spans="1:4">
      <c r="A273" s="19">
        <v>41741</v>
      </c>
      <c r="B273" s="11" t="s">
        <v>39</v>
      </c>
      <c r="C273" s="20">
        <v>2492.5</v>
      </c>
      <c r="D273" s="20">
        <v>1246.25</v>
      </c>
    </row>
    <row r="274" spans="1:4">
      <c r="A274" s="19">
        <v>41749</v>
      </c>
      <c r="B274" s="11" t="s">
        <v>42</v>
      </c>
      <c r="C274" s="20">
        <v>813.75</v>
      </c>
      <c r="D274" s="20">
        <v>358</v>
      </c>
    </row>
    <row r="275" spans="1:4">
      <c r="A275" s="19">
        <v>41660</v>
      </c>
      <c r="B275" s="11" t="s">
        <v>44</v>
      </c>
      <c r="C275" s="20">
        <v>500.99999999999994</v>
      </c>
      <c r="D275" s="20">
        <v>170.25</v>
      </c>
    </row>
    <row r="276" spans="1:4">
      <c r="A276" s="19">
        <v>41818</v>
      </c>
      <c r="B276" s="11" t="s">
        <v>42</v>
      </c>
      <c r="C276" s="20">
        <v>440</v>
      </c>
      <c r="D276" s="20">
        <v>211.25</v>
      </c>
    </row>
    <row r="277" spans="1:4">
      <c r="A277" s="19">
        <v>41722</v>
      </c>
      <c r="B277" s="11" t="s">
        <v>46</v>
      </c>
      <c r="C277" s="20">
        <v>1093.25</v>
      </c>
      <c r="D277" s="20">
        <v>415.50000000000006</v>
      </c>
    </row>
    <row r="278" spans="1:4">
      <c r="A278" s="19">
        <v>41698</v>
      </c>
      <c r="B278" s="11" t="s">
        <v>39</v>
      </c>
      <c r="C278" s="20">
        <v>1888.25</v>
      </c>
      <c r="D278" s="20">
        <v>906.25</v>
      </c>
    </row>
    <row r="279" spans="1:4">
      <c r="A279" s="19">
        <v>41683</v>
      </c>
      <c r="B279" s="11" t="s">
        <v>38</v>
      </c>
      <c r="C279" s="20">
        <v>1408</v>
      </c>
      <c r="D279" s="20">
        <v>690</v>
      </c>
    </row>
    <row r="280" spans="1:4">
      <c r="A280" s="19">
        <v>41667</v>
      </c>
      <c r="B280" s="11" t="s">
        <v>44</v>
      </c>
      <c r="C280" s="20">
        <v>968.99999999999989</v>
      </c>
      <c r="D280" s="20">
        <v>348.75</v>
      </c>
    </row>
    <row r="281" spans="1:4">
      <c r="A281" s="19">
        <v>41712</v>
      </c>
      <c r="B281" s="11" t="s">
        <v>38</v>
      </c>
      <c r="C281" s="20">
        <v>2353.25</v>
      </c>
      <c r="D281" s="20">
        <v>894.25000000000011</v>
      </c>
    </row>
    <row r="282" spans="1:4">
      <c r="A282" s="19">
        <v>41720</v>
      </c>
      <c r="B282" s="11" t="s">
        <v>39</v>
      </c>
      <c r="C282" s="20">
        <v>1005</v>
      </c>
      <c r="D282" s="20">
        <v>421.99999999999994</v>
      </c>
    </row>
    <row r="283" spans="1:4">
      <c r="A283" s="19">
        <v>41787</v>
      </c>
      <c r="B283" s="11" t="s">
        <v>39</v>
      </c>
      <c r="C283" s="20">
        <v>1396.25</v>
      </c>
      <c r="D283" s="20">
        <v>516.5</v>
      </c>
    </row>
    <row r="284" spans="1:4">
      <c r="A284" s="19">
        <v>41769</v>
      </c>
      <c r="B284" s="11" t="s">
        <v>44</v>
      </c>
      <c r="C284" s="20">
        <v>1343</v>
      </c>
      <c r="D284" s="20">
        <v>537.25</v>
      </c>
    </row>
    <row r="285" spans="1:4">
      <c r="A285" s="19">
        <v>41756</v>
      </c>
      <c r="B285" s="11" t="s">
        <v>43</v>
      </c>
      <c r="C285" s="20">
        <v>1625.4999999999998</v>
      </c>
      <c r="D285" s="20">
        <v>650.25</v>
      </c>
    </row>
    <row r="286" spans="1:4">
      <c r="A286" s="19">
        <v>41807</v>
      </c>
      <c r="B286" s="11" t="s">
        <v>46</v>
      </c>
      <c r="C286" s="20">
        <v>1444</v>
      </c>
      <c r="D286" s="20">
        <v>476.5</v>
      </c>
    </row>
    <row r="287" spans="1:4">
      <c r="A287" s="19">
        <v>41818</v>
      </c>
      <c r="B287" s="11" t="s">
        <v>47</v>
      </c>
      <c r="C287" s="20">
        <v>594.75</v>
      </c>
      <c r="D287" s="20">
        <v>214.00000000000003</v>
      </c>
    </row>
    <row r="288" spans="1:4">
      <c r="A288" s="19">
        <v>41751</v>
      </c>
      <c r="B288" s="11" t="s">
        <v>39</v>
      </c>
      <c r="C288" s="20">
        <v>1431</v>
      </c>
      <c r="D288" s="20">
        <v>572.5</v>
      </c>
    </row>
    <row r="289" spans="1:4">
      <c r="A289" s="19">
        <v>41747</v>
      </c>
      <c r="B289" s="11" t="s">
        <v>44</v>
      </c>
      <c r="C289" s="20">
        <v>1422.5</v>
      </c>
      <c r="D289" s="20">
        <v>711.25</v>
      </c>
    </row>
    <row r="290" spans="1:4">
      <c r="A290" s="19">
        <v>41695</v>
      </c>
      <c r="B290" s="11" t="s">
        <v>44</v>
      </c>
      <c r="C290" s="20">
        <v>1294.25</v>
      </c>
      <c r="D290" s="20">
        <v>491.75000000000006</v>
      </c>
    </row>
    <row r="291" spans="1:4">
      <c r="A291" s="19">
        <v>41755</v>
      </c>
      <c r="B291" s="11" t="s">
        <v>44</v>
      </c>
      <c r="C291" s="20">
        <v>605</v>
      </c>
      <c r="D291" s="20">
        <v>254</v>
      </c>
    </row>
    <row r="292" spans="1:4">
      <c r="A292" s="19">
        <v>41640</v>
      </c>
      <c r="B292" s="11" t="s">
        <v>46</v>
      </c>
      <c r="C292" s="20">
        <v>966.75000000000011</v>
      </c>
      <c r="D292" s="20">
        <v>396.25</v>
      </c>
    </row>
    <row r="293" spans="1:4">
      <c r="A293" s="19">
        <v>41758</v>
      </c>
      <c r="B293" s="11" t="s">
        <v>47</v>
      </c>
      <c r="C293" s="20">
        <v>565.25</v>
      </c>
      <c r="D293" s="20">
        <v>169.5</v>
      </c>
    </row>
    <row r="294" spans="1:4">
      <c r="A294" s="19">
        <v>41655</v>
      </c>
      <c r="B294" s="11" t="s">
        <v>38</v>
      </c>
      <c r="C294" s="20">
        <v>901.75</v>
      </c>
      <c r="D294" s="20">
        <v>306.5</v>
      </c>
    </row>
    <row r="295" spans="1:4">
      <c r="A295" s="19">
        <v>41705</v>
      </c>
      <c r="B295" s="11" t="s">
        <v>39</v>
      </c>
      <c r="C295" s="20">
        <v>1411.5</v>
      </c>
      <c r="D295" s="20">
        <v>522.25</v>
      </c>
    </row>
    <row r="296" spans="1:4">
      <c r="A296" s="19">
        <v>41667</v>
      </c>
      <c r="B296" s="11" t="s">
        <v>38</v>
      </c>
      <c r="C296" s="20">
        <v>1028.75</v>
      </c>
      <c r="D296" s="20">
        <v>504</v>
      </c>
    </row>
    <row r="297" spans="1:4">
      <c r="A297" s="19">
        <v>41809</v>
      </c>
      <c r="B297" s="11" t="s">
        <v>45</v>
      </c>
      <c r="C297" s="20">
        <v>1522.25</v>
      </c>
      <c r="D297" s="20">
        <v>487</v>
      </c>
    </row>
    <row r="298" spans="1:4">
      <c r="A298" s="19">
        <v>41746</v>
      </c>
      <c r="B298" s="11" t="s">
        <v>40</v>
      </c>
      <c r="C298" s="20">
        <v>305.25</v>
      </c>
      <c r="D298" s="20">
        <v>128.25</v>
      </c>
    </row>
    <row r="299" spans="1:4">
      <c r="A299" s="19">
        <v>41691</v>
      </c>
      <c r="B299" s="11" t="s">
        <v>43</v>
      </c>
      <c r="C299" s="20">
        <v>1918.5</v>
      </c>
      <c r="D299" s="20">
        <v>786.5</v>
      </c>
    </row>
    <row r="300" spans="1:4">
      <c r="A300" s="19">
        <v>41808</v>
      </c>
      <c r="B300" s="11" t="s">
        <v>47</v>
      </c>
      <c r="C300" s="20">
        <v>658.24999999999989</v>
      </c>
      <c r="D300" s="20">
        <v>250.25</v>
      </c>
    </row>
    <row r="301" spans="1:4">
      <c r="A301" s="19">
        <v>41664</v>
      </c>
      <c r="B301" s="11" t="s">
        <v>42</v>
      </c>
      <c r="C301" s="20">
        <v>2155</v>
      </c>
      <c r="D301" s="20">
        <v>1056</v>
      </c>
    </row>
    <row r="302" spans="1:4">
      <c r="A302" s="19">
        <v>41683</v>
      </c>
      <c r="B302" s="11" t="s">
        <v>46</v>
      </c>
      <c r="C302" s="20">
        <v>1494.75</v>
      </c>
      <c r="D302" s="20">
        <v>702.5</v>
      </c>
    </row>
    <row r="303" spans="1:4">
      <c r="A303" s="19">
        <v>41655</v>
      </c>
      <c r="B303" s="11" t="s">
        <v>47</v>
      </c>
      <c r="C303" s="20">
        <v>1726.25</v>
      </c>
      <c r="D303" s="20">
        <v>621.5</v>
      </c>
    </row>
    <row r="304" spans="1:4">
      <c r="A304" s="19">
        <v>41690</v>
      </c>
      <c r="B304" s="11" t="s">
        <v>39</v>
      </c>
      <c r="C304" s="20">
        <v>297.5</v>
      </c>
      <c r="D304" s="20">
        <v>95.25</v>
      </c>
    </row>
    <row r="305" spans="1:4">
      <c r="A305" s="19">
        <v>41645</v>
      </c>
      <c r="B305" s="11" t="s">
        <v>39</v>
      </c>
      <c r="C305" s="20">
        <v>1681.7499999999998</v>
      </c>
      <c r="D305" s="20">
        <v>790.5</v>
      </c>
    </row>
    <row r="306" spans="1:4">
      <c r="A306" s="19">
        <v>41809</v>
      </c>
      <c r="B306" s="11" t="s">
        <v>46</v>
      </c>
      <c r="C306" s="20">
        <v>1637.5</v>
      </c>
      <c r="D306" s="20">
        <v>589.5</v>
      </c>
    </row>
    <row r="307" spans="1:4">
      <c r="A307" s="19">
        <v>41802</v>
      </c>
      <c r="B307" s="11" t="s">
        <v>40</v>
      </c>
      <c r="C307" s="20">
        <v>2456.75</v>
      </c>
      <c r="D307" s="20">
        <v>1031.75</v>
      </c>
    </row>
    <row r="308" spans="1:4">
      <c r="A308" s="19">
        <v>41685</v>
      </c>
      <c r="B308" s="11" t="s">
        <v>44</v>
      </c>
      <c r="C308" s="20">
        <v>1394.25</v>
      </c>
      <c r="D308" s="20">
        <v>613.5</v>
      </c>
    </row>
    <row r="309" spans="1:4">
      <c r="A309" s="19">
        <v>41768</v>
      </c>
      <c r="B309" s="11" t="s">
        <v>45</v>
      </c>
      <c r="C309" s="20">
        <v>713</v>
      </c>
      <c r="D309" s="20">
        <v>249.50000000000003</v>
      </c>
    </row>
    <row r="310" spans="1:4">
      <c r="A310" s="19">
        <v>41793</v>
      </c>
      <c r="B310" s="11" t="s">
        <v>43</v>
      </c>
      <c r="C310" s="20">
        <v>433</v>
      </c>
      <c r="D310" s="20">
        <v>173.25</v>
      </c>
    </row>
    <row r="311" spans="1:4">
      <c r="A311" s="19">
        <v>41811</v>
      </c>
      <c r="B311" s="11" t="s">
        <v>38</v>
      </c>
      <c r="C311" s="20">
        <v>2027.5</v>
      </c>
      <c r="D311" s="20">
        <v>750.25</v>
      </c>
    </row>
    <row r="312" spans="1:4">
      <c r="A312" s="19">
        <v>41643</v>
      </c>
      <c r="B312" s="11" t="s">
        <v>39</v>
      </c>
      <c r="C312" s="20">
        <v>1621.0000000000002</v>
      </c>
      <c r="D312" s="20">
        <v>616</v>
      </c>
    </row>
    <row r="313" spans="1:4">
      <c r="A313" s="19">
        <v>41792</v>
      </c>
      <c r="B313" s="11" t="s">
        <v>46</v>
      </c>
      <c r="C313" s="20">
        <v>1024</v>
      </c>
      <c r="D313" s="20">
        <v>368.75</v>
      </c>
    </row>
    <row r="314" spans="1:4">
      <c r="A314" s="19">
        <v>41673</v>
      </c>
      <c r="B314" s="11" t="s">
        <v>44</v>
      </c>
      <c r="C314" s="20">
        <v>527</v>
      </c>
      <c r="D314" s="20">
        <v>205.5</v>
      </c>
    </row>
    <row r="315" spans="1:4">
      <c r="A315" s="19">
        <v>41726</v>
      </c>
      <c r="B315" s="11" t="s">
        <v>46</v>
      </c>
      <c r="C315" s="20">
        <v>2190</v>
      </c>
      <c r="D315" s="20">
        <v>744.5</v>
      </c>
    </row>
    <row r="316" spans="1:4">
      <c r="A316" s="19">
        <v>41688</v>
      </c>
      <c r="B316" s="11" t="s">
        <v>46</v>
      </c>
      <c r="C316" s="20">
        <v>697</v>
      </c>
      <c r="D316" s="20">
        <v>230</v>
      </c>
    </row>
    <row r="317" spans="1:4">
      <c r="A317" s="19">
        <v>41818</v>
      </c>
      <c r="B317" s="11" t="s">
        <v>44</v>
      </c>
      <c r="C317" s="20">
        <v>986.25</v>
      </c>
      <c r="D317" s="20">
        <v>394.49999999999994</v>
      </c>
    </row>
    <row r="318" spans="1:4">
      <c r="A318" s="19">
        <v>41746</v>
      </c>
      <c r="B318" s="11" t="s">
        <v>46</v>
      </c>
      <c r="C318" s="20">
        <v>901</v>
      </c>
      <c r="D318" s="20">
        <v>414.49999999999994</v>
      </c>
    </row>
    <row r="319" spans="1:4">
      <c r="A319" s="19">
        <v>41686</v>
      </c>
      <c r="B319" s="11" t="s">
        <v>42</v>
      </c>
      <c r="C319" s="20">
        <v>1733.75</v>
      </c>
      <c r="D319" s="20">
        <v>624.25</v>
      </c>
    </row>
    <row r="320" spans="1:4">
      <c r="A320" s="19">
        <v>41779</v>
      </c>
      <c r="B320" s="11" t="s">
        <v>45</v>
      </c>
      <c r="C320" s="20">
        <v>498.00000000000006</v>
      </c>
      <c r="D320" s="20">
        <v>244</v>
      </c>
    </row>
    <row r="321" spans="1:4">
      <c r="A321" s="19">
        <v>41671</v>
      </c>
      <c r="B321" s="11" t="s">
        <v>46</v>
      </c>
      <c r="C321" s="20">
        <v>559.5</v>
      </c>
      <c r="D321" s="20">
        <v>246.25</v>
      </c>
    </row>
    <row r="322" spans="1:4">
      <c r="A322" s="19">
        <v>41734</v>
      </c>
      <c r="B322" s="11" t="s">
        <v>45</v>
      </c>
      <c r="C322" s="20">
        <v>1435</v>
      </c>
      <c r="D322" s="20">
        <v>703.25</v>
      </c>
    </row>
    <row r="323" spans="1:4">
      <c r="A323" s="19">
        <v>41810</v>
      </c>
      <c r="B323" s="11" t="s">
        <v>43</v>
      </c>
      <c r="C323" s="20">
        <v>593.5</v>
      </c>
      <c r="D323" s="20">
        <v>184.00000000000003</v>
      </c>
    </row>
    <row r="324" spans="1:4">
      <c r="A324" s="19">
        <v>41800</v>
      </c>
      <c r="B324" s="11" t="s">
        <v>40</v>
      </c>
      <c r="C324" s="20">
        <v>1835.5</v>
      </c>
      <c r="D324" s="20">
        <v>826</v>
      </c>
    </row>
    <row r="325" spans="1:4">
      <c r="A325" s="19">
        <v>41682</v>
      </c>
      <c r="B325" s="11" t="s">
        <v>42</v>
      </c>
      <c r="C325" s="20">
        <v>2486.25</v>
      </c>
      <c r="D325" s="20">
        <v>1168.5</v>
      </c>
    </row>
    <row r="326" spans="1:4">
      <c r="A326" s="19">
        <v>41689</v>
      </c>
      <c r="B326" s="11" t="s">
        <v>45</v>
      </c>
      <c r="C326" s="20">
        <v>1398.5</v>
      </c>
      <c r="D326" s="20">
        <v>657.25</v>
      </c>
    </row>
    <row r="327" spans="1:4">
      <c r="A327" s="19">
        <v>41812</v>
      </c>
      <c r="B327" s="11" t="s">
        <v>38</v>
      </c>
      <c r="C327" s="20">
        <v>1666</v>
      </c>
      <c r="D327" s="20">
        <v>749.75</v>
      </c>
    </row>
    <row r="328" spans="1:4">
      <c r="A328" s="19">
        <v>41648</v>
      </c>
      <c r="B328" s="11" t="s">
        <v>44</v>
      </c>
      <c r="C328" s="20">
        <v>905.74999999999989</v>
      </c>
      <c r="D328" s="20">
        <v>317</v>
      </c>
    </row>
    <row r="329" spans="1:4">
      <c r="A329" s="19">
        <v>41780</v>
      </c>
      <c r="B329" s="11" t="s">
        <v>43</v>
      </c>
      <c r="C329" s="20">
        <v>326.5</v>
      </c>
      <c r="D329" s="20">
        <v>133.75</v>
      </c>
    </row>
    <row r="330" spans="1:4">
      <c r="A330" s="19">
        <v>41679</v>
      </c>
      <c r="B330" s="11" t="s">
        <v>39</v>
      </c>
      <c r="C330" s="20">
        <v>2029.75</v>
      </c>
      <c r="D330" s="20">
        <v>913.5</v>
      </c>
    </row>
    <row r="331" spans="1:4">
      <c r="A331" s="19">
        <v>41698</v>
      </c>
      <c r="B331" s="11" t="s">
        <v>38</v>
      </c>
      <c r="C331" s="20">
        <v>1885.2499999999998</v>
      </c>
      <c r="D331" s="20">
        <v>754</v>
      </c>
    </row>
    <row r="332" spans="1:4">
      <c r="A332" s="19">
        <v>41653</v>
      </c>
      <c r="B332" s="11" t="s">
        <v>39</v>
      </c>
      <c r="C332" s="20">
        <v>430</v>
      </c>
      <c r="D332" s="20">
        <v>163.5</v>
      </c>
    </row>
    <row r="333" spans="1:4">
      <c r="A333" s="19">
        <v>41702</v>
      </c>
      <c r="B333" s="11" t="s">
        <v>45</v>
      </c>
      <c r="C333" s="20">
        <v>1989.2499999999998</v>
      </c>
      <c r="D333" s="20">
        <v>636.5</v>
      </c>
    </row>
    <row r="334" spans="1:4">
      <c r="A334" s="19">
        <v>41758</v>
      </c>
      <c r="B334" s="11" t="s">
        <v>41</v>
      </c>
      <c r="C334" s="20">
        <v>1527.75</v>
      </c>
      <c r="D334" s="20">
        <v>626.5</v>
      </c>
    </row>
    <row r="335" spans="1:4">
      <c r="A335" s="19">
        <v>41663</v>
      </c>
      <c r="B335" s="11" t="s">
        <v>38</v>
      </c>
      <c r="C335" s="20">
        <v>1707</v>
      </c>
      <c r="D335" s="20">
        <v>648.75</v>
      </c>
    </row>
    <row r="336" spans="1:4">
      <c r="A336" s="19">
        <v>41717</v>
      </c>
      <c r="B336" s="11" t="s">
        <v>45</v>
      </c>
      <c r="C336" s="20">
        <v>913.25</v>
      </c>
      <c r="D336" s="20">
        <v>392.75000000000006</v>
      </c>
    </row>
    <row r="337" spans="1:4">
      <c r="A337" s="19">
        <v>41780</v>
      </c>
      <c r="B337" s="11" t="s">
        <v>44</v>
      </c>
      <c r="C337" s="20">
        <v>1649.5000000000002</v>
      </c>
      <c r="D337" s="20">
        <v>626.75</v>
      </c>
    </row>
    <row r="338" spans="1:4">
      <c r="A338" s="19">
        <v>41820</v>
      </c>
      <c r="B338" s="11" t="s">
        <v>47</v>
      </c>
      <c r="C338" s="20">
        <v>2327.5</v>
      </c>
      <c r="D338" s="20">
        <v>1047.5</v>
      </c>
    </row>
    <row r="339" spans="1:4">
      <c r="A339" s="19">
        <v>41707</v>
      </c>
      <c r="B339" s="11" t="s">
        <v>47</v>
      </c>
      <c r="C339" s="20">
        <v>557</v>
      </c>
      <c r="D339" s="20">
        <v>228.25000000000003</v>
      </c>
    </row>
    <row r="340" spans="1:4">
      <c r="A340" s="19">
        <v>41684</v>
      </c>
      <c r="B340" s="11" t="s">
        <v>47</v>
      </c>
      <c r="C340" s="20">
        <v>2370</v>
      </c>
      <c r="D340" s="20">
        <v>876.99999999999989</v>
      </c>
    </row>
    <row r="341" spans="1:4">
      <c r="A341" s="19">
        <v>41704</v>
      </c>
      <c r="B341" s="11" t="s">
        <v>42</v>
      </c>
      <c r="C341" s="20">
        <v>801.75</v>
      </c>
      <c r="D341" s="20">
        <v>288.75</v>
      </c>
    </row>
    <row r="342" spans="1:4">
      <c r="A342" s="19">
        <v>41760</v>
      </c>
      <c r="B342" s="11" t="s">
        <v>43</v>
      </c>
      <c r="C342" s="20">
        <v>2315.25</v>
      </c>
      <c r="D342" s="20">
        <v>717.75</v>
      </c>
    </row>
    <row r="343" spans="1:4">
      <c r="A343" s="19">
        <v>41660</v>
      </c>
      <c r="B343" s="11" t="s">
        <v>39</v>
      </c>
      <c r="C343" s="20">
        <v>1412.25</v>
      </c>
      <c r="D343" s="20">
        <v>480.25000000000006</v>
      </c>
    </row>
    <row r="344" spans="1:4">
      <c r="A344" s="19">
        <v>41687</v>
      </c>
      <c r="B344" s="11" t="s">
        <v>44</v>
      </c>
      <c r="C344" s="20">
        <v>1282</v>
      </c>
      <c r="D344" s="20">
        <v>500</v>
      </c>
    </row>
    <row r="345" spans="1:4">
      <c r="A345" s="19">
        <v>41704</v>
      </c>
      <c r="B345" s="11" t="s">
        <v>41</v>
      </c>
      <c r="C345" s="20">
        <v>2049.75</v>
      </c>
      <c r="D345" s="20">
        <v>861</v>
      </c>
    </row>
    <row r="346" spans="1:4">
      <c r="A346" s="19">
        <v>41665</v>
      </c>
      <c r="B346" s="11" t="s">
        <v>39</v>
      </c>
      <c r="C346" s="20">
        <v>527.75</v>
      </c>
      <c r="D346" s="20">
        <v>258.5</v>
      </c>
    </row>
    <row r="347" spans="1:4">
      <c r="A347" s="19">
        <v>41682</v>
      </c>
      <c r="B347" s="11" t="s">
        <v>46</v>
      </c>
      <c r="C347" s="20">
        <v>2060.5</v>
      </c>
      <c r="D347" s="20">
        <v>886</v>
      </c>
    </row>
    <row r="348" spans="1:4">
      <c r="A348" s="19">
        <v>41776</v>
      </c>
      <c r="B348" s="11" t="s">
        <v>39</v>
      </c>
      <c r="C348" s="20">
        <v>2447.75</v>
      </c>
      <c r="D348" s="20">
        <v>1052.5</v>
      </c>
    </row>
    <row r="349" spans="1:4">
      <c r="A349" s="19">
        <v>41703</v>
      </c>
      <c r="B349" s="11" t="s">
        <v>47</v>
      </c>
      <c r="C349" s="20">
        <v>2053.25</v>
      </c>
      <c r="D349" s="20">
        <v>718.75</v>
      </c>
    </row>
    <row r="350" spans="1:4">
      <c r="A350" s="19">
        <v>41715</v>
      </c>
      <c r="B350" s="11" t="s">
        <v>43</v>
      </c>
      <c r="C350" s="20">
        <v>1280.75</v>
      </c>
      <c r="D350" s="20">
        <v>602</v>
      </c>
    </row>
    <row r="351" spans="1:4">
      <c r="A351" s="19">
        <v>41765</v>
      </c>
      <c r="B351" s="11" t="s">
        <v>45</v>
      </c>
      <c r="C351" s="20">
        <v>601.25</v>
      </c>
      <c r="D351" s="20">
        <v>264.5</v>
      </c>
    </row>
    <row r="352" spans="1:4">
      <c r="A352" s="19">
        <v>41793</v>
      </c>
      <c r="B352" s="11" t="s">
        <v>47</v>
      </c>
      <c r="C352" s="20">
        <v>2164.75</v>
      </c>
      <c r="D352" s="20">
        <v>736.00000000000011</v>
      </c>
    </row>
    <row r="353" spans="1:4">
      <c r="A353" s="19">
        <v>41811</v>
      </c>
      <c r="B353" s="11" t="s">
        <v>43</v>
      </c>
      <c r="C353" s="20">
        <v>1129.5</v>
      </c>
      <c r="D353" s="20">
        <v>406.50000000000006</v>
      </c>
    </row>
    <row r="354" spans="1:4">
      <c r="A354" s="19">
        <v>41805</v>
      </c>
      <c r="B354" s="11" t="s">
        <v>44</v>
      </c>
      <c r="C354" s="20">
        <v>1417.25</v>
      </c>
      <c r="D354" s="20">
        <v>496</v>
      </c>
    </row>
    <row r="355" spans="1:4">
      <c r="A355" s="19">
        <v>41805</v>
      </c>
      <c r="B355" s="11" t="s">
        <v>43</v>
      </c>
      <c r="C355" s="20">
        <v>1875.25</v>
      </c>
      <c r="D355" s="20">
        <v>618.75</v>
      </c>
    </row>
    <row r="356" spans="1:4">
      <c r="A356" s="19">
        <v>41694</v>
      </c>
      <c r="B356" s="11" t="s">
        <v>46</v>
      </c>
      <c r="C356" s="20">
        <v>2295.25</v>
      </c>
      <c r="D356" s="20">
        <v>757.5</v>
      </c>
    </row>
    <row r="357" spans="1:4">
      <c r="A357" s="19">
        <v>41742</v>
      </c>
      <c r="B357" s="11" t="s">
        <v>46</v>
      </c>
      <c r="C357" s="20">
        <v>667.75</v>
      </c>
      <c r="D357" s="20">
        <v>287.25</v>
      </c>
    </row>
    <row r="358" spans="1:4">
      <c r="A358" s="19">
        <v>41714</v>
      </c>
      <c r="B358" s="11" t="s">
        <v>45</v>
      </c>
      <c r="C358" s="20">
        <v>421.5</v>
      </c>
      <c r="D358" s="20">
        <v>198</v>
      </c>
    </row>
    <row r="359" spans="1:4">
      <c r="A359" s="19">
        <v>41698</v>
      </c>
      <c r="B359" s="11" t="s">
        <v>42</v>
      </c>
      <c r="C359" s="20">
        <v>1790.5</v>
      </c>
      <c r="D359" s="20">
        <v>859.5</v>
      </c>
    </row>
    <row r="360" spans="1:4">
      <c r="A360" s="19">
        <v>41689</v>
      </c>
      <c r="B360" s="11" t="s">
        <v>41</v>
      </c>
      <c r="C360" s="20">
        <v>839</v>
      </c>
      <c r="D360" s="20">
        <v>411</v>
      </c>
    </row>
    <row r="361" spans="1:4">
      <c r="A361" s="19">
        <v>41683</v>
      </c>
      <c r="B361" s="11" t="s">
        <v>42</v>
      </c>
      <c r="C361" s="20">
        <v>300.5</v>
      </c>
      <c r="D361" s="20">
        <v>126.25</v>
      </c>
    </row>
    <row r="362" spans="1:4">
      <c r="A362" s="19">
        <v>41787</v>
      </c>
      <c r="B362" s="11" t="s">
        <v>40</v>
      </c>
      <c r="C362" s="20">
        <v>1678.75</v>
      </c>
      <c r="D362" s="20">
        <v>587.5</v>
      </c>
    </row>
    <row r="363" spans="1:4">
      <c r="A363" s="19">
        <v>41809</v>
      </c>
      <c r="B363" s="11" t="s">
        <v>40</v>
      </c>
      <c r="C363" s="20">
        <v>925.50000000000011</v>
      </c>
      <c r="D363" s="20">
        <v>351.75</v>
      </c>
    </row>
    <row r="364" spans="1:4">
      <c r="A364" s="19">
        <v>41648</v>
      </c>
      <c r="B364" s="11" t="s">
        <v>46</v>
      </c>
      <c r="C364" s="20">
        <v>2050.75</v>
      </c>
      <c r="D364" s="20">
        <v>820.25</v>
      </c>
    </row>
    <row r="365" spans="1:4">
      <c r="A365" s="19">
        <v>41665</v>
      </c>
      <c r="B365" s="11" t="s">
        <v>41</v>
      </c>
      <c r="C365" s="20">
        <v>2191</v>
      </c>
      <c r="D365" s="20">
        <v>766.75000000000011</v>
      </c>
    </row>
    <row r="366" spans="1:4">
      <c r="A366" s="19">
        <v>41745</v>
      </c>
      <c r="B366" s="11" t="s">
        <v>38</v>
      </c>
      <c r="C366" s="20">
        <v>315.5</v>
      </c>
      <c r="D366" s="20">
        <v>145.25</v>
      </c>
    </row>
    <row r="367" spans="1:4">
      <c r="A367" s="19">
        <v>41689</v>
      </c>
      <c r="B367" s="11" t="s">
        <v>46</v>
      </c>
      <c r="C367" s="20">
        <v>2346</v>
      </c>
      <c r="D367" s="20">
        <v>915</v>
      </c>
    </row>
    <row r="368" spans="1:4">
      <c r="A368" s="19">
        <v>41650</v>
      </c>
      <c r="B368" s="11" t="s">
        <v>41</v>
      </c>
      <c r="C368" s="20">
        <v>1661.25</v>
      </c>
      <c r="D368" s="20">
        <v>830.74999999999989</v>
      </c>
    </row>
    <row r="369" spans="1:4">
      <c r="A369" s="19">
        <v>41718</v>
      </c>
      <c r="B369" s="11" t="s">
        <v>41</v>
      </c>
      <c r="C369" s="20">
        <v>1163</v>
      </c>
      <c r="D369" s="20">
        <v>418.75</v>
      </c>
    </row>
    <row r="370" spans="1:4">
      <c r="A370" s="19">
        <v>41663</v>
      </c>
      <c r="B370" s="11" t="s">
        <v>38</v>
      </c>
      <c r="C370" s="20">
        <v>1846.0000000000002</v>
      </c>
      <c r="D370" s="20">
        <v>590.75</v>
      </c>
    </row>
    <row r="371" spans="1:4">
      <c r="A371" s="19">
        <v>41789</v>
      </c>
      <c r="B371" s="11" t="s">
        <v>41</v>
      </c>
      <c r="C371" s="20">
        <v>1947.7499999999998</v>
      </c>
      <c r="D371" s="20">
        <v>720.74999999999989</v>
      </c>
    </row>
    <row r="372" spans="1:4">
      <c r="A372" s="19">
        <v>41718</v>
      </c>
      <c r="B372" s="11" t="s">
        <v>44</v>
      </c>
      <c r="C372" s="20">
        <v>1574.75</v>
      </c>
      <c r="D372" s="20">
        <v>598.5</v>
      </c>
    </row>
    <row r="373" spans="1:4">
      <c r="A373" s="19">
        <v>41758</v>
      </c>
      <c r="B373" s="11" t="s">
        <v>39</v>
      </c>
      <c r="C373" s="20">
        <v>2052.5</v>
      </c>
      <c r="D373" s="20">
        <v>615.75</v>
      </c>
    </row>
    <row r="374" spans="1:4">
      <c r="A374" s="19">
        <v>41764</v>
      </c>
      <c r="B374" s="11" t="s">
        <v>40</v>
      </c>
      <c r="C374" s="20">
        <v>619.25</v>
      </c>
      <c r="D374" s="20">
        <v>247.75</v>
      </c>
    </row>
    <row r="375" spans="1:4">
      <c r="A375" s="19">
        <v>41663</v>
      </c>
      <c r="B375" s="11" t="s">
        <v>43</v>
      </c>
      <c r="C375" s="20">
        <v>1352.5</v>
      </c>
      <c r="D375" s="20">
        <v>608.75</v>
      </c>
    </row>
    <row r="376" spans="1:4">
      <c r="A376" s="19">
        <v>41815</v>
      </c>
      <c r="B376" s="11" t="s">
        <v>39</v>
      </c>
      <c r="C376" s="20">
        <v>1879.75</v>
      </c>
      <c r="D376" s="20">
        <v>620.25</v>
      </c>
    </row>
    <row r="377" spans="1:4">
      <c r="A377" s="19">
        <v>41729</v>
      </c>
      <c r="B377" s="11" t="s">
        <v>38</v>
      </c>
      <c r="C377" s="20">
        <v>1688.5000000000002</v>
      </c>
      <c r="D377" s="20">
        <v>793.5</v>
      </c>
    </row>
    <row r="378" spans="1:4">
      <c r="A378" s="19">
        <v>41794</v>
      </c>
      <c r="B378" s="11" t="s">
        <v>39</v>
      </c>
      <c r="C378" s="20">
        <v>1292</v>
      </c>
      <c r="D378" s="20">
        <v>465</v>
      </c>
    </row>
    <row r="379" spans="1:4">
      <c r="A379" s="19">
        <v>41701</v>
      </c>
      <c r="B379" s="11" t="s">
        <v>40</v>
      </c>
      <c r="C379" s="20">
        <v>1631.7499999999998</v>
      </c>
      <c r="D379" s="20">
        <v>522.25</v>
      </c>
    </row>
    <row r="380" spans="1:4">
      <c r="A380" s="19">
        <v>41716</v>
      </c>
      <c r="B380" s="11" t="s">
        <v>46</v>
      </c>
      <c r="C380" s="20">
        <v>1625.4999999999998</v>
      </c>
      <c r="D380" s="20">
        <v>487.75000000000006</v>
      </c>
    </row>
    <row r="381" spans="1:4">
      <c r="A381" s="19">
        <v>41646</v>
      </c>
      <c r="B381" s="11" t="s">
        <v>39</v>
      </c>
      <c r="C381" s="20">
        <v>2367</v>
      </c>
      <c r="D381" s="20">
        <v>899.49999999999989</v>
      </c>
    </row>
    <row r="382" spans="1:4">
      <c r="A382" s="19">
        <v>41811</v>
      </c>
      <c r="B382" s="11" t="s">
        <v>39</v>
      </c>
      <c r="C382" s="20">
        <v>1619</v>
      </c>
      <c r="D382" s="20">
        <v>776.99999999999989</v>
      </c>
    </row>
    <row r="383" spans="1:4">
      <c r="A383" s="19">
        <v>41783</v>
      </c>
      <c r="B383" s="11" t="s">
        <v>38</v>
      </c>
      <c r="C383" s="20">
        <v>1343.75</v>
      </c>
      <c r="D383" s="20">
        <v>457</v>
      </c>
    </row>
    <row r="384" spans="1:4">
      <c r="A384" s="19">
        <v>41769</v>
      </c>
      <c r="B384" s="11" t="s">
        <v>43</v>
      </c>
      <c r="C384" s="20">
        <v>1275</v>
      </c>
      <c r="D384" s="20">
        <v>599.25</v>
      </c>
    </row>
    <row r="385" spans="1:4">
      <c r="A385" s="19">
        <v>41669</v>
      </c>
      <c r="B385" s="11" t="s">
        <v>46</v>
      </c>
      <c r="C385" s="20">
        <v>1461.75</v>
      </c>
      <c r="D385" s="20">
        <v>731</v>
      </c>
    </row>
    <row r="386" spans="1:4">
      <c r="A386" s="19">
        <v>41741</v>
      </c>
      <c r="B386" s="11" t="s">
        <v>45</v>
      </c>
      <c r="C386" s="20">
        <v>2466.75</v>
      </c>
      <c r="D386" s="20">
        <v>961.99999999999989</v>
      </c>
    </row>
    <row r="387" spans="1:4">
      <c r="A387" s="19">
        <v>41792</v>
      </c>
      <c r="B387" s="11" t="s">
        <v>41</v>
      </c>
      <c r="C387" s="20">
        <v>1220</v>
      </c>
      <c r="D387" s="20">
        <v>488</v>
      </c>
    </row>
    <row r="388" spans="1:4">
      <c r="A388" s="19">
        <v>41710</v>
      </c>
      <c r="B388" s="11" t="s">
        <v>41</v>
      </c>
      <c r="C388" s="20">
        <v>565.25</v>
      </c>
      <c r="D388" s="20">
        <v>248.75</v>
      </c>
    </row>
    <row r="389" spans="1:4">
      <c r="A389" s="19">
        <v>41705</v>
      </c>
      <c r="B389" s="11" t="s">
        <v>43</v>
      </c>
      <c r="C389" s="20">
        <v>2035.7500000000002</v>
      </c>
      <c r="D389" s="20">
        <v>855</v>
      </c>
    </row>
    <row r="390" spans="1:4">
      <c r="A390" s="19">
        <v>41647</v>
      </c>
      <c r="B390" s="11" t="s">
        <v>39</v>
      </c>
      <c r="C390" s="20">
        <v>1855.5</v>
      </c>
      <c r="D390" s="20">
        <v>872</v>
      </c>
    </row>
    <row r="391" spans="1:4">
      <c r="A391" s="19">
        <v>41659</v>
      </c>
      <c r="B391" s="11" t="s">
        <v>45</v>
      </c>
      <c r="C391" s="20">
        <v>1645.25</v>
      </c>
      <c r="D391" s="20">
        <v>756.75</v>
      </c>
    </row>
    <row r="392" spans="1:4">
      <c r="A392" s="19">
        <v>41657</v>
      </c>
      <c r="B392" s="11" t="s">
        <v>41</v>
      </c>
      <c r="C392" s="20">
        <v>1622.25</v>
      </c>
      <c r="D392" s="20">
        <v>681.25</v>
      </c>
    </row>
    <row r="393" spans="1:4">
      <c r="A393" s="19">
        <v>41756</v>
      </c>
      <c r="B393" s="11" t="s">
        <v>41</v>
      </c>
      <c r="C393" s="20">
        <v>2478.25</v>
      </c>
      <c r="D393" s="20">
        <v>1239.25</v>
      </c>
    </row>
    <row r="394" spans="1:4">
      <c r="A394" s="19">
        <v>41733</v>
      </c>
      <c r="B394" s="11" t="s">
        <v>45</v>
      </c>
      <c r="C394" s="20">
        <v>860</v>
      </c>
      <c r="D394" s="20">
        <v>335.5</v>
      </c>
    </row>
    <row r="395" spans="1:4">
      <c r="A395" s="19">
        <v>41712</v>
      </c>
      <c r="B395" s="11" t="s">
        <v>45</v>
      </c>
      <c r="C395" s="20">
        <v>1338.75</v>
      </c>
      <c r="D395" s="20">
        <v>535.5</v>
      </c>
    </row>
    <row r="396" spans="1:4">
      <c r="A396" s="19">
        <v>41790</v>
      </c>
      <c r="B396" s="11" t="s">
        <v>39</v>
      </c>
      <c r="C396" s="20">
        <v>750</v>
      </c>
      <c r="D396" s="20">
        <v>330</v>
      </c>
    </row>
    <row r="397" spans="1:4">
      <c r="A397" s="19">
        <v>41675</v>
      </c>
      <c r="B397" s="11" t="s">
        <v>44</v>
      </c>
      <c r="C397" s="20">
        <v>272.75</v>
      </c>
      <c r="D397" s="20">
        <v>133.75</v>
      </c>
    </row>
    <row r="398" spans="1:4">
      <c r="A398" s="19">
        <v>41723</v>
      </c>
      <c r="B398" s="11" t="s">
        <v>40</v>
      </c>
      <c r="C398" s="20">
        <v>425.25000000000006</v>
      </c>
      <c r="D398" s="20">
        <v>178.49999999999997</v>
      </c>
    </row>
    <row r="399" spans="1:4">
      <c r="A399" s="19">
        <v>41672</v>
      </c>
      <c r="B399" s="11" t="s">
        <v>38</v>
      </c>
      <c r="C399" s="20">
        <v>1407.75</v>
      </c>
      <c r="D399" s="20">
        <v>619.5</v>
      </c>
    </row>
    <row r="400" spans="1:4">
      <c r="A400" s="19">
        <v>41654</v>
      </c>
      <c r="B400" s="11" t="s">
        <v>47</v>
      </c>
      <c r="C400" s="20">
        <v>479.5</v>
      </c>
      <c r="D400" s="20">
        <v>182.25</v>
      </c>
    </row>
    <row r="401" spans="1:4">
      <c r="A401" s="19">
        <v>41654</v>
      </c>
      <c r="B401" s="11" t="s">
        <v>44</v>
      </c>
      <c r="C401" s="20">
        <v>1288.5</v>
      </c>
      <c r="D401" s="20">
        <v>463.75</v>
      </c>
    </row>
    <row r="402" spans="1:4">
      <c r="A402" s="19">
        <v>41750</v>
      </c>
      <c r="B402" s="11" t="s">
        <v>43</v>
      </c>
      <c r="C402" s="20">
        <v>1477.9999999999998</v>
      </c>
      <c r="D402" s="20">
        <v>709.5</v>
      </c>
    </row>
    <row r="403" spans="1:4">
      <c r="A403" s="19">
        <v>41695</v>
      </c>
      <c r="B403" s="11" t="s">
        <v>38</v>
      </c>
      <c r="C403" s="20">
        <v>619</v>
      </c>
      <c r="D403" s="20">
        <v>297</v>
      </c>
    </row>
    <row r="404" spans="1:4">
      <c r="A404" s="19">
        <v>41763</v>
      </c>
      <c r="B404" s="11" t="s">
        <v>44</v>
      </c>
      <c r="C404" s="20">
        <v>1827.75</v>
      </c>
      <c r="D404" s="20">
        <v>676.25</v>
      </c>
    </row>
    <row r="405" spans="1:4">
      <c r="A405" s="19">
        <v>41658</v>
      </c>
      <c r="B405" s="11" t="s">
        <v>38</v>
      </c>
      <c r="C405" s="20">
        <v>1517.75</v>
      </c>
      <c r="D405" s="20">
        <v>592</v>
      </c>
    </row>
    <row r="406" spans="1:4">
      <c r="A406" s="19">
        <v>41670</v>
      </c>
      <c r="B406" s="11" t="s">
        <v>46</v>
      </c>
      <c r="C406" s="20">
        <v>2425</v>
      </c>
      <c r="D406" s="20">
        <v>1042.75</v>
      </c>
    </row>
    <row r="407" spans="1:4">
      <c r="A407" s="19">
        <v>41752</v>
      </c>
      <c r="B407" s="11" t="s">
        <v>43</v>
      </c>
      <c r="C407" s="20">
        <v>1561.75</v>
      </c>
      <c r="D407" s="20">
        <v>609</v>
      </c>
    </row>
    <row r="408" spans="1:4">
      <c r="A408" s="19">
        <v>41647</v>
      </c>
      <c r="B408" s="11" t="s">
        <v>45</v>
      </c>
      <c r="C408" s="20">
        <v>1061.25</v>
      </c>
      <c r="D408" s="20">
        <v>350.25</v>
      </c>
    </row>
    <row r="409" spans="1:4">
      <c r="A409" s="19">
        <v>41650</v>
      </c>
      <c r="B409" s="11" t="s">
        <v>43</v>
      </c>
      <c r="C409" s="20">
        <v>886</v>
      </c>
      <c r="D409" s="20">
        <v>389.75</v>
      </c>
    </row>
    <row r="410" spans="1:4">
      <c r="A410" s="19">
        <v>41744</v>
      </c>
      <c r="B410" s="11" t="s">
        <v>43</v>
      </c>
      <c r="C410" s="20">
        <v>1129.75</v>
      </c>
      <c r="D410" s="20">
        <v>429.25000000000006</v>
      </c>
    </row>
    <row r="411" spans="1:4">
      <c r="A411" s="19">
        <v>41796</v>
      </c>
      <c r="B411" s="11" t="s">
        <v>43</v>
      </c>
      <c r="C411" s="20">
        <v>580</v>
      </c>
      <c r="D411" s="20">
        <v>185.5</v>
      </c>
    </row>
    <row r="412" spans="1:4">
      <c r="A412" s="19">
        <v>41778</v>
      </c>
      <c r="B412" s="11" t="s">
        <v>47</v>
      </c>
      <c r="C412" s="20">
        <v>2427.25</v>
      </c>
      <c r="D412" s="20">
        <v>898.00000000000011</v>
      </c>
    </row>
    <row r="413" spans="1:4">
      <c r="A413" s="19">
        <v>41641</v>
      </c>
      <c r="B413" s="11" t="s">
        <v>39</v>
      </c>
      <c r="C413" s="20">
        <v>789.25</v>
      </c>
      <c r="D413" s="20">
        <v>236.75</v>
      </c>
    </row>
    <row r="414" spans="1:4">
      <c r="A414" s="19">
        <v>41648</v>
      </c>
      <c r="B414" s="11" t="s">
        <v>39</v>
      </c>
      <c r="C414" s="20">
        <v>2422.25</v>
      </c>
      <c r="D414" s="20">
        <v>1114.25</v>
      </c>
    </row>
    <row r="415" spans="1:4">
      <c r="A415" s="19">
        <v>41649</v>
      </c>
      <c r="B415" s="11" t="s">
        <v>39</v>
      </c>
      <c r="C415" s="20">
        <v>2395</v>
      </c>
      <c r="D415" s="20">
        <v>1197.5</v>
      </c>
    </row>
    <row r="416" spans="1:4">
      <c r="A416" s="19">
        <v>41659</v>
      </c>
      <c r="B416" s="11" t="s">
        <v>45</v>
      </c>
      <c r="C416" s="20">
        <v>2095.25</v>
      </c>
      <c r="D416" s="20">
        <v>628.5</v>
      </c>
    </row>
    <row r="417" spans="1:4">
      <c r="A417" s="19">
        <v>41766</v>
      </c>
      <c r="B417" s="11" t="s">
        <v>47</v>
      </c>
      <c r="C417" s="20">
        <v>928</v>
      </c>
      <c r="D417" s="20">
        <v>371.25</v>
      </c>
    </row>
    <row r="418" spans="1:4">
      <c r="A418" s="19">
        <v>41797</v>
      </c>
      <c r="B418" s="11" t="s">
        <v>44</v>
      </c>
      <c r="C418" s="20">
        <v>374.75</v>
      </c>
      <c r="D418" s="20">
        <v>180</v>
      </c>
    </row>
    <row r="419" spans="1:4">
      <c r="A419" s="19">
        <v>41756</v>
      </c>
      <c r="B419" s="11" t="s">
        <v>46</v>
      </c>
      <c r="C419" s="20">
        <v>1920.4999999999998</v>
      </c>
      <c r="D419" s="20">
        <v>902.75</v>
      </c>
    </row>
    <row r="420" spans="1:4">
      <c r="A420" s="19">
        <v>41664</v>
      </c>
      <c r="B420" s="11" t="s">
        <v>45</v>
      </c>
      <c r="C420" s="20">
        <v>2228</v>
      </c>
      <c r="D420" s="20">
        <v>935.75</v>
      </c>
    </row>
    <row r="421" spans="1:4">
      <c r="A421" s="19">
        <v>41680</v>
      </c>
      <c r="B421" s="11" t="s">
        <v>38</v>
      </c>
      <c r="C421" s="20">
        <v>914</v>
      </c>
      <c r="D421" s="20">
        <v>447.75</v>
      </c>
    </row>
    <row r="422" spans="1:4">
      <c r="A422" s="19">
        <v>41793</v>
      </c>
      <c r="B422" s="11" t="s">
        <v>46</v>
      </c>
      <c r="C422" s="20">
        <v>2271.75</v>
      </c>
      <c r="D422" s="20">
        <v>726.99999999999989</v>
      </c>
    </row>
    <row r="423" spans="1:4">
      <c r="A423" s="19">
        <v>41725</v>
      </c>
      <c r="B423" s="11" t="s">
        <v>45</v>
      </c>
      <c r="C423" s="20">
        <v>2128</v>
      </c>
      <c r="D423" s="20">
        <v>744.75</v>
      </c>
    </row>
    <row r="424" spans="1:4">
      <c r="A424" s="19">
        <v>41653</v>
      </c>
      <c r="B424" s="11" t="s">
        <v>44</v>
      </c>
      <c r="C424" s="20">
        <v>256.25</v>
      </c>
      <c r="D424" s="20">
        <v>128.25</v>
      </c>
    </row>
    <row r="425" spans="1:4">
      <c r="A425" s="19">
        <v>41725</v>
      </c>
      <c r="B425" s="11" t="s">
        <v>43</v>
      </c>
      <c r="C425" s="20">
        <v>294.5</v>
      </c>
      <c r="D425" s="20">
        <v>126.75</v>
      </c>
    </row>
    <row r="426" spans="1:4">
      <c r="A426" s="19">
        <v>41737</v>
      </c>
      <c r="B426" s="11" t="s">
        <v>39</v>
      </c>
      <c r="C426" s="20">
        <v>465.25</v>
      </c>
      <c r="D426" s="20">
        <v>158.25</v>
      </c>
    </row>
    <row r="427" spans="1:4">
      <c r="A427" s="19">
        <v>41719</v>
      </c>
      <c r="B427" s="11" t="s">
        <v>38</v>
      </c>
      <c r="C427" s="20">
        <v>2405</v>
      </c>
      <c r="D427" s="20">
        <v>793.75</v>
      </c>
    </row>
    <row r="428" spans="1:4">
      <c r="A428" s="19">
        <v>41803</v>
      </c>
      <c r="B428" s="11" t="s">
        <v>40</v>
      </c>
      <c r="C428" s="20">
        <v>1304.75</v>
      </c>
      <c r="D428" s="20">
        <v>652.5</v>
      </c>
    </row>
    <row r="429" spans="1:4">
      <c r="A429" s="19">
        <v>41666</v>
      </c>
      <c r="B429" s="11" t="s">
        <v>42</v>
      </c>
      <c r="C429" s="20">
        <v>270</v>
      </c>
      <c r="D429" s="20">
        <v>113.5</v>
      </c>
    </row>
    <row r="430" spans="1:4">
      <c r="A430" s="19">
        <v>41785</v>
      </c>
      <c r="B430" s="11" t="s">
        <v>40</v>
      </c>
      <c r="C430" s="20">
        <v>637.75</v>
      </c>
      <c r="D430" s="20">
        <v>287</v>
      </c>
    </row>
    <row r="431" spans="1:4">
      <c r="A431" s="19">
        <v>41729</v>
      </c>
      <c r="B431" s="11" t="s">
        <v>44</v>
      </c>
      <c r="C431" s="20">
        <v>443.25</v>
      </c>
      <c r="D431" s="20">
        <v>168.5</v>
      </c>
    </row>
    <row r="432" spans="1:4">
      <c r="A432" s="19">
        <v>41695</v>
      </c>
      <c r="B432" s="11" t="s">
        <v>41</v>
      </c>
      <c r="C432" s="20">
        <v>1339</v>
      </c>
      <c r="D432" s="20">
        <v>589.25</v>
      </c>
    </row>
    <row r="433" spans="1:4">
      <c r="A433" s="19">
        <v>41699</v>
      </c>
      <c r="B433" s="11" t="s">
        <v>42</v>
      </c>
      <c r="C433" s="20">
        <v>311.25</v>
      </c>
      <c r="D433" s="20">
        <v>133.75</v>
      </c>
    </row>
    <row r="434" spans="1:4">
      <c r="A434" s="19">
        <v>41788</v>
      </c>
      <c r="B434" s="11" t="s">
        <v>42</v>
      </c>
      <c r="C434" s="20">
        <v>324.25000000000006</v>
      </c>
      <c r="D434" s="20">
        <v>139.5</v>
      </c>
    </row>
    <row r="435" spans="1:4">
      <c r="A435" s="19">
        <v>41661</v>
      </c>
      <c r="B435" s="11" t="s">
        <v>45</v>
      </c>
      <c r="C435" s="20">
        <v>465.25</v>
      </c>
      <c r="D435" s="20">
        <v>200</v>
      </c>
    </row>
  </sheetData>
  <conditionalFormatting sqref="A2:D435">
    <cfRule type="expression" dxfId="6" priority="1">
      <formula>$C3&gt;$F$1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4">
    <tabColor rgb="FF1E73BE"/>
  </sheetPr>
  <dimension ref="A1:Z13"/>
  <sheetViews>
    <sheetView zoomScale="130" zoomScaleNormal="130" workbookViewId="0">
      <selection activeCell="B2" sqref="B2"/>
    </sheetView>
  </sheetViews>
  <sheetFormatPr defaultColWidth="8.85546875" defaultRowHeight="14.25"/>
  <cols>
    <col min="1" max="1" width="11.140625" style="4" bestFit="1" customWidth="1"/>
    <col min="2" max="2" width="9" style="4" bestFit="1" customWidth="1"/>
    <col min="3" max="4" width="10.42578125" style="4" bestFit="1" customWidth="1"/>
    <col min="5" max="7" width="8.85546875" style="4"/>
    <col min="8" max="8" width="2.85546875" style="4" customWidth="1"/>
    <col min="9" max="16384" width="8.85546875" style="4"/>
  </cols>
  <sheetData>
    <row r="1" spans="1:26">
      <c r="A1" s="13" t="s">
        <v>35</v>
      </c>
      <c r="B1" s="5" t="s">
        <v>57</v>
      </c>
      <c r="E1" s="3"/>
    </row>
    <row r="2" spans="1:26">
      <c r="A2" s="13" t="s">
        <v>49</v>
      </c>
      <c r="B2" s="6" t="s">
        <v>16</v>
      </c>
      <c r="C2" s="3"/>
      <c r="D2" s="3"/>
      <c r="E2" s="3"/>
      <c r="F2" s="3"/>
      <c r="G2" s="3"/>
    </row>
    <row r="3" spans="1:26">
      <c r="A3" s="3"/>
      <c r="B3" s="3"/>
      <c r="C3" s="3"/>
      <c r="D3" s="3"/>
      <c r="E3" s="3"/>
      <c r="F3" s="3"/>
      <c r="G3" s="3"/>
    </row>
    <row r="4" spans="1:26">
      <c r="A4" s="8" t="s">
        <v>51</v>
      </c>
      <c r="B4" s="9"/>
      <c r="C4" s="9"/>
      <c r="D4" s="9"/>
      <c r="E4" s="9"/>
      <c r="F4" s="9"/>
      <c r="G4" s="9"/>
    </row>
    <row r="5" spans="1:26">
      <c r="A5" s="13" t="s">
        <v>35</v>
      </c>
      <c r="B5" s="13" t="s">
        <v>52</v>
      </c>
      <c r="C5" s="13" t="s">
        <v>53</v>
      </c>
      <c r="D5" s="13" t="s">
        <v>50</v>
      </c>
      <c r="E5" s="13" t="s">
        <v>54</v>
      </c>
      <c r="F5" s="13" t="s">
        <v>16</v>
      </c>
      <c r="G5" s="13" t="s">
        <v>55</v>
      </c>
    </row>
    <row r="6" spans="1:26">
      <c r="A6" s="13" t="s">
        <v>56</v>
      </c>
      <c r="B6" s="14">
        <v>1273</v>
      </c>
      <c r="C6" s="15">
        <v>4576</v>
      </c>
      <c r="D6" s="14">
        <v>1682</v>
      </c>
      <c r="E6" s="15">
        <v>4096</v>
      </c>
      <c r="F6" s="15">
        <v>1319</v>
      </c>
      <c r="G6" s="15">
        <v>3004</v>
      </c>
      <c r="K6" s="4" t="b">
        <f>AND($A6=$B$1,B$5=$B$2)</f>
        <v>0</v>
      </c>
      <c r="L6" s="4" t="b">
        <f t="shared" ref="L6:R13" si="0">$A6=$B$1</f>
        <v>0</v>
      </c>
      <c r="M6" s="4" t="b">
        <f t="shared" si="0"/>
        <v>0</v>
      </c>
      <c r="N6" s="4" t="b">
        <f t="shared" si="0"/>
        <v>0</v>
      </c>
      <c r="O6" s="4" t="b">
        <f t="shared" si="0"/>
        <v>0</v>
      </c>
      <c r="P6" s="4" t="b">
        <f t="shared" si="0"/>
        <v>0</v>
      </c>
      <c r="Q6" s="4" t="b">
        <f t="shared" si="0"/>
        <v>0</v>
      </c>
      <c r="R6" s="4" t="b">
        <f t="shared" si="0"/>
        <v>0</v>
      </c>
      <c r="T6" s="4" t="b">
        <f>B$5=$B$2</f>
        <v>0</v>
      </c>
      <c r="U6" s="4" t="b">
        <f t="shared" ref="U6:Z6" si="1">C$5=$B$2</f>
        <v>0</v>
      </c>
      <c r="V6" s="4" t="b">
        <f t="shared" si="1"/>
        <v>0</v>
      </c>
      <c r="W6" s="4" t="b">
        <f t="shared" si="1"/>
        <v>0</v>
      </c>
      <c r="X6" s="4" t="b">
        <f t="shared" si="1"/>
        <v>1</v>
      </c>
      <c r="Y6" s="4" t="b">
        <f t="shared" si="1"/>
        <v>0</v>
      </c>
      <c r="Z6" s="4" t="b">
        <f t="shared" si="1"/>
        <v>0</v>
      </c>
    </row>
    <row r="7" spans="1:26">
      <c r="A7" s="13" t="s">
        <v>48</v>
      </c>
      <c r="B7" s="16">
        <v>3250</v>
      </c>
      <c r="C7" s="17">
        <v>4755</v>
      </c>
      <c r="D7" s="14">
        <v>2269</v>
      </c>
      <c r="E7" s="17">
        <v>4770</v>
      </c>
      <c r="F7" s="17">
        <v>2970</v>
      </c>
      <c r="G7" s="17">
        <v>3196</v>
      </c>
      <c r="K7" s="4" t="b">
        <f t="shared" ref="K7:K13" si="2">$A7=$B$1</f>
        <v>0</v>
      </c>
      <c r="L7" s="4" t="b">
        <f t="shared" si="0"/>
        <v>0</v>
      </c>
      <c r="M7" s="4" t="b">
        <f t="shared" si="0"/>
        <v>0</v>
      </c>
      <c r="N7" s="4" t="b">
        <f t="shared" si="0"/>
        <v>0</v>
      </c>
      <c r="O7" s="4" t="b">
        <f t="shared" si="0"/>
        <v>0</v>
      </c>
      <c r="P7" s="4" t="b">
        <f t="shared" si="0"/>
        <v>0</v>
      </c>
      <c r="Q7" s="4" t="b">
        <f t="shared" si="0"/>
        <v>0</v>
      </c>
      <c r="R7" s="4" t="b">
        <f t="shared" si="0"/>
        <v>0</v>
      </c>
    </row>
    <row r="8" spans="1:26">
      <c r="A8" s="13" t="s">
        <v>57</v>
      </c>
      <c r="B8" s="16">
        <v>4901</v>
      </c>
      <c r="C8" s="17">
        <v>4685</v>
      </c>
      <c r="D8" s="14">
        <v>4775</v>
      </c>
      <c r="E8" s="17">
        <v>4953</v>
      </c>
      <c r="F8" s="17">
        <v>1029</v>
      </c>
      <c r="G8" s="17">
        <v>3537</v>
      </c>
      <c r="K8" s="4" t="b">
        <f t="shared" si="2"/>
        <v>1</v>
      </c>
      <c r="L8" s="4" t="b">
        <f t="shared" si="0"/>
        <v>1</v>
      </c>
      <c r="M8" s="4" t="b">
        <f t="shared" si="0"/>
        <v>1</v>
      </c>
      <c r="N8" s="4" t="b">
        <f t="shared" si="0"/>
        <v>1</v>
      </c>
      <c r="O8" s="4" t="b">
        <f t="shared" si="0"/>
        <v>1</v>
      </c>
      <c r="P8" s="4" t="b">
        <f t="shared" si="0"/>
        <v>1</v>
      </c>
      <c r="Q8" s="4" t="b">
        <f t="shared" si="0"/>
        <v>1</v>
      </c>
      <c r="R8" s="4" t="b">
        <f t="shared" si="0"/>
        <v>1</v>
      </c>
    </row>
    <row r="9" spans="1:26">
      <c r="A9" s="13" t="s">
        <v>58</v>
      </c>
      <c r="B9" s="16">
        <v>3128</v>
      </c>
      <c r="C9" s="17">
        <v>2951</v>
      </c>
      <c r="D9" s="14">
        <v>4270</v>
      </c>
      <c r="E9" s="17">
        <v>4243</v>
      </c>
      <c r="F9" s="17">
        <v>3666</v>
      </c>
      <c r="G9" s="17">
        <v>4732</v>
      </c>
      <c r="K9" s="4" t="b">
        <f t="shared" si="2"/>
        <v>0</v>
      </c>
      <c r="L9" s="4" t="b">
        <f t="shared" si="0"/>
        <v>0</v>
      </c>
      <c r="M9" s="4" t="b">
        <f t="shared" si="0"/>
        <v>0</v>
      </c>
      <c r="N9" s="4" t="b">
        <f t="shared" si="0"/>
        <v>0</v>
      </c>
      <c r="O9" s="4" t="b">
        <f t="shared" si="0"/>
        <v>0</v>
      </c>
      <c r="P9" s="4" t="b">
        <f t="shared" si="0"/>
        <v>0</v>
      </c>
      <c r="Q9" s="4" t="b">
        <f t="shared" si="0"/>
        <v>0</v>
      </c>
      <c r="R9" s="4" t="b">
        <f t="shared" si="0"/>
        <v>0</v>
      </c>
    </row>
    <row r="10" spans="1:26">
      <c r="A10" s="13" t="s">
        <v>59</v>
      </c>
      <c r="B10" s="16">
        <v>1586</v>
      </c>
      <c r="C10" s="17">
        <v>4442</v>
      </c>
      <c r="D10" s="14">
        <v>3908</v>
      </c>
      <c r="E10" s="17">
        <v>2619</v>
      </c>
      <c r="F10" s="17">
        <v>1585</v>
      </c>
      <c r="G10" s="17">
        <v>4206</v>
      </c>
      <c r="K10" s="4" t="b">
        <f t="shared" si="2"/>
        <v>0</v>
      </c>
      <c r="L10" s="4" t="b">
        <f t="shared" si="0"/>
        <v>0</v>
      </c>
      <c r="M10" s="4" t="b">
        <f t="shared" si="0"/>
        <v>0</v>
      </c>
      <c r="N10" s="4" t="b">
        <f t="shared" si="0"/>
        <v>0</v>
      </c>
      <c r="O10" s="4" t="b">
        <f t="shared" si="0"/>
        <v>0</v>
      </c>
      <c r="P10" s="4" t="b">
        <f t="shared" si="0"/>
        <v>0</v>
      </c>
      <c r="Q10" s="4" t="b">
        <f t="shared" si="0"/>
        <v>0</v>
      </c>
      <c r="R10" s="4" t="b">
        <f t="shared" si="0"/>
        <v>0</v>
      </c>
    </row>
    <row r="11" spans="1:26">
      <c r="A11" s="13" t="s">
        <v>60</v>
      </c>
      <c r="B11" s="16">
        <v>3649</v>
      </c>
      <c r="C11" s="17">
        <v>2677</v>
      </c>
      <c r="D11" s="14">
        <v>1712</v>
      </c>
      <c r="E11" s="17">
        <v>2103</v>
      </c>
      <c r="F11" s="17">
        <v>2656</v>
      </c>
      <c r="G11" s="17">
        <v>3689</v>
      </c>
      <c r="K11" s="4" t="b">
        <f t="shared" si="2"/>
        <v>0</v>
      </c>
      <c r="L11" s="4" t="b">
        <f t="shared" si="0"/>
        <v>0</v>
      </c>
      <c r="M11" s="4" t="b">
        <f t="shared" si="0"/>
        <v>0</v>
      </c>
      <c r="N11" s="4" t="b">
        <f t="shared" si="0"/>
        <v>0</v>
      </c>
      <c r="O11" s="4" t="b">
        <f t="shared" si="0"/>
        <v>0</v>
      </c>
      <c r="P11" s="4" t="b">
        <f t="shared" si="0"/>
        <v>0</v>
      </c>
      <c r="Q11" s="4" t="b">
        <f t="shared" si="0"/>
        <v>0</v>
      </c>
      <c r="R11" s="4" t="b">
        <f t="shared" si="0"/>
        <v>0</v>
      </c>
    </row>
    <row r="12" spans="1:26">
      <c r="A12" s="13" t="s">
        <v>61</v>
      </c>
      <c r="B12" s="16">
        <v>4374</v>
      </c>
      <c r="C12" s="17">
        <v>5000</v>
      </c>
      <c r="D12" s="14">
        <v>2690</v>
      </c>
      <c r="E12" s="17">
        <v>2118</v>
      </c>
      <c r="F12" s="17">
        <v>1556</v>
      </c>
      <c r="G12" s="17">
        <v>2816</v>
      </c>
      <c r="K12" s="4" t="b">
        <f t="shared" si="2"/>
        <v>0</v>
      </c>
      <c r="L12" s="4" t="b">
        <f t="shared" si="0"/>
        <v>0</v>
      </c>
      <c r="M12" s="4" t="b">
        <f t="shared" si="0"/>
        <v>0</v>
      </c>
      <c r="N12" s="4" t="b">
        <f t="shared" si="0"/>
        <v>0</v>
      </c>
      <c r="O12" s="4" t="b">
        <f t="shared" si="0"/>
        <v>0</v>
      </c>
      <c r="P12" s="4" t="b">
        <f t="shared" si="0"/>
        <v>0</v>
      </c>
      <c r="Q12" s="4" t="b">
        <f t="shared" si="0"/>
        <v>0</v>
      </c>
      <c r="R12" s="4" t="b">
        <f t="shared" si="0"/>
        <v>0</v>
      </c>
    </row>
    <row r="13" spans="1:26">
      <c r="K13" s="4" t="b">
        <f t="shared" si="2"/>
        <v>0</v>
      </c>
      <c r="L13" s="4" t="b">
        <f t="shared" si="0"/>
        <v>0</v>
      </c>
      <c r="M13" s="4" t="b">
        <f t="shared" si="0"/>
        <v>0</v>
      </c>
      <c r="N13" s="4" t="b">
        <f t="shared" si="0"/>
        <v>0</v>
      </c>
      <c r="O13" s="4" t="b">
        <f t="shared" si="0"/>
        <v>0</v>
      </c>
      <c r="P13" s="4" t="b">
        <f t="shared" si="0"/>
        <v>0</v>
      </c>
      <c r="Q13" s="4" t="b">
        <f t="shared" si="0"/>
        <v>0</v>
      </c>
      <c r="R13" s="4" t="b">
        <f t="shared" si="0"/>
        <v>0</v>
      </c>
    </row>
  </sheetData>
  <conditionalFormatting sqref="B6:G12">
    <cfRule type="expression" dxfId="5" priority="1">
      <formula>AND($A6=$B$1,B$5=$B$2)</formula>
    </cfRule>
    <cfRule type="expression" dxfId="4" priority="2">
      <formula>B$5=$B$2</formula>
    </cfRule>
    <cfRule type="expression" dxfId="3" priority="3">
      <formula>$A6=$B$1</formula>
    </cfRule>
  </conditionalFormatting>
  <dataValidations count="2">
    <dataValidation type="list" allowBlank="1" showInputMessage="1" showErrorMessage="1" sqref="B2" xr:uid="{00000000-0002-0000-0800-000000000000}">
      <formula1>$B$5:$G$5</formula1>
    </dataValidation>
    <dataValidation type="list" allowBlank="1" showInputMessage="1" showErrorMessage="1" sqref="B1" xr:uid="{00000000-0002-0000-0800-000001000000}">
      <formula1>$A$6:$A$12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8">
    <tabColor rgb="FF1E73BE"/>
  </sheetPr>
  <dimension ref="A1:F32"/>
  <sheetViews>
    <sheetView zoomScale="145" zoomScaleNormal="145" workbookViewId="0">
      <selection activeCell="I14" sqref="I14"/>
    </sheetView>
  </sheetViews>
  <sheetFormatPr defaultColWidth="8.85546875" defaultRowHeight="14.25"/>
  <cols>
    <col min="1" max="1" width="16" style="4" bestFit="1" customWidth="1"/>
    <col min="2" max="2" width="8.85546875" style="4" customWidth="1"/>
    <col min="3" max="3" width="9.7109375" style="4" bestFit="1" customWidth="1"/>
    <col min="4" max="5" width="9" style="4" bestFit="1" customWidth="1"/>
    <col min="6" max="6" width="11.42578125" style="4" bestFit="1" customWidth="1"/>
    <col min="7" max="16384" width="8.85546875" style="4"/>
  </cols>
  <sheetData>
    <row r="1" spans="1:6">
      <c r="A1" s="8" t="s">
        <v>91</v>
      </c>
      <c r="B1" s="9"/>
      <c r="C1" s="9"/>
      <c r="D1" s="9"/>
      <c r="E1" s="9"/>
    </row>
    <row r="2" spans="1:6">
      <c r="A2" s="2" t="s">
        <v>0</v>
      </c>
      <c r="B2" s="2" t="s">
        <v>24</v>
      </c>
      <c r="C2" s="2" t="s">
        <v>29</v>
      </c>
      <c r="D2" s="2" t="s">
        <v>32</v>
      </c>
      <c r="E2" s="2" t="s">
        <v>33</v>
      </c>
      <c r="F2" s="2" t="s">
        <v>83</v>
      </c>
    </row>
    <row r="3" spans="1:6">
      <c r="A3" s="10">
        <v>42248</v>
      </c>
      <c r="B3" s="11"/>
      <c r="C3" s="11"/>
      <c r="D3" s="11">
        <v>295</v>
      </c>
      <c r="E3" s="11">
        <v>293</v>
      </c>
      <c r="F3" s="12" t="b">
        <f>OR(WEEKDAY($A3,2)=6,WEEKDAY($A3,2)=7)</f>
        <v>0</v>
      </c>
    </row>
    <row r="4" spans="1:6">
      <c r="A4" s="10">
        <v>42249</v>
      </c>
      <c r="B4" s="11"/>
      <c r="C4" s="11"/>
      <c r="D4" s="11">
        <v>854</v>
      </c>
      <c r="E4" s="11">
        <v>626</v>
      </c>
      <c r="F4" s="12" t="b">
        <f t="shared" ref="F4:F32" si="0">OR(WEEKDAY($A4,2)=6,WEEKDAY($A4,2)=7)</f>
        <v>0</v>
      </c>
    </row>
    <row r="5" spans="1:6">
      <c r="A5" s="10">
        <v>42250</v>
      </c>
      <c r="B5" s="11">
        <v>230</v>
      </c>
      <c r="C5" s="11">
        <v>244</v>
      </c>
      <c r="D5" s="11">
        <v>718</v>
      </c>
      <c r="E5" s="11">
        <v>533</v>
      </c>
      <c r="F5" s="12" t="b">
        <f t="shared" si="0"/>
        <v>0</v>
      </c>
    </row>
    <row r="6" spans="1:6">
      <c r="A6" s="10">
        <v>42251</v>
      </c>
      <c r="B6" s="11">
        <v>662</v>
      </c>
      <c r="C6" s="11">
        <v>869</v>
      </c>
      <c r="D6" s="11">
        <v>330</v>
      </c>
      <c r="E6" s="11">
        <v>670</v>
      </c>
      <c r="F6" s="12" t="b">
        <f t="shared" si="0"/>
        <v>0</v>
      </c>
    </row>
    <row r="7" spans="1:6">
      <c r="A7" s="10">
        <v>42252</v>
      </c>
      <c r="B7" s="11"/>
      <c r="C7" s="11"/>
      <c r="D7" s="11"/>
      <c r="E7" s="11">
        <v>972</v>
      </c>
      <c r="F7" s="12" t="b">
        <f t="shared" si="0"/>
        <v>1</v>
      </c>
    </row>
    <row r="8" spans="1:6">
      <c r="A8" s="10">
        <v>42253</v>
      </c>
      <c r="B8" s="11"/>
      <c r="C8" s="11"/>
      <c r="D8" s="11"/>
      <c r="E8" s="11">
        <v>303</v>
      </c>
      <c r="F8" s="12" t="b">
        <f t="shared" si="0"/>
        <v>1</v>
      </c>
    </row>
    <row r="9" spans="1:6">
      <c r="A9" s="10">
        <v>42254</v>
      </c>
      <c r="B9" s="11">
        <v>170</v>
      </c>
      <c r="C9" s="11">
        <v>253</v>
      </c>
      <c r="D9" s="11">
        <v>862</v>
      </c>
      <c r="E9" s="11">
        <v>526</v>
      </c>
      <c r="F9" s="12" t="b">
        <f t="shared" si="0"/>
        <v>0</v>
      </c>
    </row>
    <row r="10" spans="1:6">
      <c r="A10" s="10">
        <v>42255</v>
      </c>
      <c r="B10" s="11">
        <v>128</v>
      </c>
      <c r="C10" s="11">
        <v>642</v>
      </c>
      <c r="D10" s="11">
        <v>831</v>
      </c>
      <c r="E10" s="11">
        <v>661</v>
      </c>
      <c r="F10" s="12" t="b">
        <f t="shared" si="0"/>
        <v>0</v>
      </c>
    </row>
    <row r="11" spans="1:6">
      <c r="A11" s="10">
        <v>42256</v>
      </c>
      <c r="B11" s="11">
        <v>382</v>
      </c>
      <c r="C11" s="11">
        <v>366</v>
      </c>
      <c r="D11" s="11"/>
      <c r="E11" s="11"/>
      <c r="F11" s="12" t="b">
        <f t="shared" si="0"/>
        <v>0</v>
      </c>
    </row>
    <row r="12" spans="1:6">
      <c r="A12" s="10">
        <v>42257</v>
      </c>
      <c r="B12" s="11">
        <v>624</v>
      </c>
      <c r="C12" s="11">
        <v>461</v>
      </c>
      <c r="D12" s="11"/>
      <c r="E12" s="11"/>
      <c r="F12" s="12" t="b">
        <f t="shared" si="0"/>
        <v>0</v>
      </c>
    </row>
    <row r="13" spans="1:6">
      <c r="A13" s="10">
        <v>42258</v>
      </c>
      <c r="B13" s="11">
        <v>363</v>
      </c>
      <c r="C13" s="11">
        <v>874</v>
      </c>
      <c r="D13" s="11">
        <v>441</v>
      </c>
      <c r="E13" s="11">
        <v>987</v>
      </c>
      <c r="F13" s="12" t="b">
        <f t="shared" si="0"/>
        <v>0</v>
      </c>
    </row>
    <row r="14" spans="1:6">
      <c r="A14" s="10">
        <v>42259</v>
      </c>
      <c r="B14" s="11">
        <v>147</v>
      </c>
      <c r="C14" s="11">
        <v>802</v>
      </c>
      <c r="D14" s="11">
        <v>178</v>
      </c>
      <c r="E14" s="11">
        <v>132</v>
      </c>
      <c r="F14" s="12" t="b">
        <f t="shared" si="0"/>
        <v>1</v>
      </c>
    </row>
    <row r="15" spans="1:6">
      <c r="A15" s="10">
        <v>42260</v>
      </c>
      <c r="B15" s="11">
        <v>987</v>
      </c>
      <c r="C15" s="11"/>
      <c r="D15" s="11">
        <v>701</v>
      </c>
      <c r="E15" s="11"/>
      <c r="F15" s="12" t="b">
        <f t="shared" si="0"/>
        <v>1</v>
      </c>
    </row>
    <row r="16" spans="1:6">
      <c r="A16" s="10">
        <v>42261</v>
      </c>
      <c r="B16" s="11">
        <v>137</v>
      </c>
      <c r="C16" s="11"/>
      <c r="D16" s="11">
        <v>611</v>
      </c>
      <c r="E16" s="11"/>
      <c r="F16" s="12" t="b">
        <f t="shared" si="0"/>
        <v>0</v>
      </c>
    </row>
    <row r="17" spans="1:6">
      <c r="A17" s="10">
        <v>42262</v>
      </c>
      <c r="B17" s="11">
        <v>630</v>
      </c>
      <c r="C17" s="11">
        <v>346</v>
      </c>
      <c r="D17" s="11">
        <v>381</v>
      </c>
      <c r="E17" s="11">
        <v>710</v>
      </c>
      <c r="F17" s="12" t="b">
        <f t="shared" si="0"/>
        <v>0</v>
      </c>
    </row>
    <row r="18" spans="1:6">
      <c r="A18" s="10">
        <v>42263</v>
      </c>
      <c r="B18" s="11">
        <v>497</v>
      </c>
      <c r="C18" s="11">
        <v>857</v>
      </c>
      <c r="D18" s="11">
        <v>740</v>
      </c>
      <c r="E18" s="11">
        <v>996</v>
      </c>
      <c r="F18" s="12" t="b">
        <f t="shared" si="0"/>
        <v>0</v>
      </c>
    </row>
    <row r="19" spans="1:6">
      <c r="A19" s="10">
        <v>42264</v>
      </c>
      <c r="B19" s="11">
        <v>191</v>
      </c>
      <c r="C19" s="11">
        <v>715</v>
      </c>
      <c r="D19" s="11">
        <v>906</v>
      </c>
      <c r="E19" s="11">
        <v>597</v>
      </c>
      <c r="F19" s="12" t="b">
        <f t="shared" si="0"/>
        <v>0</v>
      </c>
    </row>
    <row r="20" spans="1:6">
      <c r="A20" s="10">
        <v>42265</v>
      </c>
      <c r="B20" s="11">
        <v>638</v>
      </c>
      <c r="C20" s="11">
        <v>898</v>
      </c>
      <c r="D20" s="11">
        <v>899</v>
      </c>
      <c r="E20" s="11">
        <v>273</v>
      </c>
      <c r="F20" s="12" t="b">
        <f t="shared" si="0"/>
        <v>0</v>
      </c>
    </row>
    <row r="21" spans="1:6">
      <c r="A21" s="10">
        <v>42266</v>
      </c>
      <c r="B21" s="11"/>
      <c r="C21" s="11"/>
      <c r="D21" s="11">
        <v>985</v>
      </c>
      <c r="E21" s="11">
        <v>683</v>
      </c>
      <c r="F21" s="12" t="b">
        <f t="shared" si="0"/>
        <v>1</v>
      </c>
    </row>
    <row r="22" spans="1:6">
      <c r="A22" s="10">
        <v>42267</v>
      </c>
      <c r="B22" s="11"/>
      <c r="C22" s="11"/>
      <c r="D22" s="11">
        <v>133</v>
      </c>
      <c r="E22" s="11">
        <v>528</v>
      </c>
      <c r="F22" s="12" t="b">
        <f t="shared" si="0"/>
        <v>1</v>
      </c>
    </row>
    <row r="23" spans="1:6">
      <c r="A23" s="10">
        <v>42268</v>
      </c>
      <c r="B23" s="11">
        <v>329</v>
      </c>
      <c r="C23" s="11">
        <v>558</v>
      </c>
      <c r="D23" s="11">
        <v>497</v>
      </c>
      <c r="E23" s="11">
        <v>896</v>
      </c>
      <c r="F23" s="12" t="b">
        <f t="shared" si="0"/>
        <v>0</v>
      </c>
    </row>
    <row r="24" spans="1:6">
      <c r="A24" s="10">
        <v>42269</v>
      </c>
      <c r="B24" s="11">
        <v>772</v>
      </c>
      <c r="C24" s="11">
        <v>349</v>
      </c>
      <c r="D24" s="11">
        <v>731</v>
      </c>
      <c r="E24" s="11">
        <v>440</v>
      </c>
      <c r="F24" s="12" t="b">
        <f t="shared" si="0"/>
        <v>0</v>
      </c>
    </row>
    <row r="25" spans="1:6">
      <c r="A25" s="10">
        <v>42270</v>
      </c>
      <c r="B25" s="11">
        <v>744</v>
      </c>
      <c r="C25" s="11">
        <v>519</v>
      </c>
      <c r="D25" s="11">
        <v>186</v>
      </c>
      <c r="E25" s="11">
        <v>287</v>
      </c>
      <c r="F25" s="12" t="b">
        <f t="shared" si="0"/>
        <v>0</v>
      </c>
    </row>
    <row r="26" spans="1:6">
      <c r="A26" s="10">
        <v>42271</v>
      </c>
      <c r="B26" s="11">
        <v>785</v>
      </c>
      <c r="C26" s="11">
        <v>829</v>
      </c>
      <c r="D26" s="11">
        <v>660</v>
      </c>
      <c r="E26" s="11">
        <v>692</v>
      </c>
      <c r="F26" s="12" t="b">
        <f t="shared" si="0"/>
        <v>0</v>
      </c>
    </row>
    <row r="27" spans="1:6">
      <c r="A27" s="10">
        <v>42272</v>
      </c>
      <c r="B27" s="11">
        <v>634</v>
      </c>
      <c r="C27" s="11">
        <v>828</v>
      </c>
      <c r="D27" s="11">
        <v>878</v>
      </c>
      <c r="E27" s="11">
        <v>122</v>
      </c>
      <c r="F27" s="12" t="b">
        <f t="shared" si="0"/>
        <v>0</v>
      </c>
    </row>
    <row r="28" spans="1:6">
      <c r="A28" s="10">
        <v>42273</v>
      </c>
      <c r="B28" s="11">
        <v>739</v>
      </c>
      <c r="C28" s="11"/>
      <c r="D28" s="11">
        <v>561</v>
      </c>
      <c r="E28" s="11">
        <v>150</v>
      </c>
      <c r="F28" s="12" t="b">
        <f t="shared" si="0"/>
        <v>1</v>
      </c>
    </row>
    <row r="29" spans="1:6">
      <c r="A29" s="10">
        <v>42274</v>
      </c>
      <c r="B29" s="11">
        <v>471</v>
      </c>
      <c r="C29" s="11"/>
      <c r="D29" s="11">
        <v>298</v>
      </c>
      <c r="E29" s="11">
        <v>934</v>
      </c>
      <c r="F29" s="12" t="b">
        <f t="shared" si="0"/>
        <v>1</v>
      </c>
    </row>
    <row r="30" spans="1:6">
      <c r="A30" s="10">
        <v>42275</v>
      </c>
      <c r="B30" s="11">
        <v>400</v>
      </c>
      <c r="C30" s="11">
        <v>479</v>
      </c>
      <c r="D30" s="11">
        <v>418</v>
      </c>
      <c r="E30" s="11">
        <v>873</v>
      </c>
      <c r="F30" s="12" t="b">
        <f t="shared" si="0"/>
        <v>0</v>
      </c>
    </row>
    <row r="31" spans="1:6">
      <c r="A31" s="10">
        <v>42276</v>
      </c>
      <c r="B31" s="11">
        <v>516</v>
      </c>
      <c r="C31" s="11"/>
      <c r="D31" s="11"/>
      <c r="E31" s="11"/>
      <c r="F31" s="12" t="b">
        <f t="shared" si="0"/>
        <v>0</v>
      </c>
    </row>
    <row r="32" spans="1:6">
      <c r="A32" s="10">
        <v>42277</v>
      </c>
      <c r="B32" s="11">
        <v>785</v>
      </c>
      <c r="C32" s="11"/>
      <c r="D32" s="11"/>
      <c r="E32" s="11"/>
      <c r="F32" s="12" t="b">
        <f t="shared" si="0"/>
        <v>0</v>
      </c>
    </row>
  </sheetData>
  <conditionalFormatting sqref="A3:E32">
    <cfRule type="expression" dxfId="2" priority="1">
      <formula>OR(WEEKDAY($A3,2)=6,WEEKDAY($A3,2)=7)</formula>
    </cfRule>
    <cfRule type="expression" dxfId="1" priority="2">
      <formula>OR(WEEKDAY(A3,2)=6,WEEKDAY(A3,2)=7)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21">
    <tabColor rgb="FF1E73BE"/>
    <pageSetUpPr fitToPage="1"/>
  </sheetPr>
  <dimension ref="A1:B13"/>
  <sheetViews>
    <sheetView zoomScale="160" zoomScaleNormal="160" workbookViewId="0">
      <selection activeCell="I14" sqref="I14"/>
    </sheetView>
  </sheetViews>
  <sheetFormatPr defaultColWidth="8.85546875" defaultRowHeight="14.25"/>
  <cols>
    <col min="1" max="1" width="18.140625" style="4" bestFit="1" customWidth="1"/>
    <col min="2" max="16384" width="8.85546875" style="4"/>
  </cols>
  <sheetData>
    <row r="1" spans="1:2">
      <c r="A1" s="7" t="s">
        <v>1</v>
      </c>
    </row>
    <row r="2" spans="1:2">
      <c r="A2" s="5" t="s">
        <v>7</v>
      </c>
      <c r="B2" s="4">
        <f>COUNTIF($A$2:A2,A2)-1</f>
        <v>0</v>
      </c>
    </row>
    <row r="3" spans="1:2">
      <c r="A3" s="6" t="s">
        <v>9</v>
      </c>
      <c r="B3" s="4">
        <f>COUNTIF($A$2:A3,A3)-1</f>
        <v>0</v>
      </c>
    </row>
    <row r="4" spans="1:2">
      <c r="A4" s="6" t="s">
        <v>11</v>
      </c>
      <c r="B4" s="4">
        <f>COUNTIF($A$2:A4,A4)-1</f>
        <v>0</v>
      </c>
    </row>
    <row r="5" spans="1:2">
      <c r="A5" s="6" t="s">
        <v>13</v>
      </c>
      <c r="B5" s="4">
        <f>COUNTIF($A$2:A5,A5)-1</f>
        <v>0</v>
      </c>
    </row>
    <row r="6" spans="1:2">
      <c r="A6" s="5" t="s">
        <v>15</v>
      </c>
      <c r="B6" s="4">
        <f>COUNTIF($A$2:A6,A6)-1</f>
        <v>0</v>
      </c>
    </row>
    <row r="7" spans="1:2">
      <c r="A7" s="5" t="s">
        <v>17</v>
      </c>
      <c r="B7" s="4">
        <f>COUNTIF($A$2:A7,A7)-1</f>
        <v>0</v>
      </c>
    </row>
    <row r="8" spans="1:2">
      <c r="A8" s="5" t="s">
        <v>17</v>
      </c>
      <c r="B8" s="4">
        <f>COUNTIF($A$2:A8,A8)-1</f>
        <v>1</v>
      </c>
    </row>
    <row r="9" spans="1:2">
      <c r="A9" s="6" t="s">
        <v>19</v>
      </c>
      <c r="B9" s="4">
        <f>COUNTIF($A$2:A9,A9)-1</f>
        <v>0</v>
      </c>
    </row>
    <row r="10" spans="1:2">
      <c r="A10" s="5" t="s">
        <v>7</v>
      </c>
      <c r="B10" s="4">
        <f>COUNTIF($A$2:A10,A10)-1</f>
        <v>1</v>
      </c>
    </row>
    <row r="11" spans="1:2">
      <c r="A11" s="6" t="s">
        <v>20</v>
      </c>
      <c r="B11" s="4">
        <f>COUNTIF($A$2:A11,A11)-1</f>
        <v>0</v>
      </c>
    </row>
    <row r="12" spans="1:2">
      <c r="A12" s="5" t="s">
        <v>15</v>
      </c>
      <c r="B12" s="4">
        <f>COUNTIF($A$2:A12,A12)-1</f>
        <v>1</v>
      </c>
    </row>
    <row r="13" spans="1:2">
      <c r="A13" s="6" t="s">
        <v>21</v>
      </c>
      <c r="B13" s="4">
        <f>COUNTIF($A$2:A13,A13)-1</f>
        <v>0</v>
      </c>
    </row>
  </sheetData>
  <conditionalFormatting sqref="A2:A13">
    <cfRule type="expression" dxfId="0" priority="1">
      <formula>COUNTIF($A$2:A2,A2)-1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6">
    <tabColor rgb="FF1E73BE"/>
  </sheetPr>
  <dimension ref="A1:G15"/>
  <sheetViews>
    <sheetView tabSelected="1" zoomScale="160" zoomScaleNormal="160" workbookViewId="0">
      <selection activeCell="K11" sqref="K11"/>
    </sheetView>
  </sheetViews>
  <sheetFormatPr defaultColWidth="8.85546875" defaultRowHeight="14.25"/>
  <cols>
    <col min="1" max="1" width="18.140625" style="4" bestFit="1" customWidth="1"/>
    <col min="2" max="2" width="3.85546875" style="4" customWidth="1"/>
    <col min="3" max="3" width="18.5703125" style="4" bestFit="1" customWidth="1"/>
    <col min="4" max="4" width="3.28515625" style="4" customWidth="1"/>
    <col min="5" max="5" width="4.42578125" style="4" customWidth="1"/>
    <col min="6" max="16384" width="8.85546875" style="4"/>
  </cols>
  <sheetData>
    <row r="1" spans="1:7">
      <c r="A1" s="2" t="s">
        <v>69</v>
      </c>
      <c r="B1" s="3"/>
      <c r="C1" s="2" t="s">
        <v>70</v>
      </c>
      <c r="D1" s="3"/>
      <c r="E1" s="3"/>
      <c r="F1" s="3"/>
    </row>
    <row r="2" spans="1:7">
      <c r="A2" s="5" t="s">
        <v>7</v>
      </c>
      <c r="B2" s="3"/>
      <c r="C2" s="5" t="s">
        <v>71</v>
      </c>
      <c r="D2" s="3"/>
      <c r="E2" s="3"/>
      <c r="F2" s="3">
        <f>COUNTIF($C$2:$C$15,A2)</f>
        <v>0</v>
      </c>
      <c r="G2" s="4" t="e">
        <f>MATCH(A2,$C$2:$C$15,0)</f>
        <v>#N/A</v>
      </c>
    </row>
    <row r="3" spans="1:7">
      <c r="A3" s="5" t="s">
        <v>9</v>
      </c>
      <c r="B3" s="3"/>
      <c r="C3" s="6" t="s">
        <v>72</v>
      </c>
      <c r="D3" s="3"/>
      <c r="E3" s="3"/>
      <c r="F3" s="3">
        <f t="shared" ref="F3:F15" si="0">COUNTIF($C$2:$C$15,A3)</f>
        <v>1</v>
      </c>
      <c r="G3" s="4">
        <f t="shared" ref="G3:G15" si="1">MATCH(A3,$C$2:$C$15,0)</f>
        <v>9</v>
      </c>
    </row>
    <row r="4" spans="1:7">
      <c r="A4" s="6" t="s">
        <v>11</v>
      </c>
      <c r="B4" s="3"/>
      <c r="C4" s="6" t="s">
        <v>13</v>
      </c>
      <c r="D4" s="3"/>
      <c r="E4" s="3"/>
      <c r="F4" s="3">
        <f t="shared" si="0"/>
        <v>0</v>
      </c>
      <c r="G4" s="4" t="e">
        <f t="shared" si="1"/>
        <v>#N/A</v>
      </c>
    </row>
    <row r="5" spans="1:7">
      <c r="A5" s="5" t="s">
        <v>13</v>
      </c>
      <c r="B5" s="3"/>
      <c r="C5" s="6" t="s">
        <v>73</v>
      </c>
      <c r="D5" s="3"/>
      <c r="E5" s="3"/>
      <c r="F5" s="3">
        <f t="shared" si="0"/>
        <v>1</v>
      </c>
      <c r="G5" s="4">
        <f t="shared" si="1"/>
        <v>3</v>
      </c>
    </row>
    <row r="6" spans="1:7">
      <c r="A6" s="5" t="s">
        <v>74</v>
      </c>
      <c r="B6" s="3"/>
      <c r="C6" s="6" t="s">
        <v>75</v>
      </c>
      <c r="D6" s="3"/>
      <c r="E6" s="3"/>
      <c r="F6" s="3">
        <f t="shared" si="0"/>
        <v>1</v>
      </c>
      <c r="G6" s="4">
        <f t="shared" si="1"/>
        <v>10</v>
      </c>
    </row>
    <row r="7" spans="1:7">
      <c r="A7" s="6" t="s">
        <v>17</v>
      </c>
      <c r="B7" s="3"/>
      <c r="C7" s="6" t="s">
        <v>76</v>
      </c>
      <c r="D7" s="3"/>
      <c r="E7" s="3"/>
      <c r="F7" s="3">
        <f t="shared" si="0"/>
        <v>0</v>
      </c>
      <c r="G7" s="4" t="e">
        <f t="shared" si="1"/>
        <v>#N/A</v>
      </c>
    </row>
    <row r="8" spans="1:7">
      <c r="A8" s="6" t="s">
        <v>77</v>
      </c>
      <c r="B8" s="3"/>
      <c r="C8" s="6" t="s">
        <v>78</v>
      </c>
      <c r="D8" s="3"/>
      <c r="E8" s="3"/>
      <c r="F8" s="3">
        <f t="shared" si="0"/>
        <v>0</v>
      </c>
      <c r="G8" s="4" t="e">
        <f t="shared" si="1"/>
        <v>#N/A</v>
      </c>
    </row>
    <row r="9" spans="1:7">
      <c r="A9" s="6" t="s">
        <v>19</v>
      </c>
      <c r="B9" s="3"/>
      <c r="C9" s="6" t="s">
        <v>79</v>
      </c>
      <c r="D9" s="3"/>
      <c r="E9" s="3"/>
      <c r="F9" s="3">
        <f t="shared" si="0"/>
        <v>0</v>
      </c>
      <c r="G9" s="4" t="e">
        <f t="shared" si="1"/>
        <v>#N/A</v>
      </c>
    </row>
    <row r="10" spans="1:7">
      <c r="A10" s="5" t="s">
        <v>80</v>
      </c>
      <c r="B10" s="3"/>
      <c r="C10" s="6" t="s">
        <v>9</v>
      </c>
      <c r="D10" s="3"/>
      <c r="E10" s="3"/>
      <c r="F10" s="3">
        <f t="shared" si="0"/>
        <v>1</v>
      </c>
      <c r="G10" s="4">
        <f t="shared" si="1"/>
        <v>12</v>
      </c>
    </row>
    <row r="11" spans="1:7">
      <c r="A11" s="6" t="s">
        <v>20</v>
      </c>
      <c r="B11" s="3"/>
      <c r="C11" s="6" t="s">
        <v>74</v>
      </c>
      <c r="D11" s="3"/>
      <c r="E11" s="3"/>
      <c r="F11" s="3">
        <f t="shared" si="0"/>
        <v>0</v>
      </c>
      <c r="G11" s="4" t="e">
        <f t="shared" si="1"/>
        <v>#N/A</v>
      </c>
    </row>
    <row r="12" spans="1:7">
      <c r="A12" s="6" t="s">
        <v>15</v>
      </c>
      <c r="B12" s="3"/>
      <c r="C12" s="6" t="s">
        <v>92</v>
      </c>
      <c r="D12" s="3"/>
      <c r="E12" s="3"/>
      <c r="F12" s="3">
        <f t="shared" si="0"/>
        <v>0</v>
      </c>
      <c r="G12" s="4" t="e">
        <f t="shared" si="1"/>
        <v>#N/A</v>
      </c>
    </row>
    <row r="13" spans="1:7">
      <c r="A13" s="6" t="s">
        <v>21</v>
      </c>
      <c r="B13" s="3"/>
      <c r="C13" s="6" t="s">
        <v>80</v>
      </c>
      <c r="D13" s="3"/>
      <c r="E13" s="3"/>
      <c r="F13" s="3">
        <f t="shared" si="0"/>
        <v>0</v>
      </c>
      <c r="G13" s="4" t="e">
        <f t="shared" si="1"/>
        <v>#N/A</v>
      </c>
    </row>
    <row r="14" spans="1:7">
      <c r="A14" s="3"/>
      <c r="B14" s="3"/>
      <c r="C14" s="6" t="s">
        <v>81</v>
      </c>
      <c r="D14" s="3"/>
      <c r="E14" s="3"/>
      <c r="F14" s="3">
        <f t="shared" si="0"/>
        <v>0</v>
      </c>
      <c r="G14" s="4" t="e">
        <f t="shared" si="1"/>
        <v>#N/A</v>
      </c>
    </row>
    <row r="15" spans="1:7">
      <c r="A15" s="3"/>
      <c r="B15" s="3"/>
      <c r="C15" s="6" t="s">
        <v>82</v>
      </c>
      <c r="D15" s="3"/>
      <c r="E15" s="3"/>
      <c r="F15" s="3">
        <f t="shared" si="0"/>
        <v>0</v>
      </c>
      <c r="G15" s="4" t="e">
        <f t="shared" si="1"/>
        <v>#N/A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ExceliAdam</vt:lpstr>
      <vt:lpstr>PierwszyKontakt</vt:lpstr>
      <vt:lpstr>PaskiDanych</vt:lpstr>
      <vt:lpstr>SkaleKolorów</vt:lpstr>
      <vt:lpstr>ZestawyIkon</vt:lpstr>
      <vt:lpstr>Interakcja</vt:lpstr>
      <vt:lpstr>Usuwanie</vt:lpstr>
      <vt:lpstr>TabelePrzestawne</vt:lpstr>
      <vt:lpstr>PierwszaFormuła</vt:lpstr>
      <vt:lpstr>2D</vt:lpstr>
      <vt:lpstr>Weekend</vt:lpstr>
      <vt:lpstr>Duplikaty</vt:lpstr>
      <vt:lpstr>Czy A jest w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2015-10-21T03:34:09Z</dcterms:created>
  <dcterms:modified xsi:type="dcterms:W3CDTF">2026-10-28T23:12:28Z</dcterms:modified>
</cp:coreProperties>
</file>