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91D49579-05E1-47DB-A762-4876C1DD1643}" xr6:coauthVersionLast="47" xr6:coauthVersionMax="47" xr10:uidLastSave="{00000000-0000-0000-0000-000000000000}"/>
  <bookViews>
    <workbookView xWindow="-120" yWindow="-120" windowWidth="38640" windowHeight="21120" tabRatio="777" activeTab="6" xr2:uid="{00000000-000D-0000-FFFF-FFFF00000000}"/>
  </bookViews>
  <sheets>
    <sheet name="ExceliAdam" sheetId="22" r:id="rId1"/>
    <sheet name="Walutowe" sheetId="16" r:id="rId2"/>
    <sheet name="Data" sheetId="17" r:id="rId3"/>
    <sheet name="Kody Daty" sheetId="18" r:id="rId4"/>
    <sheet name="Czas" sheetId="21" r:id="rId5"/>
    <sheet name="Kody Czasu" sheetId="19" r:id="rId6"/>
    <sheet name="Różne" sheetId="20" r:id="rId7"/>
  </sheet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1" l="1"/>
  <c r="B10" i="16"/>
  <c r="B11" i="16"/>
  <c r="B9" i="16"/>
  <c r="B14" i="21"/>
  <c r="B10" i="21"/>
  <c r="B6" i="21"/>
  <c r="B5" i="21"/>
  <c r="B4" i="21"/>
  <c r="B3" i="21"/>
  <c r="B2" i="21"/>
  <c r="B12" i="20" l="1"/>
  <c r="B6" i="20"/>
  <c r="B7" i="20" s="1"/>
  <c r="B8" i="20" s="1"/>
  <c r="B6" i="17"/>
  <c r="B5" i="17"/>
  <c r="B4" i="17"/>
  <c r="B3" i="17"/>
  <c r="B2" i="17"/>
</calcChain>
</file>

<file path=xl/sharedStrings.xml><?xml version="1.0" encoding="utf-8"?>
<sst xmlns="http://schemas.openxmlformats.org/spreadsheetml/2006/main" count="161" uniqueCount="136">
  <si>
    <t>http://office.microsoft.com/pl-pl/excel-help/tworzenie-lub-usuwanie-niestandardowego-formatu-liczb-HP001216503.aspx</t>
  </si>
  <si>
    <t>Chcemy:</t>
  </si>
  <si>
    <t>Formatowanie:</t>
  </si>
  <si>
    <t>Formatowanie niestandardowe</t>
  </si>
  <si>
    <t>Data</t>
  </si>
  <si>
    <t>luty 7, 2014</t>
  </si>
  <si>
    <t>Fomatowanie:</t>
  </si>
  <si>
    <t>Godzina</t>
  </si>
  <si>
    <t>Liczbę godzin powyżej 24</t>
  </si>
  <si>
    <t>Dokładny procent</t>
  </si>
  <si>
    <t>Ułamek</t>
  </si>
  <si>
    <t>12 zł za sztukę</t>
  </si>
  <si>
    <t>Liczba sztuk</t>
  </si>
  <si>
    <t>Wartość Sprzedaży</t>
  </si>
  <si>
    <t>4 sekcje w formatowaniu niestandardowym</t>
  </si>
  <si>
    <t>&lt;LICZBY DODATNIE&gt;;&lt;LICZBY UJEMNE&gt;;&lt;WARTOŚCI ZEROWE&gt;;&lt;TEKST&gt;</t>
  </si>
  <si>
    <t>Hania</t>
  </si>
  <si>
    <t>Formatowanie walutowe liczby</t>
  </si>
  <si>
    <t>Formatowanie niestandardowe daty</t>
  </si>
  <si>
    <t># ##0,00 zł</t>
  </si>
  <si>
    <t>Liczba z tekstem</t>
  </si>
  <si>
    <t># ##0,00 zł" za sztukę"</t>
  </si>
  <si>
    <t>Liczba jej odpowiadająca</t>
  </si>
  <si>
    <t>mmmm d, rrrr</t>
  </si>
  <si>
    <t>Zwykła godzina</t>
  </si>
  <si>
    <t>g:mm</t>
  </si>
  <si>
    <t>[g]:mm</t>
  </si>
  <si>
    <t>Obliczanie dniówki</t>
  </si>
  <si>
    <t>Przepracowane godziny</t>
  </si>
  <si>
    <t>Stawka za godzinę</t>
  </si>
  <si>
    <t>Dniówka</t>
  </si>
  <si>
    <t>Kod</t>
  </si>
  <si>
    <t>Sposób wyświetlania</t>
  </si>
  <si>
    <t>Przykład</t>
  </si>
  <si>
    <t>m</t>
  </si>
  <si>
    <t>Wyświetlanie miesiąca w postaci liczby bez zera wiodącego.</t>
  </si>
  <si>
    <t>1 – 12</t>
  </si>
  <si>
    <t>mm</t>
  </si>
  <si>
    <t>Wyświetlanie miesiąca w postaci liczby z zerem wiodącym, jeśli to konieczne.</t>
  </si>
  <si>
    <t>01 – 12</t>
  </si>
  <si>
    <t>mmm</t>
  </si>
  <si>
    <t>Wyświetlanie miesiąca w postaci skrótu (sty – gru).</t>
  </si>
  <si>
    <t>sty – gru</t>
  </si>
  <si>
    <t>mmmm</t>
  </si>
  <si>
    <t>Wyświetlanie pełnej nazwy miesiąca (styczeń – grudzień).</t>
  </si>
  <si>
    <t>styczeń – grudzień</t>
  </si>
  <si>
    <t>mmmmm</t>
  </si>
  <si>
    <t>Wyświetlanie miesiąca w postaci skrótu jednoliterowego (s – g).</t>
  </si>
  <si>
    <t>s – g</t>
  </si>
  <si>
    <t>d</t>
  </si>
  <si>
    <t>Wyświetlanie dnia w postaci liczby bez zera wiodącego.</t>
  </si>
  <si>
    <t>1 – 31</t>
  </si>
  <si>
    <t>dd</t>
  </si>
  <si>
    <t>Wyświetlanie dnia w postaci liczby z zerem wiodącym, jeśli to konieczne.</t>
  </si>
  <si>
    <t>01 – 31</t>
  </si>
  <si>
    <t>ddd</t>
  </si>
  <si>
    <t>Wyświetlanie dnia w postaci skrótu (Pn – N).</t>
  </si>
  <si>
    <t>Pn – N</t>
  </si>
  <si>
    <t>dddd</t>
  </si>
  <si>
    <t>Wyświetlanie pełnej nazwy dnia (poniedziałek – niedziela).</t>
  </si>
  <si>
    <t>poniedziałek – niedziela</t>
  </si>
  <si>
    <t>rr</t>
  </si>
  <si>
    <t>Wyświetlanie roku w postaci liczby dwucyfrowej.</t>
  </si>
  <si>
    <t>00 – 99</t>
  </si>
  <si>
    <t>rrrr</t>
  </si>
  <si>
    <t>Wyświetlanie roku w postaci liczby czterocyfrowej.</t>
  </si>
  <si>
    <t>1900 – 9999</t>
  </si>
  <si>
    <t>g</t>
  </si>
  <si>
    <t>Wyświetlanie godziny jako liczby bez zera wiodącego.</t>
  </si>
  <si>
    <t>[g]</t>
  </si>
  <si>
    <t>gg</t>
  </si>
  <si>
    <t>Wyświetlanie minut w postaci liczby bez zera wiodącego.
Uwaga   Kod m lub mm musi występować bezpośrednio po kodzie g lub gg albo występować bezpośrednio przed kodem ss. W przeciwnym razie program Excel wyświetli miesiąc zamiast minut.</t>
  </si>
  <si>
    <t>[m]</t>
  </si>
  <si>
    <t>Wyświetlanie minut w postaci liczby z zerem wiodącym, jeśli to konieczne.</t>
  </si>
  <si>
    <t>s</t>
  </si>
  <si>
    <t>Wyświetlanie sekund w postaci liczby bez zera wiodącego.</t>
  </si>
  <si>
    <t>[s]</t>
  </si>
  <si>
    <t>ss</t>
  </si>
  <si>
    <t>AM/PM, am/pm, A/P, a/p</t>
  </si>
  <si>
    <t>Kod formatowania</t>
  </si>
  <si>
    <t>Liczba:</t>
  </si>
  <si>
    <t>0,0000%</t>
  </si>
  <si>
    <t>#" "?/?</t>
  </si>
  <si>
    <t>Dokładność liczb zmiennoprzecinkowych: 0,000000000000000028</t>
  </si>
  <si>
    <t>?/?</t>
  </si>
  <si>
    <t xml:space="preserve">Specyfikacja IEEE 754 nie wyróżnia żadnych liczb; wszystkie liczby są zapisywane zgodnie z możliwościami w mantysie, a pozostałość jest obcinana. Powoduje to błąd wynoszący około -2,8E-17 lub 0,000000000000000028 przy zapisywaniu. </t>
  </si>
  <si>
    <t>Liczba w milionach</t>
  </si>
  <si>
    <t>0,00  " M"</t>
  </si>
  <si>
    <t>Zera wiodące - kod pocztowy</t>
  </si>
  <si>
    <t>00-000</t>
  </si>
  <si>
    <t>Pseudo ukrywanie zawartości komórki</t>
  </si>
  <si>
    <t>0,00;-0,00;-;@</t>
  </si>
  <si>
    <t>;;;</t>
  </si>
  <si>
    <r>
      <t xml:space="preserve">Wyświetlanie czasu, jaki upłynął, w godzinach. Używając formuły zwracającej wartość czasu, w której liczba godzin przekracza 24, należy zastosować format liczbowy podobny do formatu </t>
    </r>
    <r>
      <rPr>
        <b/>
        <sz val="10.5"/>
        <color theme="1"/>
        <rFont val="Calibri"/>
        <family val="2"/>
        <scheme val="minor"/>
      </rPr>
      <t>[g]:mm:ss</t>
    </r>
    <r>
      <rPr>
        <sz val="10.5"/>
        <color theme="1"/>
        <rFont val="Calibri"/>
        <family val="2"/>
        <scheme val="minor"/>
      </rPr>
      <t>.</t>
    </r>
  </si>
  <si>
    <r>
      <t xml:space="preserve">Wyświetlanie godziny w postaci liczby z zerem wiodącym, jeśli to konieczne. Jeżeli format zawiera symbole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>, godzina będzie wyświetlana w formacie 12-godzinnym. W przeciwnym razie godzina będzie wyświetlana w formacie 24-godzinnym.</t>
    </r>
  </si>
  <si>
    <r>
      <t xml:space="preserve">Wyświetlanie czasu, jaki upłynął, w minutach. Używając formuły zwracającej wartość czasu, w której liczba minut przekracza 60, należy zastosować format liczbowy podobny do formatu </t>
    </r>
    <r>
      <rPr>
        <b/>
        <sz val="10.5"/>
        <color theme="1"/>
        <rFont val="Calibri"/>
        <family val="2"/>
        <scheme val="minor"/>
      </rPr>
      <t>[mm]:ss</t>
    </r>
    <r>
      <rPr>
        <sz val="10.5"/>
        <color theme="1"/>
        <rFont val="Calibri"/>
        <family val="2"/>
        <scheme val="minor"/>
      </rPr>
      <t>.</t>
    </r>
  </si>
  <si>
    <r>
      <t xml:space="preserve">Wyświetlanie czasu, jaki upłynął, w sekundach. Używając formuły zwracającej wartość czasu, w której liczba sekund przekracza 60, należy zastosować format liczbowy podobny do formatu </t>
    </r>
    <r>
      <rPr>
        <b/>
        <sz val="10.5"/>
        <color theme="1"/>
        <rFont val="Calibri"/>
        <family val="2"/>
        <scheme val="minor"/>
      </rPr>
      <t>[ss]</t>
    </r>
    <r>
      <rPr>
        <sz val="10.5"/>
        <color theme="1"/>
        <rFont val="Calibri"/>
        <family val="2"/>
        <scheme val="minor"/>
      </rPr>
      <t>.</t>
    </r>
  </si>
  <si>
    <r>
      <t xml:space="preserve">Wyświetlanie sekund w postaci liczby z zerem wiodącym, jeśli to konieczne. Jeżeli mają być wyświetlane ułamki sekund, należy użyć formatu liczbowego podobnego do formatu </t>
    </r>
    <r>
      <rPr>
        <b/>
        <sz val="10.5"/>
        <color theme="1"/>
        <rFont val="Calibri"/>
        <family val="2"/>
        <scheme val="minor"/>
      </rPr>
      <t>g:mm:ss,00</t>
    </r>
    <r>
      <rPr>
        <sz val="10.5"/>
        <color theme="1"/>
        <rFont val="Calibri"/>
        <family val="2"/>
        <scheme val="minor"/>
      </rPr>
      <t>.</t>
    </r>
  </si>
  <si>
    <r>
      <t xml:space="preserve">Wyświetlanie godziny w formacie 12-godzinnym. Program Excel wyświetla symbol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A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a</t>
    </r>
    <r>
      <rPr>
        <sz val="10.5"/>
        <color theme="1"/>
        <rFont val="Calibri"/>
        <family val="2"/>
        <scheme val="minor"/>
      </rPr>
      <t xml:space="preserve">, wskazując czas od północy do południa, oraz symbol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P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p</t>
    </r>
    <r>
      <rPr>
        <sz val="10.5"/>
        <color theme="1"/>
        <rFont val="Calibri"/>
        <family val="2"/>
        <scheme val="minor"/>
      </rPr>
      <t>, wskazując czas od południa do północy.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</si>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</sst>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#,##0\ &quot;zł&quot;;[Red]\-#,##0\ &quot;zł&quot;"/>
    <numFmt numFmtId="165" formatCode="#,##0.00\ &quot;zł&quot;;[Red]\-#,##0.00\ &quot;zł&quot;"/>
    <numFmt numFmtId="166" formatCode="_-* #,##0.00\ _z_ł_-;\-* #,##0.00\ _z_ł_-;_-* &quot;-&quot;??\ _z_ł_-;_-@_-"/>
    <numFmt numFmtId="167" formatCode="&quot;$&quot;#,##0,"/>
    <numFmt numFmtId="168" formatCode="d\-mmm\-yyyy"/>
    <numFmt numFmtId="169" formatCode="#,##0.00\ &quot;zł&quot;"/>
    <numFmt numFmtId="170" formatCode="[h]:mm"/>
    <numFmt numFmtId="171" formatCode="0.0000%"/>
    <numFmt numFmtId="172" formatCode="?/?"/>
    <numFmt numFmtId="173" formatCode="00\-000"/>
    <numFmt numFmtId="174" formatCode="#,##0.00\ &quot;zł&quot;&quot; za sztukę&quot;"/>
    <numFmt numFmtId="175" formatCode="??"/>
    <numFmt numFmtId="176" formatCode="[$-F400]h:mm:ss\ AM/PM"/>
    <numFmt numFmtId="177" formatCode="0.00,,&quot; M&quot;"/>
    <numFmt numFmtId="178" formatCode="&quot;$&quot;#,##0.00"/>
    <numFmt numFmtId="179" formatCode="#\ ##,000\ \z\ł&quot; za sztukę&quot;"/>
    <numFmt numFmtId="181" formatCode="mmmm\ d\,\ yyyy"/>
    <numFmt numFmtId="184" formatCode=";;;"/>
  </numFmts>
  <fonts count="2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i/>
      <sz val="10.5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C5D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7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8" borderId="1">
      <alignment wrapText="1"/>
    </xf>
    <xf numFmtId="0" fontId="8" fillId="9" borderId="2" applyBorder="0">
      <alignment horizontal="centerContinuous" wrapText="1"/>
    </xf>
    <xf numFmtId="43" fontId="9" fillId="0" borderId="0" applyFont="0" applyFill="0" applyBorder="0" applyAlignment="0" applyProtection="0"/>
    <xf numFmtId="167" fontId="10" fillId="0" borderId="0"/>
    <xf numFmtId="0" fontId="2" fillId="5" borderId="0"/>
    <xf numFmtId="166" fontId="5" fillId="0" borderId="0" applyFont="0" applyFill="0" applyBorder="0" applyAlignment="0" applyProtection="0"/>
    <xf numFmtId="0" fontId="3" fillId="10" borderId="1">
      <alignment horizontal="center" vertical="center"/>
    </xf>
    <xf numFmtId="0" fontId="2" fillId="6" borderId="1">
      <alignment horizontal="center" vertical="center"/>
    </xf>
    <xf numFmtId="165" fontId="1" fillId="7" borderId="1" applyNumberFormat="0"/>
    <xf numFmtId="165" fontId="1" fillId="11" borderId="1" applyFont="0" applyBorder="0"/>
    <xf numFmtId="165" fontId="1" fillId="6" borderId="1" applyFont="0" applyBorder="0"/>
    <xf numFmtId="165" fontId="1" fillId="12" borderId="1" applyFont="0" applyBorder="0"/>
    <xf numFmtId="165" fontId="1" fillId="13" borderId="1" applyFont="0" applyBorder="0"/>
    <xf numFmtId="0" fontId="1" fillId="14" borderId="0" applyFont="0" applyBorder="0"/>
    <xf numFmtId="165" fontId="1" fillId="15" borderId="1" applyFont="0" applyBorder="0"/>
    <xf numFmtId="165" fontId="6" fillId="4" borderId="1"/>
    <xf numFmtId="165" fontId="6" fillId="4" borderId="1" applyNumberFormat="0"/>
    <xf numFmtId="165" fontId="6" fillId="4" borderId="1" applyNumberFormat="0" applyAlignment="0"/>
    <xf numFmtId="168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165" fontId="1" fillId="16" borderId="1"/>
    <xf numFmtId="0" fontId="9" fillId="0" borderId="0">
      <alignment wrapText="1"/>
    </xf>
    <xf numFmtId="0" fontId="6" fillId="3" borderId="2"/>
    <xf numFmtId="0" fontId="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5" fillId="0" borderId="0" xfId="3"/>
    <xf numFmtId="0" fontId="15" fillId="5" borderId="0" xfId="3" applyFont="1" applyFill="1" applyAlignment="1">
      <alignment horizontal="centerContinuous"/>
    </xf>
    <xf numFmtId="0" fontId="16" fillId="0" borderId="0" xfId="3" applyFont="1"/>
    <xf numFmtId="0" fontId="15" fillId="6" borderId="1" xfId="1" applyFont="1" applyFill="1" applyBorder="1" applyAlignment="1">
      <alignment horizontal="center" vertical="center" wrapText="1"/>
    </xf>
    <xf numFmtId="0" fontId="16" fillId="0" borderId="1" xfId="3" applyFont="1" applyBorder="1"/>
    <xf numFmtId="171" fontId="16" fillId="0" borderId="1" xfId="3" applyNumberFormat="1" applyFont="1" applyBorder="1"/>
    <xf numFmtId="10" fontId="17" fillId="18" borderId="1" xfId="31" quotePrefix="1" applyNumberFormat="1" applyFont="1" applyFill="1" applyBorder="1"/>
    <xf numFmtId="0" fontId="16" fillId="0" borderId="0" xfId="0" applyFont="1"/>
    <xf numFmtId="12" fontId="16" fillId="0" borderId="1" xfId="3" applyNumberFormat="1" applyFont="1" applyBorder="1"/>
    <xf numFmtId="0" fontId="17" fillId="18" borderId="1" xfId="31" applyFont="1" applyFill="1" applyBorder="1"/>
    <xf numFmtId="172" fontId="16" fillId="0" borderId="1" xfId="3" applyNumberFormat="1" applyFont="1" applyBorder="1"/>
    <xf numFmtId="177" fontId="16" fillId="0" borderId="1" xfId="3" applyNumberFormat="1" applyFont="1" applyBorder="1"/>
    <xf numFmtId="175" fontId="16" fillId="0" borderId="1" xfId="3" applyNumberFormat="1" applyFont="1" applyBorder="1"/>
    <xf numFmtId="173" fontId="16" fillId="0" borderId="1" xfId="3" applyNumberFormat="1" applyFont="1" applyBorder="1"/>
    <xf numFmtId="0" fontId="17" fillId="0" borderId="1" xfId="3" applyFont="1" applyBorder="1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20" fontId="16" fillId="0" borderId="1" xfId="3" applyNumberFormat="1" applyFont="1" applyBorder="1"/>
    <xf numFmtId="20" fontId="16" fillId="0" borderId="0" xfId="3" applyNumberFormat="1" applyFont="1"/>
    <xf numFmtId="170" fontId="16" fillId="0" borderId="1" xfId="3" applyNumberFormat="1" applyFont="1" applyBorder="1"/>
    <xf numFmtId="176" fontId="16" fillId="0" borderId="1" xfId="3" applyNumberFormat="1" applyFont="1" applyBorder="1"/>
    <xf numFmtId="164" fontId="16" fillId="0" borderId="1" xfId="3" applyNumberFormat="1" applyFont="1" applyBorder="1"/>
    <xf numFmtId="165" fontId="16" fillId="17" borderId="1" xfId="3" applyNumberFormat="1" applyFont="1" applyFill="1" applyBorder="1"/>
    <xf numFmtId="0" fontId="16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4" fontId="16" fillId="0" borderId="1" xfId="0" applyNumberFormat="1" applyFont="1" applyBorder="1"/>
    <xf numFmtId="0" fontId="16" fillId="17" borderId="1" xfId="0" applyFont="1" applyFill="1" applyBorder="1"/>
    <xf numFmtId="14" fontId="16" fillId="0" borderId="0" xfId="0" applyNumberFormat="1" applyFont="1"/>
    <xf numFmtId="0" fontId="19" fillId="0" borderId="0" xfId="32" applyFont="1"/>
    <xf numFmtId="169" fontId="16" fillId="0" borderId="1" xfId="3" applyNumberFormat="1" applyFont="1" applyBorder="1"/>
    <xf numFmtId="174" fontId="16" fillId="0" borderId="0" xfId="3" applyNumberFormat="1" applyFont="1"/>
    <xf numFmtId="169" fontId="16" fillId="0" borderId="0" xfId="3" applyNumberFormat="1" applyFont="1"/>
    <xf numFmtId="169" fontId="18" fillId="0" borderId="0" xfId="3" applyNumberFormat="1" applyFont="1"/>
    <xf numFmtId="0" fontId="1" fillId="0" borderId="0" xfId="33"/>
    <xf numFmtId="0" fontId="13" fillId="0" borderId="0" xfId="34" applyFont="1" applyAlignment="1">
      <alignment vertical="center"/>
    </xf>
    <xf numFmtId="0" fontId="14" fillId="0" borderId="0" xfId="35" applyAlignment="1">
      <alignment vertical="center"/>
    </xf>
    <xf numFmtId="0" fontId="21" fillId="0" borderId="0" xfId="33" applyFont="1" applyAlignment="1">
      <alignment vertical="center"/>
    </xf>
    <xf numFmtId="0" fontId="1" fillId="0" borderId="3" xfId="33" applyBorder="1"/>
    <xf numFmtId="0" fontId="13" fillId="0" borderId="0" xfId="33" applyFont="1" applyAlignment="1">
      <alignment wrapText="1"/>
    </xf>
    <xf numFmtId="0" fontId="0" fillId="0" borderId="0" xfId="33" applyFont="1" applyAlignment="1">
      <alignment vertical="top"/>
    </xf>
    <xf numFmtId="0" fontId="14" fillId="0" borderId="0" xfId="35" applyAlignment="1"/>
    <xf numFmtId="0" fontId="1" fillId="0" borderId="0" xfId="33" applyAlignment="1">
      <alignment vertical="top"/>
    </xf>
    <xf numFmtId="0" fontId="20" fillId="0" borderId="0" xfId="2" applyFont="1" applyAlignment="1"/>
    <xf numFmtId="0" fontId="13" fillId="0" borderId="0" xfId="33" applyFont="1" applyAlignment="1">
      <alignment vertical="center"/>
    </xf>
    <xf numFmtId="0" fontId="1" fillId="0" borderId="0" xfId="33" applyAlignment="1">
      <alignment vertical="center"/>
    </xf>
    <xf numFmtId="0" fontId="4" fillId="0" borderId="0" xfId="2" applyAlignment="1"/>
    <xf numFmtId="0" fontId="13" fillId="0" borderId="0" xfId="33" applyFont="1" applyAlignment="1">
      <alignment vertical="top" wrapText="1"/>
    </xf>
    <xf numFmtId="0" fontId="1" fillId="19" borderId="0" xfId="33" applyFill="1" applyAlignment="1">
      <alignment vertical="top" wrapText="1"/>
    </xf>
    <xf numFmtId="0" fontId="1" fillId="19" borderId="0" xfId="33" applyFill="1" applyAlignment="1">
      <alignment wrapText="1"/>
    </xf>
    <xf numFmtId="0" fontId="1" fillId="0" borderId="0" xfId="33" applyAlignment="1">
      <alignment vertical="top" wrapText="1"/>
    </xf>
    <xf numFmtId="0" fontId="1" fillId="19" borderId="0" xfId="33" applyFill="1" applyAlignment="1">
      <alignment wrapText="1"/>
    </xf>
    <xf numFmtId="0" fontId="13" fillId="0" borderId="3" xfId="33" applyFont="1" applyBorder="1" applyAlignment="1">
      <alignment vertical="top" wrapText="1"/>
    </xf>
    <xf numFmtId="0" fontId="13" fillId="0" borderId="0" xfId="33" applyFont="1" applyAlignment="1">
      <alignment vertical="top" wrapText="1"/>
    </xf>
    <xf numFmtId="0" fontId="0" fillId="0" borderId="0" xfId="33" applyFont="1" applyAlignment="1">
      <alignment vertical="top"/>
    </xf>
    <xf numFmtId="0" fontId="20" fillId="0" borderId="0" xfId="35" applyFont="1" applyAlignment="1"/>
    <xf numFmtId="0" fontId="20" fillId="0" borderId="0" xfId="2" applyFont="1" applyAlignment="1"/>
    <xf numFmtId="0" fontId="1" fillId="19" borderId="0" xfId="33" applyFill="1" applyAlignment="1">
      <alignment vertical="top" wrapText="1"/>
    </xf>
    <xf numFmtId="0" fontId="1" fillId="0" borderId="0" xfId="33" applyAlignment="1">
      <alignment vertical="top"/>
    </xf>
    <xf numFmtId="0" fontId="0" fillId="0" borderId="3" xfId="33" applyFont="1" applyBorder="1" applyAlignment="1">
      <alignment vertical="top"/>
    </xf>
    <xf numFmtId="0" fontId="13" fillId="0" borderId="0" xfId="33" applyFont="1"/>
    <xf numFmtId="0" fontId="4" fillId="0" borderId="0" xfId="36" applyAlignment="1">
      <alignment vertical="center"/>
    </xf>
    <xf numFmtId="0" fontId="20" fillId="0" borderId="0" xfId="35" applyFont="1" applyAlignment="1">
      <alignment vertical="center"/>
    </xf>
    <xf numFmtId="0" fontId="14" fillId="0" borderId="0" xfId="35" applyAlignment="1">
      <alignment vertical="center"/>
    </xf>
    <xf numFmtId="0" fontId="13" fillId="0" borderId="3" xfId="33" applyFont="1" applyBorder="1" applyAlignment="1">
      <alignment vertical="center"/>
    </xf>
    <xf numFmtId="0" fontId="13" fillId="0" borderId="0" xfId="33" applyFont="1" applyAlignment="1">
      <alignment vertical="center"/>
    </xf>
    <xf numFmtId="0" fontId="1" fillId="0" borderId="0" xfId="33" applyAlignment="1">
      <alignment vertical="center"/>
    </xf>
    <xf numFmtId="0" fontId="13" fillId="0" borderId="0" xfId="34" applyFont="1" applyAlignment="1">
      <alignment vertical="center"/>
    </xf>
    <xf numFmtId="0" fontId="21" fillId="0" borderId="0" xfId="33" applyFont="1" applyAlignment="1">
      <alignment vertical="center"/>
    </xf>
    <xf numFmtId="0" fontId="13" fillId="0" borderId="3" xfId="33" applyFont="1" applyBorder="1" applyAlignment="1">
      <alignment wrapText="1"/>
    </xf>
    <xf numFmtId="0" fontId="13" fillId="0" borderId="0" xfId="33" applyFont="1" applyAlignment="1">
      <alignment wrapText="1"/>
    </xf>
    <xf numFmtId="178" fontId="16" fillId="0" borderId="1" xfId="3" applyNumberFormat="1" applyFont="1" applyBorder="1"/>
    <xf numFmtId="179" fontId="22" fillId="17" borderId="1" xfId="4" applyNumberFormat="1" applyFont="1" applyFill="1"/>
    <xf numFmtId="181" fontId="16" fillId="0" borderId="1" xfId="3" applyNumberFormat="1" applyFont="1" applyBorder="1"/>
    <xf numFmtId="184" fontId="16" fillId="0" borderId="1" xfId="3" applyNumberFormat="1" applyFont="1" applyBorder="1"/>
  </cellXfs>
  <cellStyles count="37">
    <cellStyle name="60% — akcent 4" xfId="31" builtinId="44"/>
    <cellStyle name="Akcent 1" xfId="1" builtinId="29"/>
    <cellStyle name="blue" xfId="5" xr:uid="{00000000-0005-0000-0000-000002000000}"/>
    <cellStyle name="BlueTitle" xfId="6" xr:uid="{00000000-0005-0000-0000-000003000000}"/>
    <cellStyle name="Comma 2" xfId="7" xr:uid="{00000000-0005-0000-0000-000004000000}"/>
    <cellStyle name="Currency Round to thousands" xfId="8" xr:uid="{00000000-0005-0000-0000-000005000000}"/>
    <cellStyle name="Czarny" xfId="9" xr:uid="{00000000-0005-0000-0000-000006000000}"/>
    <cellStyle name="Dziesiętny 2" xfId="10" xr:uid="{00000000-0005-0000-0000-000007000000}"/>
    <cellStyle name="Excel - Etykieta" xfId="11" xr:uid="{00000000-0005-0000-0000-000008000000}"/>
    <cellStyle name="Excel - Etykiety light" xfId="12" xr:uid="{00000000-0005-0000-0000-000009000000}"/>
    <cellStyle name="Excel - Formuła" xfId="13" xr:uid="{00000000-0005-0000-0000-00000A000000}"/>
    <cellStyle name="Excel - green" xfId="14" xr:uid="{00000000-0005-0000-0000-00000B000000}"/>
    <cellStyle name="Excel - lightblue" xfId="15" xr:uid="{00000000-0005-0000-0000-00000C000000}"/>
    <cellStyle name="Excel - orange" xfId="16" xr:uid="{00000000-0005-0000-0000-00000D000000}"/>
    <cellStyle name="Excel - purple" xfId="17" xr:uid="{00000000-0005-0000-0000-00000E000000}"/>
    <cellStyle name="Excel - red" xfId="18" xr:uid="{00000000-0005-0000-0000-00000F000000}"/>
    <cellStyle name="Excel - yellow" xfId="19" xr:uid="{00000000-0005-0000-0000-000010000000}"/>
    <cellStyle name="Formuła" xfId="20" xr:uid="{00000000-0005-0000-0000-000011000000}"/>
    <cellStyle name="Formuła 2" xfId="21" xr:uid="{00000000-0005-0000-0000-000012000000}"/>
    <cellStyle name="Formuła 3" xfId="22" xr:uid="{00000000-0005-0000-0000-000013000000}"/>
    <cellStyle name="Formuła 4" xfId="4" xr:uid="{00000000-0005-0000-0000-000014000000}"/>
    <cellStyle name="Four-Digit Year" xfId="23" xr:uid="{00000000-0005-0000-0000-000015000000}"/>
    <cellStyle name="Hiperłącze" xfId="32" builtinId="8"/>
    <cellStyle name="Hiperłącze 2" xfId="2" xr:uid="{00000000-0005-0000-0000-000017000000}"/>
    <cellStyle name="Hiperłącze 2 2" xfId="35" xr:uid="{B0FDC272-10F1-40A4-AA63-2AA5283AF133}"/>
    <cellStyle name="Hiperłącze 2 3" xfId="36" xr:uid="{AC2B583F-0A72-4589-B875-A96DE34E1D56}"/>
    <cellStyle name="Informacja" xfId="24" xr:uid="{00000000-0005-0000-0000-000018000000}"/>
    <cellStyle name="Nagłówek" xfId="25" xr:uid="{00000000-0005-0000-0000-000019000000}"/>
    <cellStyle name="Normal 2" xfId="26" xr:uid="{00000000-0005-0000-0000-00001A000000}"/>
    <cellStyle name="Normalny" xfId="0" builtinId="0"/>
    <cellStyle name="Normalny 2" xfId="3" xr:uid="{00000000-0005-0000-0000-00001C000000}"/>
    <cellStyle name="Normalny 2 3 2 2" xfId="33" xr:uid="{66ADD30D-AFCF-41BF-997E-29D42A2706CB}"/>
    <cellStyle name="Normalny 3" xfId="27" xr:uid="{00000000-0005-0000-0000-00001D000000}"/>
    <cellStyle name="Normalny 4 2" xfId="34" xr:uid="{2B22B099-000E-4160-8C84-100F65BA5A6B}"/>
    <cellStyle name="Styl 1" xfId="28" xr:uid="{00000000-0005-0000-0000-00001E000000}"/>
    <cellStyle name="Wrap Text" xfId="29" xr:uid="{00000000-0005-0000-0000-00001F000000}"/>
    <cellStyle name="ziel" xfId="30" xr:uid="{00000000-0005-0000-0000-000020000000}"/>
  </cellStyles>
  <dxfs count="0"/>
  <tableStyles count="0" defaultTableStyle="TableStyleMedium2" defaultPivotStyle="PivotStyleLight16"/>
  <colors>
    <mruColors>
      <color rgb="FFCFC5DD"/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0F5A92AC-CA0C-4DFE-974C-23B28A0E4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3F0E4040-065A-489B-BDC8-0EADC987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9E533E1A-B1EE-4A0F-AFB2-B3D6104A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CD9622E8-BBEE-423E-BA05-5DA22DB0F0F8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BA464A-C1AF-4C60-BD8C-792A7ADC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1CA0C4-993A-48BF-B886-53119BE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48C2525-4FE1-475E-BB34-1CD0E812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40FADD-87D6-4919-851A-C2B595F7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CC8ADC0-D47B-46B0-B9CF-99635EF0A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CDC8611-BF4C-41D2-BF1A-F4DE2958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077AA4E-C795-4766-B722-E8F795465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BAE60E76-5141-4FD0-85D0-F15594862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DD1FC7CE-169A-408A-BD90-57D324B4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office.microsoft.com/pl-pl/excel-help/tworzenie-lub-usuwanie-niestandardowego-formatu-liczb-HP001216503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280-4536-4480-926E-D4BCF25D5ADC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/>
  <cols>
    <col min="1" max="99" width="2.42578125" style="35" customWidth="1"/>
    <col min="100" max="101" width="2.42578125" style="1" customWidth="1"/>
    <col min="102" max="105" width="9.140625" style="35"/>
    <col min="106" max="106" width="10.7109375" style="35" customWidth="1"/>
    <col min="107" max="107" width="73.7109375" style="35" customWidth="1"/>
    <col min="108" max="108" width="6.28515625" style="35" customWidth="1"/>
    <col min="109" max="16384" width="9.140625" style="35"/>
  </cols>
  <sheetData>
    <row r="1" spans="18:99" s="1" customFormat="1" ht="6" customHeight="1"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</row>
    <row r="2" spans="18:99" s="1" customFormat="1" ht="6" customHeight="1">
      <c r="R2" s="35"/>
      <c r="S2" s="35"/>
      <c r="T2" s="35"/>
      <c r="U2" s="35"/>
      <c r="V2" s="35"/>
      <c r="W2" s="35"/>
      <c r="X2" s="35"/>
      <c r="Y2" s="35"/>
      <c r="Z2" s="68" t="s">
        <v>99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36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3" spans="18:99" s="1" customFormat="1" ht="6" customHeight="1">
      <c r="R3" s="35"/>
      <c r="S3" s="35"/>
      <c r="T3" s="35"/>
      <c r="U3" s="35"/>
      <c r="V3" s="35"/>
      <c r="W3" s="35"/>
      <c r="X3" s="35"/>
      <c r="Y3" s="35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36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</row>
    <row r="4" spans="18:99" s="1" customFormat="1" ht="6" customHeight="1">
      <c r="R4" s="35"/>
      <c r="S4" s="35"/>
      <c r="T4" s="35"/>
      <c r="U4" s="35"/>
      <c r="V4" s="35"/>
      <c r="W4" s="35"/>
      <c r="X4" s="35"/>
      <c r="Y4" s="35"/>
      <c r="Z4" s="63" t="s">
        <v>100</v>
      </c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37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</row>
    <row r="5" spans="18:99" s="1" customFormat="1" ht="6" customHeight="1">
      <c r="R5" s="69" t="s">
        <v>101</v>
      </c>
      <c r="S5" s="69"/>
      <c r="T5" s="69"/>
      <c r="U5" s="69"/>
      <c r="V5" s="69"/>
      <c r="W5" s="69"/>
      <c r="X5" s="35"/>
      <c r="Y5" s="35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37"/>
      <c r="BE5" s="35"/>
      <c r="BF5" s="69" t="s">
        <v>102</v>
      </c>
      <c r="BG5" s="69"/>
      <c r="BH5" s="69"/>
      <c r="BI5" s="69"/>
      <c r="BJ5" s="69"/>
      <c r="BK5" s="69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</row>
    <row r="6" spans="18:99" s="1" customFormat="1" ht="6" customHeight="1">
      <c r="R6" s="69"/>
      <c r="S6" s="69"/>
      <c r="T6" s="69"/>
      <c r="U6" s="69"/>
      <c r="V6" s="69"/>
      <c r="W6" s="69"/>
      <c r="X6" s="35"/>
      <c r="Y6" s="35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37"/>
      <c r="BE6" s="35"/>
      <c r="BF6" s="69"/>
      <c r="BG6" s="69"/>
      <c r="BH6" s="69"/>
      <c r="BI6" s="69"/>
      <c r="BJ6" s="69"/>
      <c r="BK6" s="69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</row>
    <row r="7" spans="18:99" s="1" customFormat="1" ht="6" customHeight="1">
      <c r="R7" s="69"/>
      <c r="S7" s="69"/>
      <c r="T7" s="69"/>
      <c r="U7" s="69"/>
      <c r="V7" s="69"/>
      <c r="W7" s="69"/>
      <c r="X7" s="38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69"/>
      <c r="BG7" s="69"/>
      <c r="BH7" s="69"/>
      <c r="BI7" s="69"/>
      <c r="BJ7" s="69"/>
      <c r="BK7" s="69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</row>
    <row r="8" spans="18:99" s="1" customFormat="1" ht="6" customHeight="1"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</row>
    <row r="9" spans="18:99" s="1" customFormat="1" ht="6" customHeight="1">
      <c r="R9" s="39"/>
      <c r="S9" s="39"/>
      <c r="T9" s="39"/>
      <c r="U9" s="39"/>
      <c r="V9" s="39"/>
      <c r="W9" s="39"/>
      <c r="X9" s="39"/>
      <c r="Y9" s="39"/>
      <c r="Z9" s="70" t="s">
        <v>103</v>
      </c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40"/>
      <c r="BE9" s="35"/>
      <c r="BF9" s="39"/>
      <c r="BG9" s="39"/>
      <c r="BH9" s="39"/>
      <c r="BI9" s="39"/>
      <c r="BJ9" s="39"/>
      <c r="BK9" s="39"/>
      <c r="BL9" s="39"/>
      <c r="BM9" s="39"/>
      <c r="BN9" s="60" t="s">
        <v>104</v>
      </c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41"/>
      <c r="CS9" s="41"/>
      <c r="CT9" s="41"/>
      <c r="CU9" s="41"/>
    </row>
    <row r="10" spans="18:99" s="1" customFormat="1" ht="6" customHeight="1">
      <c r="R10" s="35"/>
      <c r="S10" s="35"/>
      <c r="T10" s="35"/>
      <c r="U10" s="35"/>
      <c r="V10" s="35"/>
      <c r="W10" s="35"/>
      <c r="X10" s="35"/>
      <c r="Y10" s="35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40"/>
      <c r="BE10" s="35"/>
      <c r="BF10" s="35"/>
      <c r="BG10" s="35"/>
      <c r="BH10" s="35"/>
      <c r="BI10" s="35"/>
      <c r="BJ10" s="35"/>
      <c r="BK10" s="35"/>
      <c r="BL10" s="35"/>
      <c r="BM10" s="3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41"/>
      <c r="CS10" s="41"/>
      <c r="CT10" s="41"/>
      <c r="CU10" s="41"/>
    </row>
    <row r="11" spans="18:99" s="1" customFormat="1" ht="6" customHeight="1">
      <c r="R11" s="35"/>
      <c r="S11" s="35"/>
      <c r="T11" s="35"/>
      <c r="U11" s="35"/>
      <c r="V11" s="35"/>
      <c r="W11" s="35"/>
      <c r="X11" s="35"/>
      <c r="Y11" s="35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40"/>
      <c r="BE11" s="35"/>
      <c r="BF11" s="35"/>
      <c r="BG11" s="35"/>
      <c r="BH11" s="35"/>
      <c r="BI11" s="35"/>
      <c r="BJ11" s="35"/>
      <c r="BK11" s="35"/>
      <c r="BL11" s="35"/>
      <c r="BM11" s="3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41"/>
      <c r="CS11" s="41"/>
      <c r="CT11" s="41"/>
      <c r="CU11" s="41"/>
    </row>
    <row r="12" spans="18:99" s="1" customFormat="1" ht="6" customHeight="1">
      <c r="R12" s="35"/>
      <c r="S12" s="35"/>
      <c r="T12" s="35"/>
      <c r="U12" s="35"/>
      <c r="V12" s="35"/>
      <c r="W12" s="35"/>
      <c r="X12" s="35"/>
      <c r="Y12" s="35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40"/>
      <c r="BE12" s="35"/>
      <c r="BF12" s="35"/>
      <c r="BG12" s="35"/>
      <c r="BH12" s="35"/>
      <c r="BI12" s="35"/>
      <c r="BJ12" s="35"/>
      <c r="BK12" s="35"/>
      <c r="BL12" s="35"/>
      <c r="BM12" s="35"/>
      <c r="BN12" s="56" t="s">
        <v>105</v>
      </c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42"/>
      <c r="CS12" s="42"/>
      <c r="CT12" s="42"/>
      <c r="CU12" s="42"/>
    </row>
    <row r="13" spans="18:99" s="1" customFormat="1" ht="6" customHeight="1">
      <c r="R13" s="35"/>
      <c r="S13" s="35"/>
      <c r="T13" s="35"/>
      <c r="U13" s="35"/>
      <c r="V13" s="35"/>
      <c r="W13" s="35"/>
      <c r="X13" s="35"/>
      <c r="Y13" s="35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40"/>
      <c r="BE13" s="35"/>
      <c r="BF13" s="35"/>
      <c r="BG13" s="35"/>
      <c r="BH13" s="35"/>
      <c r="BI13" s="35"/>
      <c r="BJ13" s="35"/>
      <c r="BK13" s="35"/>
      <c r="BL13" s="35"/>
      <c r="BM13" s="35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42"/>
      <c r="CS13" s="42"/>
      <c r="CT13" s="42"/>
      <c r="CU13" s="42"/>
    </row>
    <row r="14" spans="18:99" s="1" customFormat="1" ht="6" customHeight="1">
      <c r="R14" s="35"/>
      <c r="S14" s="35"/>
      <c r="T14" s="35"/>
      <c r="U14" s="35"/>
      <c r="V14" s="35"/>
      <c r="W14" s="35"/>
      <c r="X14" s="35"/>
      <c r="Y14" s="35"/>
      <c r="Z14" s="59" t="s">
        <v>106</v>
      </c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43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</row>
    <row r="15" spans="18:99" s="1" customFormat="1" ht="6" customHeight="1">
      <c r="R15" s="35"/>
      <c r="S15" s="35"/>
      <c r="T15" s="35"/>
      <c r="U15" s="35"/>
      <c r="V15" s="35"/>
      <c r="W15" s="35"/>
      <c r="X15" s="35"/>
      <c r="Y15" s="35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43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</row>
    <row r="16" spans="18:99" s="1" customFormat="1" ht="6" customHeight="1">
      <c r="R16" s="35"/>
      <c r="S16" s="35"/>
      <c r="T16" s="35"/>
      <c r="U16" s="35"/>
      <c r="V16" s="35"/>
      <c r="W16" s="35"/>
      <c r="X16" s="35"/>
      <c r="Y16" s="35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43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</row>
    <row r="17" spans="18:56" ht="6" customHeight="1">
      <c r="Z17" s="57" t="s">
        <v>107</v>
      </c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44"/>
    </row>
    <row r="18" spans="18:56" ht="6" customHeight="1"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44"/>
    </row>
    <row r="19" spans="18:56" ht="6" customHeight="1"/>
    <row r="20" spans="18:56" ht="6" customHeight="1"/>
    <row r="21" spans="18:56" ht="6" customHeight="1">
      <c r="R21" s="39"/>
      <c r="S21" s="39"/>
      <c r="T21" s="39"/>
      <c r="U21" s="39"/>
      <c r="V21" s="39"/>
      <c r="W21" s="39"/>
      <c r="X21" s="39"/>
      <c r="Y21" s="39"/>
      <c r="Z21" s="65" t="s">
        <v>108</v>
      </c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45"/>
    </row>
    <row r="22" spans="18:56" ht="6" customHeight="1"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45"/>
    </row>
    <row r="23" spans="18:56" ht="6" customHeight="1">
      <c r="Z23" s="67" t="s">
        <v>109</v>
      </c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46"/>
    </row>
    <row r="24" spans="18:56" ht="6" customHeight="1"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46"/>
    </row>
    <row r="25" spans="18:56" ht="6" customHeight="1"/>
    <row r="26" spans="18:56" ht="6" customHeight="1">
      <c r="Z26" s="57" t="s">
        <v>110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44"/>
    </row>
    <row r="27" spans="18:56" ht="6" customHeight="1"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44"/>
    </row>
    <row r="28" spans="18:56" ht="6" customHeight="1"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18:56" ht="6" customHeight="1"/>
    <row r="30" spans="18:56" ht="6" customHeight="1"/>
    <row r="31" spans="18:56" ht="6" customHeight="1"/>
    <row r="32" spans="18:56" ht="6" customHeight="1">
      <c r="R32" s="39"/>
      <c r="S32" s="39"/>
      <c r="T32" s="39"/>
      <c r="U32" s="39"/>
      <c r="V32" s="39"/>
      <c r="W32" s="39"/>
      <c r="X32" s="39"/>
      <c r="Y32" s="39"/>
      <c r="Z32" s="53" t="s">
        <v>111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48"/>
    </row>
    <row r="33" spans="18:99" s="1" customFormat="1" ht="6" customHeight="1">
      <c r="R33" s="35"/>
      <c r="S33" s="35"/>
      <c r="T33" s="35"/>
      <c r="U33" s="35"/>
      <c r="V33" s="35"/>
      <c r="W33" s="35"/>
      <c r="X33" s="35"/>
      <c r="Y33" s="35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48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</row>
    <row r="34" spans="18:99" s="1" customFormat="1" ht="6" customHeight="1">
      <c r="R34" s="35"/>
      <c r="S34" s="35"/>
      <c r="T34" s="35"/>
      <c r="U34" s="35"/>
      <c r="V34" s="35"/>
      <c r="W34" s="35"/>
      <c r="X34" s="35"/>
      <c r="Y34" s="35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48"/>
      <c r="BE34" s="35"/>
      <c r="BF34" s="39"/>
      <c r="BG34" s="39"/>
      <c r="BH34" s="39"/>
      <c r="BI34" s="39"/>
      <c r="BJ34" s="39"/>
      <c r="BK34" s="39"/>
      <c r="BL34" s="39"/>
      <c r="BM34" s="39"/>
      <c r="BN34" s="60" t="s">
        <v>112</v>
      </c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41"/>
      <c r="CS34" s="41"/>
      <c r="CT34" s="41"/>
      <c r="CU34" s="41"/>
    </row>
    <row r="35" spans="18:99" s="1" customFormat="1" ht="6" customHeight="1">
      <c r="R35" s="35"/>
      <c r="S35" s="35"/>
      <c r="T35" s="35"/>
      <c r="U35" s="35"/>
      <c r="V35" s="35"/>
      <c r="W35" s="35"/>
      <c r="X35" s="35"/>
      <c r="Y35" s="35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48"/>
      <c r="BE35" s="35"/>
      <c r="BF35" s="35"/>
      <c r="BG35" s="35"/>
      <c r="BH35" s="35"/>
      <c r="BI35" s="35"/>
      <c r="BJ35" s="35"/>
      <c r="BK35" s="35"/>
      <c r="BL35" s="35"/>
      <c r="BM35" s="3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41"/>
      <c r="CS35" s="41"/>
      <c r="CT35" s="41"/>
      <c r="CU35" s="41"/>
    </row>
    <row r="36" spans="18:99" s="1" customFormat="1" ht="6" customHeight="1">
      <c r="R36" s="35"/>
      <c r="S36" s="35"/>
      <c r="T36" s="35"/>
      <c r="U36" s="35"/>
      <c r="V36" s="35"/>
      <c r="W36" s="35"/>
      <c r="X36" s="35"/>
      <c r="Y36" s="35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48"/>
      <c r="BE36" s="35"/>
      <c r="BF36" s="35"/>
      <c r="BG36" s="35"/>
      <c r="BH36" s="35"/>
      <c r="BI36" s="35"/>
      <c r="BJ36" s="35"/>
      <c r="BK36" s="35"/>
      <c r="BL36" s="35"/>
      <c r="BM36" s="3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41"/>
      <c r="CS36" s="41"/>
      <c r="CT36" s="41"/>
      <c r="CU36" s="41"/>
    </row>
    <row r="37" spans="18:99" s="1" customFormat="1" ht="6" customHeight="1">
      <c r="R37" s="35"/>
      <c r="S37" s="35"/>
      <c r="T37" s="35"/>
      <c r="U37" s="35"/>
      <c r="V37" s="35"/>
      <c r="W37" s="35"/>
      <c r="X37" s="35"/>
      <c r="Y37" s="35"/>
      <c r="Z37" s="59" t="s">
        <v>113</v>
      </c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43"/>
      <c r="BE37" s="35"/>
      <c r="BF37" s="35"/>
      <c r="BG37" s="35"/>
      <c r="BH37" s="35"/>
      <c r="BI37" s="35"/>
      <c r="BJ37" s="35"/>
      <c r="BK37" s="35"/>
      <c r="BL37" s="35"/>
      <c r="BM37" s="35"/>
      <c r="BN37" s="56" t="s">
        <v>114</v>
      </c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42"/>
      <c r="CS37" s="42"/>
      <c r="CT37" s="42"/>
      <c r="CU37" s="42"/>
    </row>
    <row r="38" spans="18:99" s="1" customFormat="1" ht="6" customHeight="1">
      <c r="R38" s="35"/>
      <c r="S38" s="35"/>
      <c r="T38" s="35"/>
      <c r="U38" s="35"/>
      <c r="V38" s="35"/>
      <c r="W38" s="35"/>
      <c r="X38" s="35"/>
      <c r="Y38" s="35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43"/>
      <c r="BE38" s="35"/>
      <c r="BF38" s="35"/>
      <c r="BG38" s="35"/>
      <c r="BH38" s="35"/>
      <c r="BI38" s="35"/>
      <c r="BJ38" s="35"/>
      <c r="BK38" s="35"/>
      <c r="BL38" s="35"/>
      <c r="BM38" s="35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42"/>
      <c r="CS38" s="42"/>
      <c r="CT38" s="42"/>
      <c r="CU38" s="42"/>
    </row>
    <row r="39" spans="18:99" s="1" customFormat="1" ht="6" customHeight="1">
      <c r="R39" s="35"/>
      <c r="S39" s="35"/>
      <c r="T39" s="35"/>
      <c r="U39" s="35"/>
      <c r="V39" s="35"/>
      <c r="W39" s="35"/>
      <c r="X39" s="35"/>
      <c r="Y39" s="35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43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</row>
    <row r="40" spans="18:99" s="1" customFormat="1" ht="6" customHeight="1">
      <c r="R40" s="35"/>
      <c r="S40" s="35"/>
      <c r="T40" s="35"/>
      <c r="U40" s="35"/>
      <c r="V40" s="35"/>
      <c r="W40" s="35"/>
      <c r="X40" s="35"/>
      <c r="Y40" s="35"/>
      <c r="Z40" s="57" t="s">
        <v>115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44"/>
      <c r="BE40" s="35"/>
      <c r="BF40" s="35"/>
      <c r="BG40" s="35"/>
      <c r="BH40" s="35"/>
      <c r="BI40" s="35"/>
      <c r="BJ40" s="35"/>
      <c r="BK40" s="35"/>
      <c r="BL40" s="35"/>
      <c r="BM40" s="35"/>
      <c r="BN40" s="55" t="s">
        <v>116</v>
      </c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41"/>
      <c r="CS40" s="41"/>
      <c r="CT40" s="41"/>
      <c r="CU40" s="41"/>
    </row>
    <row r="41" spans="18:99" s="1" customFormat="1" ht="6" customHeight="1">
      <c r="R41" s="35"/>
      <c r="S41" s="35"/>
      <c r="T41" s="35"/>
      <c r="U41" s="35"/>
      <c r="V41" s="35"/>
      <c r="W41" s="35"/>
      <c r="X41" s="35"/>
      <c r="Y41" s="35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44"/>
      <c r="BE41" s="35"/>
      <c r="BF41" s="35"/>
      <c r="BG41" s="35"/>
      <c r="BH41" s="35"/>
      <c r="BI41" s="35"/>
      <c r="BJ41" s="35"/>
      <c r="BK41" s="35"/>
      <c r="BL41" s="35"/>
      <c r="BM41" s="3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41"/>
      <c r="CS41" s="41"/>
      <c r="CT41" s="41"/>
      <c r="CU41" s="41"/>
    </row>
    <row r="42" spans="18:99" s="1" customFormat="1" ht="6" customHeight="1"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41"/>
      <c r="CS42" s="41"/>
      <c r="CT42" s="41"/>
      <c r="CU42" s="41"/>
    </row>
    <row r="43" spans="18:99" s="1" customFormat="1" ht="6" customHeight="1">
      <c r="R43" s="39"/>
      <c r="S43" s="39"/>
      <c r="T43" s="39"/>
      <c r="U43" s="39"/>
      <c r="V43" s="39"/>
      <c r="W43" s="39"/>
      <c r="X43" s="39"/>
      <c r="Y43" s="39"/>
      <c r="Z43" s="53" t="s">
        <v>117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48"/>
      <c r="BE43" s="35"/>
      <c r="BF43" s="35"/>
      <c r="BG43" s="35"/>
      <c r="BH43" s="35"/>
      <c r="BI43" s="35"/>
      <c r="BJ43" s="35"/>
      <c r="BK43" s="35"/>
      <c r="BL43" s="35"/>
      <c r="BM43" s="35"/>
      <c r="BN43" s="56" t="s">
        <v>118</v>
      </c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42"/>
      <c r="CS43" s="42"/>
      <c r="CT43" s="42"/>
      <c r="CU43" s="42"/>
    </row>
    <row r="44" spans="18:99" s="1" customFormat="1" ht="6" customHeight="1">
      <c r="R44" s="35"/>
      <c r="S44" s="35"/>
      <c r="T44" s="35"/>
      <c r="U44" s="35"/>
      <c r="V44" s="35"/>
      <c r="W44" s="35"/>
      <c r="X44" s="35"/>
      <c r="Y44" s="35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48"/>
      <c r="BE44" s="35"/>
      <c r="BF44" s="35"/>
      <c r="BG44" s="35"/>
      <c r="BH44" s="35"/>
      <c r="BI44" s="35"/>
      <c r="BJ44" s="35"/>
      <c r="BK44" s="35"/>
      <c r="BL44" s="35"/>
      <c r="BM44" s="35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42"/>
      <c r="CS44" s="42"/>
      <c r="CT44" s="42"/>
      <c r="CU44" s="42"/>
    </row>
    <row r="45" spans="18:99" s="1" customFormat="1" ht="6" customHeight="1">
      <c r="R45" s="35"/>
      <c r="S45" s="35"/>
      <c r="T45" s="35"/>
      <c r="U45" s="35"/>
      <c r="V45" s="35"/>
      <c r="W45" s="35"/>
      <c r="X45" s="35"/>
      <c r="Y45" s="35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48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</row>
    <row r="46" spans="18:99" s="1" customFormat="1" ht="6" customHeight="1">
      <c r="R46" s="35"/>
      <c r="S46" s="35"/>
      <c r="T46" s="35"/>
      <c r="U46" s="35"/>
      <c r="V46" s="35"/>
      <c r="W46" s="35"/>
      <c r="X46" s="35"/>
      <c r="Y46" s="35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48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</row>
    <row r="47" spans="18:99" s="1" customFormat="1" ht="6" customHeight="1">
      <c r="R47" s="35"/>
      <c r="S47" s="35"/>
      <c r="T47" s="35"/>
      <c r="U47" s="35"/>
      <c r="V47" s="35"/>
      <c r="W47" s="35"/>
      <c r="X47" s="35"/>
      <c r="Y47" s="3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48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</row>
    <row r="48" spans="18:99" s="1" customFormat="1" ht="6" customHeight="1">
      <c r="R48" s="35"/>
      <c r="S48" s="35"/>
      <c r="T48" s="35"/>
      <c r="U48" s="35"/>
      <c r="V48" s="35"/>
      <c r="W48" s="35"/>
      <c r="X48" s="35"/>
      <c r="Y48" s="35"/>
      <c r="Z48" s="59" t="s">
        <v>119</v>
      </c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43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</row>
    <row r="49" spans="2:99" s="1" customFormat="1" ht="6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43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</row>
    <row r="50" spans="2:99" s="1" customFormat="1" ht="6" customHeight="1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43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</row>
    <row r="51" spans="2:99" s="1" customFormat="1" ht="6" customHeight="1">
      <c r="B51" s="63" t="s">
        <v>120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35"/>
      <c r="R51" s="35"/>
      <c r="S51" s="35"/>
      <c r="T51" s="35"/>
      <c r="U51" s="35"/>
      <c r="V51" s="35"/>
      <c r="W51" s="35"/>
      <c r="X51" s="35"/>
      <c r="Y51" s="35"/>
      <c r="Z51" s="57" t="s">
        <v>121</v>
      </c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44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</row>
    <row r="52" spans="2:99" s="1" customFormat="1" ht="6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35"/>
      <c r="R52" s="35"/>
      <c r="S52" s="35"/>
      <c r="T52" s="35"/>
      <c r="U52" s="35"/>
      <c r="V52" s="35"/>
      <c r="W52" s="35"/>
      <c r="X52" s="35"/>
      <c r="Y52" s="35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44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</row>
    <row r="53" spans="2:99" s="1" customFormat="1" ht="6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</row>
    <row r="54" spans="2:99" s="1" customFormat="1" ht="6" customHeight="1">
      <c r="B54" s="61" t="s">
        <v>122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35"/>
      <c r="R54" s="39"/>
      <c r="S54" s="39"/>
      <c r="T54" s="39"/>
      <c r="U54" s="39"/>
      <c r="V54" s="39"/>
      <c r="W54" s="39"/>
      <c r="X54" s="39"/>
      <c r="Y54" s="39"/>
      <c r="Z54" s="53" t="s">
        <v>123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48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</row>
    <row r="55" spans="2:99" s="1" customFormat="1" ht="6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35"/>
      <c r="R55" s="35"/>
      <c r="S55" s="35"/>
      <c r="T55" s="35"/>
      <c r="U55" s="35"/>
      <c r="V55" s="35"/>
      <c r="W55" s="35"/>
      <c r="X55" s="35"/>
      <c r="Y55" s="3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48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</row>
    <row r="56" spans="2:99" s="1" customFormat="1" ht="6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35"/>
      <c r="R56" s="35"/>
      <c r="S56" s="35"/>
      <c r="T56" s="35"/>
      <c r="U56" s="35"/>
      <c r="V56" s="35"/>
      <c r="W56" s="35"/>
      <c r="X56" s="35"/>
      <c r="Y56" s="3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48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</row>
    <row r="57" spans="2:99" s="1" customFormat="1" ht="6" customHeight="1">
      <c r="B57" s="64" t="s">
        <v>124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35"/>
      <c r="R57" s="35"/>
      <c r="S57" s="35"/>
      <c r="T57" s="35"/>
      <c r="U57" s="35"/>
      <c r="V57" s="35"/>
      <c r="W57" s="35"/>
      <c r="X57" s="35"/>
      <c r="Y57" s="35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48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</row>
    <row r="58" spans="2:99" s="1" customFormat="1" ht="6" customHeight="1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35"/>
      <c r="R58" s="35"/>
      <c r="S58" s="35"/>
      <c r="T58" s="35"/>
      <c r="U58" s="35"/>
      <c r="V58" s="35"/>
      <c r="W58" s="35"/>
      <c r="X58" s="35"/>
      <c r="Y58" s="35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48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</row>
    <row r="59" spans="2:99" s="1" customFormat="1" ht="6" customHeight="1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59" t="s">
        <v>125</v>
      </c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43"/>
      <c r="BE59" s="35"/>
      <c r="BF59" s="39"/>
      <c r="BG59" s="39"/>
      <c r="BH59" s="39"/>
      <c r="BI59" s="39"/>
      <c r="BJ59" s="39"/>
      <c r="BK59" s="39"/>
      <c r="BL59" s="39"/>
      <c r="BM59" s="39"/>
      <c r="BN59" s="60" t="s">
        <v>112</v>
      </c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41"/>
      <c r="CS59" s="41"/>
      <c r="CT59" s="41"/>
      <c r="CU59" s="41"/>
    </row>
    <row r="60" spans="2:99" s="1" customFormat="1" ht="6" customHeight="1">
      <c r="B60" s="61" t="s">
        <v>126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35"/>
      <c r="R60" s="35"/>
      <c r="S60" s="35"/>
      <c r="T60" s="35"/>
      <c r="U60" s="35"/>
      <c r="V60" s="35"/>
      <c r="W60" s="35"/>
      <c r="X60" s="35"/>
      <c r="Y60" s="35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43"/>
      <c r="BE60" s="35"/>
      <c r="BF60" s="35"/>
      <c r="BG60" s="35"/>
      <c r="BH60" s="35"/>
      <c r="BI60" s="35"/>
      <c r="BJ60" s="35"/>
      <c r="BK60" s="35"/>
      <c r="BL60" s="35"/>
      <c r="BM60" s="3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41"/>
      <c r="CS60" s="41"/>
      <c r="CT60" s="41"/>
      <c r="CU60" s="41"/>
    </row>
    <row r="61" spans="2:99" s="1" customFormat="1" ht="6" customHeight="1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35"/>
      <c r="R61" s="35"/>
      <c r="S61" s="35"/>
      <c r="T61" s="35"/>
      <c r="U61" s="35"/>
      <c r="V61" s="35"/>
      <c r="W61" s="35"/>
      <c r="X61" s="35"/>
      <c r="Y61" s="35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43"/>
      <c r="BE61" s="35"/>
      <c r="BF61" s="35"/>
      <c r="BG61" s="35"/>
      <c r="BH61" s="35"/>
      <c r="BI61" s="35"/>
      <c r="BJ61" s="35"/>
      <c r="BK61" s="35"/>
      <c r="BL61" s="35"/>
      <c r="BM61" s="3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41"/>
      <c r="CS61" s="41"/>
      <c r="CT61" s="41"/>
      <c r="CU61" s="41"/>
    </row>
    <row r="62" spans="2:99" s="1" customFormat="1" ht="6" customHeight="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35"/>
      <c r="R62" s="35"/>
      <c r="S62" s="35"/>
      <c r="T62" s="35"/>
      <c r="U62" s="35"/>
      <c r="V62" s="35"/>
      <c r="W62" s="35"/>
      <c r="X62" s="35"/>
      <c r="Y62" s="35"/>
      <c r="Z62" s="57" t="s">
        <v>127</v>
      </c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44"/>
      <c r="BE62" s="35"/>
      <c r="BF62" s="35"/>
      <c r="BG62" s="35"/>
      <c r="BH62" s="35"/>
      <c r="BI62" s="35"/>
      <c r="BJ62" s="35"/>
      <c r="BK62" s="35"/>
      <c r="BL62" s="35"/>
      <c r="BM62" s="35"/>
      <c r="BN62" s="56" t="s">
        <v>128</v>
      </c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42"/>
      <c r="CS62" s="42"/>
      <c r="CT62" s="42"/>
      <c r="CU62" s="42"/>
    </row>
    <row r="63" spans="2:99" s="1" customFormat="1" ht="6" customHeight="1">
      <c r="B63" s="62" t="s">
        <v>129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35"/>
      <c r="R63" s="35"/>
      <c r="S63" s="35"/>
      <c r="T63" s="35"/>
      <c r="U63" s="35"/>
      <c r="V63" s="35"/>
      <c r="W63" s="35"/>
      <c r="X63" s="35"/>
      <c r="Y63" s="35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44"/>
      <c r="BE63" s="35"/>
      <c r="BF63" s="35"/>
      <c r="BG63" s="35"/>
      <c r="BH63" s="35"/>
      <c r="BI63" s="35"/>
      <c r="BJ63" s="35"/>
      <c r="BK63" s="35"/>
      <c r="BL63" s="35"/>
      <c r="BM63" s="35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42"/>
      <c r="CS63" s="42"/>
      <c r="CT63" s="42"/>
      <c r="CU63" s="42"/>
    </row>
    <row r="64" spans="2:99" s="1" customFormat="1" ht="6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</row>
    <row r="65" spans="18:99" s="1" customFormat="1" ht="6" customHeight="1">
      <c r="R65" s="39"/>
      <c r="S65" s="39"/>
      <c r="T65" s="39"/>
      <c r="U65" s="39"/>
      <c r="V65" s="39"/>
      <c r="W65" s="39"/>
      <c r="X65" s="39"/>
      <c r="Y65" s="39"/>
      <c r="Z65" s="53" t="s">
        <v>130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48"/>
      <c r="BE65" s="35"/>
      <c r="BF65" s="35"/>
      <c r="BG65" s="35"/>
      <c r="BH65" s="35"/>
      <c r="BI65" s="35"/>
      <c r="BJ65" s="35"/>
      <c r="BK65" s="35"/>
      <c r="BL65" s="35"/>
      <c r="BM65" s="35"/>
      <c r="BN65" s="55" t="s">
        <v>116</v>
      </c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41"/>
      <c r="CS65" s="41"/>
      <c r="CT65" s="41"/>
      <c r="CU65" s="41"/>
    </row>
    <row r="66" spans="18:99" s="1" customFormat="1" ht="6" customHeight="1">
      <c r="R66" s="35"/>
      <c r="S66" s="35"/>
      <c r="T66" s="35"/>
      <c r="U66" s="35"/>
      <c r="V66" s="35"/>
      <c r="W66" s="35"/>
      <c r="X66" s="35"/>
      <c r="Y66" s="35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48"/>
      <c r="BE66" s="35"/>
      <c r="BF66" s="35"/>
      <c r="BG66" s="35"/>
      <c r="BH66" s="35"/>
      <c r="BI66" s="35"/>
      <c r="BJ66" s="35"/>
      <c r="BK66" s="35"/>
      <c r="BL66" s="35"/>
      <c r="BM66" s="3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41"/>
      <c r="CS66" s="41"/>
      <c r="CT66" s="41"/>
      <c r="CU66" s="41"/>
    </row>
    <row r="67" spans="18:99" s="1" customFormat="1" ht="6" customHeight="1">
      <c r="R67" s="35"/>
      <c r="S67" s="35"/>
      <c r="T67" s="35"/>
      <c r="U67" s="35"/>
      <c r="V67" s="35"/>
      <c r="W67" s="35"/>
      <c r="X67" s="35"/>
      <c r="Y67" s="3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48"/>
      <c r="BE67" s="35"/>
      <c r="BF67" s="35"/>
      <c r="BG67" s="35"/>
      <c r="BH67" s="35"/>
      <c r="BI67" s="35"/>
      <c r="BJ67" s="35"/>
      <c r="BK67" s="35"/>
      <c r="BL67" s="35"/>
      <c r="BM67" s="3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41"/>
      <c r="CS67" s="41"/>
      <c r="CT67" s="41"/>
      <c r="CU67" s="41"/>
    </row>
    <row r="68" spans="18:99" s="1" customFormat="1" ht="6" customHeight="1">
      <c r="R68" s="35"/>
      <c r="S68" s="35"/>
      <c r="T68" s="35"/>
      <c r="U68" s="35"/>
      <c r="V68" s="35"/>
      <c r="W68" s="35"/>
      <c r="X68" s="35"/>
      <c r="Y68" s="3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48"/>
      <c r="BE68" s="35"/>
      <c r="BF68" s="35"/>
      <c r="BG68" s="35"/>
      <c r="BH68" s="35"/>
      <c r="BI68" s="35"/>
      <c r="BJ68" s="35"/>
      <c r="BK68" s="35"/>
      <c r="BL68" s="35"/>
      <c r="BM68" s="35"/>
      <c r="BN68" s="56" t="s">
        <v>131</v>
      </c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42"/>
      <c r="CS68" s="42"/>
      <c r="CT68" s="42"/>
      <c r="CU68" s="42"/>
    </row>
    <row r="69" spans="18:99" s="1" customFormat="1" ht="6" customHeight="1">
      <c r="R69" s="35"/>
      <c r="S69" s="35"/>
      <c r="T69" s="35"/>
      <c r="U69" s="35"/>
      <c r="V69" s="35"/>
      <c r="W69" s="35"/>
      <c r="X69" s="35"/>
      <c r="Y69" s="35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48"/>
      <c r="BE69" s="35"/>
      <c r="BF69" s="35"/>
      <c r="BG69" s="35"/>
      <c r="BH69" s="35"/>
      <c r="BI69" s="35"/>
      <c r="BJ69" s="35"/>
      <c r="BK69" s="35"/>
      <c r="BL69" s="35"/>
      <c r="BM69" s="35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42"/>
      <c r="CS69" s="42"/>
      <c r="CT69" s="42"/>
      <c r="CU69" s="42"/>
    </row>
    <row r="70" spans="18:99" s="1" customFormat="1" ht="6" customHeight="1"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</row>
    <row r="71" spans="18:99" s="1" customFormat="1" ht="6" customHeight="1">
      <c r="R71" s="35"/>
      <c r="S71" s="35"/>
      <c r="T71" s="35"/>
      <c r="U71" s="35"/>
      <c r="V71" s="35"/>
      <c r="W71" s="35"/>
      <c r="X71" s="35"/>
      <c r="Y71" s="35"/>
      <c r="Z71" s="57" t="s">
        <v>132</v>
      </c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47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</row>
    <row r="72" spans="18:99" s="1" customFormat="1" ht="6" customHeight="1">
      <c r="R72" s="35"/>
      <c r="S72" s="35"/>
      <c r="T72" s="35"/>
      <c r="U72" s="35"/>
      <c r="V72" s="35"/>
      <c r="W72" s="35"/>
      <c r="X72" s="35"/>
      <c r="Y72" s="35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47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</row>
    <row r="73" spans="18:99" s="1" customFormat="1" ht="6" customHeight="1"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</row>
    <row r="74" spans="18:99" s="1" customFormat="1" ht="6" customHeight="1">
      <c r="R74" s="35"/>
      <c r="S74" s="35"/>
      <c r="T74" s="35"/>
      <c r="U74" s="35"/>
      <c r="V74" s="35"/>
      <c r="W74" s="35"/>
      <c r="X74" s="35"/>
      <c r="Y74" s="35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</row>
    <row r="75" spans="18:99" s="1" customFormat="1" ht="6" customHeight="1">
      <c r="R75" s="35"/>
      <c r="S75" s="35"/>
      <c r="T75" s="35"/>
      <c r="U75" s="35"/>
      <c r="V75" s="35"/>
      <c r="W75" s="35"/>
      <c r="X75" s="35"/>
      <c r="Y75" s="35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</row>
    <row r="76" spans="18:99" s="1" customFormat="1" ht="6" customHeight="1">
      <c r="R76" s="35"/>
      <c r="S76" s="35"/>
      <c r="T76" s="35"/>
      <c r="U76" s="35"/>
      <c r="V76" s="35"/>
      <c r="W76" s="35"/>
      <c r="X76" s="35"/>
      <c r="Y76" s="35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</row>
    <row r="77" spans="18:99" s="1" customFormat="1" ht="6" customHeight="1">
      <c r="R77" s="35"/>
      <c r="S77" s="35"/>
      <c r="T77" s="35"/>
      <c r="U77" s="35"/>
      <c r="V77" s="35"/>
      <c r="W77" s="35"/>
      <c r="X77" s="35"/>
      <c r="Y77" s="35"/>
      <c r="Z77" s="58" t="s">
        <v>133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49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</row>
    <row r="78" spans="18:99" s="1" customFormat="1" ht="6" customHeight="1">
      <c r="R78" s="35"/>
      <c r="S78" s="35"/>
      <c r="T78" s="35"/>
      <c r="U78" s="35"/>
      <c r="V78" s="35"/>
      <c r="W78" s="35"/>
      <c r="X78" s="35"/>
      <c r="Y78" s="35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49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</row>
    <row r="79" spans="18:99" s="1" customFormat="1" ht="6" customHeight="1">
      <c r="R79" s="35"/>
      <c r="S79" s="35"/>
      <c r="T79" s="35"/>
      <c r="U79" s="35"/>
      <c r="V79" s="35"/>
      <c r="W79" s="35"/>
      <c r="X79" s="35"/>
      <c r="Y79" s="35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49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</row>
    <row r="80" spans="18:99" s="1" customFormat="1" ht="6" customHeight="1">
      <c r="R80" s="35"/>
      <c r="S80" s="35"/>
      <c r="T80" s="35"/>
      <c r="U80" s="35"/>
      <c r="V80" s="35"/>
      <c r="W80" s="35"/>
      <c r="X80" s="35"/>
      <c r="Y80" s="35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49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</row>
    <row r="81" spans="26:56" ht="6" customHeight="1"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49"/>
    </row>
    <row r="82" spans="26:56" ht="6" customHeight="1">
      <c r="Z82" s="58" t="s">
        <v>134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49"/>
    </row>
    <row r="83" spans="26:56" ht="6" customHeight="1"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49"/>
    </row>
    <row r="84" spans="26:56" ht="6" customHeight="1"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49"/>
    </row>
    <row r="85" spans="26:56" ht="6" customHeight="1"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49"/>
    </row>
    <row r="86" spans="26:56" ht="6" customHeight="1"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49"/>
    </row>
    <row r="87" spans="26:56" ht="6" customHeight="1"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49"/>
    </row>
    <row r="88" spans="26:56" ht="6" customHeight="1"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49"/>
    </row>
    <row r="89" spans="26:56" ht="6" customHeight="1"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49"/>
    </row>
    <row r="90" spans="26:56" ht="6" customHeight="1">
      <c r="Z90" s="52" t="s">
        <v>135</v>
      </c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0"/>
    </row>
    <row r="91" spans="26:56" ht="6" customHeight="1"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0"/>
    </row>
    <row r="92" spans="26:56" ht="6" customHeight="1"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</row>
    <row r="93" spans="26:56" ht="6" customHeight="1"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</row>
    <row r="94" spans="26:56" ht="6" customHeight="1"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</row>
    <row r="95" spans="26:56" ht="6" customHeight="1"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D330C698-A1B5-4C33-9B4E-C0F6A31F173C}"/>
    <hyperlink ref="B51" r:id="rId2" xr:uid="{E5BD892B-2447-4F3E-9130-0290BAB5BF06}"/>
    <hyperlink ref="B57" r:id="rId3" xr:uid="{31613117-8F27-4CFF-BC91-5AA4F0478EC4}"/>
    <hyperlink ref="Z4" r:id="rId4" xr:uid="{8C8CFCC4-3729-4E83-8AB9-5C22DCCD6D17}"/>
    <hyperlink ref="Z17" r:id="rId5" display="https://www.udemy.com/excel-mistrz-formul/?couponCode=STANDARDOWY" xr:uid="{5FB11504-E92A-4B56-BF45-FC5CD6CAF647}"/>
    <hyperlink ref="Z26" r:id="rId6" xr:uid="{21E7123C-C022-40B6-AFEE-D84F0532F895}"/>
    <hyperlink ref="Z40" r:id="rId7" display="https://www.udemy.com/excel-mistrz-formul/?couponCode=STANDARDOWY" xr:uid="{F07658FD-41A2-4F8D-BAD2-8BF041196E26}"/>
    <hyperlink ref="Z51" r:id="rId8" display="https://www.udemy.com/excel-mistrz-formul/?couponCode=STANDARDOWY" xr:uid="{C38D0520-8128-4AE8-B343-0651D0C6B28A}"/>
    <hyperlink ref="Z62" r:id="rId9" display="https://www.udemy.com/excel-mistrz-formul/?couponCode=STANDARDOWY" xr:uid="{7053442A-384A-438E-AF45-5D3863989321}"/>
    <hyperlink ref="Z71" r:id="rId10" display="https://www.udemy.com/excel-mistrz-formul/?couponCode=STANDARDOWY" xr:uid="{ECD2B14B-D1ED-4E97-B275-3394CA3F45C0}"/>
    <hyperlink ref="BN12" r:id="rId11" location="mistrz-excela-w-20-dni" xr:uid="{26071EC3-D5E8-472C-8E94-6E84B64B2897}"/>
    <hyperlink ref="BN37" r:id="rId12" location="mistrz-excela-w-20-dni" display="http://ksplus.komputerswiat.pl/sklep#mistrz-excela-w-20-dni" xr:uid="{424F179D-69AD-43B6-A68D-9EA23E05095E}"/>
    <hyperlink ref="BN43" r:id="rId13" location="mistrz-excela-w-20-dni" display="http://ksplus.komputerswiat.pl/sklep#mistrz-excela-w-20-dni" xr:uid="{C1F709BD-5956-4716-9DB7-A05A82EA2D46}"/>
    <hyperlink ref="BN62" r:id="rId14" location="mistrz-excela-w-20-dni" display="http://ksplus.komputerswiat.pl/sklep#mistrz-excela-w-20-dni" xr:uid="{36E18E87-2FAB-452E-A277-E6804E74919D}"/>
    <hyperlink ref="BN68" r:id="rId15" location="mistrz-excela-w-20-dni" display="http://ksplus.komputerswiat.pl/sklep#mistrz-excela-w-20-dni" xr:uid="{09A38F75-85EB-48FF-ACF7-3B87114133F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tabColor rgb="FF1E73BE"/>
  </sheetPr>
  <dimension ref="A1:E12"/>
  <sheetViews>
    <sheetView zoomScale="130" zoomScaleNormal="130" workbookViewId="0">
      <selection activeCell="D14" sqref="D14"/>
    </sheetView>
  </sheetViews>
  <sheetFormatPr defaultColWidth="9.140625" defaultRowHeight="14.25"/>
  <cols>
    <col min="1" max="1" width="17.7109375" style="3" customWidth="1"/>
    <col min="2" max="2" width="19.28515625" style="3" customWidth="1"/>
    <col min="3" max="3" width="6.42578125" style="8" customWidth="1"/>
    <col min="4" max="4" width="29.28515625" style="3" bestFit="1" customWidth="1"/>
    <col min="5" max="5" width="11.140625" style="3" bestFit="1" customWidth="1"/>
    <col min="6" max="6" width="12.7109375" style="3" bestFit="1" customWidth="1"/>
    <col min="7" max="7" width="11.140625" style="3" bestFit="1" customWidth="1"/>
    <col min="8" max="8" width="14.7109375" style="3" customWidth="1"/>
    <col min="9" max="9" width="11.140625" style="3" bestFit="1" customWidth="1"/>
    <col min="10" max="16384" width="9.140625" style="3"/>
  </cols>
  <sheetData>
    <row r="1" spans="1:5">
      <c r="A1" s="2" t="s">
        <v>17</v>
      </c>
      <c r="B1" s="2"/>
      <c r="D1" s="2" t="s">
        <v>3</v>
      </c>
      <c r="E1" s="30" t="s">
        <v>0</v>
      </c>
    </row>
    <row r="2" spans="1:5">
      <c r="A2" s="4" t="s">
        <v>1</v>
      </c>
      <c r="B2" s="31">
        <v>13.583</v>
      </c>
      <c r="D2" s="10" t="s">
        <v>19</v>
      </c>
    </row>
    <row r="3" spans="1:5">
      <c r="A3" s="4" t="s">
        <v>2</v>
      </c>
      <c r="B3" s="72">
        <v>-13.583</v>
      </c>
    </row>
    <row r="4" spans="1:5" s="8" customFormat="1"/>
    <row r="5" spans="1:5" s="8" customFormat="1">
      <c r="A5" s="2" t="s">
        <v>20</v>
      </c>
      <c r="B5" s="2"/>
      <c r="C5" s="3"/>
    </row>
    <row r="6" spans="1:5">
      <c r="A6" s="4" t="s">
        <v>1</v>
      </c>
      <c r="B6" s="9" t="s">
        <v>11</v>
      </c>
      <c r="C6" s="3"/>
    </row>
    <row r="7" spans="1:5">
      <c r="A7" s="4" t="s">
        <v>6</v>
      </c>
      <c r="B7" s="5">
        <v>12</v>
      </c>
      <c r="D7" s="10" t="s">
        <v>21</v>
      </c>
    </row>
    <row r="8" spans="1:5">
      <c r="A8" s="4" t="s">
        <v>12</v>
      </c>
      <c r="B8" s="4" t="s">
        <v>13</v>
      </c>
      <c r="C8" s="3"/>
    </row>
    <row r="9" spans="1:5">
      <c r="A9" s="5">
        <v>34</v>
      </c>
      <c r="B9" s="73">
        <f>A9*$B$7</f>
        <v>408</v>
      </c>
      <c r="C9" s="3"/>
      <c r="D9" s="32"/>
    </row>
    <row r="10" spans="1:5">
      <c r="A10" s="5">
        <v>26</v>
      </c>
      <c r="B10" s="73">
        <f t="shared" ref="B10:B11" si="0">A10*$B$7</f>
        <v>312</v>
      </c>
      <c r="C10" s="3"/>
      <c r="D10" s="33"/>
    </row>
    <row r="11" spans="1:5">
      <c r="A11" s="5">
        <v>29</v>
      </c>
      <c r="B11" s="73">
        <f t="shared" si="0"/>
        <v>348</v>
      </c>
      <c r="C11" s="3"/>
    </row>
    <row r="12" spans="1:5">
      <c r="B12" s="34"/>
    </row>
  </sheetData>
  <hyperlinks>
    <hyperlink ref="E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D13"/>
  <sheetViews>
    <sheetView zoomScale="130" zoomScaleNormal="130" workbookViewId="0">
      <selection activeCell="B11" sqref="B11"/>
    </sheetView>
  </sheetViews>
  <sheetFormatPr defaultColWidth="9.140625" defaultRowHeight="14.25"/>
  <cols>
    <col min="1" max="1" width="17.7109375" style="3" customWidth="1"/>
    <col min="2" max="2" width="18.5703125" style="3" customWidth="1"/>
    <col min="3" max="3" width="6.42578125" style="8" customWidth="1"/>
    <col min="4" max="4" width="21.42578125" style="3" bestFit="1" customWidth="1"/>
    <col min="5" max="16384" width="9.140625" style="3"/>
  </cols>
  <sheetData>
    <row r="1" spans="1:4" s="8" customFormat="1" ht="28.5">
      <c r="A1" s="4" t="s">
        <v>4</v>
      </c>
      <c r="B1" s="4" t="s">
        <v>22</v>
      </c>
    </row>
    <row r="2" spans="1:4" s="8" customFormat="1">
      <c r="A2" s="27">
        <v>1</v>
      </c>
      <c r="B2" s="28">
        <f>A2</f>
        <v>1</v>
      </c>
    </row>
    <row r="3" spans="1:4" s="8" customFormat="1">
      <c r="A3" s="27">
        <v>2</v>
      </c>
      <c r="B3" s="28">
        <f t="shared" ref="B3:B6" si="0">A3</f>
        <v>2</v>
      </c>
    </row>
    <row r="4" spans="1:4" s="8" customFormat="1">
      <c r="A4" s="27">
        <v>40775</v>
      </c>
      <c r="B4" s="28">
        <f t="shared" si="0"/>
        <v>40775</v>
      </c>
    </row>
    <row r="5" spans="1:4" s="8" customFormat="1">
      <c r="A5" s="27">
        <v>41110</v>
      </c>
      <c r="B5" s="28">
        <f t="shared" si="0"/>
        <v>41110</v>
      </c>
    </row>
    <row r="6" spans="1:4" s="8" customFormat="1">
      <c r="A6" s="27">
        <v>42093</v>
      </c>
      <c r="B6" s="28">
        <f t="shared" si="0"/>
        <v>42093</v>
      </c>
    </row>
    <row r="7" spans="1:4" s="8" customFormat="1">
      <c r="A7" s="29"/>
    </row>
    <row r="8" spans="1:4" s="8" customFormat="1"/>
    <row r="9" spans="1:4">
      <c r="A9" s="2" t="s">
        <v>18</v>
      </c>
      <c r="B9" s="2"/>
    </row>
    <row r="10" spans="1:4">
      <c r="A10" s="4" t="s">
        <v>1</v>
      </c>
      <c r="B10" s="5" t="s">
        <v>5</v>
      </c>
    </row>
    <row r="11" spans="1:4">
      <c r="A11" s="4" t="s">
        <v>6</v>
      </c>
      <c r="B11" s="74">
        <v>41677</v>
      </c>
      <c r="D11" s="10" t="s">
        <v>23</v>
      </c>
    </row>
    <row r="12" spans="1:4" s="8" customFormat="1"/>
    <row r="13" spans="1:4" s="8" customForma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E12"/>
  <sheetViews>
    <sheetView zoomScaleNormal="100" workbookViewId="0"/>
  </sheetViews>
  <sheetFormatPr defaultColWidth="9.140625" defaultRowHeight="14.25"/>
  <cols>
    <col min="1" max="1" width="9.5703125" style="3" bestFit="1" customWidth="1"/>
    <col min="2" max="2" width="45.42578125" style="3" customWidth="1"/>
    <col min="3" max="3" width="12.42578125" style="8" customWidth="1"/>
    <col min="4" max="4" width="21.42578125" style="3" bestFit="1" customWidth="1"/>
    <col min="5" max="5" width="14.7109375" style="3" customWidth="1"/>
    <col min="6" max="6" width="11.140625" style="3" bestFit="1" customWidth="1"/>
    <col min="7" max="16384" width="9.140625" style="3"/>
  </cols>
  <sheetData>
    <row r="1" spans="1:5">
      <c r="A1" s="4" t="s">
        <v>31</v>
      </c>
      <c r="B1" s="4" t="s">
        <v>32</v>
      </c>
      <c r="C1" s="4" t="s">
        <v>33</v>
      </c>
    </row>
    <row r="2" spans="1:5" s="8" customFormat="1" ht="28.5">
      <c r="A2" s="24" t="s">
        <v>34</v>
      </c>
      <c r="B2" s="16" t="s">
        <v>35</v>
      </c>
      <c r="C2" s="16" t="s">
        <v>36</v>
      </c>
      <c r="D2" s="3"/>
      <c r="E2" s="3"/>
    </row>
    <row r="3" spans="1:5" s="8" customFormat="1" ht="28.5">
      <c r="A3" s="24" t="s">
        <v>37</v>
      </c>
      <c r="B3" s="16" t="s">
        <v>38</v>
      </c>
      <c r="C3" s="16" t="s">
        <v>39</v>
      </c>
      <c r="D3" s="3"/>
      <c r="E3" s="3"/>
    </row>
    <row r="4" spans="1:5" s="8" customFormat="1">
      <c r="A4" s="24" t="s">
        <v>40</v>
      </c>
      <c r="B4" s="16" t="s">
        <v>41</v>
      </c>
      <c r="C4" s="16" t="s">
        <v>42</v>
      </c>
      <c r="D4" s="3"/>
      <c r="E4" s="3"/>
    </row>
    <row r="5" spans="1:5" s="8" customFormat="1" ht="28.5">
      <c r="A5" s="24" t="s">
        <v>43</v>
      </c>
      <c r="B5" s="16" t="s">
        <v>44</v>
      </c>
      <c r="C5" s="16" t="s">
        <v>45</v>
      </c>
      <c r="D5" s="3"/>
      <c r="E5" s="3"/>
    </row>
    <row r="6" spans="1:5" s="8" customFormat="1" ht="28.5">
      <c r="A6" s="24" t="s">
        <v>46</v>
      </c>
      <c r="B6" s="16" t="s">
        <v>47</v>
      </c>
      <c r="C6" s="16" t="s">
        <v>48</v>
      </c>
      <c r="D6" s="3"/>
      <c r="E6" s="3"/>
    </row>
    <row r="7" spans="1:5" s="8" customFormat="1" ht="28.5">
      <c r="A7" s="24" t="s">
        <v>49</v>
      </c>
      <c r="B7" s="16" t="s">
        <v>50</v>
      </c>
      <c r="C7" s="16" t="s">
        <v>51</v>
      </c>
      <c r="D7" s="3"/>
      <c r="E7" s="3"/>
    </row>
    <row r="8" spans="1:5" s="8" customFormat="1" ht="28.5">
      <c r="A8" s="24" t="s">
        <v>52</v>
      </c>
      <c r="B8" s="16" t="s">
        <v>53</v>
      </c>
      <c r="C8" s="16" t="s">
        <v>54</v>
      </c>
      <c r="D8" s="3"/>
      <c r="E8" s="3"/>
    </row>
    <row r="9" spans="1:5" s="8" customFormat="1">
      <c r="A9" s="24" t="s">
        <v>55</v>
      </c>
      <c r="B9" s="16" t="s">
        <v>56</v>
      </c>
      <c r="C9" s="16" t="s">
        <v>57</v>
      </c>
      <c r="D9" s="3"/>
      <c r="E9" s="3"/>
    </row>
    <row r="10" spans="1:5" s="8" customFormat="1" ht="28.5">
      <c r="A10" s="25" t="s">
        <v>58</v>
      </c>
      <c r="B10" s="26" t="s">
        <v>59</v>
      </c>
      <c r="C10" s="16" t="s">
        <v>60</v>
      </c>
      <c r="D10" s="3"/>
      <c r="E10" s="3"/>
    </row>
    <row r="11" spans="1:5" s="8" customFormat="1">
      <c r="A11" s="25" t="s">
        <v>61</v>
      </c>
      <c r="B11" s="26" t="s">
        <v>62</v>
      </c>
      <c r="C11" s="16" t="s">
        <v>63</v>
      </c>
      <c r="D11" s="3"/>
      <c r="E11" s="3"/>
    </row>
    <row r="12" spans="1:5" s="8" customFormat="1">
      <c r="A12" s="25" t="s">
        <v>64</v>
      </c>
      <c r="B12" s="26" t="s">
        <v>65</v>
      </c>
      <c r="C12" s="16" t="s">
        <v>66</v>
      </c>
      <c r="D12" s="3"/>
      <c r="E1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D19"/>
  <sheetViews>
    <sheetView zoomScale="130" zoomScaleNormal="130" workbookViewId="0">
      <selection activeCell="B19" sqref="B19"/>
    </sheetView>
  </sheetViews>
  <sheetFormatPr defaultColWidth="9.140625" defaultRowHeight="14.25"/>
  <cols>
    <col min="1" max="1" width="17.7109375" style="3" customWidth="1"/>
    <col min="2" max="2" width="18.5703125" style="3" customWidth="1"/>
    <col min="3" max="3" width="6.42578125" style="8" customWidth="1"/>
    <col min="4" max="4" width="21.42578125" style="3" bestFit="1" customWidth="1"/>
    <col min="5" max="16384" width="9.140625" style="3"/>
  </cols>
  <sheetData>
    <row r="1" spans="1:4" s="8" customFormat="1" ht="28.5">
      <c r="A1" s="4" t="s">
        <v>7</v>
      </c>
      <c r="B1" s="4" t="s">
        <v>22</v>
      </c>
    </row>
    <row r="2" spans="1:4" s="8" customFormat="1">
      <c r="A2" s="18">
        <v>0.25</v>
      </c>
      <c r="B2" s="5">
        <f>A2</f>
        <v>0.25</v>
      </c>
    </row>
    <row r="3" spans="1:4" s="8" customFormat="1">
      <c r="A3" s="18">
        <v>0.33333333333333331</v>
      </c>
      <c r="B3" s="5">
        <f t="shared" ref="B3:B6" si="0">A3</f>
        <v>0.33333333333333331</v>
      </c>
    </row>
    <row r="4" spans="1:4" s="8" customFormat="1">
      <c r="A4" s="18">
        <v>0.375</v>
      </c>
      <c r="B4" s="5">
        <f t="shared" si="0"/>
        <v>0.375</v>
      </c>
    </row>
    <row r="5" spans="1:4" s="8" customFormat="1">
      <c r="A5" s="18">
        <v>0.5</v>
      </c>
      <c r="B5" s="5">
        <f t="shared" si="0"/>
        <v>0.5</v>
      </c>
    </row>
    <row r="6" spans="1:4" s="8" customFormat="1">
      <c r="A6" s="18">
        <v>0.625</v>
      </c>
      <c r="B6" s="5">
        <f t="shared" si="0"/>
        <v>0.625</v>
      </c>
    </row>
    <row r="7" spans="1:4" s="8" customFormat="1">
      <c r="A7" s="19"/>
      <c r="B7" s="3"/>
    </row>
    <row r="8" spans="1:4" s="8" customFormat="1">
      <c r="A8" s="2" t="s">
        <v>24</v>
      </c>
      <c r="B8" s="2"/>
    </row>
    <row r="9" spans="1:4">
      <c r="A9" s="4" t="s">
        <v>1</v>
      </c>
      <c r="B9" s="18">
        <v>0.375</v>
      </c>
    </row>
    <row r="10" spans="1:4">
      <c r="A10" s="4" t="s">
        <v>6</v>
      </c>
      <c r="B10" s="18">
        <f>9/24</f>
        <v>0.375</v>
      </c>
      <c r="D10" s="10" t="s">
        <v>25</v>
      </c>
    </row>
    <row r="12" spans="1:4">
      <c r="A12" s="2" t="s">
        <v>8</v>
      </c>
      <c r="B12" s="2"/>
    </row>
    <row r="13" spans="1:4">
      <c r="A13" s="4" t="s">
        <v>1</v>
      </c>
      <c r="B13" s="20">
        <v>1.6666666666666667</v>
      </c>
      <c r="D13" s="10" t="s">
        <v>26</v>
      </c>
    </row>
    <row r="14" spans="1:4">
      <c r="A14" s="4" t="s">
        <v>6</v>
      </c>
      <c r="B14" s="20">
        <f>1.66666666666667</f>
        <v>1.6666666666666701</v>
      </c>
    </row>
    <row r="16" spans="1:4">
      <c r="A16" s="2" t="s">
        <v>27</v>
      </c>
      <c r="B16" s="2"/>
    </row>
    <row r="17" spans="1:2" ht="28.5">
      <c r="A17" s="4" t="s">
        <v>28</v>
      </c>
      <c r="B17" s="21">
        <v>0.33333333333333331</v>
      </c>
    </row>
    <row r="18" spans="1:2">
      <c r="A18" s="4" t="s">
        <v>29</v>
      </c>
      <c r="B18" s="22">
        <v>20</v>
      </c>
    </row>
    <row r="19" spans="1:2">
      <c r="A19" s="4" t="s">
        <v>30</v>
      </c>
      <c r="B19" s="23">
        <f>B17*B18*24</f>
        <v>160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D11"/>
  <sheetViews>
    <sheetView topLeftCell="A4" zoomScaleNormal="100" workbookViewId="0"/>
  </sheetViews>
  <sheetFormatPr defaultColWidth="9.140625" defaultRowHeight="14.25"/>
  <cols>
    <col min="1" max="1" width="8.28515625" style="3" bestFit="1" customWidth="1"/>
    <col min="2" max="2" width="73.5703125" style="3" customWidth="1"/>
    <col min="3" max="3" width="21.42578125" style="3" bestFit="1" customWidth="1"/>
    <col min="4" max="4" width="14.7109375" style="3" customWidth="1"/>
    <col min="5" max="5" width="11.140625" style="3" bestFit="1" customWidth="1"/>
    <col min="6" max="16384" width="9.140625" style="3"/>
  </cols>
  <sheetData>
    <row r="1" spans="1:4">
      <c r="A1" s="4" t="s">
        <v>31</v>
      </c>
      <c r="B1" s="4" t="s">
        <v>32</v>
      </c>
    </row>
    <row r="2" spans="1:4" s="8" customFormat="1">
      <c r="A2" s="16" t="s">
        <v>67</v>
      </c>
      <c r="B2" s="17" t="s">
        <v>68</v>
      </c>
      <c r="C2" s="3"/>
      <c r="D2" s="3"/>
    </row>
    <row r="3" spans="1:4" s="8" customFormat="1" ht="42.75">
      <c r="A3" s="16" t="s">
        <v>69</v>
      </c>
      <c r="B3" s="17" t="s">
        <v>93</v>
      </c>
      <c r="C3" s="3"/>
      <c r="D3" s="3"/>
    </row>
    <row r="4" spans="1:4" s="8" customFormat="1" ht="57">
      <c r="A4" s="16" t="s">
        <v>70</v>
      </c>
      <c r="B4" s="17" t="s">
        <v>94</v>
      </c>
      <c r="C4" s="3"/>
      <c r="D4" s="3"/>
    </row>
    <row r="5" spans="1:4" s="8" customFormat="1" ht="57">
      <c r="A5" s="16" t="s">
        <v>34</v>
      </c>
      <c r="B5" s="17" t="s">
        <v>71</v>
      </c>
      <c r="C5" s="3"/>
      <c r="D5" s="3"/>
    </row>
    <row r="6" spans="1:4" s="8" customFormat="1" ht="42.75">
      <c r="A6" s="16" t="s">
        <v>72</v>
      </c>
      <c r="B6" s="17" t="s">
        <v>95</v>
      </c>
      <c r="C6" s="3"/>
      <c r="D6" s="3"/>
    </row>
    <row r="7" spans="1:4" s="8" customFormat="1">
      <c r="A7" s="16" t="s">
        <v>37</v>
      </c>
      <c r="B7" s="17" t="s">
        <v>73</v>
      </c>
      <c r="C7" s="3"/>
      <c r="D7" s="3"/>
    </row>
    <row r="8" spans="1:4" s="8" customFormat="1">
      <c r="A8" s="16" t="s">
        <v>74</v>
      </c>
      <c r="B8" s="17" t="s">
        <v>75</v>
      </c>
      <c r="C8" s="3"/>
      <c r="D8" s="3"/>
    </row>
    <row r="9" spans="1:4" ht="42.75">
      <c r="A9" s="16" t="s">
        <v>76</v>
      </c>
      <c r="B9" s="17" t="s">
        <v>96</v>
      </c>
    </row>
    <row r="10" spans="1:4" ht="42.75">
      <c r="A10" s="16" t="s">
        <v>77</v>
      </c>
      <c r="B10" s="17" t="s">
        <v>97</v>
      </c>
    </row>
    <row r="11" spans="1:4" ht="42.75">
      <c r="A11" s="16" t="s">
        <v>78</v>
      </c>
      <c r="B11" s="17" t="s">
        <v>98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E23"/>
  <sheetViews>
    <sheetView tabSelected="1" zoomScaleNormal="100" workbookViewId="0">
      <selection activeCell="L27" sqref="L27"/>
    </sheetView>
  </sheetViews>
  <sheetFormatPr defaultColWidth="9.140625" defaultRowHeight="14.25"/>
  <cols>
    <col min="1" max="1" width="17.7109375" style="3" customWidth="1"/>
    <col min="2" max="2" width="18.5703125" style="3" customWidth="1"/>
    <col min="3" max="3" width="26.28515625" style="3" customWidth="1"/>
    <col min="4" max="4" width="11.140625" style="3" bestFit="1" customWidth="1"/>
    <col min="5" max="5" width="12.7109375" style="3" bestFit="1" customWidth="1"/>
    <col min="6" max="6" width="11.140625" style="3" bestFit="1" customWidth="1"/>
    <col min="7" max="7" width="14.7109375" style="3" customWidth="1"/>
    <col min="8" max="8" width="11.140625" style="3" bestFit="1" customWidth="1"/>
    <col min="9" max="16384" width="9.140625" style="3"/>
  </cols>
  <sheetData>
    <row r="1" spans="1:5">
      <c r="A1" s="2" t="s">
        <v>9</v>
      </c>
      <c r="B1" s="2"/>
      <c r="C1" s="2" t="s">
        <v>79</v>
      </c>
    </row>
    <row r="2" spans="1:5">
      <c r="A2" s="4" t="s">
        <v>80</v>
      </c>
      <c r="B2" s="5">
        <v>2.444E-2</v>
      </c>
    </row>
    <row r="3" spans="1:5">
      <c r="A3" s="4" t="s">
        <v>6</v>
      </c>
      <c r="B3" s="6">
        <v>2.444E-2</v>
      </c>
      <c r="C3" s="7" t="s">
        <v>81</v>
      </c>
    </row>
    <row r="4" spans="1:5" s="8" customFormat="1"/>
    <row r="5" spans="1:5">
      <c r="A5" s="2" t="s">
        <v>10</v>
      </c>
      <c r="B5" s="2"/>
    </row>
    <row r="6" spans="1:5">
      <c r="A6" s="4" t="s">
        <v>80</v>
      </c>
      <c r="B6" s="5">
        <f>4/3</f>
        <v>1.3333333333333333</v>
      </c>
      <c r="C6" s="5"/>
    </row>
    <row r="7" spans="1:5">
      <c r="A7" s="4" t="s">
        <v>6</v>
      </c>
      <c r="B7" s="9">
        <f>B6</f>
        <v>1.3333333333333333</v>
      </c>
      <c r="C7" s="10" t="s">
        <v>82</v>
      </c>
      <c r="E7" s="3" t="s">
        <v>83</v>
      </c>
    </row>
    <row r="8" spans="1:5">
      <c r="A8" s="4" t="s">
        <v>6</v>
      </c>
      <c r="B8" s="11">
        <f>B7</f>
        <v>1.3333333333333333</v>
      </c>
      <c r="C8" s="10" t="s">
        <v>84</v>
      </c>
      <c r="E8" s="8" t="s">
        <v>85</v>
      </c>
    </row>
    <row r="9" spans="1:5" s="8" customFormat="1"/>
    <row r="10" spans="1:5">
      <c r="A10" s="2" t="s">
        <v>86</v>
      </c>
      <c r="B10" s="2"/>
    </row>
    <row r="11" spans="1:5">
      <c r="A11" s="4" t="s">
        <v>80</v>
      </c>
      <c r="B11" s="5">
        <v>12500000</v>
      </c>
    </row>
    <row r="12" spans="1:5">
      <c r="A12" s="4" t="s">
        <v>6</v>
      </c>
      <c r="B12" s="12">
        <f>B11</f>
        <v>12500000</v>
      </c>
      <c r="C12" s="10" t="s">
        <v>87</v>
      </c>
    </row>
    <row r="13" spans="1:5" s="8" customFormat="1"/>
    <row r="14" spans="1:5">
      <c r="A14" s="2" t="s">
        <v>88</v>
      </c>
      <c r="B14" s="2"/>
    </row>
    <row r="15" spans="1:5">
      <c r="A15" s="4" t="s">
        <v>80</v>
      </c>
      <c r="B15" s="13">
        <v>123</v>
      </c>
      <c r="C15" s="5"/>
    </row>
    <row r="16" spans="1:5" s="8" customFormat="1">
      <c r="A16" s="4" t="s">
        <v>6</v>
      </c>
      <c r="B16" s="14">
        <v>123</v>
      </c>
      <c r="C16" s="10" t="s">
        <v>89</v>
      </c>
    </row>
    <row r="17" spans="1:3">
      <c r="A17" s="8"/>
      <c r="B17" s="8"/>
      <c r="C17" s="8"/>
    </row>
    <row r="18" spans="1:3">
      <c r="A18" s="2" t="s">
        <v>14</v>
      </c>
      <c r="B18" s="2"/>
      <c r="C18" s="2"/>
    </row>
    <row r="19" spans="1:3">
      <c r="A19" s="10" t="s">
        <v>15</v>
      </c>
      <c r="B19" s="10"/>
      <c r="C19" s="10"/>
    </row>
    <row r="20" spans="1:3" s="8" customFormat="1"/>
    <row r="21" spans="1:3">
      <c r="A21" s="2" t="s">
        <v>90</v>
      </c>
      <c r="B21" s="2"/>
      <c r="C21" s="2"/>
    </row>
    <row r="22" spans="1:3">
      <c r="A22" s="4" t="s">
        <v>6</v>
      </c>
      <c r="B22" s="15" t="s">
        <v>16</v>
      </c>
      <c r="C22" s="10" t="s">
        <v>91</v>
      </c>
    </row>
    <row r="23" spans="1:3">
      <c r="A23" s="4" t="s">
        <v>6</v>
      </c>
      <c r="B23" s="75" t="s">
        <v>16</v>
      </c>
      <c r="C23" s="10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ExceliAdam</vt:lpstr>
      <vt:lpstr>Walutowe</vt:lpstr>
      <vt:lpstr>Data</vt:lpstr>
      <vt:lpstr>Kody Daty</vt:lpstr>
      <vt:lpstr>Czas</vt:lpstr>
      <vt:lpstr>Kody Czasu</vt:lpstr>
      <vt:lpstr>Różne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2015-10-21T03:34:09Z</dcterms:created>
  <dcterms:modified xsi:type="dcterms:W3CDTF">2026-10-26T19:46:05Z</dcterms:modified>
</cp:coreProperties>
</file>