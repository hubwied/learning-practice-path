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huber\Desktop\portf\kursy\learning-practice-path\excel\Pliki+Mistrz+Excela\początkowe\"/>
    </mc:Choice>
  </mc:AlternateContent>
  <xr:revisionPtr revIDLastSave="0" documentId="13_ncr:1_{5D80DDF7-3432-4154-9859-C60AE18CFE51}" xr6:coauthVersionLast="47" xr6:coauthVersionMax="47" xr10:uidLastSave="{00000000-0000-0000-0000-000000000000}"/>
  <bookViews>
    <workbookView xWindow="-120" yWindow="-120" windowWidth="38640" windowHeight="21120" tabRatio="684" activeTab="11" xr2:uid="{00000000-000D-0000-FFFF-FFFF00000000}"/>
  </bookViews>
  <sheets>
    <sheet name="ExceliAdam" sheetId="206" r:id="rId1"/>
    <sheet name="Podstawy" sheetId="187" r:id="rId2"/>
    <sheet name="I" sheetId="198" r:id="rId3"/>
    <sheet name="2Kryteria" sheetId="199" r:id="rId4"/>
    <sheet name="LUB" sheetId="200" r:id="rId5"/>
    <sheet name="Tekst" sheetId="201" r:id="rId6"/>
    <sheet name="SymboleWieloznaczne" sheetId="205" r:id="rId7"/>
    <sheet name="FormułaPomocnicza" sheetId="202" r:id="rId8"/>
    <sheet name="SamaFormuła" sheetId="203" r:id="rId9"/>
    <sheet name="Wiersze" sheetId="204" r:id="rId10"/>
    <sheet name="Duplikaty" sheetId="196" r:id="rId11"/>
    <sheet name="Listy" sheetId="197" r:id="rId12"/>
  </sheets>
  <definedNames>
    <definedName name="_xlnm._FilterDatabase" localSheetId="3" hidden="1">'2Kryteria'!$A$5:$F$499</definedName>
    <definedName name="_xlnm._FilterDatabase" localSheetId="10" hidden="1">Duplikaty!$A$5:$F$499</definedName>
    <definedName name="_xlnm._FilterDatabase" localSheetId="7" hidden="1">FormułaPomocnicza!$A$5:$G$499</definedName>
    <definedName name="_xlnm._FilterDatabase" localSheetId="2" hidden="1">I!$A$5:$F$499</definedName>
    <definedName name="_xlnm._FilterDatabase" localSheetId="11" hidden="1">Listy!$C$1:$C$7</definedName>
    <definedName name="_xlnm._FilterDatabase" localSheetId="4" hidden="1">LUB!$A$6:$F$500</definedName>
    <definedName name="_xlnm._FilterDatabase" localSheetId="1" hidden="1">Podstawy!$A$5:$F$499</definedName>
    <definedName name="_xlnm._FilterDatabase" localSheetId="8" hidden="1">SamaFormuła!$A$5:$F$499</definedName>
    <definedName name="_xlnm._FilterDatabase" localSheetId="6" hidden="1">SymboleWieloznaczne!$A$6:$B$19</definedName>
    <definedName name="_xlnm._FilterDatabase" localSheetId="5" hidden="1">Tekst!$A$5:$F$499</definedName>
    <definedName name="_xlnm._FilterDatabase" localSheetId="9" hidden="1">Wiersze!$A$5:$G$499</definedName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  <definedName name="_xlnm.Criteria" localSheetId="3">'2Kryteria'!$A$2:$G$3</definedName>
    <definedName name="_xlnm.Criteria" localSheetId="10">Duplikaty!$F$2:$F$3</definedName>
    <definedName name="_xlnm.Criteria" localSheetId="7">FormułaPomocnicza!$F$2:$F$3</definedName>
    <definedName name="_xlnm.Criteria" localSheetId="2">I!$A$2:$F$3</definedName>
    <definedName name="_xlnm.Criteria" localSheetId="11">Listy!$G$1:$G$2</definedName>
    <definedName name="_xlnm.Criteria" localSheetId="4">LUB!$A$2:$F$4</definedName>
    <definedName name="_xlnm.Criteria" localSheetId="1">Podstawy!$C$2:$C$3</definedName>
    <definedName name="_xlnm.Criteria" localSheetId="8">SamaFormuła!$A$2:$F$3</definedName>
    <definedName name="_xlnm.Criteria" localSheetId="6">SymboleWieloznaczne!$D$21:$D$22</definedName>
    <definedName name="_xlnm.Criteria" localSheetId="5">Tekst!$A$2:$F$3</definedName>
    <definedName name="_xlnm.Criteria" localSheetId="9">Wiersze!$D$2:$F$3</definedName>
    <definedName name="_xlnm.Extract" localSheetId="3">'2Kryteria'!$L$10:$Q$10</definedName>
    <definedName name="_xlnm.Extract" localSheetId="10">Duplikaty!$H$5:$I$5</definedName>
    <definedName name="_xlnm.Extract" localSheetId="7">FormułaPomocnicza!$I$1:$N$1</definedName>
    <definedName name="_xlnm.Extract" localSheetId="2">I!$K$17:$P$17</definedName>
    <definedName name="_xlnm.Extract" localSheetId="11">Listy!$G$5</definedName>
    <definedName name="_xlnm.Extract" localSheetId="4">LUB!$J$8:$O$8</definedName>
    <definedName name="_xlnm.Extract" localSheetId="1">Podstawy!$L$26:$Q$26</definedName>
    <definedName name="_xlnm.Extract" localSheetId="8">SamaFormuła!$I$1:$N$1</definedName>
    <definedName name="_xlnm.Extract" localSheetId="6">SymboleWieloznaczne!$F$10:$G$10</definedName>
    <definedName name="_xlnm.Extract" localSheetId="5">Tekst!$W$16:$AB$16</definedName>
    <definedName name="_xlnm.Extract" localSheetId="9">Wiersze!$J$5:$P$5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197" l="1"/>
  <c r="E2" i="197"/>
  <c r="H7" i="204"/>
  <c r="H8" i="204"/>
  <c r="H9" i="204"/>
  <c r="H10" i="204"/>
  <c r="H11" i="204"/>
  <c r="H12" i="204"/>
  <c r="H13" i="204"/>
  <c r="H14" i="204"/>
  <c r="H15" i="204"/>
  <c r="H16" i="204"/>
  <c r="H17" i="204"/>
  <c r="H18" i="204"/>
  <c r="H19" i="204"/>
  <c r="H20" i="204"/>
  <c r="H21" i="204"/>
  <c r="H22" i="204"/>
  <c r="H23" i="204"/>
  <c r="H24" i="204"/>
  <c r="H25" i="204"/>
  <c r="H26" i="204"/>
  <c r="H27" i="204"/>
  <c r="H28" i="204"/>
  <c r="H29" i="204"/>
  <c r="H30" i="204"/>
  <c r="H31" i="204"/>
  <c r="H32" i="204"/>
  <c r="H33" i="204"/>
  <c r="H34" i="204"/>
  <c r="H35" i="204"/>
  <c r="H36" i="204"/>
  <c r="H37" i="204"/>
  <c r="H38" i="204"/>
  <c r="H39" i="204"/>
  <c r="H40" i="204"/>
  <c r="H41" i="204"/>
  <c r="H42" i="204"/>
  <c r="H43" i="204"/>
  <c r="H44" i="204"/>
  <c r="H45" i="204"/>
  <c r="H46" i="204"/>
  <c r="H47" i="204"/>
  <c r="H48" i="204"/>
  <c r="H49" i="204"/>
  <c r="H50" i="204"/>
  <c r="H51" i="204"/>
  <c r="H52" i="204"/>
  <c r="H53" i="204"/>
  <c r="H54" i="204"/>
  <c r="H55" i="204"/>
  <c r="H56" i="204"/>
  <c r="H57" i="204"/>
  <c r="H58" i="204"/>
  <c r="H59" i="204"/>
  <c r="H60" i="204"/>
  <c r="H61" i="204"/>
  <c r="H62" i="204"/>
  <c r="H63" i="204"/>
  <c r="H64" i="204"/>
  <c r="H65" i="204"/>
  <c r="H66" i="204"/>
  <c r="H67" i="204"/>
  <c r="H68" i="204"/>
  <c r="H69" i="204"/>
  <c r="H70" i="204"/>
  <c r="H71" i="204"/>
  <c r="H72" i="204"/>
  <c r="H73" i="204"/>
  <c r="H74" i="204"/>
  <c r="H75" i="204"/>
  <c r="H76" i="204"/>
  <c r="H77" i="204"/>
  <c r="H78" i="204"/>
  <c r="H79" i="204"/>
  <c r="H80" i="204"/>
  <c r="H81" i="204"/>
  <c r="H82" i="204"/>
  <c r="H83" i="204"/>
  <c r="H84" i="204"/>
  <c r="H85" i="204"/>
  <c r="H86" i="204"/>
  <c r="H87" i="204"/>
  <c r="H88" i="204"/>
  <c r="H89" i="204"/>
  <c r="H90" i="204"/>
  <c r="H91" i="204"/>
  <c r="H92" i="204"/>
  <c r="H93" i="204"/>
  <c r="H94" i="204"/>
  <c r="H95" i="204"/>
  <c r="H96" i="204"/>
  <c r="H97" i="204"/>
  <c r="H98" i="204"/>
  <c r="H99" i="204"/>
  <c r="H100" i="204"/>
  <c r="H101" i="204"/>
  <c r="H102" i="204"/>
  <c r="H103" i="204"/>
  <c r="H104" i="204"/>
  <c r="H105" i="204"/>
  <c r="H106" i="204"/>
  <c r="H107" i="204"/>
  <c r="H108" i="204"/>
  <c r="H109" i="204"/>
  <c r="H110" i="204"/>
  <c r="H111" i="204"/>
  <c r="H112" i="204"/>
  <c r="H113" i="204"/>
  <c r="H114" i="204"/>
  <c r="H115" i="204"/>
  <c r="H116" i="204"/>
  <c r="H117" i="204"/>
  <c r="H118" i="204"/>
  <c r="H119" i="204"/>
  <c r="H120" i="204"/>
  <c r="H121" i="204"/>
  <c r="H122" i="204"/>
  <c r="H123" i="204"/>
  <c r="H124" i="204"/>
  <c r="H125" i="204"/>
  <c r="H126" i="204"/>
  <c r="H127" i="204"/>
  <c r="H128" i="204"/>
  <c r="H129" i="204"/>
  <c r="H130" i="204"/>
  <c r="H131" i="204"/>
  <c r="H132" i="204"/>
  <c r="H133" i="204"/>
  <c r="H134" i="204"/>
  <c r="H135" i="204"/>
  <c r="H136" i="204"/>
  <c r="H137" i="204"/>
  <c r="H138" i="204"/>
  <c r="H139" i="204"/>
  <c r="H140" i="204"/>
  <c r="H141" i="204"/>
  <c r="H142" i="204"/>
  <c r="H143" i="204"/>
  <c r="H144" i="204"/>
  <c r="H145" i="204"/>
  <c r="H146" i="204"/>
  <c r="H147" i="204"/>
  <c r="H148" i="204"/>
  <c r="H149" i="204"/>
  <c r="H150" i="204"/>
  <c r="H151" i="204"/>
  <c r="H152" i="204"/>
  <c r="H153" i="204"/>
  <c r="H154" i="204"/>
  <c r="H155" i="204"/>
  <c r="H156" i="204"/>
  <c r="H157" i="204"/>
  <c r="H158" i="204"/>
  <c r="H159" i="204"/>
  <c r="H160" i="204"/>
  <c r="H161" i="204"/>
  <c r="H162" i="204"/>
  <c r="H163" i="204"/>
  <c r="H164" i="204"/>
  <c r="H165" i="204"/>
  <c r="H166" i="204"/>
  <c r="H167" i="204"/>
  <c r="H168" i="204"/>
  <c r="H169" i="204"/>
  <c r="H170" i="204"/>
  <c r="H171" i="204"/>
  <c r="H172" i="204"/>
  <c r="H173" i="204"/>
  <c r="H174" i="204"/>
  <c r="H175" i="204"/>
  <c r="H176" i="204"/>
  <c r="H177" i="204"/>
  <c r="H178" i="204"/>
  <c r="H179" i="204"/>
  <c r="H180" i="204"/>
  <c r="H181" i="204"/>
  <c r="H182" i="204"/>
  <c r="H183" i="204"/>
  <c r="H184" i="204"/>
  <c r="H185" i="204"/>
  <c r="H186" i="204"/>
  <c r="H187" i="204"/>
  <c r="H188" i="204"/>
  <c r="H189" i="204"/>
  <c r="H190" i="204"/>
  <c r="H191" i="204"/>
  <c r="H192" i="204"/>
  <c r="H193" i="204"/>
  <c r="H194" i="204"/>
  <c r="H195" i="204"/>
  <c r="H196" i="204"/>
  <c r="H197" i="204"/>
  <c r="H198" i="204"/>
  <c r="H199" i="204"/>
  <c r="H200" i="204"/>
  <c r="H201" i="204"/>
  <c r="H202" i="204"/>
  <c r="H203" i="204"/>
  <c r="H204" i="204"/>
  <c r="H205" i="204"/>
  <c r="H206" i="204"/>
  <c r="H207" i="204"/>
  <c r="H208" i="204"/>
  <c r="H209" i="204"/>
  <c r="H210" i="204"/>
  <c r="H211" i="204"/>
  <c r="H212" i="204"/>
  <c r="H213" i="204"/>
  <c r="H214" i="204"/>
  <c r="H215" i="204"/>
  <c r="H216" i="204"/>
  <c r="H217" i="204"/>
  <c r="H218" i="204"/>
  <c r="H219" i="204"/>
  <c r="H220" i="204"/>
  <c r="H221" i="204"/>
  <c r="H222" i="204"/>
  <c r="H223" i="204"/>
  <c r="H224" i="204"/>
  <c r="H225" i="204"/>
  <c r="H226" i="204"/>
  <c r="H227" i="204"/>
  <c r="H228" i="204"/>
  <c r="H229" i="204"/>
  <c r="H230" i="204"/>
  <c r="H231" i="204"/>
  <c r="H232" i="204"/>
  <c r="H233" i="204"/>
  <c r="H234" i="204"/>
  <c r="H235" i="204"/>
  <c r="H236" i="204"/>
  <c r="H237" i="204"/>
  <c r="H238" i="204"/>
  <c r="H239" i="204"/>
  <c r="H240" i="204"/>
  <c r="H241" i="204"/>
  <c r="H242" i="204"/>
  <c r="H243" i="204"/>
  <c r="H244" i="204"/>
  <c r="H245" i="204"/>
  <c r="H246" i="204"/>
  <c r="H247" i="204"/>
  <c r="H248" i="204"/>
  <c r="H249" i="204"/>
  <c r="H250" i="204"/>
  <c r="H251" i="204"/>
  <c r="H252" i="204"/>
  <c r="H253" i="204"/>
  <c r="H254" i="204"/>
  <c r="H255" i="204"/>
  <c r="H256" i="204"/>
  <c r="H257" i="204"/>
  <c r="H258" i="204"/>
  <c r="H259" i="204"/>
  <c r="H260" i="204"/>
  <c r="H261" i="204"/>
  <c r="H262" i="204"/>
  <c r="H263" i="204"/>
  <c r="H264" i="204"/>
  <c r="H265" i="204"/>
  <c r="H266" i="204"/>
  <c r="H267" i="204"/>
  <c r="H268" i="204"/>
  <c r="H269" i="204"/>
  <c r="H270" i="204"/>
  <c r="H271" i="204"/>
  <c r="H272" i="204"/>
  <c r="H273" i="204"/>
  <c r="H274" i="204"/>
  <c r="H275" i="204"/>
  <c r="H276" i="204"/>
  <c r="H277" i="204"/>
  <c r="H278" i="204"/>
  <c r="H279" i="204"/>
  <c r="H280" i="204"/>
  <c r="H281" i="204"/>
  <c r="H282" i="204"/>
  <c r="H283" i="204"/>
  <c r="H284" i="204"/>
  <c r="H285" i="204"/>
  <c r="H286" i="204"/>
  <c r="H287" i="204"/>
  <c r="H288" i="204"/>
  <c r="H289" i="204"/>
  <c r="H290" i="204"/>
  <c r="H291" i="204"/>
  <c r="H292" i="204"/>
  <c r="H293" i="204"/>
  <c r="H294" i="204"/>
  <c r="H295" i="204"/>
  <c r="H296" i="204"/>
  <c r="H297" i="204"/>
  <c r="H298" i="204"/>
  <c r="H299" i="204"/>
  <c r="H300" i="204"/>
  <c r="H301" i="204"/>
  <c r="H302" i="204"/>
  <c r="H303" i="204"/>
  <c r="H304" i="204"/>
  <c r="H305" i="204"/>
  <c r="H306" i="204"/>
  <c r="H307" i="204"/>
  <c r="H308" i="204"/>
  <c r="H309" i="204"/>
  <c r="H310" i="204"/>
  <c r="H311" i="204"/>
  <c r="H312" i="204"/>
  <c r="H313" i="204"/>
  <c r="H314" i="204"/>
  <c r="H315" i="204"/>
  <c r="H316" i="204"/>
  <c r="H317" i="204"/>
  <c r="H318" i="204"/>
  <c r="H319" i="204"/>
  <c r="H320" i="204"/>
  <c r="H321" i="204"/>
  <c r="H322" i="204"/>
  <c r="H323" i="204"/>
  <c r="H324" i="204"/>
  <c r="H325" i="204"/>
  <c r="H326" i="204"/>
  <c r="H327" i="204"/>
  <c r="H328" i="204"/>
  <c r="H329" i="204"/>
  <c r="H330" i="204"/>
  <c r="H331" i="204"/>
  <c r="H332" i="204"/>
  <c r="H333" i="204"/>
  <c r="H334" i="204"/>
  <c r="H335" i="204"/>
  <c r="H336" i="204"/>
  <c r="H337" i="204"/>
  <c r="H338" i="204"/>
  <c r="H339" i="204"/>
  <c r="H340" i="204"/>
  <c r="H341" i="204"/>
  <c r="H342" i="204"/>
  <c r="H343" i="204"/>
  <c r="H344" i="204"/>
  <c r="H345" i="204"/>
  <c r="H346" i="204"/>
  <c r="H347" i="204"/>
  <c r="H348" i="204"/>
  <c r="H349" i="204"/>
  <c r="H350" i="204"/>
  <c r="H351" i="204"/>
  <c r="H352" i="204"/>
  <c r="H353" i="204"/>
  <c r="H354" i="204"/>
  <c r="H355" i="204"/>
  <c r="H356" i="204"/>
  <c r="H357" i="204"/>
  <c r="H358" i="204"/>
  <c r="H359" i="204"/>
  <c r="H360" i="204"/>
  <c r="H361" i="204"/>
  <c r="H362" i="204"/>
  <c r="H363" i="204"/>
  <c r="H364" i="204"/>
  <c r="H365" i="204"/>
  <c r="H366" i="204"/>
  <c r="H367" i="204"/>
  <c r="H368" i="204"/>
  <c r="H369" i="204"/>
  <c r="H370" i="204"/>
  <c r="H371" i="204"/>
  <c r="H372" i="204"/>
  <c r="H373" i="204"/>
  <c r="H374" i="204"/>
  <c r="H375" i="204"/>
  <c r="H376" i="204"/>
  <c r="H377" i="204"/>
  <c r="H378" i="204"/>
  <c r="H379" i="204"/>
  <c r="H380" i="204"/>
  <c r="H381" i="204"/>
  <c r="H382" i="204"/>
  <c r="H383" i="204"/>
  <c r="H384" i="204"/>
  <c r="H385" i="204"/>
  <c r="H386" i="204"/>
  <c r="H387" i="204"/>
  <c r="H388" i="204"/>
  <c r="H389" i="204"/>
  <c r="H390" i="204"/>
  <c r="H391" i="204"/>
  <c r="H392" i="204"/>
  <c r="H393" i="204"/>
  <c r="H394" i="204"/>
  <c r="H395" i="204"/>
  <c r="H396" i="204"/>
  <c r="H397" i="204"/>
  <c r="H398" i="204"/>
  <c r="H399" i="204"/>
  <c r="H400" i="204"/>
  <c r="H401" i="204"/>
  <c r="H402" i="204"/>
  <c r="H403" i="204"/>
  <c r="H404" i="204"/>
  <c r="H405" i="204"/>
  <c r="H406" i="204"/>
  <c r="H407" i="204"/>
  <c r="H408" i="204"/>
  <c r="H409" i="204"/>
  <c r="H410" i="204"/>
  <c r="H411" i="204"/>
  <c r="H412" i="204"/>
  <c r="H413" i="204"/>
  <c r="H414" i="204"/>
  <c r="H415" i="204"/>
  <c r="H416" i="204"/>
  <c r="H417" i="204"/>
  <c r="H418" i="204"/>
  <c r="H419" i="204"/>
  <c r="H420" i="204"/>
  <c r="H421" i="204"/>
  <c r="H422" i="204"/>
  <c r="H423" i="204"/>
  <c r="H424" i="204"/>
  <c r="H425" i="204"/>
  <c r="H426" i="204"/>
  <c r="H427" i="204"/>
  <c r="H428" i="204"/>
  <c r="H429" i="204"/>
  <c r="H430" i="204"/>
  <c r="H431" i="204"/>
  <c r="H432" i="204"/>
  <c r="H433" i="204"/>
  <c r="H434" i="204"/>
  <c r="H435" i="204"/>
  <c r="H436" i="204"/>
  <c r="H437" i="204"/>
  <c r="H438" i="204"/>
  <c r="H439" i="204"/>
  <c r="H440" i="204"/>
  <c r="H441" i="204"/>
  <c r="H442" i="204"/>
  <c r="H443" i="204"/>
  <c r="H444" i="204"/>
  <c r="H445" i="204"/>
  <c r="H446" i="204"/>
  <c r="H447" i="204"/>
  <c r="H448" i="204"/>
  <c r="H449" i="204"/>
  <c r="H450" i="204"/>
  <c r="H451" i="204"/>
  <c r="H452" i="204"/>
  <c r="H453" i="204"/>
  <c r="H454" i="204"/>
  <c r="H455" i="204"/>
  <c r="H456" i="204"/>
  <c r="H457" i="204"/>
  <c r="H458" i="204"/>
  <c r="H459" i="204"/>
  <c r="H460" i="204"/>
  <c r="H461" i="204"/>
  <c r="H462" i="204"/>
  <c r="H463" i="204"/>
  <c r="H464" i="204"/>
  <c r="H465" i="204"/>
  <c r="H466" i="204"/>
  <c r="H467" i="204"/>
  <c r="H468" i="204"/>
  <c r="H469" i="204"/>
  <c r="H470" i="204"/>
  <c r="H471" i="204"/>
  <c r="H472" i="204"/>
  <c r="H473" i="204"/>
  <c r="H474" i="204"/>
  <c r="H475" i="204"/>
  <c r="H476" i="204"/>
  <c r="H477" i="204"/>
  <c r="H478" i="204"/>
  <c r="H479" i="204"/>
  <c r="H480" i="204"/>
  <c r="H481" i="204"/>
  <c r="H482" i="204"/>
  <c r="H483" i="204"/>
  <c r="H484" i="204"/>
  <c r="H485" i="204"/>
  <c r="H486" i="204"/>
  <c r="H487" i="204"/>
  <c r="H488" i="204"/>
  <c r="H489" i="204"/>
  <c r="H490" i="204"/>
  <c r="H491" i="204"/>
  <c r="H492" i="204"/>
  <c r="H493" i="204"/>
  <c r="H494" i="204"/>
  <c r="H495" i="204"/>
  <c r="H496" i="204"/>
  <c r="H497" i="204"/>
  <c r="H498" i="204"/>
  <c r="H499" i="204"/>
  <c r="H6" i="204"/>
  <c r="G7" i="202"/>
  <c r="G8" i="202"/>
  <c r="G9" i="202"/>
  <c r="G10" i="202"/>
  <c r="G11" i="202"/>
  <c r="G12" i="202"/>
  <c r="G13" i="202"/>
  <c r="G14" i="202"/>
  <c r="G15" i="202"/>
  <c r="G16" i="202"/>
  <c r="G17" i="202"/>
  <c r="G18" i="202"/>
  <c r="G19" i="202"/>
  <c r="G20" i="202"/>
  <c r="G21" i="202"/>
  <c r="G22" i="202"/>
  <c r="G23" i="202"/>
  <c r="G24" i="202"/>
  <c r="G25" i="202"/>
  <c r="G26" i="202"/>
  <c r="G27" i="202"/>
  <c r="G28" i="202"/>
  <c r="G29" i="202"/>
  <c r="G30" i="202"/>
  <c r="G31" i="202"/>
  <c r="G32" i="202"/>
  <c r="G33" i="202"/>
  <c r="G34" i="202"/>
  <c r="G35" i="202"/>
  <c r="G36" i="202"/>
  <c r="G37" i="202"/>
  <c r="G38" i="202"/>
  <c r="G39" i="202"/>
  <c r="G40" i="202"/>
  <c r="G41" i="202"/>
  <c r="G42" i="202"/>
  <c r="G43" i="202"/>
  <c r="G44" i="202"/>
  <c r="G45" i="202"/>
  <c r="G46" i="202"/>
  <c r="G47" i="202"/>
  <c r="G48" i="202"/>
  <c r="G49" i="202"/>
  <c r="G50" i="202"/>
  <c r="G51" i="202"/>
  <c r="G52" i="202"/>
  <c r="G53" i="202"/>
  <c r="G54" i="202"/>
  <c r="G55" i="202"/>
  <c r="G56" i="202"/>
  <c r="G57" i="202"/>
  <c r="G58" i="202"/>
  <c r="G59" i="202"/>
  <c r="G60" i="202"/>
  <c r="G61" i="202"/>
  <c r="G62" i="202"/>
  <c r="G63" i="202"/>
  <c r="G64" i="202"/>
  <c r="G65" i="202"/>
  <c r="G66" i="202"/>
  <c r="G67" i="202"/>
  <c r="G68" i="202"/>
  <c r="G69" i="202"/>
  <c r="G70" i="202"/>
  <c r="G71" i="202"/>
  <c r="G72" i="202"/>
  <c r="G73" i="202"/>
  <c r="G74" i="202"/>
  <c r="G75" i="202"/>
  <c r="G76" i="202"/>
  <c r="G77" i="202"/>
  <c r="G78" i="202"/>
  <c r="G79" i="202"/>
  <c r="G80" i="202"/>
  <c r="G81" i="202"/>
  <c r="G82" i="202"/>
  <c r="G83" i="202"/>
  <c r="G84" i="202"/>
  <c r="G85" i="202"/>
  <c r="G86" i="202"/>
  <c r="G87" i="202"/>
  <c r="G88" i="202"/>
  <c r="G89" i="202"/>
  <c r="G90" i="202"/>
  <c r="G91" i="202"/>
  <c r="G92" i="202"/>
  <c r="G93" i="202"/>
  <c r="G94" i="202"/>
  <c r="G95" i="202"/>
  <c r="G96" i="202"/>
  <c r="G97" i="202"/>
  <c r="G98" i="202"/>
  <c r="G99" i="202"/>
  <c r="G100" i="202"/>
  <c r="G101" i="202"/>
  <c r="G102" i="202"/>
  <c r="G103" i="202"/>
  <c r="G104" i="202"/>
  <c r="G105" i="202"/>
  <c r="G106" i="202"/>
  <c r="G107" i="202"/>
  <c r="G108" i="202"/>
  <c r="G109" i="202"/>
  <c r="G110" i="202"/>
  <c r="G111" i="202"/>
  <c r="G112" i="202"/>
  <c r="G113" i="202"/>
  <c r="G114" i="202"/>
  <c r="G115" i="202"/>
  <c r="G116" i="202"/>
  <c r="G117" i="202"/>
  <c r="G118" i="202"/>
  <c r="G119" i="202"/>
  <c r="G120" i="202"/>
  <c r="G121" i="202"/>
  <c r="G122" i="202"/>
  <c r="G123" i="202"/>
  <c r="G124" i="202"/>
  <c r="G125" i="202"/>
  <c r="G126" i="202"/>
  <c r="G127" i="202"/>
  <c r="G128" i="202"/>
  <c r="G129" i="202"/>
  <c r="G130" i="202"/>
  <c r="G131" i="202"/>
  <c r="G132" i="202"/>
  <c r="G133" i="202"/>
  <c r="G134" i="202"/>
  <c r="G135" i="202"/>
  <c r="G136" i="202"/>
  <c r="G137" i="202"/>
  <c r="G138" i="202"/>
  <c r="G139" i="202"/>
  <c r="G140" i="202"/>
  <c r="G141" i="202"/>
  <c r="G142" i="202"/>
  <c r="G143" i="202"/>
  <c r="G144" i="202"/>
  <c r="G145" i="202"/>
  <c r="G146" i="202"/>
  <c r="G147" i="202"/>
  <c r="G148" i="202"/>
  <c r="G149" i="202"/>
  <c r="G150" i="202"/>
  <c r="G151" i="202"/>
  <c r="G152" i="202"/>
  <c r="G153" i="202"/>
  <c r="G154" i="202"/>
  <c r="G155" i="202"/>
  <c r="G156" i="202"/>
  <c r="G157" i="202"/>
  <c r="G158" i="202"/>
  <c r="G159" i="202"/>
  <c r="G160" i="202"/>
  <c r="G161" i="202"/>
  <c r="G162" i="202"/>
  <c r="G163" i="202"/>
  <c r="G164" i="202"/>
  <c r="G165" i="202"/>
  <c r="G166" i="202"/>
  <c r="G167" i="202"/>
  <c r="G168" i="202"/>
  <c r="G169" i="202"/>
  <c r="G170" i="202"/>
  <c r="G171" i="202"/>
  <c r="G172" i="202"/>
  <c r="G173" i="202"/>
  <c r="G174" i="202"/>
  <c r="G175" i="202"/>
  <c r="G176" i="202"/>
  <c r="G177" i="202"/>
  <c r="G178" i="202"/>
  <c r="G179" i="202"/>
  <c r="G180" i="202"/>
  <c r="G181" i="202"/>
  <c r="G182" i="202"/>
  <c r="G183" i="202"/>
  <c r="G184" i="202"/>
  <c r="G185" i="202"/>
  <c r="G186" i="202"/>
  <c r="G187" i="202"/>
  <c r="G188" i="202"/>
  <c r="G189" i="202"/>
  <c r="G190" i="202"/>
  <c r="G191" i="202"/>
  <c r="G192" i="202"/>
  <c r="G193" i="202"/>
  <c r="G194" i="202"/>
  <c r="G195" i="202"/>
  <c r="G196" i="202"/>
  <c r="G197" i="202"/>
  <c r="G198" i="202"/>
  <c r="G199" i="202"/>
  <c r="G200" i="202"/>
  <c r="G201" i="202"/>
  <c r="G202" i="202"/>
  <c r="G203" i="202"/>
  <c r="G204" i="202"/>
  <c r="G205" i="202"/>
  <c r="G206" i="202"/>
  <c r="G207" i="202"/>
  <c r="G208" i="202"/>
  <c r="G209" i="202"/>
  <c r="G210" i="202"/>
  <c r="G211" i="202"/>
  <c r="G212" i="202"/>
  <c r="G213" i="202"/>
  <c r="G214" i="202"/>
  <c r="G215" i="202"/>
  <c r="G216" i="202"/>
  <c r="G217" i="202"/>
  <c r="G218" i="202"/>
  <c r="G219" i="202"/>
  <c r="G220" i="202"/>
  <c r="G221" i="202"/>
  <c r="G222" i="202"/>
  <c r="G223" i="202"/>
  <c r="G224" i="202"/>
  <c r="G225" i="202"/>
  <c r="G226" i="202"/>
  <c r="G227" i="202"/>
  <c r="G228" i="202"/>
  <c r="G229" i="202"/>
  <c r="G230" i="202"/>
  <c r="G231" i="202"/>
  <c r="G232" i="202"/>
  <c r="G233" i="202"/>
  <c r="G234" i="202"/>
  <c r="G235" i="202"/>
  <c r="G236" i="202"/>
  <c r="G237" i="202"/>
  <c r="G238" i="202"/>
  <c r="G239" i="202"/>
  <c r="G240" i="202"/>
  <c r="G241" i="202"/>
  <c r="G242" i="202"/>
  <c r="G243" i="202"/>
  <c r="G244" i="202"/>
  <c r="G245" i="202"/>
  <c r="G246" i="202"/>
  <c r="G247" i="202"/>
  <c r="G248" i="202"/>
  <c r="G249" i="202"/>
  <c r="G250" i="202"/>
  <c r="G251" i="202"/>
  <c r="G252" i="202"/>
  <c r="G253" i="202"/>
  <c r="G254" i="202"/>
  <c r="G255" i="202"/>
  <c r="G256" i="202"/>
  <c r="G257" i="202"/>
  <c r="G258" i="202"/>
  <c r="G259" i="202"/>
  <c r="G260" i="202"/>
  <c r="G261" i="202"/>
  <c r="G262" i="202"/>
  <c r="G263" i="202"/>
  <c r="G264" i="202"/>
  <c r="G265" i="202"/>
  <c r="G266" i="202"/>
  <c r="G267" i="202"/>
  <c r="G268" i="202"/>
  <c r="G269" i="202"/>
  <c r="G270" i="202"/>
  <c r="G271" i="202"/>
  <c r="G272" i="202"/>
  <c r="G273" i="202"/>
  <c r="G274" i="202"/>
  <c r="G275" i="202"/>
  <c r="G276" i="202"/>
  <c r="G277" i="202"/>
  <c r="G278" i="202"/>
  <c r="G279" i="202"/>
  <c r="G280" i="202"/>
  <c r="G281" i="202"/>
  <c r="G282" i="202"/>
  <c r="G283" i="202"/>
  <c r="G284" i="202"/>
  <c r="G285" i="202"/>
  <c r="G286" i="202"/>
  <c r="G287" i="202"/>
  <c r="G288" i="202"/>
  <c r="G289" i="202"/>
  <c r="G290" i="202"/>
  <c r="G291" i="202"/>
  <c r="G292" i="202"/>
  <c r="G293" i="202"/>
  <c r="G294" i="202"/>
  <c r="G295" i="202"/>
  <c r="G296" i="202"/>
  <c r="G297" i="202"/>
  <c r="G298" i="202"/>
  <c r="G299" i="202"/>
  <c r="G300" i="202"/>
  <c r="G301" i="202"/>
  <c r="G302" i="202"/>
  <c r="G303" i="202"/>
  <c r="G304" i="202"/>
  <c r="G305" i="202"/>
  <c r="G306" i="202"/>
  <c r="G307" i="202"/>
  <c r="G308" i="202"/>
  <c r="G309" i="202"/>
  <c r="G310" i="202"/>
  <c r="G311" i="202"/>
  <c r="G312" i="202"/>
  <c r="G313" i="202"/>
  <c r="G314" i="202"/>
  <c r="G315" i="202"/>
  <c r="G316" i="202"/>
  <c r="G317" i="202"/>
  <c r="G318" i="202"/>
  <c r="G319" i="202"/>
  <c r="G320" i="202"/>
  <c r="G321" i="202"/>
  <c r="G322" i="202"/>
  <c r="G323" i="202"/>
  <c r="G324" i="202"/>
  <c r="G325" i="202"/>
  <c r="G326" i="202"/>
  <c r="G327" i="202"/>
  <c r="G328" i="202"/>
  <c r="G329" i="202"/>
  <c r="G330" i="202"/>
  <c r="G331" i="202"/>
  <c r="G332" i="202"/>
  <c r="G333" i="202"/>
  <c r="G334" i="202"/>
  <c r="G335" i="202"/>
  <c r="G336" i="202"/>
  <c r="G337" i="202"/>
  <c r="G338" i="202"/>
  <c r="G339" i="202"/>
  <c r="G340" i="202"/>
  <c r="G341" i="202"/>
  <c r="G342" i="202"/>
  <c r="G343" i="202"/>
  <c r="G344" i="202"/>
  <c r="G345" i="202"/>
  <c r="G346" i="202"/>
  <c r="G347" i="202"/>
  <c r="G348" i="202"/>
  <c r="G349" i="202"/>
  <c r="G350" i="202"/>
  <c r="G351" i="202"/>
  <c r="G352" i="202"/>
  <c r="G353" i="202"/>
  <c r="G354" i="202"/>
  <c r="G355" i="202"/>
  <c r="G356" i="202"/>
  <c r="G357" i="202"/>
  <c r="G358" i="202"/>
  <c r="G359" i="202"/>
  <c r="G360" i="202"/>
  <c r="G361" i="202"/>
  <c r="G362" i="202"/>
  <c r="G363" i="202"/>
  <c r="G364" i="202"/>
  <c r="G365" i="202"/>
  <c r="G366" i="202"/>
  <c r="G367" i="202"/>
  <c r="G368" i="202"/>
  <c r="G369" i="202"/>
  <c r="G370" i="202"/>
  <c r="G371" i="202"/>
  <c r="G372" i="202"/>
  <c r="G373" i="202"/>
  <c r="G374" i="202"/>
  <c r="G375" i="202"/>
  <c r="G376" i="202"/>
  <c r="G377" i="202"/>
  <c r="G378" i="202"/>
  <c r="G379" i="202"/>
  <c r="G380" i="202"/>
  <c r="G381" i="202"/>
  <c r="G382" i="202"/>
  <c r="G383" i="202"/>
  <c r="G384" i="202"/>
  <c r="G385" i="202"/>
  <c r="G386" i="202"/>
  <c r="G387" i="202"/>
  <c r="G388" i="202"/>
  <c r="G389" i="202"/>
  <c r="G390" i="202"/>
  <c r="G391" i="202"/>
  <c r="G392" i="202"/>
  <c r="G393" i="202"/>
  <c r="G394" i="202"/>
  <c r="G395" i="202"/>
  <c r="G396" i="202"/>
  <c r="G397" i="202"/>
  <c r="G398" i="202"/>
  <c r="G399" i="202"/>
  <c r="G400" i="202"/>
  <c r="G401" i="202"/>
  <c r="G402" i="202"/>
  <c r="G403" i="202"/>
  <c r="G404" i="202"/>
  <c r="G405" i="202"/>
  <c r="G406" i="202"/>
  <c r="G407" i="202"/>
  <c r="G408" i="202"/>
  <c r="G409" i="202"/>
  <c r="G410" i="202"/>
  <c r="G411" i="202"/>
  <c r="G412" i="202"/>
  <c r="G413" i="202"/>
  <c r="G414" i="202"/>
  <c r="G415" i="202"/>
  <c r="G416" i="202"/>
  <c r="G417" i="202"/>
  <c r="G418" i="202"/>
  <c r="G419" i="202"/>
  <c r="G420" i="202"/>
  <c r="G421" i="202"/>
  <c r="G422" i="202"/>
  <c r="G423" i="202"/>
  <c r="G424" i="202"/>
  <c r="G425" i="202"/>
  <c r="G426" i="202"/>
  <c r="G427" i="202"/>
  <c r="G428" i="202"/>
  <c r="G429" i="202"/>
  <c r="G430" i="202"/>
  <c r="G431" i="202"/>
  <c r="G432" i="202"/>
  <c r="G433" i="202"/>
  <c r="G434" i="202"/>
  <c r="G435" i="202"/>
  <c r="G436" i="202"/>
  <c r="G437" i="202"/>
  <c r="G438" i="202"/>
  <c r="G439" i="202"/>
  <c r="G440" i="202"/>
  <c r="G441" i="202"/>
  <c r="G442" i="202"/>
  <c r="G443" i="202"/>
  <c r="G444" i="202"/>
  <c r="G445" i="202"/>
  <c r="G446" i="202"/>
  <c r="G447" i="202"/>
  <c r="G448" i="202"/>
  <c r="G449" i="202"/>
  <c r="G450" i="202"/>
  <c r="G451" i="202"/>
  <c r="G452" i="202"/>
  <c r="G453" i="202"/>
  <c r="G454" i="202"/>
  <c r="G455" i="202"/>
  <c r="G456" i="202"/>
  <c r="G457" i="202"/>
  <c r="G458" i="202"/>
  <c r="G459" i="202"/>
  <c r="G460" i="202"/>
  <c r="G461" i="202"/>
  <c r="G462" i="202"/>
  <c r="G463" i="202"/>
  <c r="G464" i="202"/>
  <c r="G465" i="202"/>
  <c r="G466" i="202"/>
  <c r="G467" i="202"/>
  <c r="G468" i="202"/>
  <c r="G469" i="202"/>
  <c r="G470" i="202"/>
  <c r="G471" i="202"/>
  <c r="G472" i="202"/>
  <c r="G473" i="202"/>
  <c r="G474" i="202"/>
  <c r="G475" i="202"/>
  <c r="G476" i="202"/>
  <c r="G477" i="202"/>
  <c r="G478" i="202"/>
  <c r="G479" i="202"/>
  <c r="G480" i="202"/>
  <c r="G481" i="202"/>
  <c r="G482" i="202"/>
  <c r="G483" i="202"/>
  <c r="G484" i="202"/>
  <c r="G485" i="202"/>
  <c r="G486" i="202"/>
  <c r="G487" i="202"/>
  <c r="G488" i="202"/>
  <c r="G489" i="202"/>
  <c r="G490" i="202"/>
  <c r="G491" i="202"/>
  <c r="G492" i="202"/>
  <c r="G493" i="202"/>
  <c r="G494" i="202"/>
  <c r="G495" i="202"/>
  <c r="G496" i="202"/>
  <c r="G497" i="202"/>
  <c r="G498" i="202"/>
  <c r="G499" i="202"/>
  <c r="G6" i="202"/>
  <c r="F3" i="203"/>
  <c r="F330" i="196" l="1"/>
  <c r="F331" i="196"/>
  <c r="F332" i="196"/>
  <c r="F333" i="196"/>
  <c r="F334" i="196"/>
  <c r="F335" i="196"/>
  <c r="F336" i="196"/>
  <c r="F337" i="196"/>
  <c r="F338" i="196"/>
  <c r="F339" i="196"/>
  <c r="F340" i="196"/>
  <c r="F341" i="196"/>
  <c r="F342" i="196"/>
  <c r="F343" i="196"/>
  <c r="F344" i="196"/>
  <c r="F345" i="196"/>
  <c r="F346" i="196"/>
  <c r="F347" i="196"/>
  <c r="F348" i="196"/>
  <c r="F349" i="196"/>
  <c r="F350" i="196"/>
  <c r="F351" i="196"/>
  <c r="F352" i="196"/>
  <c r="F353" i="196"/>
  <c r="F354" i="196"/>
  <c r="F355" i="196"/>
  <c r="F356" i="196"/>
  <c r="F357" i="196"/>
  <c r="F358" i="196"/>
  <c r="F359" i="196"/>
  <c r="F360" i="196"/>
  <c r="F361" i="196"/>
  <c r="F362" i="196"/>
  <c r="F363" i="196"/>
  <c r="F364" i="196"/>
  <c r="F365" i="196"/>
  <c r="F366" i="196"/>
  <c r="F367" i="196"/>
  <c r="F368" i="196"/>
  <c r="F369" i="196"/>
  <c r="F370" i="196"/>
  <c r="F371" i="196"/>
  <c r="F372" i="196"/>
  <c r="F373" i="196"/>
  <c r="F374" i="196"/>
  <c r="F375" i="196"/>
  <c r="F376" i="196"/>
  <c r="F377" i="196"/>
  <c r="F378" i="196"/>
  <c r="F379" i="196"/>
  <c r="F380" i="196"/>
  <c r="F381" i="196"/>
  <c r="F382" i="196"/>
  <c r="F383" i="196"/>
  <c r="F384" i="196"/>
  <c r="F385" i="196"/>
  <c r="F386" i="196"/>
  <c r="F387" i="196"/>
  <c r="F388" i="196"/>
  <c r="F389" i="196"/>
  <c r="F390" i="196"/>
  <c r="F391" i="196"/>
  <c r="F392" i="196"/>
  <c r="F393" i="196"/>
  <c r="F394" i="196"/>
  <c r="F395" i="196"/>
  <c r="F396" i="196"/>
  <c r="F397" i="196"/>
  <c r="F398" i="196"/>
  <c r="F399" i="196"/>
  <c r="F400" i="196"/>
  <c r="F401" i="196"/>
  <c r="F402" i="196"/>
  <c r="F403" i="196"/>
  <c r="F404" i="196"/>
  <c r="F405" i="196"/>
  <c r="F406" i="196"/>
  <c r="F407" i="196"/>
  <c r="F408" i="196"/>
  <c r="F409" i="196"/>
  <c r="F410" i="196"/>
  <c r="F411" i="196"/>
  <c r="F412" i="196"/>
  <c r="F413" i="196"/>
  <c r="F414" i="196"/>
  <c r="F415" i="196"/>
  <c r="F416" i="196"/>
  <c r="F417" i="196"/>
  <c r="F418" i="196"/>
  <c r="F419" i="196"/>
  <c r="F420" i="196"/>
  <c r="F421" i="196"/>
  <c r="F422" i="196"/>
  <c r="F423" i="196"/>
  <c r="F424" i="196"/>
  <c r="F425" i="196"/>
  <c r="F426" i="196"/>
  <c r="F427" i="196"/>
  <c r="F428" i="196"/>
  <c r="F429" i="196"/>
  <c r="F430" i="196"/>
  <c r="F431" i="196"/>
  <c r="F432" i="196"/>
  <c r="F433" i="196"/>
  <c r="F434" i="196"/>
  <c r="F435" i="196"/>
  <c r="F436" i="196"/>
  <c r="F437" i="196"/>
  <c r="F438" i="196"/>
  <c r="F439" i="196"/>
  <c r="F440" i="196"/>
  <c r="F441" i="196"/>
  <c r="F442" i="196"/>
  <c r="F443" i="196"/>
  <c r="F444" i="196"/>
  <c r="F445" i="196"/>
  <c r="F446" i="196"/>
  <c r="F447" i="196"/>
  <c r="F448" i="196"/>
  <c r="F449" i="196"/>
  <c r="F450" i="196"/>
  <c r="F451" i="196"/>
  <c r="F452" i="196"/>
  <c r="F453" i="196"/>
  <c r="F454" i="196"/>
  <c r="F455" i="196"/>
  <c r="F456" i="196"/>
  <c r="F457" i="196"/>
  <c r="F458" i="196"/>
  <c r="F459" i="196"/>
  <c r="F460" i="196"/>
  <c r="F461" i="196"/>
  <c r="F462" i="196"/>
  <c r="F463" i="196"/>
  <c r="F464" i="196"/>
  <c r="F465" i="196"/>
  <c r="F466" i="196"/>
  <c r="F467" i="196"/>
  <c r="F468" i="196"/>
  <c r="F469" i="196"/>
  <c r="F470" i="196"/>
  <c r="F471" i="196"/>
  <c r="F472" i="196"/>
  <c r="F473" i="196"/>
  <c r="F474" i="196"/>
  <c r="F475" i="196"/>
  <c r="F476" i="196"/>
  <c r="F477" i="196"/>
  <c r="F478" i="196"/>
  <c r="F479" i="196"/>
  <c r="F480" i="196"/>
  <c r="F481" i="196"/>
  <c r="F482" i="196"/>
  <c r="F483" i="196"/>
  <c r="F484" i="196"/>
  <c r="F485" i="196"/>
  <c r="F486" i="196"/>
  <c r="F487" i="196"/>
  <c r="F488" i="196"/>
  <c r="F489" i="196"/>
  <c r="F490" i="196"/>
  <c r="F491" i="196"/>
  <c r="F492" i="196"/>
  <c r="F493" i="196"/>
  <c r="F494" i="196"/>
  <c r="F495" i="196"/>
  <c r="F496" i="196"/>
  <c r="F497" i="196"/>
  <c r="F498" i="196"/>
  <c r="F499" i="196"/>
  <c r="F499" i="199"/>
  <c r="F498" i="199"/>
  <c r="F497" i="199"/>
  <c r="F496" i="199"/>
  <c r="F495" i="199"/>
  <c r="F494" i="199"/>
  <c r="F493" i="199"/>
  <c r="F492" i="199"/>
  <c r="F491" i="199"/>
  <c r="F490" i="199"/>
  <c r="F489" i="199"/>
  <c r="F488" i="199"/>
  <c r="F487" i="199"/>
  <c r="F486" i="199"/>
  <c r="F485" i="199"/>
  <c r="F484" i="199"/>
  <c r="F483" i="199"/>
  <c r="F482" i="199"/>
  <c r="F481" i="199"/>
  <c r="F480" i="199"/>
  <c r="F479" i="199"/>
  <c r="F478" i="199"/>
  <c r="F477" i="199"/>
  <c r="F476" i="199"/>
  <c r="F475" i="199"/>
  <c r="F474" i="199"/>
  <c r="F473" i="199"/>
  <c r="F472" i="199"/>
  <c r="F471" i="199"/>
  <c r="F470" i="199"/>
  <c r="F469" i="199"/>
  <c r="F468" i="199"/>
  <c r="F467" i="199"/>
  <c r="F466" i="199"/>
  <c r="F465" i="199"/>
  <c r="F464" i="199"/>
  <c r="F463" i="199"/>
  <c r="F462" i="199"/>
  <c r="F461" i="199"/>
  <c r="F460" i="199"/>
  <c r="F459" i="199"/>
  <c r="F458" i="199"/>
  <c r="F457" i="199"/>
  <c r="F456" i="199"/>
  <c r="F455" i="199"/>
  <c r="F454" i="199"/>
  <c r="F453" i="199"/>
  <c r="F452" i="199"/>
  <c r="F451" i="199"/>
  <c r="F450" i="199"/>
  <c r="F449" i="199"/>
  <c r="F448" i="199"/>
  <c r="F447" i="199"/>
  <c r="F446" i="199"/>
  <c r="F445" i="199"/>
  <c r="F444" i="199"/>
  <c r="F443" i="199"/>
  <c r="F442" i="199"/>
  <c r="F441" i="199"/>
  <c r="F440" i="199"/>
  <c r="F439" i="199"/>
  <c r="F438" i="199"/>
  <c r="F437" i="199"/>
  <c r="F436" i="199"/>
  <c r="F435" i="199"/>
  <c r="F434" i="199"/>
  <c r="F433" i="199"/>
  <c r="F432" i="199"/>
  <c r="F431" i="199"/>
  <c r="F430" i="199"/>
  <c r="F429" i="199"/>
  <c r="F428" i="199"/>
  <c r="F427" i="199"/>
  <c r="F426" i="199"/>
  <c r="F425" i="199"/>
  <c r="F424" i="199"/>
  <c r="F423" i="199"/>
  <c r="F422" i="199"/>
  <c r="F421" i="199"/>
  <c r="F420" i="199"/>
  <c r="F419" i="199"/>
  <c r="F418" i="199"/>
  <c r="F417" i="199"/>
  <c r="F416" i="199"/>
  <c r="F415" i="199"/>
  <c r="F414" i="199"/>
  <c r="F413" i="199"/>
  <c r="F412" i="199"/>
  <c r="F411" i="199"/>
  <c r="F410" i="199"/>
  <c r="F409" i="199"/>
  <c r="F408" i="199"/>
  <c r="F407" i="199"/>
  <c r="F406" i="199"/>
  <c r="F405" i="199"/>
  <c r="F404" i="199"/>
  <c r="F403" i="199"/>
  <c r="F402" i="199"/>
  <c r="F401" i="199"/>
  <c r="F400" i="199"/>
  <c r="F399" i="199"/>
  <c r="F398" i="199"/>
  <c r="F397" i="199"/>
  <c r="F396" i="199"/>
  <c r="F395" i="199"/>
  <c r="F394" i="199"/>
  <c r="F393" i="199"/>
  <c r="F392" i="199"/>
  <c r="F391" i="199"/>
  <c r="F390" i="199"/>
  <c r="F389" i="199"/>
  <c r="F388" i="199"/>
  <c r="F387" i="199"/>
  <c r="F386" i="199"/>
  <c r="F385" i="199"/>
  <c r="F384" i="199"/>
  <c r="F383" i="199"/>
  <c r="F382" i="199"/>
  <c r="F381" i="199"/>
  <c r="F380" i="199"/>
  <c r="F379" i="199"/>
  <c r="F378" i="199"/>
  <c r="F377" i="199"/>
  <c r="F376" i="199"/>
  <c r="F375" i="199"/>
  <c r="F374" i="199"/>
  <c r="F373" i="199"/>
  <c r="F372" i="199"/>
  <c r="F371" i="199"/>
  <c r="F370" i="199"/>
  <c r="F369" i="199"/>
  <c r="F368" i="199"/>
  <c r="F367" i="199"/>
  <c r="F366" i="199"/>
  <c r="F365" i="199"/>
  <c r="F364" i="199"/>
  <c r="F363" i="199"/>
  <c r="F362" i="199"/>
  <c r="F361" i="199"/>
  <c r="F360" i="199"/>
  <c r="F359" i="199"/>
  <c r="F358" i="199"/>
  <c r="F357" i="199"/>
  <c r="F356" i="199"/>
  <c r="F355" i="199"/>
  <c r="F354" i="199"/>
  <c r="F353" i="199"/>
  <c r="F352" i="199"/>
  <c r="F351" i="199"/>
  <c r="F350" i="199"/>
  <c r="F349" i="199"/>
  <c r="F348" i="199"/>
  <c r="F347" i="199"/>
  <c r="F346" i="199"/>
  <c r="F345" i="199"/>
  <c r="F344" i="199"/>
  <c r="F343" i="199"/>
  <c r="F342" i="199"/>
  <c r="F341" i="199"/>
  <c r="F340" i="199"/>
  <c r="F339" i="199"/>
  <c r="F338" i="199"/>
  <c r="F337" i="199"/>
  <c r="F336" i="199"/>
  <c r="F335" i="199"/>
  <c r="F334" i="199"/>
  <c r="F333" i="199"/>
  <c r="F332" i="199"/>
  <c r="F331" i="199"/>
  <c r="F330" i="199"/>
  <c r="F329" i="199"/>
  <c r="F328" i="199"/>
  <c r="F327" i="199"/>
  <c r="F326" i="199"/>
  <c r="F325" i="199"/>
  <c r="F324" i="199"/>
  <c r="F323" i="199"/>
  <c r="F322" i="199"/>
  <c r="F321" i="199"/>
  <c r="F320" i="199"/>
  <c r="F319" i="199"/>
  <c r="F318" i="199"/>
  <c r="F317" i="199"/>
  <c r="F316" i="199"/>
  <c r="F315" i="199"/>
  <c r="F314" i="199"/>
  <c r="F313" i="199"/>
  <c r="F312" i="199"/>
  <c r="F311" i="199"/>
  <c r="F310" i="199"/>
  <c r="F309" i="199"/>
  <c r="F308" i="199"/>
  <c r="F307" i="199"/>
  <c r="F306" i="199"/>
  <c r="F305" i="199"/>
  <c r="F304" i="199"/>
  <c r="F303" i="199"/>
  <c r="F302" i="199"/>
  <c r="F301" i="199"/>
  <c r="F300" i="199"/>
  <c r="F299" i="199"/>
  <c r="F298" i="199"/>
  <c r="F297" i="199"/>
  <c r="F296" i="199"/>
  <c r="F295" i="199"/>
  <c r="F294" i="199"/>
  <c r="F293" i="199"/>
  <c r="F292" i="199"/>
  <c r="F291" i="199"/>
  <c r="F290" i="199"/>
  <c r="F289" i="199"/>
  <c r="F288" i="199"/>
  <c r="F287" i="199"/>
  <c r="F286" i="199"/>
  <c r="F285" i="199"/>
  <c r="F284" i="199"/>
  <c r="F283" i="199"/>
  <c r="F282" i="199"/>
  <c r="F281" i="199"/>
  <c r="F280" i="199"/>
  <c r="F279" i="199"/>
  <c r="F278" i="199"/>
  <c r="F277" i="199"/>
  <c r="F276" i="199"/>
  <c r="F275" i="199"/>
  <c r="F274" i="199"/>
  <c r="F273" i="199"/>
  <c r="F272" i="199"/>
  <c r="F271" i="199"/>
  <c r="F270" i="199"/>
  <c r="F269" i="199"/>
  <c r="F268" i="199"/>
  <c r="F267" i="199"/>
  <c r="F266" i="199"/>
  <c r="F265" i="199"/>
  <c r="F264" i="199"/>
  <c r="F263" i="199"/>
  <c r="F262" i="199"/>
  <c r="F261" i="199"/>
  <c r="F260" i="199"/>
  <c r="F259" i="199"/>
  <c r="F258" i="199"/>
  <c r="F257" i="199"/>
  <c r="F256" i="199"/>
  <c r="F255" i="199"/>
  <c r="F254" i="199"/>
  <c r="F253" i="199"/>
  <c r="F252" i="199"/>
  <c r="F251" i="199"/>
  <c r="F250" i="199"/>
  <c r="F249" i="199"/>
  <c r="F248" i="199"/>
  <c r="F247" i="199"/>
  <c r="F246" i="199"/>
  <c r="F245" i="199"/>
  <c r="F244" i="199"/>
  <c r="F243" i="199"/>
  <c r="F242" i="199"/>
  <c r="F241" i="199"/>
  <c r="F240" i="199"/>
  <c r="F239" i="199"/>
  <c r="F238" i="199"/>
  <c r="F237" i="199"/>
  <c r="F236" i="199"/>
  <c r="F235" i="199"/>
  <c r="F234" i="199"/>
  <c r="F233" i="199"/>
  <c r="F232" i="199"/>
  <c r="F231" i="199"/>
  <c r="F230" i="199"/>
  <c r="F229" i="199"/>
  <c r="F228" i="199"/>
  <c r="F227" i="199"/>
  <c r="F226" i="199"/>
  <c r="F225" i="199"/>
  <c r="F224" i="199"/>
  <c r="F223" i="199"/>
  <c r="F222" i="199"/>
  <c r="F221" i="199"/>
  <c r="F220" i="199"/>
  <c r="F219" i="199"/>
  <c r="F218" i="199"/>
  <c r="F217" i="199"/>
  <c r="F216" i="199"/>
  <c r="F215" i="199"/>
  <c r="F214" i="199"/>
  <c r="F213" i="199"/>
  <c r="F212" i="199"/>
  <c r="F211" i="199"/>
  <c r="F210" i="199"/>
  <c r="F209" i="199"/>
  <c r="F208" i="199"/>
  <c r="F207" i="199"/>
  <c r="F206" i="199"/>
  <c r="F205" i="199"/>
  <c r="F204" i="199"/>
  <c r="F203" i="199"/>
  <c r="F202" i="199"/>
  <c r="F201" i="199"/>
  <c r="F200" i="199"/>
  <c r="F199" i="199"/>
  <c r="F198" i="199"/>
  <c r="F197" i="199"/>
  <c r="F196" i="199"/>
  <c r="F195" i="199"/>
  <c r="F194" i="199"/>
  <c r="F193" i="199"/>
  <c r="F192" i="199"/>
  <c r="F191" i="199"/>
  <c r="F190" i="199"/>
  <c r="F189" i="199"/>
  <c r="F188" i="199"/>
  <c r="F187" i="199"/>
  <c r="F186" i="199"/>
  <c r="F185" i="199"/>
  <c r="F184" i="199"/>
  <c r="F183" i="199"/>
  <c r="F182" i="199"/>
  <c r="F181" i="199"/>
  <c r="F180" i="199"/>
  <c r="F179" i="199"/>
  <c r="F178" i="199"/>
  <c r="F177" i="199"/>
  <c r="F176" i="199"/>
  <c r="F175" i="199"/>
  <c r="F174" i="199"/>
  <c r="F173" i="199"/>
  <c r="F172" i="199"/>
  <c r="F171" i="199"/>
  <c r="F170" i="199"/>
  <c r="F169" i="199"/>
  <c r="F168" i="199"/>
  <c r="F167" i="199"/>
  <c r="F166" i="199"/>
  <c r="F165" i="199"/>
  <c r="F164" i="199"/>
  <c r="F163" i="199"/>
  <c r="F162" i="199"/>
  <c r="F161" i="199"/>
  <c r="F160" i="199"/>
  <c r="F159" i="199"/>
  <c r="F158" i="199"/>
  <c r="F157" i="199"/>
  <c r="F156" i="199"/>
  <c r="F155" i="199"/>
  <c r="F154" i="199"/>
  <c r="F153" i="199"/>
  <c r="F152" i="199"/>
  <c r="F151" i="199"/>
  <c r="F150" i="199"/>
  <c r="F149" i="199"/>
  <c r="F148" i="199"/>
  <c r="F147" i="199"/>
  <c r="F146" i="199"/>
  <c r="F145" i="199"/>
  <c r="F144" i="199"/>
  <c r="F143" i="199"/>
  <c r="F142" i="199"/>
  <c r="F141" i="199"/>
  <c r="F140" i="199"/>
  <c r="F139" i="199"/>
  <c r="F138" i="199"/>
  <c r="F137" i="199"/>
  <c r="F136" i="199"/>
  <c r="F135" i="199"/>
  <c r="F134" i="199"/>
  <c r="F133" i="199"/>
  <c r="F132" i="199"/>
  <c r="F131" i="199"/>
  <c r="F130" i="199"/>
  <c r="F129" i="199"/>
  <c r="F128" i="199"/>
  <c r="F127" i="199"/>
  <c r="F126" i="199"/>
  <c r="F125" i="199"/>
  <c r="F124" i="199"/>
  <c r="F123" i="199"/>
  <c r="F122" i="199"/>
  <c r="F121" i="199"/>
  <c r="F120" i="199"/>
  <c r="F119" i="199"/>
  <c r="F118" i="199"/>
  <c r="F117" i="199"/>
  <c r="F116" i="199"/>
  <c r="F115" i="199"/>
  <c r="F114" i="199"/>
  <c r="F113" i="199"/>
  <c r="F112" i="199"/>
  <c r="F111" i="199"/>
  <c r="F110" i="199"/>
  <c r="F109" i="199"/>
  <c r="F108" i="199"/>
  <c r="F107" i="199"/>
  <c r="F106" i="199"/>
  <c r="F105" i="199"/>
  <c r="F104" i="199"/>
  <c r="F103" i="199"/>
  <c r="F102" i="199"/>
  <c r="F101" i="199"/>
  <c r="F100" i="199"/>
  <c r="F99" i="199"/>
  <c r="F98" i="199"/>
  <c r="F97" i="199"/>
  <c r="F96" i="199"/>
  <c r="F95" i="199"/>
  <c r="F94" i="199"/>
  <c r="F93" i="199"/>
  <c r="F92" i="199"/>
  <c r="F91" i="199"/>
  <c r="F90" i="199"/>
  <c r="F89" i="199"/>
  <c r="F88" i="199"/>
  <c r="F87" i="199"/>
  <c r="F86" i="199"/>
  <c r="F85" i="199"/>
  <c r="F84" i="199"/>
  <c r="F83" i="199"/>
  <c r="F82" i="199"/>
  <c r="F81" i="199"/>
  <c r="F80" i="199"/>
  <c r="F79" i="199"/>
  <c r="F78" i="199"/>
  <c r="F77" i="199"/>
  <c r="F76" i="199"/>
  <c r="F75" i="199"/>
  <c r="F74" i="199"/>
  <c r="F73" i="199"/>
  <c r="F72" i="199"/>
  <c r="F71" i="199"/>
  <c r="F70" i="199"/>
  <c r="F69" i="199"/>
  <c r="F68" i="199"/>
  <c r="F67" i="199"/>
  <c r="F66" i="199"/>
  <c r="F65" i="199"/>
  <c r="F64" i="199"/>
  <c r="F63" i="199"/>
  <c r="F62" i="199"/>
  <c r="F61" i="199"/>
  <c r="F60" i="199"/>
  <c r="F59" i="199"/>
  <c r="F58" i="199"/>
  <c r="F57" i="199"/>
  <c r="F56" i="199"/>
  <c r="F55" i="199"/>
  <c r="F54" i="199"/>
  <c r="F53" i="199"/>
  <c r="F52" i="199"/>
  <c r="F51" i="199"/>
  <c r="F50" i="199"/>
  <c r="F49" i="199"/>
  <c r="F48" i="199"/>
  <c r="F47" i="199"/>
  <c r="F46" i="199"/>
  <c r="F45" i="199"/>
  <c r="F44" i="199"/>
  <c r="F43" i="199"/>
  <c r="F42" i="199"/>
  <c r="F41" i="199"/>
  <c r="F40" i="199"/>
  <c r="F39" i="199"/>
  <c r="F38" i="199"/>
  <c r="F37" i="199"/>
  <c r="F36" i="199"/>
  <c r="F35" i="199"/>
  <c r="F34" i="199"/>
  <c r="F33" i="199"/>
  <c r="F32" i="199"/>
  <c r="F31" i="199"/>
  <c r="F30" i="199"/>
  <c r="F29" i="199"/>
  <c r="F28" i="199"/>
  <c r="F27" i="199"/>
  <c r="F26" i="199"/>
  <c r="F25" i="199"/>
  <c r="F24" i="199"/>
  <c r="F23" i="199"/>
  <c r="F22" i="199"/>
  <c r="F21" i="199"/>
  <c r="F20" i="199"/>
  <c r="F19" i="199"/>
  <c r="F18" i="199"/>
  <c r="F17" i="199"/>
  <c r="F16" i="199"/>
  <c r="F15" i="199"/>
  <c r="F14" i="199"/>
  <c r="F13" i="199"/>
  <c r="F12" i="199"/>
  <c r="F11" i="199"/>
  <c r="F10" i="199"/>
  <c r="F9" i="199"/>
  <c r="F8" i="199"/>
  <c r="F7" i="199"/>
  <c r="F6" i="199"/>
  <c r="F6" i="196" l="1"/>
  <c r="F7" i="196"/>
  <c r="F8" i="196"/>
  <c r="F9" i="196"/>
  <c r="F10" i="196"/>
  <c r="F11" i="196"/>
  <c r="F12" i="196"/>
  <c r="F13" i="196"/>
  <c r="F14" i="196"/>
  <c r="F15" i="196"/>
  <c r="F16" i="196"/>
  <c r="F17" i="196"/>
  <c r="F18" i="196"/>
  <c r="F19" i="196"/>
  <c r="F20" i="196"/>
  <c r="F21" i="196"/>
  <c r="F22" i="196"/>
  <c r="F23" i="196"/>
  <c r="F24" i="196"/>
  <c r="F25" i="196"/>
  <c r="F26" i="196"/>
  <c r="F27" i="196"/>
  <c r="F28" i="196"/>
  <c r="F29" i="196"/>
  <c r="F30" i="196"/>
  <c r="F31" i="196"/>
  <c r="F32" i="196"/>
  <c r="F33" i="196"/>
  <c r="F34" i="196"/>
  <c r="F35" i="196"/>
  <c r="F36" i="196"/>
  <c r="F37" i="196"/>
  <c r="F38" i="196"/>
  <c r="F39" i="196"/>
  <c r="F40" i="196"/>
  <c r="F41" i="196"/>
  <c r="F42" i="196"/>
  <c r="F43" i="196"/>
  <c r="F44" i="196"/>
  <c r="F45" i="196"/>
  <c r="F46" i="196"/>
  <c r="F47" i="196"/>
  <c r="F48" i="196"/>
  <c r="F49" i="196"/>
  <c r="F50" i="196"/>
  <c r="F51" i="196"/>
  <c r="F52" i="196"/>
  <c r="F53" i="196"/>
  <c r="F54" i="196"/>
  <c r="F55" i="196"/>
  <c r="F56" i="196"/>
  <c r="F57" i="196"/>
  <c r="F58" i="196"/>
  <c r="F59" i="196"/>
  <c r="F60" i="196"/>
  <c r="F61" i="196"/>
  <c r="F62" i="196"/>
  <c r="F63" i="196"/>
  <c r="F64" i="196"/>
  <c r="F65" i="196"/>
  <c r="F66" i="196"/>
  <c r="F67" i="196"/>
  <c r="F68" i="196"/>
  <c r="F69" i="196"/>
  <c r="F70" i="196"/>
  <c r="F71" i="196"/>
  <c r="F72" i="196"/>
  <c r="F73" i="196"/>
  <c r="F74" i="196"/>
  <c r="F75" i="196"/>
  <c r="F76" i="196"/>
  <c r="F77" i="196"/>
  <c r="F78" i="196"/>
  <c r="F79" i="196"/>
  <c r="F80" i="196"/>
  <c r="F81" i="196"/>
  <c r="F82" i="196"/>
  <c r="F83" i="196"/>
  <c r="F84" i="196"/>
  <c r="F85" i="196"/>
  <c r="F86" i="196"/>
  <c r="F87" i="196"/>
  <c r="F88" i="196"/>
  <c r="F89" i="196"/>
  <c r="F90" i="196"/>
  <c r="F91" i="196"/>
  <c r="F92" i="196"/>
  <c r="F93" i="196"/>
  <c r="F94" i="196"/>
  <c r="F95" i="196"/>
  <c r="F96" i="196"/>
  <c r="F97" i="196"/>
  <c r="F98" i="196"/>
  <c r="F99" i="196"/>
  <c r="F100" i="196"/>
  <c r="F101" i="196"/>
  <c r="F102" i="196"/>
  <c r="F103" i="196"/>
  <c r="F104" i="196"/>
  <c r="F105" i="196"/>
  <c r="F106" i="196"/>
  <c r="F107" i="196"/>
  <c r="F108" i="196"/>
  <c r="F109" i="196"/>
  <c r="F110" i="196"/>
  <c r="F111" i="196"/>
  <c r="F112" i="196"/>
  <c r="F113" i="196"/>
  <c r="F114" i="196"/>
  <c r="F115" i="196"/>
  <c r="F116" i="196"/>
  <c r="F117" i="196"/>
  <c r="F118" i="196"/>
  <c r="F119" i="196"/>
  <c r="F120" i="196"/>
  <c r="F121" i="196"/>
  <c r="F122" i="196"/>
  <c r="F123" i="196"/>
  <c r="F124" i="196"/>
  <c r="F125" i="196"/>
  <c r="F126" i="196"/>
  <c r="F127" i="196"/>
  <c r="F128" i="196"/>
  <c r="F129" i="196"/>
  <c r="F130" i="196"/>
  <c r="F131" i="196"/>
  <c r="F132" i="196"/>
  <c r="F133" i="196"/>
  <c r="F134" i="196"/>
  <c r="F135" i="196"/>
  <c r="F136" i="196"/>
  <c r="F137" i="196"/>
  <c r="F138" i="196"/>
  <c r="F139" i="196"/>
  <c r="F140" i="196"/>
  <c r="F141" i="196"/>
  <c r="F142" i="196"/>
  <c r="F143" i="196"/>
  <c r="F144" i="196"/>
  <c r="F145" i="196"/>
  <c r="F146" i="196"/>
  <c r="F147" i="196"/>
  <c r="F148" i="196"/>
  <c r="F149" i="196"/>
  <c r="F150" i="196"/>
  <c r="F151" i="196"/>
  <c r="F152" i="196"/>
  <c r="F153" i="196"/>
  <c r="F154" i="196"/>
  <c r="F155" i="196"/>
  <c r="F156" i="196"/>
  <c r="F157" i="196"/>
  <c r="F158" i="196"/>
  <c r="F159" i="196"/>
  <c r="F160" i="196"/>
  <c r="F161" i="196"/>
  <c r="F162" i="196"/>
  <c r="F163" i="196"/>
  <c r="F164" i="196"/>
  <c r="F165" i="196"/>
  <c r="F166" i="196"/>
  <c r="F167" i="196"/>
  <c r="F168" i="196"/>
  <c r="F169" i="196"/>
  <c r="F170" i="196"/>
  <c r="F171" i="196"/>
  <c r="F172" i="196"/>
  <c r="F173" i="196"/>
  <c r="F174" i="196"/>
  <c r="F175" i="196"/>
  <c r="F176" i="196"/>
  <c r="F177" i="196"/>
  <c r="F178" i="196"/>
  <c r="F179" i="196"/>
  <c r="F180" i="196"/>
  <c r="F181" i="196"/>
  <c r="F182" i="196"/>
  <c r="F183" i="196"/>
  <c r="F184" i="196"/>
  <c r="F185" i="196"/>
  <c r="F186" i="196"/>
  <c r="F187" i="196"/>
  <c r="F188" i="196"/>
  <c r="F189" i="196"/>
  <c r="F190" i="196"/>
  <c r="F191" i="196"/>
  <c r="F192" i="196"/>
  <c r="F193" i="196"/>
  <c r="F194" i="196"/>
  <c r="F195" i="196"/>
  <c r="F196" i="196"/>
  <c r="F197" i="196"/>
  <c r="F198" i="196"/>
  <c r="F199" i="196"/>
  <c r="F200" i="196"/>
  <c r="F201" i="196"/>
  <c r="F202" i="196"/>
  <c r="F203" i="196"/>
  <c r="F204" i="196"/>
  <c r="F205" i="196"/>
  <c r="F206" i="196"/>
  <c r="F207" i="196"/>
  <c r="F208" i="196"/>
  <c r="F209" i="196"/>
  <c r="F210" i="196"/>
  <c r="F211" i="196"/>
  <c r="F212" i="196"/>
  <c r="F213" i="196"/>
  <c r="F214" i="196"/>
  <c r="F215" i="196"/>
  <c r="F216" i="196"/>
  <c r="F217" i="196"/>
  <c r="F218" i="196"/>
  <c r="F219" i="196"/>
  <c r="F220" i="196"/>
  <c r="F221" i="196"/>
  <c r="F222" i="196"/>
  <c r="F223" i="196"/>
  <c r="F224" i="196"/>
  <c r="F225" i="196"/>
  <c r="F226" i="196"/>
  <c r="F227" i="196"/>
  <c r="F228" i="196"/>
  <c r="F229" i="196"/>
  <c r="F230" i="196"/>
  <c r="F231" i="196"/>
  <c r="F232" i="196"/>
  <c r="F233" i="196"/>
  <c r="F234" i="196"/>
  <c r="F235" i="196"/>
  <c r="F236" i="196"/>
  <c r="F237" i="196"/>
  <c r="F238" i="196"/>
  <c r="F239" i="196"/>
  <c r="F240" i="196"/>
  <c r="F241" i="196"/>
  <c r="F242" i="196"/>
  <c r="F243" i="196"/>
  <c r="F244" i="196"/>
  <c r="F245" i="196"/>
  <c r="F246" i="196"/>
  <c r="F247" i="196"/>
  <c r="F248" i="196"/>
  <c r="F249" i="196"/>
  <c r="F250" i="196"/>
  <c r="F251" i="196"/>
  <c r="F252" i="196"/>
  <c r="F253" i="196"/>
  <c r="F254" i="196"/>
  <c r="F255" i="196"/>
  <c r="F256" i="196"/>
  <c r="F257" i="196"/>
  <c r="F258" i="196"/>
  <c r="F259" i="196"/>
  <c r="F260" i="196"/>
  <c r="F261" i="196"/>
  <c r="F262" i="196"/>
  <c r="F263" i="196"/>
  <c r="F264" i="196"/>
  <c r="F265" i="196"/>
  <c r="F266" i="196"/>
  <c r="F267" i="196"/>
  <c r="F268" i="196"/>
  <c r="F269" i="196"/>
  <c r="F270" i="196"/>
  <c r="F271" i="196"/>
  <c r="F272" i="196"/>
  <c r="F273" i="196"/>
  <c r="F274" i="196"/>
  <c r="F275" i="196"/>
  <c r="F276" i="196"/>
  <c r="F277" i="196"/>
  <c r="F278" i="196"/>
  <c r="F279" i="196"/>
  <c r="F280" i="196"/>
  <c r="F281" i="196"/>
  <c r="F282" i="196"/>
  <c r="F283" i="196"/>
  <c r="F284" i="196"/>
  <c r="F285" i="196"/>
  <c r="F286" i="196"/>
  <c r="F287" i="196"/>
  <c r="F288" i="196"/>
  <c r="F289" i="196"/>
  <c r="F290" i="196"/>
  <c r="F291" i="196"/>
  <c r="F292" i="196"/>
  <c r="F293" i="196"/>
  <c r="F294" i="196"/>
  <c r="F295" i="196"/>
  <c r="F296" i="196"/>
  <c r="F297" i="196"/>
  <c r="F298" i="196"/>
  <c r="F299" i="196"/>
  <c r="F300" i="196"/>
  <c r="F301" i="196"/>
  <c r="F302" i="196"/>
  <c r="F303" i="196"/>
  <c r="F304" i="196"/>
  <c r="F305" i="196"/>
  <c r="F306" i="196"/>
  <c r="F307" i="196"/>
  <c r="F308" i="196"/>
  <c r="F309" i="196"/>
  <c r="F310" i="196"/>
  <c r="F311" i="196"/>
  <c r="F312" i="196"/>
  <c r="F313" i="196"/>
  <c r="F314" i="196"/>
  <c r="F315" i="196"/>
  <c r="F316" i="196"/>
  <c r="F317" i="196"/>
  <c r="F318" i="196"/>
  <c r="F319" i="196"/>
  <c r="F320" i="196"/>
  <c r="F321" i="196"/>
  <c r="F322" i="196"/>
  <c r="F323" i="196"/>
  <c r="F324" i="196"/>
  <c r="F325" i="196"/>
  <c r="F326" i="196"/>
  <c r="F327" i="196"/>
  <c r="F328" i="196"/>
  <c r="F329" i="196"/>
  <c r="F7" i="201"/>
  <c r="F8" i="201"/>
  <c r="F9" i="201"/>
  <c r="F10" i="201"/>
  <c r="F11" i="201"/>
  <c r="F12" i="201"/>
  <c r="F13" i="201"/>
  <c r="F14" i="201"/>
  <c r="F15" i="201"/>
  <c r="F16" i="201"/>
  <c r="F17" i="201"/>
  <c r="F18" i="201"/>
  <c r="F19" i="201"/>
  <c r="F20" i="201"/>
  <c r="F21" i="201"/>
  <c r="F22" i="201"/>
  <c r="F23" i="201"/>
  <c r="F24" i="201"/>
  <c r="F25" i="201"/>
  <c r="F26" i="201"/>
  <c r="F27" i="201"/>
  <c r="F28" i="201"/>
  <c r="F29" i="201"/>
  <c r="F30" i="201"/>
  <c r="F31" i="201"/>
  <c r="F32" i="201"/>
  <c r="F33" i="201"/>
  <c r="F34" i="201"/>
  <c r="F35" i="201"/>
  <c r="F36" i="201"/>
  <c r="F37" i="201"/>
  <c r="F38" i="201"/>
  <c r="F39" i="201"/>
  <c r="F40" i="201"/>
  <c r="F41" i="201"/>
  <c r="F42" i="201"/>
  <c r="F43" i="201"/>
  <c r="F44" i="201"/>
  <c r="F45" i="201"/>
  <c r="F46" i="201"/>
  <c r="F47" i="201"/>
  <c r="F48" i="201"/>
  <c r="F49" i="201"/>
  <c r="F50" i="201"/>
  <c r="F51" i="201"/>
  <c r="F52" i="201"/>
  <c r="F53" i="201"/>
  <c r="F54" i="201"/>
  <c r="F55" i="201"/>
  <c r="F56" i="201"/>
  <c r="F57" i="201"/>
  <c r="F58" i="201"/>
  <c r="F59" i="201"/>
  <c r="F60" i="201"/>
  <c r="F61" i="201"/>
  <c r="F62" i="201"/>
  <c r="F63" i="201"/>
  <c r="F64" i="201"/>
  <c r="F65" i="201"/>
  <c r="F66" i="201"/>
  <c r="F67" i="201"/>
  <c r="F68" i="201"/>
  <c r="F69" i="201"/>
  <c r="F70" i="201"/>
  <c r="F71" i="201"/>
  <c r="F72" i="201"/>
  <c r="F73" i="201"/>
  <c r="F74" i="201"/>
  <c r="F75" i="201"/>
  <c r="F76" i="201"/>
  <c r="F77" i="201"/>
  <c r="F78" i="201"/>
  <c r="F79" i="201"/>
  <c r="F80" i="201"/>
  <c r="F81" i="201"/>
  <c r="F82" i="201"/>
  <c r="F83" i="201"/>
  <c r="F84" i="201"/>
  <c r="F85" i="201"/>
  <c r="F86" i="201"/>
  <c r="F87" i="201"/>
  <c r="F88" i="201"/>
  <c r="F89" i="201"/>
  <c r="F90" i="201"/>
  <c r="F91" i="201"/>
  <c r="F92" i="201"/>
  <c r="F93" i="201"/>
  <c r="F94" i="201"/>
  <c r="F95" i="201"/>
  <c r="F96" i="201"/>
  <c r="F97" i="201"/>
  <c r="F98" i="201"/>
  <c r="F99" i="201"/>
  <c r="F100" i="201"/>
  <c r="F101" i="201"/>
  <c r="F102" i="201"/>
  <c r="F103" i="201"/>
  <c r="F104" i="201"/>
  <c r="F105" i="201"/>
  <c r="F106" i="201"/>
  <c r="F107" i="201"/>
  <c r="F108" i="201"/>
  <c r="F109" i="201"/>
  <c r="F110" i="201"/>
  <c r="F111" i="201"/>
  <c r="F112" i="201"/>
  <c r="F113" i="201"/>
  <c r="F114" i="201"/>
  <c r="F115" i="201"/>
  <c r="F116" i="201"/>
  <c r="F117" i="201"/>
  <c r="F118" i="201"/>
  <c r="F119" i="201"/>
  <c r="F120" i="201"/>
  <c r="F121" i="201"/>
  <c r="F122" i="201"/>
  <c r="F123" i="201"/>
  <c r="F124" i="201"/>
  <c r="F125" i="201"/>
  <c r="F126" i="201"/>
  <c r="F127" i="201"/>
  <c r="F128" i="201"/>
  <c r="F129" i="201"/>
  <c r="F130" i="201"/>
  <c r="F131" i="201"/>
  <c r="F132" i="201"/>
  <c r="F133" i="201"/>
  <c r="F134" i="201"/>
  <c r="F135" i="201"/>
  <c r="F136" i="201"/>
  <c r="F137" i="201"/>
  <c r="F138" i="201"/>
  <c r="F139" i="201"/>
  <c r="F140" i="201"/>
  <c r="F141" i="201"/>
  <c r="F142" i="201"/>
  <c r="F143" i="201"/>
  <c r="F144" i="201"/>
  <c r="F145" i="201"/>
  <c r="F146" i="201"/>
  <c r="F147" i="201"/>
  <c r="F148" i="201"/>
  <c r="F149" i="201"/>
  <c r="F150" i="201"/>
  <c r="F151" i="201"/>
  <c r="F152" i="201"/>
  <c r="F153" i="201"/>
  <c r="F154" i="201"/>
  <c r="F155" i="201"/>
  <c r="F156" i="201"/>
  <c r="F157" i="201"/>
  <c r="F158" i="201"/>
  <c r="F159" i="201"/>
  <c r="F160" i="201"/>
  <c r="F161" i="201"/>
  <c r="F162" i="201"/>
  <c r="F163" i="201"/>
  <c r="F164" i="201"/>
  <c r="F165" i="201"/>
  <c r="F166" i="201"/>
  <c r="F167" i="201"/>
  <c r="F168" i="201"/>
  <c r="F169" i="201"/>
  <c r="F170" i="201"/>
  <c r="F171" i="201"/>
  <c r="F172" i="201"/>
  <c r="F173" i="201"/>
  <c r="F174" i="201"/>
  <c r="F175" i="201"/>
  <c r="F176" i="201"/>
  <c r="F177" i="201"/>
  <c r="F178" i="201"/>
  <c r="F179" i="201"/>
  <c r="F180" i="201"/>
  <c r="F181" i="201"/>
  <c r="F182" i="201"/>
  <c r="F183" i="201"/>
  <c r="F184" i="201"/>
  <c r="F185" i="201"/>
  <c r="F186" i="201"/>
  <c r="F187" i="201"/>
  <c r="F188" i="201"/>
  <c r="F189" i="201"/>
  <c r="F190" i="201"/>
  <c r="F191" i="201"/>
  <c r="F192" i="201"/>
  <c r="F193" i="201"/>
  <c r="F194" i="201"/>
  <c r="F195" i="201"/>
  <c r="F196" i="201"/>
  <c r="F197" i="201"/>
  <c r="F198" i="201"/>
  <c r="F199" i="201"/>
  <c r="F200" i="201"/>
  <c r="F201" i="201"/>
  <c r="F202" i="201"/>
  <c r="F203" i="201"/>
  <c r="F204" i="201"/>
  <c r="F205" i="201"/>
  <c r="F206" i="201"/>
  <c r="F207" i="201"/>
  <c r="F208" i="201"/>
  <c r="F209" i="201"/>
  <c r="F210" i="201"/>
  <c r="F211" i="201"/>
  <c r="F212" i="201"/>
  <c r="F213" i="201"/>
  <c r="F214" i="201"/>
  <c r="F215" i="201"/>
  <c r="F216" i="201"/>
  <c r="F217" i="201"/>
  <c r="F218" i="201"/>
  <c r="F219" i="201"/>
  <c r="F220" i="201"/>
  <c r="F221" i="201"/>
  <c r="F222" i="201"/>
  <c r="F223" i="201"/>
  <c r="F224" i="201"/>
  <c r="F225" i="201"/>
  <c r="F226" i="201"/>
  <c r="F227" i="201"/>
  <c r="F228" i="201"/>
  <c r="F229" i="201"/>
  <c r="F230" i="201"/>
  <c r="F231" i="201"/>
  <c r="F232" i="201"/>
  <c r="F233" i="201"/>
  <c r="F234" i="201"/>
  <c r="F235" i="201"/>
  <c r="F236" i="201"/>
  <c r="F237" i="201"/>
  <c r="F238" i="201"/>
  <c r="F239" i="201"/>
  <c r="F240" i="201"/>
  <c r="F241" i="201"/>
  <c r="F242" i="201"/>
  <c r="F243" i="201"/>
  <c r="F244" i="201"/>
  <c r="F245" i="201"/>
  <c r="F246" i="201"/>
  <c r="F247" i="201"/>
  <c r="F248" i="201"/>
  <c r="F249" i="201"/>
  <c r="F250" i="201"/>
  <c r="F251" i="201"/>
  <c r="F252" i="201"/>
  <c r="F253" i="201"/>
  <c r="F254" i="201"/>
  <c r="F255" i="201"/>
  <c r="F256" i="201"/>
  <c r="F257" i="201"/>
  <c r="F258" i="201"/>
  <c r="F259" i="201"/>
  <c r="F260" i="201"/>
  <c r="F261" i="201"/>
  <c r="F262" i="201"/>
  <c r="F263" i="201"/>
  <c r="F264" i="201"/>
  <c r="F265" i="201"/>
  <c r="F266" i="201"/>
  <c r="F267" i="201"/>
  <c r="F268" i="201"/>
  <c r="F269" i="201"/>
  <c r="F270" i="201"/>
  <c r="F271" i="201"/>
  <c r="F272" i="201"/>
  <c r="F273" i="201"/>
  <c r="F274" i="201"/>
  <c r="F275" i="201"/>
  <c r="F276" i="201"/>
  <c r="F277" i="201"/>
  <c r="F278" i="201"/>
  <c r="F279" i="201"/>
  <c r="F280" i="201"/>
  <c r="F281" i="201"/>
  <c r="F282" i="201"/>
  <c r="F283" i="201"/>
  <c r="F284" i="201"/>
  <c r="F285" i="201"/>
  <c r="F286" i="201"/>
  <c r="F287" i="201"/>
  <c r="F288" i="201"/>
  <c r="F289" i="201"/>
  <c r="F290" i="201"/>
  <c r="F291" i="201"/>
  <c r="F292" i="201"/>
  <c r="F293" i="201"/>
  <c r="F294" i="201"/>
  <c r="F295" i="201"/>
  <c r="F296" i="201"/>
  <c r="F297" i="201"/>
  <c r="F298" i="201"/>
  <c r="F299" i="201"/>
  <c r="F300" i="201"/>
  <c r="F301" i="201"/>
  <c r="F302" i="201"/>
  <c r="F303" i="201"/>
  <c r="F304" i="201"/>
  <c r="F305" i="201"/>
  <c r="F306" i="201"/>
  <c r="F307" i="201"/>
  <c r="F308" i="201"/>
  <c r="F309" i="201"/>
  <c r="F310" i="201"/>
  <c r="F311" i="201"/>
  <c r="F312" i="201"/>
  <c r="F313" i="201"/>
  <c r="F314" i="201"/>
  <c r="F315" i="201"/>
  <c r="F316" i="201"/>
  <c r="F317" i="201"/>
  <c r="F318" i="201"/>
  <c r="F319" i="201"/>
  <c r="F320" i="201"/>
  <c r="F321" i="201"/>
  <c r="F322" i="201"/>
  <c r="F323" i="201"/>
  <c r="F324" i="201"/>
  <c r="F325" i="201"/>
  <c r="F326" i="201"/>
  <c r="F327" i="201"/>
  <c r="F328" i="201"/>
  <c r="F329" i="201"/>
  <c r="F330" i="201"/>
  <c r="F331" i="201"/>
  <c r="F332" i="201"/>
  <c r="F333" i="201"/>
  <c r="F334" i="201"/>
  <c r="F335" i="201"/>
  <c r="F336" i="201"/>
  <c r="F337" i="201"/>
  <c r="F338" i="201"/>
  <c r="F339" i="201"/>
  <c r="F340" i="201"/>
  <c r="F341" i="201"/>
  <c r="F342" i="201"/>
  <c r="F343" i="201"/>
  <c r="F344" i="201"/>
  <c r="F345" i="201"/>
  <c r="F346" i="201"/>
  <c r="F347" i="201"/>
  <c r="F348" i="201"/>
  <c r="F349" i="201"/>
  <c r="F350" i="201"/>
  <c r="F351" i="201"/>
  <c r="F352" i="201"/>
  <c r="F353" i="201"/>
  <c r="F354" i="201"/>
  <c r="F355" i="201"/>
  <c r="F356" i="201"/>
  <c r="F357" i="201"/>
  <c r="F358" i="201"/>
  <c r="F359" i="201"/>
  <c r="F360" i="201"/>
  <c r="F361" i="201"/>
  <c r="F362" i="201"/>
  <c r="F363" i="201"/>
  <c r="F364" i="201"/>
  <c r="F365" i="201"/>
  <c r="F366" i="201"/>
  <c r="F367" i="201"/>
  <c r="F368" i="201"/>
  <c r="F369" i="201"/>
  <c r="F370" i="201"/>
  <c r="F371" i="201"/>
  <c r="F372" i="201"/>
  <c r="F373" i="201"/>
  <c r="F374" i="201"/>
  <c r="F375" i="201"/>
  <c r="F376" i="201"/>
  <c r="F377" i="201"/>
  <c r="F378" i="201"/>
  <c r="F379" i="201"/>
  <c r="F380" i="201"/>
  <c r="F381" i="201"/>
  <c r="F382" i="201"/>
  <c r="F383" i="201"/>
  <c r="F384" i="201"/>
  <c r="F385" i="201"/>
  <c r="F386" i="201"/>
  <c r="F387" i="201"/>
  <c r="F388" i="201"/>
  <c r="F389" i="201"/>
  <c r="F390" i="201"/>
  <c r="F391" i="201"/>
  <c r="F392" i="201"/>
  <c r="F393" i="201"/>
  <c r="F394" i="201"/>
  <c r="F395" i="201"/>
  <c r="F396" i="201"/>
  <c r="F397" i="201"/>
  <c r="F398" i="201"/>
  <c r="F399" i="201"/>
  <c r="F400" i="201"/>
  <c r="F401" i="201"/>
  <c r="F402" i="201"/>
  <c r="F403" i="201"/>
  <c r="F404" i="201"/>
  <c r="F405" i="201"/>
  <c r="F406" i="201"/>
  <c r="F407" i="201"/>
  <c r="F408" i="201"/>
  <c r="F409" i="201"/>
  <c r="F410" i="201"/>
  <c r="F411" i="201"/>
  <c r="F412" i="201"/>
  <c r="F413" i="201"/>
  <c r="F414" i="201"/>
  <c r="F415" i="201"/>
  <c r="F416" i="201"/>
  <c r="F417" i="201"/>
  <c r="F418" i="201"/>
  <c r="F419" i="201"/>
  <c r="F420" i="201"/>
  <c r="F421" i="201"/>
  <c r="F422" i="201"/>
  <c r="F423" i="201"/>
  <c r="F424" i="201"/>
  <c r="F425" i="201"/>
  <c r="F426" i="201"/>
  <c r="F427" i="201"/>
  <c r="F428" i="201"/>
  <c r="F429" i="201"/>
  <c r="F430" i="201"/>
  <c r="F431" i="201"/>
  <c r="F432" i="201"/>
  <c r="F433" i="201"/>
  <c r="F434" i="201"/>
  <c r="F435" i="201"/>
  <c r="F436" i="201"/>
  <c r="F437" i="201"/>
  <c r="F438" i="201"/>
  <c r="F439" i="201"/>
  <c r="F440" i="201"/>
  <c r="F441" i="201"/>
  <c r="F442" i="201"/>
  <c r="F443" i="201"/>
  <c r="F444" i="201"/>
  <c r="F445" i="201"/>
  <c r="F446" i="201"/>
  <c r="F447" i="201"/>
  <c r="F448" i="201"/>
  <c r="F449" i="201"/>
  <c r="F450" i="201"/>
  <c r="F451" i="201"/>
  <c r="F452" i="201"/>
  <c r="F453" i="201"/>
  <c r="F454" i="201"/>
  <c r="F455" i="201"/>
  <c r="F456" i="201"/>
  <c r="F457" i="201"/>
  <c r="F458" i="201"/>
  <c r="F459" i="201"/>
  <c r="F460" i="201"/>
  <c r="F461" i="201"/>
  <c r="F462" i="201"/>
  <c r="F463" i="201"/>
  <c r="F464" i="201"/>
  <c r="F465" i="201"/>
  <c r="F466" i="201"/>
  <c r="F467" i="201"/>
  <c r="F468" i="201"/>
  <c r="F469" i="201"/>
  <c r="F470" i="201"/>
  <c r="F471" i="201"/>
  <c r="F472" i="201"/>
  <c r="F473" i="201"/>
  <c r="F474" i="201"/>
  <c r="F475" i="201"/>
  <c r="F476" i="201"/>
  <c r="F477" i="201"/>
  <c r="F478" i="201"/>
  <c r="F479" i="201"/>
  <c r="F480" i="201"/>
  <c r="F481" i="201"/>
  <c r="F482" i="201"/>
  <c r="F483" i="201"/>
  <c r="F484" i="201"/>
  <c r="F485" i="201"/>
  <c r="F486" i="201"/>
  <c r="F487" i="201"/>
  <c r="F488" i="201"/>
  <c r="F489" i="201"/>
  <c r="F490" i="201"/>
  <c r="F491" i="201"/>
  <c r="F492" i="201"/>
  <c r="F493" i="201"/>
  <c r="F494" i="201"/>
  <c r="F495" i="201"/>
  <c r="F496" i="201"/>
  <c r="F497" i="201"/>
  <c r="F498" i="201"/>
  <c r="F499" i="201"/>
  <c r="F500" i="200"/>
  <c r="F499" i="200"/>
  <c r="F498" i="200"/>
  <c r="F497" i="200"/>
  <c r="F496" i="200"/>
  <c r="F495" i="200"/>
  <c r="F494" i="200"/>
  <c r="F493" i="200"/>
  <c r="F492" i="200"/>
  <c r="F491" i="200"/>
  <c r="F490" i="200"/>
  <c r="F489" i="200"/>
  <c r="F488" i="200"/>
  <c r="F487" i="200"/>
  <c r="F486" i="200"/>
  <c r="F485" i="200"/>
  <c r="F484" i="200"/>
  <c r="F483" i="200"/>
  <c r="F482" i="200"/>
  <c r="F481" i="200"/>
  <c r="F480" i="200"/>
  <c r="F479" i="200"/>
  <c r="F478" i="200"/>
  <c r="F477" i="200"/>
  <c r="F476" i="200"/>
  <c r="F475" i="200"/>
  <c r="F474" i="200"/>
  <c r="F473" i="200"/>
  <c r="F472" i="200"/>
  <c r="F471" i="200"/>
  <c r="F470" i="200"/>
  <c r="F469" i="200"/>
  <c r="F468" i="200"/>
  <c r="F467" i="200"/>
  <c r="F466" i="200"/>
  <c r="F465" i="200"/>
  <c r="F464" i="200"/>
  <c r="F463" i="200"/>
  <c r="F462" i="200"/>
  <c r="F461" i="200"/>
  <c r="F460" i="200"/>
  <c r="F459" i="200"/>
  <c r="F458" i="200"/>
  <c r="F457" i="200"/>
  <c r="F456" i="200"/>
  <c r="F455" i="200"/>
  <c r="F454" i="200"/>
  <c r="F453" i="200"/>
  <c r="F452" i="200"/>
  <c r="F451" i="200"/>
  <c r="F450" i="200"/>
  <c r="F449" i="200"/>
  <c r="F448" i="200"/>
  <c r="F447" i="200"/>
  <c r="F446" i="200"/>
  <c r="F445" i="200"/>
  <c r="F444" i="200"/>
  <c r="F443" i="200"/>
  <c r="F442" i="200"/>
  <c r="F441" i="200"/>
  <c r="F440" i="200"/>
  <c r="F439" i="200"/>
  <c r="F438" i="200"/>
  <c r="F437" i="200"/>
  <c r="F436" i="200"/>
  <c r="F435" i="200"/>
  <c r="F434" i="200"/>
  <c r="F433" i="200"/>
  <c r="F432" i="200"/>
  <c r="F431" i="200"/>
  <c r="F430" i="200"/>
  <c r="F429" i="200"/>
  <c r="F428" i="200"/>
  <c r="F427" i="200"/>
  <c r="F426" i="200"/>
  <c r="F425" i="200"/>
  <c r="F424" i="200"/>
  <c r="F423" i="200"/>
  <c r="F422" i="200"/>
  <c r="F421" i="200"/>
  <c r="F420" i="200"/>
  <c r="F419" i="200"/>
  <c r="F418" i="200"/>
  <c r="F417" i="200"/>
  <c r="F416" i="200"/>
  <c r="F415" i="200"/>
  <c r="F414" i="200"/>
  <c r="F413" i="200"/>
  <c r="F412" i="200"/>
  <c r="F411" i="200"/>
  <c r="F410" i="200"/>
  <c r="F409" i="200"/>
  <c r="F408" i="200"/>
  <c r="F407" i="200"/>
  <c r="F406" i="200"/>
  <c r="F405" i="200"/>
  <c r="F404" i="200"/>
  <c r="F403" i="200"/>
  <c r="F402" i="200"/>
  <c r="F401" i="200"/>
  <c r="F400" i="200"/>
  <c r="F399" i="200"/>
  <c r="F398" i="200"/>
  <c r="F397" i="200"/>
  <c r="F396" i="200"/>
  <c r="F395" i="200"/>
  <c r="F394" i="200"/>
  <c r="F393" i="200"/>
  <c r="F392" i="200"/>
  <c r="F391" i="200"/>
  <c r="F390" i="200"/>
  <c r="F389" i="200"/>
  <c r="F388" i="200"/>
  <c r="F387" i="200"/>
  <c r="F386" i="200"/>
  <c r="F385" i="200"/>
  <c r="F384" i="200"/>
  <c r="F383" i="200"/>
  <c r="F382" i="200"/>
  <c r="F381" i="200"/>
  <c r="F380" i="200"/>
  <c r="F379" i="200"/>
  <c r="F378" i="200"/>
  <c r="F377" i="200"/>
  <c r="F376" i="200"/>
  <c r="F375" i="200"/>
  <c r="F374" i="200"/>
  <c r="F373" i="200"/>
  <c r="F372" i="200"/>
  <c r="F371" i="200"/>
  <c r="F370" i="200"/>
  <c r="F369" i="200"/>
  <c r="F368" i="200"/>
  <c r="F367" i="200"/>
  <c r="F366" i="200"/>
  <c r="F365" i="200"/>
  <c r="F364" i="200"/>
  <c r="F363" i="200"/>
  <c r="F362" i="200"/>
  <c r="F361" i="200"/>
  <c r="F360" i="200"/>
  <c r="F359" i="200"/>
  <c r="F358" i="200"/>
  <c r="F357" i="200"/>
  <c r="F356" i="200"/>
  <c r="F355" i="200"/>
  <c r="F354" i="200"/>
  <c r="F353" i="200"/>
  <c r="F352" i="200"/>
  <c r="F351" i="200"/>
  <c r="F350" i="200"/>
  <c r="F349" i="200"/>
  <c r="F348" i="200"/>
  <c r="F347" i="200"/>
  <c r="F346" i="200"/>
  <c r="F345" i="200"/>
  <c r="F344" i="200"/>
  <c r="F343" i="200"/>
  <c r="F342" i="200"/>
  <c r="F341" i="200"/>
  <c r="F340" i="200"/>
  <c r="F339" i="200"/>
  <c r="F338" i="200"/>
  <c r="F337" i="200"/>
  <c r="F336" i="200"/>
  <c r="F335" i="200"/>
  <c r="F334" i="200"/>
  <c r="F333" i="200"/>
  <c r="F332" i="200"/>
  <c r="F331" i="200"/>
  <c r="F330" i="200"/>
  <c r="F329" i="200"/>
  <c r="F328" i="200"/>
  <c r="F327" i="200"/>
  <c r="F326" i="200"/>
  <c r="F325" i="200"/>
  <c r="F324" i="200"/>
  <c r="F323" i="200"/>
  <c r="F322" i="200"/>
  <c r="F321" i="200"/>
  <c r="F320" i="200"/>
  <c r="F319" i="200"/>
  <c r="F318" i="200"/>
  <c r="F317" i="200"/>
  <c r="F316" i="200"/>
  <c r="F315" i="200"/>
  <c r="F314" i="200"/>
  <c r="F313" i="200"/>
  <c r="F312" i="200"/>
  <c r="F311" i="200"/>
  <c r="F310" i="200"/>
  <c r="F309" i="200"/>
  <c r="F308" i="200"/>
  <c r="F307" i="200"/>
  <c r="F306" i="200"/>
  <c r="F305" i="200"/>
  <c r="F304" i="200"/>
  <c r="F303" i="200"/>
  <c r="F302" i="200"/>
  <c r="F301" i="200"/>
  <c r="F300" i="200"/>
  <c r="F299" i="200"/>
  <c r="F298" i="200"/>
  <c r="F297" i="200"/>
  <c r="F296" i="200"/>
  <c r="F295" i="200"/>
  <c r="F294" i="200"/>
  <c r="F293" i="200"/>
  <c r="F292" i="200"/>
  <c r="F291" i="200"/>
  <c r="F290" i="200"/>
  <c r="F289" i="200"/>
  <c r="F288" i="200"/>
  <c r="F287" i="200"/>
  <c r="F286" i="200"/>
  <c r="F285" i="200"/>
  <c r="F284" i="200"/>
  <c r="F283" i="200"/>
  <c r="F282" i="200"/>
  <c r="F281" i="200"/>
  <c r="F280" i="200"/>
  <c r="F279" i="200"/>
  <c r="F278" i="200"/>
  <c r="F277" i="200"/>
  <c r="F276" i="200"/>
  <c r="F275" i="200"/>
  <c r="F274" i="200"/>
  <c r="F273" i="200"/>
  <c r="F272" i="200"/>
  <c r="F271" i="200"/>
  <c r="F270" i="200"/>
  <c r="F269" i="200"/>
  <c r="F268" i="200"/>
  <c r="F267" i="200"/>
  <c r="F266" i="200"/>
  <c r="F265" i="200"/>
  <c r="F264" i="200"/>
  <c r="F263" i="200"/>
  <c r="F262" i="200"/>
  <c r="F261" i="200"/>
  <c r="F260" i="200"/>
  <c r="F259" i="200"/>
  <c r="F258" i="200"/>
  <c r="F257" i="200"/>
  <c r="F256" i="200"/>
  <c r="F255" i="200"/>
  <c r="F254" i="200"/>
  <c r="F253" i="200"/>
  <c r="F252" i="200"/>
  <c r="F251" i="200"/>
  <c r="F250" i="200"/>
  <c r="F249" i="200"/>
  <c r="F248" i="200"/>
  <c r="F247" i="200"/>
  <c r="F246" i="200"/>
  <c r="F245" i="200"/>
  <c r="F244" i="200"/>
  <c r="F243" i="200"/>
  <c r="F242" i="200"/>
  <c r="F241" i="200"/>
  <c r="F240" i="200"/>
  <c r="F239" i="200"/>
  <c r="F238" i="200"/>
  <c r="F237" i="200"/>
  <c r="F236" i="200"/>
  <c r="F235" i="200"/>
  <c r="F234" i="200"/>
  <c r="F233" i="200"/>
  <c r="F232" i="200"/>
  <c r="F231" i="200"/>
  <c r="F230" i="200"/>
  <c r="F229" i="200"/>
  <c r="F228" i="200"/>
  <c r="F227" i="200"/>
  <c r="F226" i="200"/>
  <c r="F225" i="200"/>
  <c r="F224" i="200"/>
  <c r="F223" i="200"/>
  <c r="F222" i="200"/>
  <c r="F221" i="200"/>
  <c r="F220" i="200"/>
  <c r="F219" i="200"/>
  <c r="F218" i="200"/>
  <c r="F217" i="200"/>
  <c r="F216" i="200"/>
  <c r="F215" i="200"/>
  <c r="F214" i="200"/>
  <c r="F213" i="200"/>
  <c r="F212" i="200"/>
  <c r="F211" i="200"/>
  <c r="F210" i="200"/>
  <c r="F209" i="200"/>
  <c r="F208" i="200"/>
  <c r="F207" i="200"/>
  <c r="F206" i="200"/>
  <c r="F205" i="200"/>
  <c r="F204" i="200"/>
  <c r="F203" i="200"/>
  <c r="F202" i="200"/>
  <c r="F201" i="200"/>
  <c r="F200" i="200"/>
  <c r="F199" i="200"/>
  <c r="F198" i="200"/>
  <c r="F197" i="200"/>
  <c r="F196" i="200"/>
  <c r="F195" i="200"/>
  <c r="F194" i="200"/>
  <c r="F193" i="200"/>
  <c r="F192" i="200"/>
  <c r="F191" i="200"/>
  <c r="F190" i="200"/>
  <c r="F189" i="200"/>
  <c r="F188" i="200"/>
  <c r="F187" i="200"/>
  <c r="F186" i="200"/>
  <c r="F185" i="200"/>
  <c r="F184" i="200"/>
  <c r="F183" i="200"/>
  <c r="F182" i="200"/>
  <c r="F181" i="200"/>
  <c r="F180" i="200"/>
  <c r="F179" i="200"/>
  <c r="F178" i="200"/>
  <c r="F177" i="200"/>
  <c r="F176" i="200"/>
  <c r="F175" i="200"/>
  <c r="F174" i="200"/>
  <c r="F173" i="200"/>
  <c r="F172" i="200"/>
  <c r="F171" i="200"/>
  <c r="F170" i="200"/>
  <c r="F169" i="200"/>
  <c r="F168" i="200"/>
  <c r="F167" i="200"/>
  <c r="F166" i="200"/>
  <c r="F165" i="200"/>
  <c r="F164" i="200"/>
  <c r="F163" i="200"/>
  <c r="F162" i="200"/>
  <c r="F161" i="200"/>
  <c r="F160" i="200"/>
  <c r="F159" i="200"/>
  <c r="F158" i="200"/>
  <c r="F157" i="200"/>
  <c r="F156" i="200"/>
  <c r="F155" i="200"/>
  <c r="F154" i="200"/>
  <c r="F153" i="200"/>
  <c r="F152" i="200"/>
  <c r="F151" i="200"/>
  <c r="F150" i="200"/>
  <c r="F149" i="200"/>
  <c r="F148" i="200"/>
  <c r="F147" i="200"/>
  <c r="F146" i="200"/>
  <c r="F145" i="200"/>
  <c r="F144" i="200"/>
  <c r="F143" i="200"/>
  <c r="F142" i="200"/>
  <c r="F141" i="200"/>
  <c r="F140" i="200"/>
  <c r="F139" i="200"/>
  <c r="F138" i="200"/>
  <c r="F137" i="200"/>
  <c r="F136" i="200"/>
  <c r="F135" i="200"/>
  <c r="F134" i="200"/>
  <c r="F133" i="200"/>
  <c r="F132" i="200"/>
  <c r="F131" i="200"/>
  <c r="F130" i="200"/>
  <c r="F129" i="200"/>
  <c r="F128" i="200"/>
  <c r="F127" i="200"/>
  <c r="F126" i="200"/>
  <c r="F125" i="200"/>
  <c r="F124" i="200"/>
  <c r="F123" i="200"/>
  <c r="F122" i="200"/>
  <c r="F121" i="200"/>
  <c r="F120" i="200"/>
  <c r="F119" i="200"/>
  <c r="F118" i="200"/>
  <c r="F117" i="200"/>
  <c r="F116" i="200"/>
  <c r="F115" i="200"/>
  <c r="F114" i="200"/>
  <c r="F113" i="200"/>
  <c r="F112" i="200"/>
  <c r="F111" i="200"/>
  <c r="F110" i="200"/>
  <c r="F109" i="200"/>
  <c r="F108" i="200"/>
  <c r="F107" i="200"/>
  <c r="F106" i="200"/>
  <c r="F105" i="200"/>
  <c r="F104" i="200"/>
  <c r="F103" i="200"/>
  <c r="F102" i="200"/>
  <c r="F101" i="200"/>
  <c r="F100" i="200"/>
  <c r="F99" i="200"/>
  <c r="F98" i="200"/>
  <c r="F97" i="200"/>
  <c r="F96" i="200"/>
  <c r="F95" i="200"/>
  <c r="F94" i="200"/>
  <c r="F93" i="200"/>
  <c r="F92" i="200"/>
  <c r="F91" i="200"/>
  <c r="F90" i="200"/>
  <c r="F89" i="200"/>
  <c r="F88" i="200"/>
  <c r="F87" i="200"/>
  <c r="F86" i="200"/>
  <c r="F85" i="200"/>
  <c r="F84" i="200"/>
  <c r="F83" i="200"/>
  <c r="F82" i="200"/>
  <c r="F81" i="200"/>
  <c r="F80" i="200"/>
  <c r="F79" i="200"/>
  <c r="F78" i="200"/>
  <c r="F77" i="200"/>
  <c r="F76" i="200"/>
  <c r="F75" i="200"/>
  <c r="F74" i="200"/>
  <c r="F73" i="200"/>
  <c r="F72" i="200"/>
  <c r="F71" i="200"/>
  <c r="F70" i="200"/>
  <c r="F69" i="200"/>
  <c r="F68" i="200"/>
  <c r="F67" i="200"/>
  <c r="F66" i="200"/>
  <c r="F65" i="200"/>
  <c r="F64" i="200"/>
  <c r="F63" i="200"/>
  <c r="F62" i="200"/>
  <c r="F61" i="200"/>
  <c r="F60" i="200"/>
  <c r="F59" i="200"/>
  <c r="F58" i="200"/>
  <c r="F57" i="200"/>
  <c r="F56" i="200"/>
  <c r="F55" i="200"/>
  <c r="F54" i="200"/>
  <c r="F53" i="200"/>
  <c r="F52" i="200"/>
  <c r="F51" i="200"/>
  <c r="F50" i="200"/>
  <c r="F49" i="200"/>
  <c r="F48" i="200"/>
  <c r="F47" i="200"/>
  <c r="F46" i="200"/>
  <c r="F45" i="200"/>
  <c r="F44" i="200"/>
  <c r="F43" i="200"/>
  <c r="F42" i="200"/>
  <c r="F41" i="200"/>
  <c r="F40" i="200"/>
  <c r="F39" i="200"/>
  <c r="F38" i="200"/>
  <c r="F37" i="200"/>
  <c r="F36" i="200"/>
  <c r="F35" i="200"/>
  <c r="F34" i="200"/>
  <c r="F33" i="200"/>
  <c r="F32" i="200"/>
  <c r="F31" i="200"/>
  <c r="F30" i="200"/>
  <c r="F29" i="200"/>
  <c r="F28" i="200"/>
  <c r="F27" i="200"/>
  <c r="F26" i="200"/>
  <c r="F25" i="200"/>
  <c r="F24" i="200"/>
  <c r="F23" i="200"/>
  <c r="F22" i="200"/>
  <c r="F21" i="200"/>
  <c r="F20" i="200"/>
  <c r="F19" i="200"/>
  <c r="F18" i="200"/>
  <c r="F17" i="200"/>
  <c r="F16" i="200"/>
  <c r="F15" i="200"/>
  <c r="F14" i="200"/>
  <c r="F13" i="200"/>
  <c r="F12" i="200"/>
  <c r="F11" i="200"/>
  <c r="F10" i="200"/>
  <c r="F9" i="200"/>
  <c r="F8" i="200"/>
  <c r="F7" i="200"/>
  <c r="F7" i="198"/>
  <c r="F8" i="198"/>
  <c r="F9" i="198"/>
  <c r="F10" i="198"/>
  <c r="F11" i="198"/>
  <c r="F12" i="198"/>
  <c r="F13" i="198"/>
  <c r="F14" i="198"/>
  <c r="F15" i="198"/>
  <c r="F16" i="198"/>
  <c r="F17" i="198"/>
  <c r="F18" i="198"/>
  <c r="F19" i="198"/>
  <c r="F20" i="198"/>
  <c r="F21" i="198"/>
  <c r="F22" i="198"/>
  <c r="F23" i="198"/>
  <c r="F24" i="198"/>
  <c r="F25" i="198"/>
  <c r="F26" i="198"/>
  <c r="F27" i="198"/>
  <c r="F28" i="198"/>
  <c r="F29" i="198"/>
  <c r="F30" i="198"/>
  <c r="F31" i="198"/>
  <c r="F32" i="198"/>
  <c r="F33" i="198"/>
  <c r="F34" i="198"/>
  <c r="F35" i="198"/>
  <c r="F36" i="198"/>
  <c r="F37" i="198"/>
  <c r="F38" i="198"/>
  <c r="F39" i="198"/>
  <c r="F40" i="198"/>
  <c r="F41" i="198"/>
  <c r="F42" i="198"/>
  <c r="F43" i="198"/>
  <c r="F44" i="198"/>
  <c r="F45" i="198"/>
  <c r="F46" i="198"/>
  <c r="F47" i="198"/>
  <c r="F48" i="198"/>
  <c r="F49" i="198"/>
  <c r="F50" i="198"/>
  <c r="F51" i="198"/>
  <c r="F52" i="198"/>
  <c r="F53" i="198"/>
  <c r="F54" i="198"/>
  <c r="F55" i="198"/>
  <c r="F56" i="198"/>
  <c r="F57" i="198"/>
  <c r="F58" i="198"/>
  <c r="F59" i="198"/>
  <c r="F60" i="198"/>
  <c r="F61" i="198"/>
  <c r="F62" i="198"/>
  <c r="F63" i="198"/>
  <c r="F64" i="198"/>
  <c r="F65" i="198"/>
  <c r="F66" i="198"/>
  <c r="F67" i="198"/>
  <c r="F68" i="198"/>
  <c r="F69" i="198"/>
  <c r="F70" i="198"/>
  <c r="F71" i="198"/>
  <c r="F72" i="198"/>
  <c r="F73" i="198"/>
  <c r="F74" i="198"/>
  <c r="F75" i="198"/>
  <c r="F76" i="198"/>
  <c r="F77" i="198"/>
  <c r="F78" i="198"/>
  <c r="F79" i="198"/>
  <c r="F80" i="198"/>
  <c r="F81" i="198"/>
  <c r="F82" i="198"/>
  <c r="F83" i="198"/>
  <c r="F84" i="198"/>
  <c r="F85" i="198"/>
  <c r="F86" i="198"/>
  <c r="F87" i="198"/>
  <c r="F88" i="198"/>
  <c r="F89" i="198"/>
  <c r="F90" i="198"/>
  <c r="F91" i="198"/>
  <c r="F92" i="198"/>
  <c r="F93" i="198"/>
  <c r="F94" i="198"/>
  <c r="F95" i="198"/>
  <c r="F96" i="198"/>
  <c r="F97" i="198"/>
  <c r="F98" i="198"/>
  <c r="F99" i="198"/>
  <c r="F100" i="198"/>
  <c r="F101" i="198"/>
  <c r="F102" i="198"/>
  <c r="F103" i="198"/>
  <c r="F104" i="198"/>
  <c r="F105" i="198"/>
  <c r="F106" i="198"/>
  <c r="F107" i="198"/>
  <c r="F108" i="198"/>
  <c r="F109" i="198"/>
  <c r="F110" i="198"/>
  <c r="F111" i="198"/>
  <c r="F112" i="198"/>
  <c r="F113" i="198"/>
  <c r="F114" i="198"/>
  <c r="F115" i="198"/>
  <c r="F116" i="198"/>
  <c r="F117" i="198"/>
  <c r="F118" i="198"/>
  <c r="F119" i="198"/>
  <c r="F120" i="198"/>
  <c r="F121" i="198"/>
  <c r="F122" i="198"/>
  <c r="F123" i="198"/>
  <c r="F124" i="198"/>
  <c r="F125" i="198"/>
  <c r="F126" i="198"/>
  <c r="F127" i="198"/>
  <c r="F128" i="198"/>
  <c r="F129" i="198"/>
  <c r="F130" i="198"/>
  <c r="F131" i="198"/>
  <c r="F132" i="198"/>
  <c r="F133" i="198"/>
  <c r="F134" i="198"/>
  <c r="F135" i="198"/>
  <c r="F136" i="198"/>
  <c r="F137" i="198"/>
  <c r="F138" i="198"/>
  <c r="F139" i="198"/>
  <c r="F140" i="198"/>
  <c r="F141" i="198"/>
  <c r="F142" i="198"/>
  <c r="F143" i="198"/>
  <c r="F144" i="198"/>
  <c r="F145" i="198"/>
  <c r="F146" i="198"/>
  <c r="F147" i="198"/>
  <c r="F148" i="198"/>
  <c r="F149" i="198"/>
  <c r="F150" i="198"/>
  <c r="F151" i="198"/>
  <c r="F152" i="198"/>
  <c r="F153" i="198"/>
  <c r="F154" i="198"/>
  <c r="F155" i="198"/>
  <c r="F156" i="198"/>
  <c r="F157" i="198"/>
  <c r="F158" i="198"/>
  <c r="F159" i="198"/>
  <c r="F160" i="198"/>
  <c r="F161" i="198"/>
  <c r="F162" i="198"/>
  <c r="F163" i="198"/>
  <c r="F164" i="198"/>
  <c r="F165" i="198"/>
  <c r="F166" i="198"/>
  <c r="F167" i="198"/>
  <c r="F168" i="198"/>
  <c r="F169" i="198"/>
  <c r="F170" i="198"/>
  <c r="F171" i="198"/>
  <c r="F172" i="198"/>
  <c r="F173" i="198"/>
  <c r="F174" i="198"/>
  <c r="F175" i="198"/>
  <c r="F176" i="198"/>
  <c r="F177" i="198"/>
  <c r="F178" i="198"/>
  <c r="F179" i="198"/>
  <c r="F180" i="198"/>
  <c r="F181" i="198"/>
  <c r="F182" i="198"/>
  <c r="F183" i="198"/>
  <c r="F184" i="198"/>
  <c r="F185" i="198"/>
  <c r="F186" i="198"/>
  <c r="F187" i="198"/>
  <c r="F188" i="198"/>
  <c r="F189" i="198"/>
  <c r="F190" i="198"/>
  <c r="F191" i="198"/>
  <c r="F192" i="198"/>
  <c r="F193" i="198"/>
  <c r="F194" i="198"/>
  <c r="F195" i="198"/>
  <c r="F196" i="198"/>
  <c r="F197" i="198"/>
  <c r="F198" i="198"/>
  <c r="F199" i="198"/>
  <c r="F200" i="198"/>
  <c r="F201" i="198"/>
  <c r="F202" i="198"/>
  <c r="F203" i="198"/>
  <c r="F204" i="198"/>
  <c r="F205" i="198"/>
  <c r="F206" i="198"/>
  <c r="F207" i="198"/>
  <c r="F208" i="198"/>
  <c r="F209" i="198"/>
  <c r="F210" i="198"/>
  <c r="F211" i="198"/>
  <c r="F212" i="198"/>
  <c r="F213" i="198"/>
  <c r="F214" i="198"/>
  <c r="F215" i="198"/>
  <c r="F216" i="198"/>
  <c r="F217" i="198"/>
  <c r="F218" i="198"/>
  <c r="F219" i="198"/>
  <c r="F220" i="198"/>
  <c r="F221" i="198"/>
  <c r="F222" i="198"/>
  <c r="F223" i="198"/>
  <c r="F224" i="198"/>
  <c r="F225" i="198"/>
  <c r="F226" i="198"/>
  <c r="F227" i="198"/>
  <c r="F228" i="198"/>
  <c r="F229" i="198"/>
  <c r="F230" i="198"/>
  <c r="F231" i="198"/>
  <c r="F232" i="198"/>
  <c r="F233" i="198"/>
  <c r="F234" i="198"/>
  <c r="F235" i="198"/>
  <c r="F236" i="198"/>
  <c r="F237" i="198"/>
  <c r="F238" i="198"/>
  <c r="F239" i="198"/>
  <c r="F240" i="198"/>
  <c r="F241" i="198"/>
  <c r="F242" i="198"/>
  <c r="F243" i="198"/>
  <c r="F244" i="198"/>
  <c r="F245" i="198"/>
  <c r="F246" i="198"/>
  <c r="F247" i="198"/>
  <c r="F248" i="198"/>
  <c r="F249" i="198"/>
  <c r="F250" i="198"/>
  <c r="F251" i="198"/>
  <c r="F252" i="198"/>
  <c r="F253" i="198"/>
  <c r="F254" i="198"/>
  <c r="F255" i="198"/>
  <c r="F256" i="198"/>
  <c r="F257" i="198"/>
  <c r="F258" i="198"/>
  <c r="F259" i="198"/>
  <c r="F260" i="198"/>
  <c r="F261" i="198"/>
  <c r="F262" i="198"/>
  <c r="F263" i="198"/>
  <c r="F264" i="198"/>
  <c r="F265" i="198"/>
  <c r="F266" i="198"/>
  <c r="F267" i="198"/>
  <c r="F268" i="198"/>
  <c r="F269" i="198"/>
  <c r="F270" i="198"/>
  <c r="F271" i="198"/>
  <c r="F272" i="198"/>
  <c r="F273" i="198"/>
  <c r="F274" i="198"/>
  <c r="F275" i="198"/>
  <c r="F276" i="198"/>
  <c r="F277" i="198"/>
  <c r="F278" i="198"/>
  <c r="F279" i="198"/>
  <c r="F280" i="198"/>
  <c r="F281" i="198"/>
  <c r="F282" i="198"/>
  <c r="F283" i="198"/>
  <c r="F284" i="198"/>
  <c r="F285" i="198"/>
  <c r="F286" i="198"/>
  <c r="F287" i="198"/>
  <c r="F288" i="198"/>
  <c r="F289" i="198"/>
  <c r="F290" i="198"/>
  <c r="F291" i="198"/>
  <c r="F292" i="198"/>
  <c r="F293" i="198"/>
  <c r="F294" i="198"/>
  <c r="F295" i="198"/>
  <c r="F296" i="198"/>
  <c r="F297" i="198"/>
  <c r="F298" i="198"/>
  <c r="F299" i="198"/>
  <c r="F300" i="198"/>
  <c r="F301" i="198"/>
  <c r="F302" i="198"/>
  <c r="F303" i="198"/>
  <c r="F304" i="198"/>
  <c r="F305" i="198"/>
  <c r="F306" i="198"/>
  <c r="F307" i="198"/>
  <c r="F308" i="198"/>
  <c r="F309" i="198"/>
  <c r="F310" i="198"/>
  <c r="F311" i="198"/>
  <c r="F312" i="198"/>
  <c r="F313" i="198"/>
  <c r="F314" i="198"/>
  <c r="F315" i="198"/>
  <c r="F316" i="198"/>
  <c r="F317" i="198"/>
  <c r="F318" i="198"/>
  <c r="F319" i="198"/>
  <c r="F320" i="198"/>
  <c r="F321" i="198"/>
  <c r="F322" i="198"/>
  <c r="F323" i="198"/>
  <c r="F324" i="198"/>
  <c r="F325" i="198"/>
  <c r="F326" i="198"/>
  <c r="F327" i="198"/>
  <c r="F328" i="198"/>
  <c r="F329" i="198"/>
  <c r="F330" i="198"/>
  <c r="F331" i="198"/>
  <c r="F332" i="198"/>
  <c r="F333" i="198"/>
  <c r="F334" i="198"/>
  <c r="F335" i="198"/>
  <c r="F336" i="198"/>
  <c r="F337" i="198"/>
  <c r="F338" i="198"/>
  <c r="F339" i="198"/>
  <c r="F340" i="198"/>
  <c r="F341" i="198"/>
  <c r="F342" i="198"/>
  <c r="F343" i="198"/>
  <c r="F344" i="198"/>
  <c r="F345" i="198"/>
  <c r="F346" i="198"/>
  <c r="F347" i="198"/>
  <c r="F348" i="198"/>
  <c r="F349" i="198"/>
  <c r="F350" i="198"/>
  <c r="F351" i="198"/>
  <c r="F352" i="198"/>
  <c r="F353" i="198"/>
  <c r="F354" i="198"/>
  <c r="F355" i="198"/>
  <c r="F356" i="198"/>
  <c r="F357" i="198"/>
  <c r="F358" i="198"/>
  <c r="F359" i="198"/>
  <c r="F360" i="198"/>
  <c r="F361" i="198"/>
  <c r="F362" i="198"/>
  <c r="F363" i="198"/>
  <c r="F364" i="198"/>
  <c r="F365" i="198"/>
  <c r="F366" i="198"/>
  <c r="F367" i="198"/>
  <c r="F368" i="198"/>
  <c r="F369" i="198"/>
  <c r="F370" i="198"/>
  <c r="F371" i="198"/>
  <c r="F372" i="198"/>
  <c r="F373" i="198"/>
  <c r="F374" i="198"/>
  <c r="F375" i="198"/>
  <c r="F376" i="198"/>
  <c r="F377" i="198"/>
  <c r="F378" i="198"/>
  <c r="F379" i="198"/>
  <c r="F380" i="198"/>
  <c r="F381" i="198"/>
  <c r="F382" i="198"/>
  <c r="F383" i="198"/>
  <c r="F384" i="198"/>
  <c r="F385" i="198"/>
  <c r="F386" i="198"/>
  <c r="F387" i="198"/>
  <c r="F388" i="198"/>
  <c r="F389" i="198"/>
  <c r="F390" i="198"/>
  <c r="F391" i="198"/>
  <c r="F392" i="198"/>
  <c r="F393" i="198"/>
  <c r="F394" i="198"/>
  <c r="F395" i="198"/>
  <c r="F396" i="198"/>
  <c r="F397" i="198"/>
  <c r="F398" i="198"/>
  <c r="F399" i="198"/>
  <c r="F400" i="198"/>
  <c r="F401" i="198"/>
  <c r="F402" i="198"/>
  <c r="F403" i="198"/>
  <c r="F404" i="198"/>
  <c r="F405" i="198"/>
  <c r="F406" i="198"/>
  <c r="F407" i="198"/>
  <c r="F408" i="198"/>
  <c r="F409" i="198"/>
  <c r="F410" i="198"/>
  <c r="F411" i="198"/>
  <c r="F412" i="198"/>
  <c r="F413" i="198"/>
  <c r="F414" i="198"/>
  <c r="F415" i="198"/>
  <c r="F416" i="198"/>
  <c r="F417" i="198"/>
  <c r="F418" i="198"/>
  <c r="F419" i="198"/>
  <c r="F420" i="198"/>
  <c r="F421" i="198"/>
  <c r="F422" i="198"/>
  <c r="F423" i="198"/>
  <c r="F424" i="198"/>
  <c r="F425" i="198"/>
  <c r="F426" i="198"/>
  <c r="F427" i="198"/>
  <c r="F428" i="198"/>
  <c r="F429" i="198"/>
  <c r="F430" i="198"/>
  <c r="F431" i="198"/>
  <c r="F432" i="198"/>
  <c r="F433" i="198"/>
  <c r="F434" i="198"/>
  <c r="F435" i="198"/>
  <c r="F436" i="198"/>
  <c r="F437" i="198"/>
  <c r="F438" i="198"/>
  <c r="F439" i="198"/>
  <c r="F440" i="198"/>
  <c r="F441" i="198"/>
  <c r="F442" i="198"/>
  <c r="F443" i="198"/>
  <c r="F444" i="198"/>
  <c r="F445" i="198"/>
  <c r="F446" i="198"/>
  <c r="F447" i="198"/>
  <c r="F448" i="198"/>
  <c r="F449" i="198"/>
  <c r="F450" i="198"/>
  <c r="F451" i="198"/>
  <c r="F452" i="198"/>
  <c r="F453" i="198"/>
  <c r="F454" i="198"/>
  <c r="F455" i="198"/>
  <c r="F456" i="198"/>
  <c r="F457" i="198"/>
  <c r="F458" i="198"/>
  <c r="F459" i="198"/>
  <c r="F460" i="198"/>
  <c r="F461" i="198"/>
  <c r="F462" i="198"/>
  <c r="F463" i="198"/>
  <c r="F464" i="198"/>
  <c r="F465" i="198"/>
  <c r="F466" i="198"/>
  <c r="F467" i="198"/>
  <c r="F468" i="198"/>
  <c r="F469" i="198"/>
  <c r="F470" i="198"/>
  <c r="F471" i="198"/>
  <c r="F472" i="198"/>
  <c r="F473" i="198"/>
  <c r="F474" i="198"/>
  <c r="F475" i="198"/>
  <c r="F476" i="198"/>
  <c r="F477" i="198"/>
  <c r="F478" i="198"/>
  <c r="F479" i="198"/>
  <c r="F480" i="198"/>
  <c r="F481" i="198"/>
  <c r="F482" i="198"/>
  <c r="F483" i="198"/>
  <c r="F484" i="198"/>
  <c r="F485" i="198"/>
  <c r="F486" i="198"/>
  <c r="F487" i="198"/>
  <c r="F488" i="198"/>
  <c r="F489" i="198"/>
  <c r="F490" i="198"/>
  <c r="F491" i="198"/>
  <c r="F492" i="198"/>
  <c r="F493" i="198"/>
  <c r="F494" i="198"/>
  <c r="F495" i="198"/>
  <c r="F496" i="198"/>
  <c r="F497" i="198"/>
  <c r="F498" i="198"/>
  <c r="F499" i="198"/>
  <c r="F6" i="198"/>
  <c r="F6" i="187"/>
  <c r="F7" i="187"/>
  <c r="F8" i="187"/>
  <c r="F9" i="187"/>
  <c r="F10" i="187"/>
  <c r="F11" i="187"/>
  <c r="F12" i="187"/>
  <c r="F13" i="187"/>
  <c r="F14" i="187"/>
  <c r="F15" i="187"/>
  <c r="F16" i="187"/>
  <c r="F17" i="187"/>
  <c r="F18" i="187"/>
  <c r="F19" i="187"/>
  <c r="F20" i="187"/>
  <c r="F21" i="187"/>
  <c r="F22" i="187"/>
  <c r="F23" i="187"/>
  <c r="F24" i="187"/>
  <c r="F25" i="187"/>
  <c r="F26" i="187"/>
  <c r="F27" i="187"/>
  <c r="F28" i="187"/>
  <c r="F29" i="187"/>
  <c r="F30" i="187"/>
  <c r="F31" i="187"/>
  <c r="F32" i="187"/>
  <c r="F33" i="187"/>
  <c r="F34" i="187"/>
  <c r="F35" i="187"/>
  <c r="F36" i="187"/>
  <c r="F37" i="187"/>
  <c r="F38" i="187"/>
  <c r="F39" i="187"/>
  <c r="F40" i="187"/>
  <c r="F41" i="187"/>
  <c r="F42" i="187"/>
  <c r="F43" i="187"/>
  <c r="F44" i="187"/>
  <c r="F45" i="187"/>
  <c r="F46" i="187"/>
  <c r="F47" i="187"/>
  <c r="F48" i="187"/>
  <c r="F49" i="187"/>
  <c r="F50" i="187"/>
  <c r="F51" i="187"/>
  <c r="F52" i="187"/>
  <c r="F53" i="187"/>
  <c r="F54" i="187"/>
  <c r="F55" i="187"/>
  <c r="F56" i="187"/>
  <c r="F57" i="187"/>
  <c r="F58" i="187"/>
  <c r="F59" i="187"/>
  <c r="F60" i="187"/>
  <c r="F61" i="187"/>
  <c r="F62" i="187"/>
  <c r="F63" i="187"/>
  <c r="F64" i="187"/>
  <c r="F65" i="187"/>
  <c r="F66" i="187"/>
  <c r="F67" i="187"/>
  <c r="F68" i="187"/>
  <c r="F69" i="187"/>
  <c r="F70" i="187"/>
  <c r="F71" i="187"/>
  <c r="F72" i="187"/>
  <c r="F73" i="187"/>
  <c r="F74" i="187"/>
  <c r="F75" i="187"/>
  <c r="F76" i="187"/>
  <c r="F77" i="187"/>
  <c r="F78" i="187"/>
  <c r="F79" i="187"/>
  <c r="F80" i="187"/>
  <c r="F81" i="187"/>
  <c r="F82" i="187"/>
  <c r="F83" i="187"/>
  <c r="F84" i="187"/>
  <c r="F85" i="187"/>
  <c r="F86" i="187"/>
  <c r="F87" i="187"/>
  <c r="F88" i="187"/>
  <c r="F89" i="187"/>
  <c r="F90" i="187"/>
  <c r="F91" i="187"/>
  <c r="F92" i="187"/>
  <c r="F93" i="187"/>
  <c r="F94" i="187"/>
  <c r="F95" i="187"/>
  <c r="F96" i="187"/>
  <c r="F97" i="187"/>
  <c r="F98" i="187"/>
  <c r="F99" i="187"/>
  <c r="F100" i="187"/>
  <c r="F101" i="187"/>
  <c r="F102" i="187"/>
  <c r="F103" i="187"/>
  <c r="F104" i="187"/>
  <c r="F105" i="187"/>
  <c r="F106" i="187"/>
  <c r="F107" i="187"/>
  <c r="F108" i="187"/>
  <c r="F109" i="187"/>
  <c r="F110" i="187"/>
  <c r="F111" i="187"/>
  <c r="F112" i="187"/>
  <c r="F113" i="187"/>
  <c r="F114" i="187"/>
  <c r="F115" i="187"/>
  <c r="F116" i="187"/>
  <c r="F117" i="187"/>
  <c r="F118" i="187"/>
  <c r="F119" i="187"/>
  <c r="F120" i="187"/>
  <c r="F121" i="187"/>
  <c r="F122" i="187"/>
  <c r="F123" i="187"/>
  <c r="F124" i="187"/>
  <c r="F125" i="187"/>
  <c r="F126" i="187"/>
  <c r="F127" i="187"/>
  <c r="F128" i="187"/>
  <c r="F129" i="187"/>
  <c r="F130" i="187"/>
  <c r="F131" i="187"/>
  <c r="F132" i="187"/>
  <c r="F133" i="187"/>
  <c r="F134" i="187"/>
  <c r="F135" i="187"/>
  <c r="F136" i="187"/>
  <c r="F137" i="187"/>
  <c r="F138" i="187"/>
  <c r="F139" i="187"/>
  <c r="F140" i="187"/>
  <c r="F141" i="187"/>
  <c r="F142" i="187"/>
  <c r="F143" i="187"/>
  <c r="F144" i="187"/>
  <c r="F145" i="187"/>
  <c r="F146" i="187"/>
  <c r="F147" i="187"/>
  <c r="F148" i="187"/>
  <c r="F149" i="187"/>
  <c r="F150" i="187"/>
  <c r="F151" i="187"/>
  <c r="F152" i="187"/>
  <c r="F153" i="187"/>
  <c r="F154" i="187"/>
  <c r="F155" i="187"/>
  <c r="F156" i="187"/>
  <c r="F157" i="187"/>
  <c r="F158" i="187"/>
  <c r="F159" i="187"/>
  <c r="F160" i="187"/>
  <c r="F161" i="187"/>
  <c r="F162" i="187"/>
  <c r="F163" i="187"/>
  <c r="F164" i="187"/>
  <c r="F165" i="187"/>
  <c r="F166" i="187"/>
  <c r="F167" i="187"/>
  <c r="F168" i="187"/>
  <c r="F169" i="187"/>
  <c r="F170" i="187"/>
  <c r="F171" i="187"/>
  <c r="F172" i="187"/>
  <c r="F173" i="187"/>
  <c r="F174" i="187"/>
  <c r="F175" i="187"/>
  <c r="F176" i="187"/>
  <c r="F177" i="187"/>
  <c r="F178" i="187"/>
  <c r="F179" i="187"/>
  <c r="F180" i="187"/>
  <c r="F181" i="187"/>
  <c r="F182" i="187"/>
  <c r="F183" i="187"/>
  <c r="F184" i="187"/>
  <c r="F185" i="187"/>
  <c r="F186" i="187"/>
  <c r="F187" i="187"/>
  <c r="F188" i="187"/>
  <c r="F189" i="187"/>
  <c r="F190" i="187"/>
  <c r="F191" i="187"/>
  <c r="F192" i="187"/>
  <c r="F193" i="187"/>
  <c r="F194" i="187"/>
  <c r="F195" i="187"/>
  <c r="F196" i="187"/>
  <c r="F197" i="187"/>
  <c r="F198" i="187"/>
  <c r="F199" i="187"/>
  <c r="F200" i="187"/>
  <c r="F201" i="187"/>
  <c r="F202" i="187"/>
  <c r="F203" i="187"/>
  <c r="F204" i="187"/>
  <c r="F205" i="187"/>
  <c r="F206" i="187"/>
  <c r="F207" i="187"/>
  <c r="F208" i="187"/>
  <c r="F209" i="187"/>
  <c r="F210" i="187"/>
  <c r="F211" i="187"/>
  <c r="F212" i="187"/>
  <c r="F213" i="187"/>
  <c r="F214" i="187"/>
  <c r="F215" i="187"/>
  <c r="F216" i="187"/>
  <c r="F217" i="187"/>
  <c r="F218" i="187"/>
  <c r="F219" i="187"/>
  <c r="F220" i="187"/>
  <c r="F221" i="187"/>
  <c r="F222" i="187"/>
  <c r="F223" i="187"/>
  <c r="F224" i="187"/>
  <c r="F225" i="187"/>
  <c r="F226" i="187"/>
  <c r="F227" i="187"/>
  <c r="F228" i="187"/>
  <c r="F229" i="187"/>
  <c r="F230" i="187"/>
  <c r="F231" i="187"/>
  <c r="F232" i="187"/>
  <c r="F233" i="187"/>
  <c r="F234" i="187"/>
  <c r="F235" i="187"/>
  <c r="F236" i="187"/>
  <c r="F237" i="187"/>
  <c r="F238" i="187"/>
  <c r="F239" i="187"/>
  <c r="F240" i="187"/>
  <c r="F241" i="187"/>
  <c r="F242" i="187"/>
  <c r="F243" i="187"/>
  <c r="F244" i="187"/>
  <c r="F245" i="187"/>
  <c r="F246" i="187"/>
  <c r="F247" i="187"/>
  <c r="F248" i="187"/>
  <c r="F249" i="187"/>
  <c r="F250" i="187"/>
  <c r="F251" i="187"/>
  <c r="F252" i="187"/>
  <c r="F253" i="187"/>
  <c r="F254" i="187"/>
  <c r="F255" i="187"/>
  <c r="F256" i="187"/>
  <c r="F257" i="187"/>
  <c r="F258" i="187"/>
  <c r="F259" i="187"/>
  <c r="F260" i="187"/>
  <c r="F261" i="187"/>
  <c r="F262" i="187"/>
  <c r="F263" i="187"/>
  <c r="F264" i="187"/>
  <c r="F265" i="187"/>
  <c r="F266" i="187"/>
  <c r="F267" i="187"/>
  <c r="F268" i="187"/>
  <c r="F269" i="187"/>
  <c r="F270" i="187"/>
  <c r="F271" i="187"/>
  <c r="F272" i="187"/>
  <c r="F273" i="187"/>
  <c r="F274" i="187"/>
  <c r="F275" i="187"/>
  <c r="F276" i="187"/>
  <c r="F277" i="187"/>
  <c r="F278" i="187"/>
  <c r="F279" i="187"/>
  <c r="F280" i="187"/>
  <c r="F281" i="187"/>
  <c r="F282" i="187"/>
  <c r="F283" i="187"/>
  <c r="F284" i="187"/>
  <c r="F285" i="187"/>
  <c r="F286" i="187"/>
  <c r="F287" i="187"/>
  <c r="F288" i="187"/>
  <c r="F289" i="187"/>
  <c r="F290" i="187"/>
  <c r="F291" i="187"/>
  <c r="F292" i="187"/>
  <c r="F293" i="187"/>
  <c r="F294" i="187"/>
  <c r="F295" i="187"/>
  <c r="F296" i="187"/>
  <c r="F297" i="187"/>
  <c r="F298" i="187"/>
  <c r="F299" i="187"/>
  <c r="F300" i="187"/>
  <c r="F301" i="187"/>
  <c r="F302" i="187"/>
  <c r="F303" i="187"/>
  <c r="F304" i="187"/>
  <c r="F305" i="187"/>
  <c r="F306" i="187"/>
  <c r="F307" i="187"/>
  <c r="F308" i="187"/>
  <c r="F309" i="187"/>
  <c r="F310" i="187"/>
  <c r="F311" i="187"/>
  <c r="F312" i="187"/>
  <c r="F313" i="187"/>
  <c r="F314" i="187"/>
  <c r="F315" i="187"/>
  <c r="F316" i="187"/>
  <c r="F317" i="187"/>
  <c r="F318" i="187"/>
  <c r="F319" i="187"/>
  <c r="F320" i="187"/>
  <c r="F321" i="187"/>
  <c r="F322" i="187"/>
  <c r="F323" i="187"/>
  <c r="F324" i="187"/>
  <c r="F325" i="187"/>
  <c r="F326" i="187"/>
  <c r="F327" i="187"/>
  <c r="F328" i="187"/>
  <c r="F329" i="187"/>
  <c r="F330" i="187"/>
  <c r="F331" i="187"/>
  <c r="F332" i="187"/>
  <c r="F333" i="187"/>
  <c r="F334" i="187"/>
  <c r="F335" i="187"/>
  <c r="F336" i="187"/>
  <c r="F337" i="187"/>
  <c r="F338" i="187"/>
  <c r="F339" i="187"/>
  <c r="F340" i="187"/>
  <c r="F341" i="187"/>
  <c r="F342" i="187"/>
  <c r="F343" i="187"/>
  <c r="F344" i="187"/>
  <c r="F345" i="187"/>
  <c r="F346" i="187"/>
  <c r="F347" i="187"/>
  <c r="F348" i="187"/>
  <c r="F349" i="187"/>
  <c r="F350" i="187"/>
  <c r="F351" i="187"/>
  <c r="F352" i="187"/>
  <c r="F353" i="187"/>
  <c r="F354" i="187"/>
  <c r="F355" i="187"/>
  <c r="F356" i="187"/>
  <c r="F357" i="187"/>
  <c r="F358" i="187"/>
  <c r="F359" i="187"/>
  <c r="F360" i="187"/>
  <c r="F361" i="187"/>
  <c r="F362" i="187"/>
  <c r="F363" i="187"/>
  <c r="F364" i="187"/>
  <c r="F365" i="187"/>
  <c r="F366" i="187"/>
  <c r="F367" i="187"/>
  <c r="F368" i="187"/>
  <c r="F369" i="187"/>
  <c r="F370" i="187"/>
  <c r="F371" i="187"/>
  <c r="F372" i="187"/>
  <c r="F373" i="187"/>
  <c r="F374" i="187"/>
  <c r="F375" i="187"/>
  <c r="F376" i="187"/>
  <c r="F377" i="187"/>
  <c r="F378" i="187"/>
  <c r="F379" i="187"/>
  <c r="F380" i="187"/>
  <c r="F381" i="187"/>
  <c r="F382" i="187"/>
  <c r="F383" i="187"/>
  <c r="F384" i="187"/>
  <c r="F385" i="187"/>
  <c r="F386" i="187"/>
  <c r="F387" i="187"/>
  <c r="F388" i="187"/>
  <c r="F389" i="187"/>
  <c r="F390" i="187"/>
  <c r="F391" i="187"/>
  <c r="F392" i="187"/>
  <c r="F393" i="187"/>
  <c r="F394" i="187"/>
  <c r="F395" i="187"/>
  <c r="F396" i="187"/>
  <c r="F397" i="187"/>
  <c r="F398" i="187"/>
  <c r="F399" i="187"/>
  <c r="F400" i="187"/>
  <c r="F401" i="187"/>
  <c r="F402" i="187"/>
  <c r="F403" i="187"/>
  <c r="F404" i="187"/>
  <c r="F405" i="187"/>
  <c r="F406" i="187"/>
  <c r="F407" i="187"/>
  <c r="F408" i="187"/>
  <c r="F409" i="187"/>
  <c r="F410" i="187"/>
  <c r="F411" i="187"/>
  <c r="F412" i="187"/>
  <c r="F413" i="187"/>
  <c r="F414" i="187"/>
  <c r="F415" i="187"/>
  <c r="F416" i="187"/>
  <c r="F417" i="187"/>
  <c r="F418" i="187"/>
  <c r="F419" i="187"/>
  <c r="F420" i="187"/>
  <c r="F421" i="187"/>
  <c r="F422" i="187"/>
  <c r="F423" i="187"/>
  <c r="F424" i="187"/>
  <c r="F425" i="187"/>
  <c r="F426" i="187"/>
  <c r="F427" i="187"/>
  <c r="F428" i="187"/>
  <c r="F429" i="187"/>
  <c r="F430" i="187"/>
  <c r="F431" i="187"/>
  <c r="F432" i="187"/>
  <c r="F433" i="187"/>
  <c r="F434" i="187"/>
  <c r="F435" i="187"/>
  <c r="F436" i="187"/>
  <c r="F437" i="187"/>
  <c r="F438" i="187"/>
  <c r="F439" i="187"/>
  <c r="F440" i="187"/>
  <c r="F441" i="187"/>
  <c r="F442" i="187"/>
  <c r="F443" i="187"/>
  <c r="F444" i="187"/>
  <c r="F445" i="187"/>
  <c r="F446" i="187"/>
  <c r="F447" i="187"/>
  <c r="F448" i="187"/>
  <c r="F449" i="187"/>
  <c r="F450" i="187"/>
  <c r="F451" i="187"/>
  <c r="F452" i="187"/>
  <c r="F453" i="187"/>
  <c r="F454" i="187"/>
  <c r="F455" i="187"/>
  <c r="F456" i="187"/>
  <c r="F457" i="187"/>
  <c r="F458" i="187"/>
  <c r="F459" i="187"/>
  <c r="F460" i="187"/>
  <c r="F461" i="187"/>
  <c r="F462" i="187"/>
  <c r="F463" i="187"/>
  <c r="F464" i="187"/>
  <c r="F465" i="187"/>
  <c r="F466" i="187"/>
  <c r="F467" i="187"/>
  <c r="F468" i="187"/>
  <c r="F469" i="187"/>
  <c r="F470" i="187"/>
  <c r="F471" i="187"/>
  <c r="F472" i="187"/>
  <c r="F473" i="187"/>
  <c r="F474" i="187"/>
  <c r="F475" i="187"/>
  <c r="F476" i="187"/>
  <c r="F477" i="187"/>
  <c r="F478" i="187"/>
  <c r="F479" i="187"/>
  <c r="F480" i="187"/>
  <c r="F481" i="187"/>
  <c r="F482" i="187"/>
  <c r="F483" i="187"/>
  <c r="F484" i="187"/>
  <c r="F485" i="187"/>
  <c r="F486" i="187"/>
  <c r="F487" i="187"/>
  <c r="F488" i="187"/>
  <c r="F489" i="187"/>
  <c r="F490" i="187"/>
  <c r="F491" i="187"/>
  <c r="F492" i="187"/>
  <c r="F493" i="187"/>
  <c r="F494" i="187"/>
  <c r="F495" i="187"/>
  <c r="F496" i="187"/>
  <c r="F497" i="187"/>
  <c r="F498" i="187"/>
  <c r="F499" i="187"/>
  <c r="F3" i="204" l="1"/>
  <c r="A1" i="204"/>
  <c r="F6" i="201"/>
</calcChain>
</file>

<file path=xl/sharedStrings.xml><?xml version="1.0" encoding="utf-8"?>
<sst xmlns="http://schemas.openxmlformats.org/spreadsheetml/2006/main" count="15511" uniqueCount="122">
  <si>
    <t>Data</t>
  </si>
  <si>
    <t>Województwo</t>
  </si>
  <si>
    <t>Mazowieckie</t>
  </si>
  <si>
    <t>Sprzedawca</t>
  </si>
  <si>
    <t>Sprzedaż</t>
  </si>
  <si>
    <t>Wielkopolskie</t>
  </si>
  <si>
    <t>Świętokrzyskie</t>
  </si>
  <si>
    <t>Produkt</t>
  </si>
  <si>
    <t>Marty</t>
  </si>
  <si>
    <t>Penny</t>
  </si>
  <si>
    <t>Łódzkie</t>
  </si>
  <si>
    <t>Melman</t>
  </si>
  <si>
    <t>Marlin</t>
  </si>
  <si>
    <t>Piorun</t>
  </si>
  <si>
    <t>Maurice</t>
  </si>
  <si>
    <t>Dory</t>
  </si>
  <si>
    <t>Alex</t>
  </si>
  <si>
    <t>Atylla</t>
  </si>
  <si>
    <t>Mindy</t>
  </si>
  <si>
    <t>Lubelskie</t>
  </si>
  <si>
    <t>Nemo</t>
  </si>
  <si>
    <t>Julian</t>
  </si>
  <si>
    <t>Marlena</t>
  </si>
  <si>
    <t>Gloria</t>
  </si>
  <si>
    <t>L.p.</t>
  </si>
  <si>
    <t>1 kryterium</t>
  </si>
  <si>
    <t>Alladyn</t>
  </si>
  <si>
    <t>Gąbki</t>
  </si>
  <si>
    <t>Muszelki</t>
  </si>
  <si>
    <t>Jasmina</t>
  </si>
  <si>
    <t>Piasek</t>
  </si>
  <si>
    <t>Błazenek</t>
  </si>
  <si>
    <t>Abis Mal</t>
  </si>
  <si>
    <t>Żółwik</t>
  </si>
  <si>
    <t>Wodorosty</t>
  </si>
  <si>
    <t>Muszelki 3</t>
  </si>
  <si>
    <t>Muszelki 2</t>
  </si>
  <si>
    <t>Jago</t>
  </si>
  <si>
    <t>Dżin</t>
  </si>
  <si>
    <t>Abu</t>
  </si>
  <si>
    <t>I / ORAZ ==&gt; Kryterium w tym samym wierszu</t>
  </si>
  <si>
    <t>I / ORAZ ==&gt; Kryterium w tym samym wierszu nawet jeśli 2 kryteria dla 1 kolumny</t>
  </si>
  <si>
    <t>LUB ==&gt; Kryterium w osobnych wierszach</t>
  </si>
  <si>
    <t>Proste kryterium dla tekstu</t>
  </si>
  <si>
    <t>Cena</t>
  </si>
  <si>
    <t>Lista1</t>
  </si>
  <si>
    <t>Lista2</t>
  </si>
  <si>
    <t>Są</t>
  </si>
  <si>
    <t>Nie ma</t>
  </si>
  <si>
    <t>Ilość</t>
  </si>
  <si>
    <t>&gt;100</t>
  </si>
  <si>
    <t>Kryterium formuły z kolumną pomocniczą</t>
  </si>
  <si>
    <t>Kryterium formuły bez kolumny pomocniczej</t>
  </si>
  <si>
    <t>Piasek 1-3 mm</t>
  </si>
  <si>
    <t>Piasek 4-6 mm</t>
  </si>
  <si>
    <t>Piasek 7-10 mm</t>
  </si>
  <si>
    <t>Czerwony żółwik</t>
  </si>
  <si>
    <t>Zielony żółwik</t>
  </si>
  <si>
    <t>Czerwony kamyk</t>
  </si>
  <si>
    <t>*żółwik</t>
  </si>
  <si>
    <t>Piasek 11-15 mm</t>
  </si>
  <si>
    <t>Piasek 16-20 mm</t>
  </si>
  <si>
    <t>Żółwik błotny</t>
  </si>
  <si>
    <t>Symbole wieloznaczne w filtrach zaawansowanych</t>
  </si>
  <si>
    <t>* - zastępuje dowolny ciąg znaków również pusty</t>
  </si>
  <si>
    <t>? - zastępuje dowolny pojedynczy znak</t>
  </si>
  <si>
    <t>Kryteria</t>
  </si>
  <si>
    <t>Piasek ?-? mm</t>
  </si>
  <si>
    <t>Czerwony</t>
  </si>
  <si>
    <t>Czerwony kamyk serce</t>
  </si>
  <si>
    <t>Czerwony kamyk truskawka</t>
  </si>
  <si>
    <t>=Czerwony kamyk</t>
  </si>
  <si>
    <t>&lt;=2015-03-31</t>
  </si>
  <si>
    <t>&lt;50</t>
  </si>
  <si>
    <t>&gt;20</t>
  </si>
  <si>
    <t>Piasek Czerwony</t>
  </si>
  <si>
    <t>Niebieski żółwik turystyczny</t>
  </si>
  <si>
    <t>Piasek ?-*</t>
  </si>
  <si>
    <t>z duplikatami</t>
  </si>
  <si>
    <t>bez duplikatów</t>
  </si>
  <si>
    <t>Skopiuj dane tylko z wybranych kolumn</t>
  </si>
  <si>
    <t>&gt;1</t>
  </si>
  <si>
    <t>&lt;15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</si>
  <si>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</si>
  <si>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</si>
  <si>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</si>
  <si>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</si>
  <si>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</si>
  <si>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</si>
  <si>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</si>
  <si>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</si>
  <si>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</si>
  <si>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</si>
  <si>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</si>
  <si>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</si>
  <si>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</si>
  <si>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</si>
  <si>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</si>
  <si>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</si>
  <si>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</si>
  <si>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</si>
  <si>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</si>
  <si>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</si>
  <si>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</si>
  <si>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</si>
  <si>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</si>
  <si>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</si>
  <si>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</si>
  <si>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</si>
  <si>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</si>
  <si>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</si>
  <si>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</si>
  <si>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</si>
  <si>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</si>
  <si>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</si>
  <si>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</si>
  <si>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</si>
  <si>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</si>
  <si>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</si>
  <si>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</si>
  <si>
    <t>=Muszelki</t>
  </si>
  <si>
    <t>Piasek *-*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</si>
</sst>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\ &quot;zł&quot;;[Red]\-#,##0.00\ &quot;zł&quot;"/>
    <numFmt numFmtId="165" formatCode="&quot;$&quot;#,##0,"/>
    <numFmt numFmtId="166" formatCode="d\-mmm\-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CFF1D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165" fontId="3" fillId="0" borderId="0"/>
    <xf numFmtId="166" fontId="4" fillId="0" borderId="0" applyFont="0" applyFill="0" applyBorder="0" applyProtection="0">
      <alignment horizontal="center"/>
    </xf>
    <xf numFmtId="0" fontId="5" fillId="0" borderId="0"/>
    <xf numFmtId="0" fontId="5" fillId="0" borderId="0">
      <alignment wrapText="1"/>
    </xf>
    <xf numFmtId="0" fontId="7" fillId="5" borderId="0" applyNumberFormat="0" applyBorder="0" applyAlignment="0" applyProtection="0"/>
    <xf numFmtId="164" fontId="8" fillId="3" borderId="1"/>
    <xf numFmtId="0" fontId="8" fillId="2" borderId="2" applyBorder="0"/>
    <xf numFmtId="0" fontId="6" fillId="5" borderId="1"/>
    <xf numFmtId="0" fontId="6" fillId="4" borderId="0"/>
    <xf numFmtId="0" fontId="8" fillId="2" borderId="2"/>
    <xf numFmtId="0" fontId="2" fillId="0" borderId="0"/>
    <xf numFmtId="0" fontId="9" fillId="0" borderId="0"/>
    <xf numFmtId="0" fontId="14" fillId="0" borderId="0" applyNumberForma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49">
    <xf numFmtId="0" fontId="0" fillId="0" borderId="0" xfId="0"/>
    <xf numFmtId="0" fontId="10" fillId="4" borderId="0" xfId="0" applyFont="1" applyFill="1" applyAlignment="1">
      <alignment horizontal="centerContinuous"/>
    </xf>
    <xf numFmtId="0" fontId="11" fillId="0" borderId="0" xfId="0" applyFont="1"/>
    <xf numFmtId="0" fontId="11" fillId="0" borderId="1" xfId="0" applyFont="1" applyBorder="1"/>
    <xf numFmtId="14" fontId="11" fillId="0" borderId="1" xfId="0" applyNumberFormat="1" applyFont="1" applyBorder="1"/>
    <xf numFmtId="164" fontId="11" fillId="0" borderId="1" xfId="0" applyNumberFormat="1" applyFont="1" applyBorder="1"/>
    <xf numFmtId="0" fontId="11" fillId="6" borderId="1" xfId="0" applyFont="1" applyFill="1" applyBorder="1"/>
    <xf numFmtId="0" fontId="11" fillId="0" borderId="1" xfId="0" quotePrefix="1" applyFont="1" applyBorder="1"/>
    <xf numFmtId="164" fontId="11" fillId="0" borderId="0" xfId="0" applyNumberFormat="1" applyFont="1"/>
    <xf numFmtId="0" fontId="12" fillId="0" borderId="0" xfId="0" applyFont="1"/>
    <xf numFmtId="164" fontId="11" fillId="0" borderId="1" xfId="12" applyNumberFormat="1" applyFont="1" applyBorder="1"/>
    <xf numFmtId="0" fontId="10" fillId="7" borderId="1" xfId="5" applyFont="1" applyFill="1" applyBorder="1" applyAlignment="1">
      <alignment horizontal="center" vertical="center"/>
    </xf>
    <xf numFmtId="0" fontId="1" fillId="0" borderId="0" xfId="14"/>
    <xf numFmtId="0" fontId="13" fillId="0" borderId="0" xfId="15" applyFont="1" applyAlignment="1">
      <alignment vertical="center"/>
    </xf>
    <xf numFmtId="0" fontId="15" fillId="0" borderId="0" xfId="16" applyAlignment="1">
      <alignment vertical="center"/>
    </xf>
    <xf numFmtId="0" fontId="17" fillId="0" borderId="0" xfId="14" applyFont="1" applyAlignment="1">
      <alignment vertical="center"/>
    </xf>
    <xf numFmtId="0" fontId="1" fillId="0" borderId="3" xfId="14" applyBorder="1"/>
    <xf numFmtId="0" fontId="13" fillId="0" borderId="0" xfId="14" applyFont="1" applyAlignment="1">
      <alignment wrapText="1"/>
    </xf>
    <xf numFmtId="0" fontId="0" fillId="0" borderId="0" xfId="14" applyFont="1" applyAlignment="1">
      <alignment vertical="top"/>
    </xf>
    <xf numFmtId="0" fontId="15" fillId="0" borderId="0" xfId="16" applyAlignment="1"/>
    <xf numFmtId="0" fontId="1" fillId="0" borderId="0" xfId="14" applyAlignment="1">
      <alignment vertical="top"/>
    </xf>
    <xf numFmtId="0" fontId="16" fillId="0" borderId="0" xfId="13" applyFont="1" applyAlignment="1"/>
    <xf numFmtId="0" fontId="13" fillId="0" borderId="0" xfId="14" applyFont="1" applyAlignment="1">
      <alignment vertical="center"/>
    </xf>
    <xf numFmtId="0" fontId="1" fillId="0" borderId="0" xfId="14" applyAlignment="1">
      <alignment vertical="center"/>
    </xf>
    <xf numFmtId="0" fontId="14" fillId="0" borderId="0" xfId="13" applyAlignment="1"/>
    <xf numFmtId="0" fontId="13" fillId="0" borderId="0" xfId="14" applyFont="1" applyAlignment="1">
      <alignment vertical="top" wrapText="1"/>
    </xf>
    <xf numFmtId="0" fontId="1" fillId="8" borderId="0" xfId="14" applyFill="1" applyAlignment="1">
      <alignment vertical="top" wrapText="1"/>
    </xf>
    <xf numFmtId="0" fontId="1" fillId="8" borderId="0" xfId="14" applyFill="1" applyAlignment="1">
      <alignment wrapText="1"/>
    </xf>
    <xf numFmtId="0" fontId="1" fillId="0" borderId="0" xfId="14" applyAlignment="1">
      <alignment vertical="top" wrapText="1"/>
    </xf>
    <xf numFmtId="0" fontId="0" fillId="0" borderId="3" xfId="14" applyFont="1" applyBorder="1" applyAlignment="1">
      <alignment vertical="top"/>
    </xf>
    <xf numFmtId="0" fontId="0" fillId="0" borderId="0" xfId="14" applyFont="1" applyAlignment="1">
      <alignment vertical="top"/>
    </xf>
    <xf numFmtId="0" fontId="16" fillId="0" borderId="0" xfId="16" applyFont="1" applyAlignment="1"/>
    <xf numFmtId="0" fontId="13" fillId="0" borderId="0" xfId="15" applyFont="1" applyAlignment="1">
      <alignment vertical="center"/>
    </xf>
    <xf numFmtId="0" fontId="16" fillId="0" borderId="0" xfId="16" applyFont="1" applyAlignment="1">
      <alignment vertical="center"/>
    </xf>
    <xf numFmtId="0" fontId="17" fillId="0" borderId="0" xfId="14" applyFont="1" applyAlignment="1">
      <alignment vertical="center"/>
    </xf>
    <xf numFmtId="0" fontId="13" fillId="0" borderId="3" xfId="14" applyFont="1" applyBorder="1" applyAlignment="1">
      <alignment wrapText="1"/>
    </xf>
    <xf numFmtId="0" fontId="13" fillId="0" borderId="0" xfId="14" applyFont="1" applyAlignment="1">
      <alignment wrapText="1"/>
    </xf>
    <xf numFmtId="0" fontId="13" fillId="0" borderId="3" xfId="14" applyFont="1" applyBorder="1" applyAlignment="1">
      <alignment vertical="top" wrapText="1"/>
    </xf>
    <xf numFmtId="0" fontId="13" fillId="0" borderId="0" xfId="14" applyFont="1" applyAlignment="1">
      <alignment vertical="top" wrapText="1"/>
    </xf>
    <xf numFmtId="0" fontId="1" fillId="0" borderId="0" xfId="14" applyAlignment="1">
      <alignment vertical="top"/>
    </xf>
    <xf numFmtId="0" fontId="16" fillId="0" borderId="0" xfId="13" applyFont="1" applyAlignment="1"/>
    <xf numFmtId="0" fontId="13" fillId="0" borderId="3" xfId="14" applyFont="1" applyBorder="1" applyAlignment="1">
      <alignment vertical="center"/>
    </xf>
    <xf numFmtId="0" fontId="13" fillId="0" borderId="0" xfId="14" applyFont="1" applyAlignment="1">
      <alignment vertical="center"/>
    </xf>
    <xf numFmtId="0" fontId="1" fillId="0" borderId="0" xfId="14" applyAlignment="1">
      <alignment vertical="center"/>
    </xf>
    <xf numFmtId="0" fontId="13" fillId="0" borderId="0" xfId="14" applyFont="1"/>
    <xf numFmtId="0" fontId="15" fillId="0" borderId="0" xfId="16" applyAlignment="1">
      <alignment vertical="center"/>
    </xf>
    <xf numFmtId="0" fontId="14" fillId="0" borderId="0" xfId="17" applyAlignment="1">
      <alignment vertical="center"/>
    </xf>
    <xf numFmtId="0" fontId="1" fillId="8" borderId="0" xfId="14" applyFill="1" applyAlignment="1">
      <alignment wrapText="1"/>
    </xf>
    <xf numFmtId="0" fontId="1" fillId="8" borderId="0" xfId="14" applyFill="1" applyAlignment="1">
      <alignment vertical="top" wrapText="1"/>
    </xf>
  </cellXfs>
  <cellStyles count="18">
    <cellStyle name="Akcent 1" xfId="5" builtinId="29"/>
    <cellStyle name="Currency Round to thousands" xfId="1" xr:uid="{00000000-0005-0000-0000-000001000000}"/>
    <cellStyle name="Czarny" xfId="9" xr:uid="{00000000-0005-0000-0000-000002000000}"/>
    <cellStyle name="Formuła" xfId="6" xr:uid="{00000000-0005-0000-0000-000003000000}"/>
    <cellStyle name="Four-Digit Year" xfId="2" xr:uid="{00000000-0005-0000-0000-000004000000}"/>
    <cellStyle name="Hiperłącze" xfId="13" builtinId="8"/>
    <cellStyle name="Hiperłącze 2" xfId="16" xr:uid="{D4B6A412-2145-4AE3-B657-6A6D06058059}"/>
    <cellStyle name="Hiperłącze 2 3" xfId="17" xr:uid="{B171A642-0DAF-4C36-B9D6-695B5044E706}"/>
    <cellStyle name="Informacja" xfId="7" xr:uid="{00000000-0005-0000-0000-000005000000}"/>
    <cellStyle name="Nagłówek" xfId="8" xr:uid="{00000000-0005-0000-0000-000006000000}"/>
    <cellStyle name="Normal 2" xfId="3" xr:uid="{00000000-0005-0000-0000-000007000000}"/>
    <cellStyle name="Normalny" xfId="0" builtinId="0"/>
    <cellStyle name="Normalny 2 2" xfId="12" xr:uid="{00000000-0005-0000-0000-000009000000}"/>
    <cellStyle name="Normalny 2 3 2 2" xfId="14" xr:uid="{D0158F64-0013-4F6C-A326-2494EE39B6CB}"/>
    <cellStyle name="Normalny 4 2" xfId="15" xr:uid="{2B18054B-4012-4109-8E0B-105F48C6A358}"/>
    <cellStyle name="Normalny 5" xfId="11" xr:uid="{00000000-0005-0000-0000-00000A000000}"/>
    <cellStyle name="Wrap Text" xfId="4" xr:uid="{00000000-0005-0000-0000-00000B000000}"/>
    <cellStyle name="ziel" xfId="10" xr:uid="{00000000-0005-0000-0000-00000C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2EA3F2"/>
      <color rgb="FFE2F6E6"/>
      <color rgb="FFCFF1D6"/>
      <color rgb="FF00FF00"/>
      <color rgb="FF0000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2E423A18-436A-45A8-ABDF-6781BB286A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0EBA4E20-F026-4B18-B178-78A5EA0C7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33FDAEF3-7A9A-485C-8B29-53981602C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7C45F894-4936-44EA-B9F0-7B7975617977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8E259DB-1796-42D5-BE75-90CA96BBE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454854D-6279-418E-AFE0-EC91A5E0A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48D9E3F-1883-4B3D-994D-742AE7267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8E07FDF-0861-4B81-A326-57E5CD83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AB361AF-1CAE-497D-A82B-023B2D775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E4E6BA3-9F21-43DF-A78A-79195A759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763205F7-50E8-44C6-A389-036704C60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C9764C2A-1AB8-4731-B07F-18688C79B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954AFCEF-AE04-4DDC-8879-B727154DF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76587</xdr:colOff>
      <xdr:row>3</xdr:row>
      <xdr:rowOff>134373</xdr:rowOff>
    </xdr:from>
    <xdr:to>
      <xdr:col>16</xdr:col>
      <xdr:colOff>157370</xdr:colOff>
      <xdr:row>11</xdr:row>
      <xdr:rowOff>74943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6957" y="681025"/>
          <a:ext cx="1844978" cy="13983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D427-B48C-4196-B753-76D072F79749}">
  <sheetPr>
    <tabColor theme="9" tint="0.39997558519241921"/>
  </sheetPr>
  <dimension ref="B1:CW95"/>
  <sheetViews>
    <sheetView showGridLines="0" showRowColHeaders="0" zoomScaleNormal="100" workbookViewId="0">
      <selection activeCell="BS24" sqref="BS24"/>
    </sheetView>
  </sheetViews>
  <sheetFormatPr defaultColWidth="9.140625" defaultRowHeight="15" x14ac:dyDescent="0.25"/>
  <cols>
    <col min="1" max="99" width="2.42578125" style="12" customWidth="1"/>
    <col min="100" max="101" width="2.42578125" customWidth="1"/>
    <col min="102" max="105" width="9.140625" style="12"/>
    <col min="106" max="106" width="10.7109375" style="12" customWidth="1"/>
    <col min="107" max="107" width="73.7109375" style="12" customWidth="1"/>
    <col min="108" max="108" width="6.28515625" style="12" customWidth="1"/>
    <col min="109" max="16384" width="9.140625" style="12"/>
  </cols>
  <sheetData>
    <row r="1" spans="18:99" customFormat="1" ht="6" customHeight="1" x14ac:dyDescent="0.25"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</row>
    <row r="2" spans="18:99" customFormat="1" ht="6" customHeight="1" x14ac:dyDescent="0.25">
      <c r="R2" s="12"/>
      <c r="S2" s="12"/>
      <c r="T2" s="12"/>
      <c r="U2" s="12"/>
      <c r="V2" s="12"/>
      <c r="W2" s="12"/>
      <c r="X2" s="12"/>
      <c r="Y2" s="12"/>
      <c r="Z2" s="32" t="s">
        <v>83</v>
      </c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13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</row>
    <row r="3" spans="18:99" customFormat="1" ht="6" customHeight="1" x14ac:dyDescent="0.25">
      <c r="R3" s="12"/>
      <c r="S3" s="12"/>
      <c r="T3" s="12"/>
      <c r="U3" s="12"/>
      <c r="V3" s="12"/>
      <c r="W3" s="12"/>
      <c r="X3" s="12"/>
      <c r="Y3" s="1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13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</row>
    <row r="4" spans="18:99" customFormat="1" ht="6" customHeight="1" x14ac:dyDescent="0.25">
      <c r="R4" s="12"/>
      <c r="S4" s="12"/>
      <c r="T4" s="12"/>
      <c r="U4" s="12"/>
      <c r="V4" s="12"/>
      <c r="W4" s="12"/>
      <c r="X4" s="12"/>
      <c r="Y4" s="12"/>
      <c r="Z4" s="33" t="s">
        <v>84</v>
      </c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14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</row>
    <row r="5" spans="18:99" customFormat="1" ht="6" customHeight="1" x14ac:dyDescent="0.25">
      <c r="R5" s="34" t="s">
        <v>85</v>
      </c>
      <c r="S5" s="34"/>
      <c r="T5" s="34"/>
      <c r="U5" s="34"/>
      <c r="V5" s="34"/>
      <c r="W5" s="34"/>
      <c r="X5" s="12"/>
      <c r="Y5" s="12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14"/>
      <c r="BE5" s="12"/>
      <c r="BF5" s="34" t="s">
        <v>86</v>
      </c>
      <c r="BG5" s="34"/>
      <c r="BH5" s="34"/>
      <c r="BI5" s="34"/>
      <c r="BJ5" s="34"/>
      <c r="BK5" s="34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</row>
    <row r="6" spans="18:99" customFormat="1" ht="6" customHeight="1" x14ac:dyDescent="0.25">
      <c r="R6" s="34"/>
      <c r="S6" s="34"/>
      <c r="T6" s="34"/>
      <c r="U6" s="34"/>
      <c r="V6" s="34"/>
      <c r="W6" s="34"/>
      <c r="X6" s="12"/>
      <c r="Y6" s="12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14"/>
      <c r="BE6" s="12"/>
      <c r="BF6" s="34"/>
      <c r="BG6" s="34"/>
      <c r="BH6" s="34"/>
      <c r="BI6" s="34"/>
      <c r="BJ6" s="34"/>
      <c r="BK6" s="34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</row>
    <row r="7" spans="18:99" customFormat="1" ht="6" customHeight="1" x14ac:dyDescent="0.25">
      <c r="R7" s="34"/>
      <c r="S7" s="34"/>
      <c r="T7" s="34"/>
      <c r="U7" s="34"/>
      <c r="V7" s="34"/>
      <c r="W7" s="34"/>
      <c r="X7" s="15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34"/>
      <c r="BG7" s="34"/>
      <c r="BH7" s="34"/>
      <c r="BI7" s="34"/>
      <c r="BJ7" s="34"/>
      <c r="BK7" s="34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</row>
    <row r="8" spans="18:99" customFormat="1" ht="6" customHeight="1" x14ac:dyDescent="0.25"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</row>
    <row r="9" spans="18:99" customFormat="1" ht="6" customHeight="1" x14ac:dyDescent="0.25">
      <c r="R9" s="16"/>
      <c r="S9" s="16"/>
      <c r="T9" s="16"/>
      <c r="U9" s="16"/>
      <c r="V9" s="16"/>
      <c r="W9" s="16"/>
      <c r="X9" s="16"/>
      <c r="Y9" s="16"/>
      <c r="Z9" s="35" t="s">
        <v>87</v>
      </c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17"/>
      <c r="BE9" s="12"/>
      <c r="BF9" s="16"/>
      <c r="BG9" s="16"/>
      <c r="BH9" s="16"/>
      <c r="BI9" s="16"/>
      <c r="BJ9" s="16"/>
      <c r="BK9" s="16"/>
      <c r="BL9" s="16"/>
      <c r="BM9" s="16"/>
      <c r="BN9" s="29" t="s">
        <v>88</v>
      </c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18"/>
      <c r="CS9" s="18"/>
      <c r="CT9" s="18"/>
      <c r="CU9" s="18"/>
    </row>
    <row r="10" spans="18:99" customFormat="1" ht="6" customHeight="1" x14ac:dyDescent="0.25">
      <c r="R10" s="12"/>
      <c r="S10" s="12"/>
      <c r="T10" s="12"/>
      <c r="U10" s="12"/>
      <c r="V10" s="12"/>
      <c r="W10" s="12"/>
      <c r="X10" s="12"/>
      <c r="Y10" s="12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17"/>
      <c r="BE10" s="12"/>
      <c r="BF10" s="12"/>
      <c r="BG10" s="12"/>
      <c r="BH10" s="12"/>
      <c r="BI10" s="12"/>
      <c r="BJ10" s="12"/>
      <c r="BK10" s="12"/>
      <c r="BL10" s="12"/>
      <c r="BM10" s="12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18"/>
      <c r="CS10" s="18"/>
      <c r="CT10" s="18"/>
      <c r="CU10" s="18"/>
    </row>
    <row r="11" spans="18:99" customFormat="1" ht="6" customHeight="1" x14ac:dyDescent="0.25">
      <c r="R11" s="12"/>
      <c r="S11" s="12"/>
      <c r="T11" s="12"/>
      <c r="U11" s="12"/>
      <c r="V11" s="12"/>
      <c r="W11" s="12"/>
      <c r="X11" s="12"/>
      <c r="Y11" s="12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17"/>
      <c r="BE11" s="12"/>
      <c r="BF11" s="12"/>
      <c r="BG11" s="12"/>
      <c r="BH11" s="12"/>
      <c r="BI11" s="12"/>
      <c r="BJ11" s="12"/>
      <c r="BK11" s="12"/>
      <c r="BL11" s="12"/>
      <c r="BM11" s="12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18"/>
      <c r="CS11" s="18"/>
      <c r="CT11" s="18"/>
      <c r="CU11" s="18"/>
    </row>
    <row r="12" spans="18:99" customFormat="1" ht="6" customHeight="1" x14ac:dyDescent="0.25">
      <c r="R12" s="12"/>
      <c r="S12" s="12"/>
      <c r="T12" s="12"/>
      <c r="U12" s="12"/>
      <c r="V12" s="12"/>
      <c r="W12" s="12"/>
      <c r="X12" s="12"/>
      <c r="Y12" s="12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17"/>
      <c r="BE12" s="12"/>
      <c r="BF12" s="12"/>
      <c r="BG12" s="12"/>
      <c r="BH12" s="12"/>
      <c r="BI12" s="12"/>
      <c r="BJ12" s="12"/>
      <c r="BK12" s="12"/>
      <c r="BL12" s="12"/>
      <c r="BM12" s="12"/>
      <c r="BN12" s="31" t="s">
        <v>89</v>
      </c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19"/>
      <c r="CS12" s="19"/>
      <c r="CT12" s="19"/>
      <c r="CU12" s="19"/>
    </row>
    <row r="13" spans="18:99" customFormat="1" ht="6" customHeight="1" x14ac:dyDescent="0.25">
      <c r="R13" s="12"/>
      <c r="S13" s="12"/>
      <c r="T13" s="12"/>
      <c r="U13" s="12"/>
      <c r="V13" s="12"/>
      <c r="W13" s="12"/>
      <c r="X13" s="12"/>
      <c r="Y13" s="12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17"/>
      <c r="BE13" s="12"/>
      <c r="BF13" s="12"/>
      <c r="BG13" s="12"/>
      <c r="BH13" s="12"/>
      <c r="BI13" s="12"/>
      <c r="BJ13" s="12"/>
      <c r="BK13" s="12"/>
      <c r="BL13" s="12"/>
      <c r="BM13" s="12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19"/>
      <c r="CS13" s="19"/>
      <c r="CT13" s="19"/>
      <c r="CU13" s="19"/>
    </row>
    <row r="14" spans="18:99" customFormat="1" ht="6" customHeight="1" x14ac:dyDescent="0.25">
      <c r="R14" s="12"/>
      <c r="S14" s="12"/>
      <c r="T14" s="12"/>
      <c r="U14" s="12"/>
      <c r="V14" s="12"/>
      <c r="W14" s="12"/>
      <c r="X14" s="12"/>
      <c r="Y14" s="12"/>
      <c r="Z14" s="39" t="s">
        <v>90</v>
      </c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20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</row>
    <row r="15" spans="18:99" customFormat="1" ht="6" customHeight="1" x14ac:dyDescent="0.25">
      <c r="R15" s="12"/>
      <c r="S15" s="12"/>
      <c r="T15" s="12"/>
      <c r="U15" s="12"/>
      <c r="V15" s="12"/>
      <c r="W15" s="12"/>
      <c r="X15" s="12"/>
      <c r="Y15" s="12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20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</row>
    <row r="16" spans="18:99" customFormat="1" ht="6" customHeight="1" x14ac:dyDescent="0.25">
      <c r="R16" s="12"/>
      <c r="S16" s="12"/>
      <c r="T16" s="12"/>
      <c r="U16" s="12"/>
      <c r="V16" s="12"/>
      <c r="W16" s="12"/>
      <c r="X16" s="12"/>
      <c r="Y16" s="12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20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</row>
    <row r="17" spans="18:56" ht="6" customHeight="1" x14ac:dyDescent="0.25">
      <c r="Z17" s="40" t="s">
        <v>91</v>
      </c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21"/>
    </row>
    <row r="18" spans="18:56" ht="6" customHeight="1" x14ac:dyDescent="0.25"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21"/>
    </row>
    <row r="19" spans="18:56" ht="6" customHeight="1" x14ac:dyDescent="0.25"/>
    <row r="20" spans="18:56" ht="6" customHeight="1" x14ac:dyDescent="0.25"/>
    <row r="21" spans="18:56" ht="6" customHeight="1" x14ac:dyDescent="0.25">
      <c r="R21" s="16"/>
      <c r="S21" s="16"/>
      <c r="T21" s="16"/>
      <c r="U21" s="16"/>
      <c r="V21" s="16"/>
      <c r="W21" s="16"/>
      <c r="X21" s="16"/>
      <c r="Y21" s="16"/>
      <c r="Z21" s="41" t="s">
        <v>92</v>
      </c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22"/>
    </row>
    <row r="22" spans="18:56" ht="6" customHeight="1" x14ac:dyDescent="0.25"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22"/>
    </row>
    <row r="23" spans="18:56" ht="6" customHeight="1" x14ac:dyDescent="0.25">
      <c r="Z23" s="43" t="s">
        <v>93</v>
      </c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23"/>
    </row>
    <row r="24" spans="18:56" ht="6" customHeight="1" x14ac:dyDescent="0.25"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23"/>
    </row>
    <row r="25" spans="18:56" ht="6" customHeight="1" x14ac:dyDescent="0.25"/>
    <row r="26" spans="18:56" ht="6" customHeight="1" x14ac:dyDescent="0.25">
      <c r="Z26" s="40" t="s">
        <v>94</v>
      </c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21"/>
    </row>
    <row r="27" spans="18:56" ht="6" customHeight="1" x14ac:dyDescent="0.25"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21"/>
    </row>
    <row r="28" spans="18:56" ht="6" customHeight="1" x14ac:dyDescent="0.25"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</row>
    <row r="29" spans="18:56" ht="6" customHeight="1" x14ac:dyDescent="0.25"/>
    <row r="30" spans="18:56" ht="6" customHeight="1" x14ac:dyDescent="0.25"/>
    <row r="31" spans="18:56" ht="6" customHeight="1" x14ac:dyDescent="0.25"/>
    <row r="32" spans="18:56" ht="6" customHeight="1" x14ac:dyDescent="0.25">
      <c r="R32" s="16"/>
      <c r="S32" s="16"/>
      <c r="T32" s="16"/>
      <c r="U32" s="16"/>
      <c r="V32" s="16"/>
      <c r="W32" s="16"/>
      <c r="X32" s="16"/>
      <c r="Y32" s="16"/>
      <c r="Z32" s="37" t="s">
        <v>95</v>
      </c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25"/>
    </row>
    <row r="33" spans="18:99" customFormat="1" ht="6" customHeight="1" x14ac:dyDescent="0.25">
      <c r="R33" s="12"/>
      <c r="S33" s="12"/>
      <c r="T33" s="12"/>
      <c r="U33" s="12"/>
      <c r="V33" s="12"/>
      <c r="W33" s="12"/>
      <c r="X33" s="12"/>
      <c r="Y33" s="12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25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</row>
    <row r="34" spans="18:99" customFormat="1" ht="6" customHeight="1" x14ac:dyDescent="0.25">
      <c r="R34" s="12"/>
      <c r="S34" s="12"/>
      <c r="T34" s="12"/>
      <c r="U34" s="12"/>
      <c r="V34" s="12"/>
      <c r="W34" s="12"/>
      <c r="X34" s="12"/>
      <c r="Y34" s="12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25"/>
      <c r="BE34" s="12"/>
      <c r="BF34" s="16"/>
      <c r="BG34" s="16"/>
      <c r="BH34" s="16"/>
      <c r="BI34" s="16"/>
      <c r="BJ34" s="16"/>
      <c r="BK34" s="16"/>
      <c r="BL34" s="16"/>
      <c r="BM34" s="16"/>
      <c r="BN34" s="29" t="s">
        <v>96</v>
      </c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18"/>
      <c r="CS34" s="18"/>
      <c r="CT34" s="18"/>
      <c r="CU34" s="18"/>
    </row>
    <row r="35" spans="18:99" customFormat="1" ht="6" customHeight="1" x14ac:dyDescent="0.25">
      <c r="R35" s="12"/>
      <c r="S35" s="12"/>
      <c r="T35" s="12"/>
      <c r="U35" s="12"/>
      <c r="V35" s="12"/>
      <c r="W35" s="12"/>
      <c r="X35" s="12"/>
      <c r="Y35" s="12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25"/>
      <c r="BE35" s="12"/>
      <c r="BF35" s="12"/>
      <c r="BG35" s="12"/>
      <c r="BH35" s="12"/>
      <c r="BI35" s="12"/>
      <c r="BJ35" s="12"/>
      <c r="BK35" s="12"/>
      <c r="BL35" s="12"/>
      <c r="BM35" s="12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18"/>
      <c r="CS35" s="18"/>
      <c r="CT35" s="18"/>
      <c r="CU35" s="18"/>
    </row>
    <row r="36" spans="18:99" customFormat="1" ht="6" customHeight="1" x14ac:dyDescent="0.25">
      <c r="R36" s="12"/>
      <c r="S36" s="12"/>
      <c r="T36" s="12"/>
      <c r="U36" s="12"/>
      <c r="V36" s="12"/>
      <c r="W36" s="12"/>
      <c r="X36" s="12"/>
      <c r="Y36" s="12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25"/>
      <c r="BE36" s="12"/>
      <c r="BF36" s="12"/>
      <c r="BG36" s="12"/>
      <c r="BH36" s="12"/>
      <c r="BI36" s="12"/>
      <c r="BJ36" s="12"/>
      <c r="BK36" s="12"/>
      <c r="BL36" s="12"/>
      <c r="BM36" s="12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18"/>
      <c r="CS36" s="18"/>
      <c r="CT36" s="18"/>
      <c r="CU36" s="18"/>
    </row>
    <row r="37" spans="18:99" customFormat="1" ht="6" customHeight="1" x14ac:dyDescent="0.25">
      <c r="R37" s="12"/>
      <c r="S37" s="12"/>
      <c r="T37" s="12"/>
      <c r="U37" s="12"/>
      <c r="V37" s="12"/>
      <c r="W37" s="12"/>
      <c r="X37" s="12"/>
      <c r="Y37" s="12"/>
      <c r="Z37" s="39" t="s">
        <v>97</v>
      </c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20"/>
      <c r="BE37" s="12"/>
      <c r="BF37" s="12"/>
      <c r="BG37" s="12"/>
      <c r="BH37" s="12"/>
      <c r="BI37" s="12"/>
      <c r="BJ37" s="12"/>
      <c r="BK37" s="12"/>
      <c r="BL37" s="12"/>
      <c r="BM37" s="12"/>
      <c r="BN37" s="31" t="s">
        <v>98</v>
      </c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19"/>
      <c r="CS37" s="19"/>
      <c r="CT37" s="19"/>
      <c r="CU37" s="19"/>
    </row>
    <row r="38" spans="18:99" customFormat="1" ht="6" customHeight="1" x14ac:dyDescent="0.25">
      <c r="R38" s="12"/>
      <c r="S38" s="12"/>
      <c r="T38" s="12"/>
      <c r="U38" s="12"/>
      <c r="V38" s="12"/>
      <c r="W38" s="12"/>
      <c r="X38" s="12"/>
      <c r="Y38" s="12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20"/>
      <c r="BE38" s="12"/>
      <c r="BF38" s="12"/>
      <c r="BG38" s="12"/>
      <c r="BH38" s="12"/>
      <c r="BI38" s="12"/>
      <c r="BJ38" s="12"/>
      <c r="BK38" s="12"/>
      <c r="BL38" s="12"/>
      <c r="BM38" s="12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19"/>
      <c r="CS38" s="19"/>
      <c r="CT38" s="19"/>
      <c r="CU38" s="19"/>
    </row>
    <row r="39" spans="18:99" customFormat="1" ht="6" customHeight="1" x14ac:dyDescent="0.25">
      <c r="R39" s="12"/>
      <c r="S39" s="12"/>
      <c r="T39" s="12"/>
      <c r="U39" s="12"/>
      <c r="V39" s="12"/>
      <c r="W39" s="12"/>
      <c r="X39" s="12"/>
      <c r="Y39" s="12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20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</row>
    <row r="40" spans="18:99" customFormat="1" ht="6" customHeight="1" x14ac:dyDescent="0.25">
      <c r="R40" s="12"/>
      <c r="S40" s="12"/>
      <c r="T40" s="12"/>
      <c r="U40" s="12"/>
      <c r="V40" s="12"/>
      <c r="W40" s="12"/>
      <c r="X40" s="12"/>
      <c r="Y40" s="12"/>
      <c r="Z40" s="40" t="s">
        <v>99</v>
      </c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21"/>
      <c r="BE40" s="12"/>
      <c r="BF40" s="12"/>
      <c r="BG40" s="12"/>
      <c r="BH40" s="12"/>
      <c r="BI40" s="12"/>
      <c r="BJ40" s="12"/>
      <c r="BK40" s="12"/>
      <c r="BL40" s="12"/>
      <c r="BM40" s="12"/>
      <c r="BN40" s="30" t="s">
        <v>100</v>
      </c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18"/>
      <c r="CS40" s="18"/>
      <c r="CT40" s="18"/>
      <c r="CU40" s="18"/>
    </row>
    <row r="41" spans="18:99" customFormat="1" ht="6" customHeight="1" x14ac:dyDescent="0.25">
      <c r="R41" s="12"/>
      <c r="S41" s="12"/>
      <c r="T41" s="12"/>
      <c r="U41" s="12"/>
      <c r="V41" s="12"/>
      <c r="W41" s="12"/>
      <c r="X41" s="12"/>
      <c r="Y41" s="12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21"/>
      <c r="BE41" s="12"/>
      <c r="BF41" s="12"/>
      <c r="BG41" s="12"/>
      <c r="BH41" s="12"/>
      <c r="BI41" s="12"/>
      <c r="BJ41" s="12"/>
      <c r="BK41" s="12"/>
      <c r="BL41" s="12"/>
      <c r="BM41" s="12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18"/>
      <c r="CS41" s="18"/>
      <c r="CT41" s="18"/>
      <c r="CU41" s="18"/>
    </row>
    <row r="42" spans="18:99" customFormat="1" ht="6" customHeight="1" x14ac:dyDescent="0.25"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18"/>
      <c r="CS42" s="18"/>
      <c r="CT42" s="18"/>
      <c r="CU42" s="18"/>
    </row>
    <row r="43" spans="18:99" customFormat="1" ht="6" customHeight="1" x14ac:dyDescent="0.25">
      <c r="R43" s="16"/>
      <c r="S43" s="16"/>
      <c r="T43" s="16"/>
      <c r="U43" s="16"/>
      <c r="V43" s="16"/>
      <c r="W43" s="16"/>
      <c r="X43" s="16"/>
      <c r="Y43" s="16"/>
      <c r="Z43" s="37" t="s">
        <v>101</v>
      </c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25"/>
      <c r="BE43" s="12"/>
      <c r="BF43" s="12"/>
      <c r="BG43" s="12"/>
      <c r="BH43" s="12"/>
      <c r="BI43" s="12"/>
      <c r="BJ43" s="12"/>
      <c r="BK43" s="12"/>
      <c r="BL43" s="12"/>
      <c r="BM43" s="12"/>
      <c r="BN43" s="31" t="s">
        <v>102</v>
      </c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19"/>
      <c r="CS43" s="19"/>
      <c r="CT43" s="19"/>
      <c r="CU43" s="19"/>
    </row>
    <row r="44" spans="18:99" customFormat="1" ht="6" customHeight="1" x14ac:dyDescent="0.25">
      <c r="R44" s="12"/>
      <c r="S44" s="12"/>
      <c r="T44" s="12"/>
      <c r="U44" s="12"/>
      <c r="V44" s="12"/>
      <c r="W44" s="12"/>
      <c r="X44" s="12"/>
      <c r="Y44" s="12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25"/>
      <c r="BE44" s="12"/>
      <c r="BF44" s="12"/>
      <c r="BG44" s="12"/>
      <c r="BH44" s="12"/>
      <c r="BI44" s="12"/>
      <c r="BJ44" s="12"/>
      <c r="BK44" s="12"/>
      <c r="BL44" s="12"/>
      <c r="BM44" s="12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19"/>
      <c r="CS44" s="19"/>
      <c r="CT44" s="19"/>
      <c r="CU44" s="19"/>
    </row>
    <row r="45" spans="18:99" customFormat="1" ht="6" customHeight="1" x14ac:dyDescent="0.25">
      <c r="R45" s="12"/>
      <c r="S45" s="12"/>
      <c r="T45" s="12"/>
      <c r="U45" s="12"/>
      <c r="V45" s="12"/>
      <c r="W45" s="12"/>
      <c r="X45" s="12"/>
      <c r="Y45" s="12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25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</row>
    <row r="46" spans="18:99" customFormat="1" ht="6" customHeight="1" x14ac:dyDescent="0.25">
      <c r="R46" s="12"/>
      <c r="S46" s="12"/>
      <c r="T46" s="12"/>
      <c r="U46" s="12"/>
      <c r="V46" s="12"/>
      <c r="W46" s="12"/>
      <c r="X46" s="12"/>
      <c r="Y46" s="12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25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</row>
    <row r="47" spans="18:99" customFormat="1" ht="6" customHeight="1" x14ac:dyDescent="0.25">
      <c r="R47" s="12"/>
      <c r="S47" s="12"/>
      <c r="T47" s="12"/>
      <c r="U47" s="12"/>
      <c r="V47" s="12"/>
      <c r="W47" s="12"/>
      <c r="X47" s="12"/>
      <c r="Y47" s="12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25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</row>
    <row r="48" spans="18:99" customFormat="1" ht="6" customHeight="1" x14ac:dyDescent="0.25">
      <c r="R48" s="12"/>
      <c r="S48" s="12"/>
      <c r="T48" s="12"/>
      <c r="U48" s="12"/>
      <c r="V48" s="12"/>
      <c r="W48" s="12"/>
      <c r="X48" s="12"/>
      <c r="Y48" s="12"/>
      <c r="Z48" s="39" t="s">
        <v>103</v>
      </c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20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</row>
    <row r="49" spans="2:99" customFormat="1" ht="6" customHeight="1" x14ac:dyDescent="0.25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20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</row>
    <row r="50" spans="2:99" customFormat="1" ht="6" customHeight="1" x14ac:dyDescent="0.2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20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</row>
    <row r="51" spans="2:99" customFormat="1" ht="6" customHeight="1" x14ac:dyDescent="0.25">
      <c r="B51" s="33" t="s">
        <v>104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12"/>
      <c r="R51" s="12"/>
      <c r="S51" s="12"/>
      <c r="T51" s="12"/>
      <c r="U51" s="12"/>
      <c r="V51" s="12"/>
      <c r="W51" s="12"/>
      <c r="X51" s="12"/>
      <c r="Y51" s="12"/>
      <c r="Z51" s="40" t="s">
        <v>105</v>
      </c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21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</row>
    <row r="52" spans="2:99" customFormat="1" ht="6" customHeight="1" x14ac:dyDescent="0.25"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12"/>
      <c r="R52" s="12"/>
      <c r="S52" s="12"/>
      <c r="T52" s="12"/>
      <c r="U52" s="12"/>
      <c r="V52" s="12"/>
      <c r="W52" s="12"/>
      <c r="X52" s="12"/>
      <c r="Y52" s="12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21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</row>
    <row r="53" spans="2:99" customFormat="1" ht="6" customHeight="1" x14ac:dyDescent="0.25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</row>
    <row r="54" spans="2:99" customFormat="1" ht="6" customHeight="1" x14ac:dyDescent="0.25">
      <c r="B54" s="44" t="s">
        <v>106</v>
      </c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12"/>
      <c r="R54" s="16"/>
      <c r="S54" s="16"/>
      <c r="T54" s="16"/>
      <c r="U54" s="16"/>
      <c r="V54" s="16"/>
      <c r="W54" s="16"/>
      <c r="X54" s="16"/>
      <c r="Y54" s="16"/>
      <c r="Z54" s="37" t="s">
        <v>107</v>
      </c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25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</row>
    <row r="55" spans="2:99" customFormat="1" ht="6" customHeight="1" x14ac:dyDescent="0.25"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12"/>
      <c r="R55" s="12"/>
      <c r="S55" s="12"/>
      <c r="T55" s="12"/>
      <c r="U55" s="12"/>
      <c r="V55" s="12"/>
      <c r="W55" s="12"/>
      <c r="X55" s="12"/>
      <c r="Y55" s="12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25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</row>
    <row r="56" spans="2:99" customFormat="1" ht="6" customHeight="1" x14ac:dyDescent="0.25"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12"/>
      <c r="R56" s="12"/>
      <c r="S56" s="12"/>
      <c r="T56" s="12"/>
      <c r="U56" s="12"/>
      <c r="V56" s="12"/>
      <c r="W56" s="12"/>
      <c r="X56" s="12"/>
      <c r="Y56" s="12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25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</row>
    <row r="57" spans="2:99" customFormat="1" ht="6" customHeight="1" x14ac:dyDescent="0.25">
      <c r="B57" s="45" t="s">
        <v>108</v>
      </c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12"/>
      <c r="R57" s="12"/>
      <c r="S57" s="12"/>
      <c r="T57" s="12"/>
      <c r="U57" s="12"/>
      <c r="V57" s="12"/>
      <c r="W57" s="12"/>
      <c r="X57" s="12"/>
      <c r="Y57" s="12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25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</row>
    <row r="58" spans="2:99" customFormat="1" ht="6" customHeight="1" x14ac:dyDescent="0.25"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12"/>
      <c r="R58" s="12"/>
      <c r="S58" s="12"/>
      <c r="T58" s="12"/>
      <c r="U58" s="12"/>
      <c r="V58" s="12"/>
      <c r="W58" s="12"/>
      <c r="X58" s="12"/>
      <c r="Y58" s="12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25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</row>
    <row r="59" spans="2:99" customFormat="1" ht="6" customHeight="1" x14ac:dyDescent="0.25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39" t="s">
        <v>109</v>
      </c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20"/>
      <c r="BE59" s="12"/>
      <c r="BF59" s="16"/>
      <c r="BG59" s="16"/>
      <c r="BH59" s="16"/>
      <c r="BI59" s="16"/>
      <c r="BJ59" s="16"/>
      <c r="BK59" s="16"/>
      <c r="BL59" s="16"/>
      <c r="BM59" s="16"/>
      <c r="BN59" s="29" t="s">
        <v>96</v>
      </c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18"/>
      <c r="CS59" s="18"/>
      <c r="CT59" s="18"/>
      <c r="CU59" s="18"/>
    </row>
    <row r="60" spans="2:99" customFormat="1" ht="6" customHeight="1" x14ac:dyDescent="0.25">
      <c r="B60" s="44" t="s">
        <v>110</v>
      </c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12"/>
      <c r="R60" s="12"/>
      <c r="S60" s="12"/>
      <c r="T60" s="12"/>
      <c r="U60" s="12"/>
      <c r="V60" s="12"/>
      <c r="W60" s="12"/>
      <c r="X60" s="12"/>
      <c r="Y60" s="12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20"/>
      <c r="BE60" s="12"/>
      <c r="BF60" s="12"/>
      <c r="BG60" s="12"/>
      <c r="BH60" s="12"/>
      <c r="BI60" s="12"/>
      <c r="BJ60" s="12"/>
      <c r="BK60" s="12"/>
      <c r="BL60" s="12"/>
      <c r="BM60" s="12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18"/>
      <c r="CS60" s="18"/>
      <c r="CT60" s="18"/>
      <c r="CU60" s="18"/>
    </row>
    <row r="61" spans="2:99" customFormat="1" ht="6" customHeight="1" x14ac:dyDescent="0.25"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12"/>
      <c r="R61" s="12"/>
      <c r="S61" s="12"/>
      <c r="T61" s="12"/>
      <c r="U61" s="12"/>
      <c r="V61" s="12"/>
      <c r="W61" s="12"/>
      <c r="X61" s="12"/>
      <c r="Y61" s="12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20"/>
      <c r="BE61" s="12"/>
      <c r="BF61" s="12"/>
      <c r="BG61" s="12"/>
      <c r="BH61" s="12"/>
      <c r="BI61" s="12"/>
      <c r="BJ61" s="12"/>
      <c r="BK61" s="12"/>
      <c r="BL61" s="12"/>
      <c r="BM61" s="12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18"/>
      <c r="CS61" s="18"/>
      <c r="CT61" s="18"/>
      <c r="CU61" s="18"/>
    </row>
    <row r="62" spans="2:99" customFormat="1" ht="6" customHeight="1" x14ac:dyDescent="0.25"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12"/>
      <c r="R62" s="12"/>
      <c r="S62" s="12"/>
      <c r="T62" s="12"/>
      <c r="U62" s="12"/>
      <c r="V62" s="12"/>
      <c r="W62" s="12"/>
      <c r="X62" s="12"/>
      <c r="Y62" s="12"/>
      <c r="Z62" s="40" t="s">
        <v>111</v>
      </c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21"/>
      <c r="BE62" s="12"/>
      <c r="BF62" s="12"/>
      <c r="BG62" s="12"/>
      <c r="BH62" s="12"/>
      <c r="BI62" s="12"/>
      <c r="BJ62" s="12"/>
      <c r="BK62" s="12"/>
      <c r="BL62" s="12"/>
      <c r="BM62" s="12"/>
      <c r="BN62" s="31" t="s">
        <v>112</v>
      </c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19"/>
      <c r="CS62" s="19"/>
      <c r="CT62" s="19"/>
      <c r="CU62" s="19"/>
    </row>
    <row r="63" spans="2:99" customFormat="1" ht="6" customHeight="1" x14ac:dyDescent="0.25">
      <c r="B63" s="46" t="s">
        <v>113</v>
      </c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12"/>
      <c r="R63" s="12"/>
      <c r="S63" s="12"/>
      <c r="T63" s="12"/>
      <c r="U63" s="12"/>
      <c r="V63" s="12"/>
      <c r="W63" s="12"/>
      <c r="X63" s="12"/>
      <c r="Y63" s="12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21"/>
      <c r="BE63" s="12"/>
      <c r="BF63" s="12"/>
      <c r="BG63" s="12"/>
      <c r="BH63" s="12"/>
      <c r="BI63" s="12"/>
      <c r="BJ63" s="12"/>
      <c r="BK63" s="12"/>
      <c r="BL63" s="12"/>
      <c r="BM63" s="12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19"/>
      <c r="CS63" s="19"/>
      <c r="CT63" s="19"/>
      <c r="CU63" s="19"/>
    </row>
    <row r="64" spans="2:99" customFormat="1" ht="6" customHeight="1" x14ac:dyDescent="0.25"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</row>
    <row r="65" spans="18:99" customFormat="1" ht="6" customHeight="1" x14ac:dyDescent="0.25">
      <c r="R65" s="16"/>
      <c r="S65" s="16"/>
      <c r="T65" s="16"/>
      <c r="U65" s="16"/>
      <c r="V65" s="16"/>
      <c r="W65" s="16"/>
      <c r="X65" s="16"/>
      <c r="Y65" s="16"/>
      <c r="Z65" s="37" t="s">
        <v>114</v>
      </c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25"/>
      <c r="BE65" s="12"/>
      <c r="BF65" s="12"/>
      <c r="BG65" s="12"/>
      <c r="BH65" s="12"/>
      <c r="BI65" s="12"/>
      <c r="BJ65" s="12"/>
      <c r="BK65" s="12"/>
      <c r="BL65" s="12"/>
      <c r="BM65" s="12"/>
      <c r="BN65" s="30" t="s">
        <v>100</v>
      </c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18"/>
      <c r="CS65" s="18"/>
      <c r="CT65" s="18"/>
      <c r="CU65" s="18"/>
    </row>
    <row r="66" spans="18:99" customFormat="1" ht="6" customHeight="1" x14ac:dyDescent="0.25">
      <c r="R66" s="12"/>
      <c r="S66" s="12"/>
      <c r="T66" s="12"/>
      <c r="U66" s="12"/>
      <c r="V66" s="12"/>
      <c r="W66" s="12"/>
      <c r="X66" s="12"/>
      <c r="Y66" s="12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25"/>
      <c r="BE66" s="12"/>
      <c r="BF66" s="12"/>
      <c r="BG66" s="12"/>
      <c r="BH66" s="12"/>
      <c r="BI66" s="12"/>
      <c r="BJ66" s="12"/>
      <c r="BK66" s="12"/>
      <c r="BL66" s="12"/>
      <c r="BM66" s="12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18"/>
      <c r="CS66" s="18"/>
      <c r="CT66" s="18"/>
      <c r="CU66" s="18"/>
    </row>
    <row r="67" spans="18:99" customFormat="1" ht="6" customHeight="1" x14ac:dyDescent="0.25">
      <c r="R67" s="12"/>
      <c r="S67" s="12"/>
      <c r="T67" s="12"/>
      <c r="U67" s="12"/>
      <c r="V67" s="12"/>
      <c r="W67" s="12"/>
      <c r="X67" s="12"/>
      <c r="Y67" s="12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25"/>
      <c r="BE67" s="12"/>
      <c r="BF67" s="12"/>
      <c r="BG67" s="12"/>
      <c r="BH67" s="12"/>
      <c r="BI67" s="12"/>
      <c r="BJ67" s="12"/>
      <c r="BK67" s="12"/>
      <c r="BL67" s="12"/>
      <c r="BM67" s="12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18"/>
      <c r="CS67" s="18"/>
      <c r="CT67" s="18"/>
      <c r="CU67" s="18"/>
    </row>
    <row r="68" spans="18:99" customFormat="1" ht="6" customHeight="1" x14ac:dyDescent="0.25">
      <c r="R68" s="12"/>
      <c r="S68" s="12"/>
      <c r="T68" s="12"/>
      <c r="U68" s="12"/>
      <c r="V68" s="12"/>
      <c r="W68" s="12"/>
      <c r="X68" s="12"/>
      <c r="Y68" s="12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25"/>
      <c r="BE68" s="12"/>
      <c r="BF68" s="12"/>
      <c r="BG68" s="12"/>
      <c r="BH68" s="12"/>
      <c r="BI68" s="12"/>
      <c r="BJ68" s="12"/>
      <c r="BK68" s="12"/>
      <c r="BL68" s="12"/>
      <c r="BM68" s="12"/>
      <c r="BN68" s="31" t="s">
        <v>115</v>
      </c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19"/>
      <c r="CS68" s="19"/>
      <c r="CT68" s="19"/>
      <c r="CU68" s="19"/>
    </row>
    <row r="69" spans="18:99" customFormat="1" ht="6" customHeight="1" x14ac:dyDescent="0.25">
      <c r="R69" s="12"/>
      <c r="S69" s="12"/>
      <c r="T69" s="12"/>
      <c r="U69" s="12"/>
      <c r="V69" s="12"/>
      <c r="W69" s="12"/>
      <c r="X69" s="12"/>
      <c r="Y69" s="12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25"/>
      <c r="BE69" s="12"/>
      <c r="BF69" s="12"/>
      <c r="BG69" s="12"/>
      <c r="BH69" s="12"/>
      <c r="BI69" s="12"/>
      <c r="BJ69" s="12"/>
      <c r="BK69" s="12"/>
      <c r="BL69" s="12"/>
      <c r="BM69" s="12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19"/>
      <c r="CS69" s="19"/>
      <c r="CT69" s="19"/>
      <c r="CU69" s="19"/>
    </row>
    <row r="70" spans="18:99" customFormat="1" ht="6" customHeight="1" x14ac:dyDescent="0.25"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</row>
    <row r="71" spans="18:99" customFormat="1" ht="6" customHeight="1" x14ac:dyDescent="0.25">
      <c r="R71" s="12"/>
      <c r="S71" s="12"/>
      <c r="T71" s="12"/>
      <c r="U71" s="12"/>
      <c r="V71" s="12"/>
      <c r="W71" s="12"/>
      <c r="X71" s="12"/>
      <c r="Y71" s="12"/>
      <c r="Z71" s="40" t="s">
        <v>116</v>
      </c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24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</row>
    <row r="72" spans="18:99" customFormat="1" ht="6" customHeight="1" x14ac:dyDescent="0.25">
      <c r="R72" s="12"/>
      <c r="S72" s="12"/>
      <c r="T72" s="12"/>
      <c r="U72" s="12"/>
      <c r="V72" s="12"/>
      <c r="W72" s="12"/>
      <c r="X72" s="12"/>
      <c r="Y72" s="12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24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</row>
    <row r="73" spans="18:99" customFormat="1" ht="6" customHeight="1" x14ac:dyDescent="0.25"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</row>
    <row r="74" spans="18:99" customFormat="1" ht="6" customHeight="1" x14ac:dyDescent="0.25">
      <c r="R74" s="12"/>
      <c r="S74" s="12"/>
      <c r="T74" s="12"/>
      <c r="U74" s="12"/>
      <c r="V74" s="12"/>
      <c r="W74" s="12"/>
      <c r="X74" s="12"/>
      <c r="Y74" s="12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</row>
    <row r="75" spans="18:99" customFormat="1" ht="6" customHeight="1" x14ac:dyDescent="0.25">
      <c r="R75" s="12"/>
      <c r="S75" s="12"/>
      <c r="T75" s="12"/>
      <c r="U75" s="12"/>
      <c r="V75" s="12"/>
      <c r="W75" s="12"/>
      <c r="X75" s="12"/>
      <c r="Y75" s="12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</row>
    <row r="76" spans="18:99" customFormat="1" ht="6" customHeight="1" x14ac:dyDescent="0.25">
      <c r="R76" s="12"/>
      <c r="S76" s="12"/>
      <c r="T76" s="12"/>
      <c r="U76" s="12"/>
      <c r="V76" s="12"/>
      <c r="W76" s="12"/>
      <c r="X76" s="12"/>
      <c r="Y76" s="12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</row>
    <row r="77" spans="18:99" customFormat="1" ht="6" customHeight="1" x14ac:dyDescent="0.25">
      <c r="R77" s="12"/>
      <c r="S77" s="12"/>
      <c r="T77" s="12"/>
      <c r="U77" s="12"/>
      <c r="V77" s="12"/>
      <c r="W77" s="12"/>
      <c r="X77" s="12"/>
      <c r="Y77" s="12"/>
      <c r="Z77" s="48" t="s">
        <v>117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26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</row>
    <row r="78" spans="18:99" customFormat="1" ht="6" customHeight="1" x14ac:dyDescent="0.25">
      <c r="R78" s="12"/>
      <c r="S78" s="12"/>
      <c r="T78" s="12"/>
      <c r="U78" s="12"/>
      <c r="V78" s="12"/>
      <c r="W78" s="12"/>
      <c r="X78" s="12"/>
      <c r="Y78" s="12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26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</row>
    <row r="79" spans="18:99" customFormat="1" ht="6" customHeight="1" x14ac:dyDescent="0.25">
      <c r="R79" s="12"/>
      <c r="S79" s="12"/>
      <c r="T79" s="12"/>
      <c r="U79" s="12"/>
      <c r="V79" s="12"/>
      <c r="W79" s="12"/>
      <c r="X79" s="12"/>
      <c r="Y79" s="12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26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</row>
    <row r="80" spans="18:99" customFormat="1" ht="6" customHeight="1" x14ac:dyDescent="0.25">
      <c r="R80" s="12"/>
      <c r="S80" s="12"/>
      <c r="T80" s="12"/>
      <c r="U80" s="12"/>
      <c r="V80" s="12"/>
      <c r="W80" s="12"/>
      <c r="X80" s="12"/>
      <c r="Y80" s="12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26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</row>
    <row r="81" spans="26:56" ht="6" customHeight="1" x14ac:dyDescent="0.25"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26"/>
    </row>
    <row r="82" spans="26:56" ht="6" customHeight="1" x14ac:dyDescent="0.25">
      <c r="Z82" s="48" t="s">
        <v>118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26"/>
    </row>
    <row r="83" spans="26:56" ht="6" customHeight="1" x14ac:dyDescent="0.25"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26"/>
    </row>
    <row r="84" spans="26:56" ht="6" customHeight="1" x14ac:dyDescent="0.25"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26"/>
    </row>
    <row r="85" spans="26:56" ht="6" customHeight="1" x14ac:dyDescent="0.25"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26"/>
    </row>
    <row r="86" spans="26:56" ht="6" customHeight="1" x14ac:dyDescent="0.25"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26"/>
    </row>
    <row r="87" spans="26:56" ht="6" customHeight="1" x14ac:dyDescent="0.25"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26"/>
    </row>
    <row r="88" spans="26:56" ht="6" customHeight="1" x14ac:dyDescent="0.25"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26"/>
    </row>
    <row r="89" spans="26:56" ht="6" customHeight="1" x14ac:dyDescent="0.25"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26"/>
    </row>
    <row r="90" spans="26:56" ht="6" customHeight="1" x14ac:dyDescent="0.25">
      <c r="Z90" s="47" t="s">
        <v>119</v>
      </c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27"/>
    </row>
    <row r="91" spans="26:56" ht="6" customHeight="1" x14ac:dyDescent="0.25"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27"/>
    </row>
    <row r="92" spans="26:56" ht="6" customHeight="1" x14ac:dyDescent="0.25"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</row>
    <row r="93" spans="26:56" ht="6" customHeight="1" x14ac:dyDescent="0.25"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</row>
    <row r="94" spans="26:56" ht="6" customHeight="1" x14ac:dyDescent="0.25"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</row>
    <row r="95" spans="26:56" ht="6" customHeight="1" x14ac:dyDescent="0.25"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BN34:CQ36"/>
    <mergeCell ref="Z37:BC39"/>
    <mergeCell ref="BN37:CQ38"/>
    <mergeCell ref="Z40:BC41"/>
    <mergeCell ref="BN40:CQ42"/>
    <mergeCell ref="BN9:CQ11"/>
    <mergeCell ref="BN12:CQ13"/>
    <mergeCell ref="Z2:BC3"/>
    <mergeCell ref="Z4:BC6"/>
    <mergeCell ref="R5:W7"/>
    <mergeCell ref="BF5:BK7"/>
    <mergeCell ref="Z9:BC13"/>
  </mergeCells>
  <hyperlinks>
    <hyperlink ref="B63" r:id="rId1" xr:uid="{A675D101-A0E3-4386-9D83-C3937C29B61E}"/>
    <hyperlink ref="B51" r:id="rId2" xr:uid="{60290803-BC18-4840-9C31-7501A00BD118}"/>
    <hyperlink ref="B57" r:id="rId3" xr:uid="{CCEBA9AD-307B-4EFC-8090-CC8E094DA93D}"/>
    <hyperlink ref="Z4" r:id="rId4" xr:uid="{B8442C85-528F-45F9-B43E-756B9594A4C2}"/>
    <hyperlink ref="Z17" r:id="rId5" display="https://www.udemy.com/excel-mistrz-formul/?couponCode=STANDARDOWY" xr:uid="{1BFF54D4-1B97-4364-B48F-C429295CB8F0}"/>
    <hyperlink ref="Z26" r:id="rId6" xr:uid="{828CB09F-0D7A-45BC-B651-EDEEB7DC2005}"/>
    <hyperlink ref="Z40" r:id="rId7" display="https://www.udemy.com/excel-mistrz-formul/?couponCode=STANDARDOWY" xr:uid="{8EEC00C3-F17E-498F-81D8-618CF22F0507}"/>
    <hyperlink ref="Z51" r:id="rId8" display="https://www.udemy.com/excel-mistrz-formul/?couponCode=STANDARDOWY" xr:uid="{2E47C1AC-03DD-4671-8B7E-773DFC794D9E}"/>
    <hyperlink ref="Z62" r:id="rId9" display="https://www.udemy.com/excel-mistrz-formul/?couponCode=STANDARDOWY" xr:uid="{86AB64DD-C2CA-4058-8D1B-F778BA58A8C3}"/>
    <hyperlink ref="Z71" r:id="rId10" display="https://www.udemy.com/excel-mistrz-formul/?couponCode=STANDARDOWY" xr:uid="{F81ACB1C-8206-41A3-9517-3A628206A1E7}"/>
    <hyperlink ref="BN12" r:id="rId11" location="mistrz-excela-w-20-dni" xr:uid="{95E82535-2E81-400D-88A0-3631DD4A8493}"/>
    <hyperlink ref="BN37" r:id="rId12" location="mistrz-excela-w-20-dni" display="http://ksplus.komputerswiat.pl/sklep#mistrz-excela-w-20-dni" xr:uid="{5270D3A9-1026-4BFE-A086-42C46E25AD47}"/>
    <hyperlink ref="BN43" r:id="rId13" location="mistrz-excela-w-20-dni" display="http://ksplus.komputerswiat.pl/sklep#mistrz-excela-w-20-dni" xr:uid="{28932537-C0A9-4BAD-9D81-1ED0FF877F20}"/>
    <hyperlink ref="BN62" r:id="rId14" location="mistrz-excela-w-20-dni" display="http://ksplus.komputerswiat.pl/sklep#mistrz-excela-w-20-dni" xr:uid="{C6DC99BD-6202-4C97-B321-329317E9E47A}"/>
    <hyperlink ref="BN68" r:id="rId15" location="mistrz-excela-w-20-dni" display="http://ksplus.komputerswiat.pl/sklep#mistrz-excela-w-20-dni" xr:uid="{47066C39-C86C-4620-BBE4-2308A3DCA07F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 filterMode="1">
    <tabColor rgb="FF2EA3F2"/>
  </sheetPr>
  <dimension ref="A1:X499"/>
  <sheetViews>
    <sheetView zoomScale="115" zoomScaleNormal="115" workbookViewId="0">
      <selection activeCell="D50" sqref="D50"/>
    </sheetView>
  </sheetViews>
  <sheetFormatPr defaultColWidth="8.85546875" defaultRowHeight="14.25" x14ac:dyDescent="0.25"/>
  <cols>
    <col min="1" max="1" width="10.42578125" style="2" bestFit="1" customWidth="1"/>
    <col min="2" max="2" width="12" style="2" customWidth="1"/>
    <col min="3" max="3" width="14.28515625" style="2" bestFit="1" customWidth="1"/>
    <col min="4" max="4" width="10.7109375" style="2" bestFit="1" customWidth="1"/>
    <col min="5" max="5" width="8.85546875" style="2"/>
    <col min="6" max="6" width="10.28515625" style="2" customWidth="1"/>
    <col min="7" max="7" width="8.85546875" style="2"/>
    <col min="8" max="8" width="10.42578125" style="2" bestFit="1" customWidth="1"/>
    <col min="9" max="22" width="8.85546875" style="2"/>
    <col min="23" max="23" width="10.7109375" style="2" bestFit="1" customWidth="1"/>
    <col min="24" max="16384" width="8.85546875" style="2"/>
  </cols>
  <sheetData>
    <row r="1" spans="1:24" x14ac:dyDescent="0.25">
      <c r="A1" s="1" t="s">
        <v>25</v>
      </c>
      <c r="B1" s="1"/>
      <c r="C1" s="1"/>
      <c r="D1" s="1"/>
      <c r="E1" s="1"/>
      <c r="F1" s="1"/>
    </row>
    <row r="2" spans="1:24" x14ac:dyDescent="0.25">
      <c r="A2" s="11" t="s">
        <v>0</v>
      </c>
      <c r="B2" s="11" t="s">
        <v>3</v>
      </c>
      <c r="C2" s="11" t="s">
        <v>1</v>
      </c>
      <c r="D2" s="11" t="s">
        <v>7</v>
      </c>
      <c r="E2" s="11" t="s">
        <v>49</v>
      </c>
      <c r="F2" s="11" t="s">
        <v>4</v>
      </c>
    </row>
    <row r="3" spans="1:24" x14ac:dyDescent="0.25">
      <c r="A3" s="3"/>
      <c r="B3" s="3"/>
      <c r="C3" s="3" t="s">
        <v>2</v>
      </c>
      <c r="D3" s="3"/>
      <c r="E3" s="3"/>
      <c r="F3" s="3"/>
    </row>
    <row r="5" spans="1:24" x14ac:dyDescent="0.25">
      <c r="A5" s="11" t="s">
        <v>0</v>
      </c>
      <c r="B5" s="11" t="s">
        <v>3</v>
      </c>
      <c r="C5" s="11" t="s">
        <v>1</v>
      </c>
      <c r="D5" s="11" t="s">
        <v>7</v>
      </c>
      <c r="E5" s="11" t="s">
        <v>49</v>
      </c>
      <c r="F5" s="11" t="s">
        <v>4</v>
      </c>
    </row>
    <row r="6" spans="1:24" hidden="1" x14ac:dyDescent="0.25">
      <c r="A6" s="4">
        <v>42067</v>
      </c>
      <c r="B6" s="3" t="s">
        <v>29</v>
      </c>
      <c r="C6" s="3" t="s">
        <v>5</v>
      </c>
      <c r="D6" s="3" t="s">
        <v>27</v>
      </c>
      <c r="E6" s="3">
        <v>13</v>
      </c>
      <c r="F6" s="5">
        <f>E6*VLOOKUP(D6,$W$6:$X$13,2,0)</f>
        <v>6.5</v>
      </c>
      <c r="W6" s="2" t="s">
        <v>28</v>
      </c>
      <c r="X6" s="2">
        <v>2</v>
      </c>
    </row>
    <row r="7" spans="1:24" hidden="1" x14ac:dyDescent="0.25">
      <c r="A7" s="4">
        <v>42074</v>
      </c>
      <c r="B7" s="3" t="s">
        <v>32</v>
      </c>
      <c r="C7" s="3" t="s">
        <v>5</v>
      </c>
      <c r="D7" s="3" t="s">
        <v>34</v>
      </c>
      <c r="E7" s="3">
        <v>12</v>
      </c>
      <c r="F7" s="5">
        <f t="shared" ref="F7:F70" si="0">E7*VLOOKUP(D7,$W$6:$X$13,2,0)</f>
        <v>2.4000000000000004</v>
      </c>
      <c r="W7" s="2" t="s">
        <v>27</v>
      </c>
      <c r="X7" s="2">
        <v>0.5</v>
      </c>
    </row>
    <row r="8" spans="1:24" hidden="1" x14ac:dyDescent="0.25">
      <c r="A8" s="4">
        <v>42177</v>
      </c>
      <c r="B8" s="3" t="s">
        <v>26</v>
      </c>
      <c r="C8" s="3" t="s">
        <v>10</v>
      </c>
      <c r="D8" s="3" t="s">
        <v>27</v>
      </c>
      <c r="E8" s="3">
        <v>29</v>
      </c>
      <c r="F8" s="5">
        <f t="shared" si="0"/>
        <v>14.5</v>
      </c>
      <c r="W8" s="2" t="s">
        <v>31</v>
      </c>
      <c r="X8" s="2">
        <v>2.5</v>
      </c>
    </row>
    <row r="9" spans="1:24" x14ac:dyDescent="0.25">
      <c r="A9" s="4">
        <v>42103</v>
      </c>
      <c r="B9" s="3" t="s">
        <v>38</v>
      </c>
      <c r="C9" s="3" t="s">
        <v>2</v>
      </c>
      <c r="D9" s="3" t="s">
        <v>27</v>
      </c>
      <c r="E9" s="3">
        <v>33</v>
      </c>
      <c r="F9" s="5">
        <f t="shared" si="0"/>
        <v>16.5</v>
      </c>
      <c r="W9" s="2" t="s">
        <v>33</v>
      </c>
      <c r="X9" s="2">
        <v>5</v>
      </c>
    </row>
    <row r="10" spans="1:24" hidden="1" x14ac:dyDescent="0.25">
      <c r="A10" s="4">
        <v>42007</v>
      </c>
      <c r="B10" s="3" t="s">
        <v>37</v>
      </c>
      <c r="C10" s="3" t="s">
        <v>19</v>
      </c>
      <c r="D10" s="3" t="s">
        <v>30</v>
      </c>
      <c r="E10" s="3">
        <v>41</v>
      </c>
      <c r="F10" s="5">
        <f t="shared" si="0"/>
        <v>4.1000000000000005</v>
      </c>
      <c r="W10" s="2" t="s">
        <v>34</v>
      </c>
      <c r="X10" s="2">
        <v>0.2</v>
      </c>
    </row>
    <row r="11" spans="1:24" x14ac:dyDescent="0.25">
      <c r="A11" s="4">
        <v>42012</v>
      </c>
      <c r="B11" s="3" t="s">
        <v>29</v>
      </c>
      <c r="C11" s="3" t="s">
        <v>2</v>
      </c>
      <c r="D11" s="3" t="s">
        <v>35</v>
      </c>
      <c r="E11" s="3">
        <v>32</v>
      </c>
      <c r="F11" s="5">
        <f t="shared" si="0"/>
        <v>128</v>
      </c>
      <c r="W11" s="2" t="s">
        <v>30</v>
      </c>
      <c r="X11" s="2">
        <v>0.1</v>
      </c>
    </row>
    <row r="12" spans="1:24" hidden="1" x14ac:dyDescent="0.25">
      <c r="A12" s="4">
        <v>42051</v>
      </c>
      <c r="B12" s="3" t="s">
        <v>38</v>
      </c>
      <c r="C12" s="3" t="s">
        <v>10</v>
      </c>
      <c r="D12" s="3" t="s">
        <v>33</v>
      </c>
      <c r="E12" s="3">
        <v>34</v>
      </c>
      <c r="F12" s="5">
        <f t="shared" si="0"/>
        <v>170</v>
      </c>
      <c r="W12" s="2" t="s">
        <v>36</v>
      </c>
      <c r="X12" s="2">
        <v>1.5</v>
      </c>
    </row>
    <row r="13" spans="1:24" hidden="1" x14ac:dyDescent="0.25">
      <c r="A13" s="4">
        <v>42163</v>
      </c>
      <c r="B13" s="3" t="s">
        <v>26</v>
      </c>
      <c r="C13" s="3" t="s">
        <v>6</v>
      </c>
      <c r="D13" s="3" t="s">
        <v>35</v>
      </c>
      <c r="E13" s="3">
        <v>12</v>
      </c>
      <c r="F13" s="5">
        <f t="shared" si="0"/>
        <v>48</v>
      </c>
      <c r="W13" s="2" t="s">
        <v>35</v>
      </c>
      <c r="X13" s="2">
        <v>4</v>
      </c>
    </row>
    <row r="14" spans="1:24" hidden="1" x14ac:dyDescent="0.25">
      <c r="A14" s="4">
        <v>42118</v>
      </c>
      <c r="B14" s="3" t="s">
        <v>38</v>
      </c>
      <c r="C14" s="3" t="s">
        <v>19</v>
      </c>
      <c r="D14" s="3" t="s">
        <v>27</v>
      </c>
      <c r="E14" s="3">
        <v>20</v>
      </c>
      <c r="F14" s="5">
        <f t="shared" si="0"/>
        <v>10</v>
      </c>
    </row>
    <row r="15" spans="1:24" x14ac:dyDescent="0.25">
      <c r="A15" s="4">
        <v>42071</v>
      </c>
      <c r="B15" s="3" t="s">
        <v>38</v>
      </c>
      <c r="C15" s="3" t="s">
        <v>2</v>
      </c>
      <c r="D15" s="3" t="s">
        <v>27</v>
      </c>
      <c r="E15" s="3">
        <v>15</v>
      </c>
      <c r="F15" s="5">
        <f t="shared" si="0"/>
        <v>7.5</v>
      </c>
    </row>
    <row r="16" spans="1:24" hidden="1" x14ac:dyDescent="0.25">
      <c r="A16" s="4">
        <v>42134</v>
      </c>
      <c r="B16" s="3" t="s">
        <v>39</v>
      </c>
      <c r="C16" s="3" t="s">
        <v>5</v>
      </c>
      <c r="D16" s="3" t="s">
        <v>27</v>
      </c>
      <c r="E16" s="3">
        <v>35</v>
      </c>
      <c r="F16" s="5">
        <f t="shared" si="0"/>
        <v>17.5</v>
      </c>
    </row>
    <row r="17" spans="1:17" hidden="1" x14ac:dyDescent="0.25">
      <c r="A17" s="4">
        <v>42063</v>
      </c>
      <c r="B17" s="3" t="s">
        <v>32</v>
      </c>
      <c r="C17" s="3" t="s">
        <v>5</v>
      </c>
      <c r="D17" s="3" t="s">
        <v>33</v>
      </c>
      <c r="E17" s="3">
        <v>21</v>
      </c>
      <c r="F17" s="5">
        <f t="shared" si="0"/>
        <v>105</v>
      </c>
    </row>
    <row r="18" spans="1:17" hidden="1" x14ac:dyDescent="0.25">
      <c r="A18" s="4">
        <v>42012</v>
      </c>
      <c r="B18" s="3" t="s">
        <v>38</v>
      </c>
      <c r="C18" s="3" t="s">
        <v>5</v>
      </c>
      <c r="D18" s="3" t="s">
        <v>31</v>
      </c>
      <c r="E18" s="3">
        <v>40</v>
      </c>
      <c r="F18" s="5">
        <f t="shared" si="0"/>
        <v>100</v>
      </c>
    </row>
    <row r="19" spans="1:17" hidden="1" x14ac:dyDescent="0.25">
      <c r="A19" s="4">
        <v>42097</v>
      </c>
      <c r="B19" s="3" t="s">
        <v>26</v>
      </c>
      <c r="C19" s="3" t="s">
        <v>10</v>
      </c>
      <c r="D19" s="3" t="s">
        <v>28</v>
      </c>
      <c r="E19" s="3">
        <v>3</v>
      </c>
      <c r="F19" s="5">
        <f t="shared" si="0"/>
        <v>6</v>
      </c>
    </row>
    <row r="20" spans="1:17" x14ac:dyDescent="0.25">
      <c r="A20" s="4">
        <v>42058</v>
      </c>
      <c r="B20" s="3" t="s">
        <v>39</v>
      </c>
      <c r="C20" s="3" t="s">
        <v>2</v>
      </c>
      <c r="D20" s="3" t="s">
        <v>27</v>
      </c>
      <c r="E20" s="3">
        <v>25</v>
      </c>
      <c r="F20" s="5">
        <f t="shared" si="0"/>
        <v>12.5</v>
      </c>
    </row>
    <row r="21" spans="1:17" x14ac:dyDescent="0.25">
      <c r="A21" s="4">
        <v>42018</v>
      </c>
      <c r="B21" s="3" t="s">
        <v>38</v>
      </c>
      <c r="C21" s="3" t="s">
        <v>2</v>
      </c>
      <c r="D21" s="3" t="s">
        <v>34</v>
      </c>
      <c r="E21" s="3">
        <v>11</v>
      </c>
      <c r="F21" s="5">
        <f t="shared" si="0"/>
        <v>2.2000000000000002</v>
      </c>
    </row>
    <row r="22" spans="1:17" hidden="1" x14ac:dyDescent="0.25">
      <c r="A22" s="4">
        <v>42085</v>
      </c>
      <c r="B22" s="3" t="s">
        <v>37</v>
      </c>
      <c r="C22" s="3" t="s">
        <v>6</v>
      </c>
      <c r="D22" s="3" t="s">
        <v>33</v>
      </c>
      <c r="E22" s="3">
        <v>9</v>
      </c>
      <c r="F22" s="5">
        <f t="shared" si="0"/>
        <v>45</v>
      </c>
    </row>
    <row r="23" spans="1:17" hidden="1" x14ac:dyDescent="0.25">
      <c r="A23" s="4">
        <v>42150</v>
      </c>
      <c r="B23" s="3" t="s">
        <v>37</v>
      </c>
      <c r="C23" s="3" t="s">
        <v>6</v>
      </c>
      <c r="D23" s="3" t="s">
        <v>33</v>
      </c>
      <c r="E23" s="3">
        <v>48</v>
      </c>
      <c r="F23" s="5">
        <f t="shared" si="0"/>
        <v>240</v>
      </c>
    </row>
    <row r="24" spans="1:17" hidden="1" x14ac:dyDescent="0.25">
      <c r="A24" s="4">
        <v>42015</v>
      </c>
      <c r="B24" s="3" t="s">
        <v>38</v>
      </c>
      <c r="C24" s="3" t="s">
        <v>5</v>
      </c>
      <c r="D24" s="3" t="s">
        <v>36</v>
      </c>
      <c r="E24" s="3">
        <v>19</v>
      </c>
      <c r="F24" s="5">
        <f t="shared" si="0"/>
        <v>28.5</v>
      </c>
    </row>
    <row r="25" spans="1:17" hidden="1" x14ac:dyDescent="0.25">
      <c r="A25" s="4">
        <v>42013</v>
      </c>
      <c r="B25" s="3" t="s">
        <v>39</v>
      </c>
      <c r="C25" s="3" t="s">
        <v>6</v>
      </c>
      <c r="D25" s="3" t="s">
        <v>31</v>
      </c>
      <c r="E25" s="3">
        <v>50</v>
      </c>
      <c r="F25" s="5">
        <f t="shared" si="0"/>
        <v>125</v>
      </c>
    </row>
    <row r="26" spans="1:17" x14ac:dyDescent="0.25">
      <c r="A26" s="4">
        <v>42015</v>
      </c>
      <c r="B26" s="3" t="s">
        <v>39</v>
      </c>
      <c r="C26" s="3" t="s">
        <v>2</v>
      </c>
      <c r="D26" s="3" t="s">
        <v>33</v>
      </c>
      <c r="E26" s="3">
        <v>24</v>
      </c>
      <c r="F26" s="5">
        <f t="shared" si="0"/>
        <v>120</v>
      </c>
      <c r="L26" s="11" t="s">
        <v>0</v>
      </c>
      <c r="M26" s="11" t="s">
        <v>3</v>
      </c>
      <c r="N26" s="11" t="s">
        <v>1</v>
      </c>
      <c r="O26" s="11" t="s">
        <v>7</v>
      </c>
      <c r="P26" s="11" t="s">
        <v>49</v>
      </c>
      <c r="Q26" s="11" t="s">
        <v>4</v>
      </c>
    </row>
    <row r="27" spans="1:17" hidden="1" x14ac:dyDescent="0.25">
      <c r="A27" s="4">
        <v>42075</v>
      </c>
      <c r="B27" s="3" t="s">
        <v>38</v>
      </c>
      <c r="C27" s="3" t="s">
        <v>19</v>
      </c>
      <c r="D27" s="3" t="s">
        <v>27</v>
      </c>
      <c r="E27" s="3">
        <v>26</v>
      </c>
      <c r="F27" s="5">
        <f t="shared" si="0"/>
        <v>13</v>
      </c>
      <c r="L27" s="4">
        <v>42103</v>
      </c>
      <c r="M27" s="3" t="s">
        <v>38</v>
      </c>
      <c r="N27" s="3" t="s">
        <v>2</v>
      </c>
      <c r="O27" s="3" t="s">
        <v>27</v>
      </c>
      <c r="P27" s="3">
        <v>33</v>
      </c>
      <c r="Q27" s="5">
        <v>16.5</v>
      </c>
    </row>
    <row r="28" spans="1:17" hidden="1" x14ac:dyDescent="0.25">
      <c r="A28" s="4">
        <v>42080</v>
      </c>
      <c r="B28" s="3" t="s">
        <v>38</v>
      </c>
      <c r="C28" s="3" t="s">
        <v>6</v>
      </c>
      <c r="D28" s="3" t="s">
        <v>27</v>
      </c>
      <c r="E28" s="3">
        <v>11</v>
      </c>
      <c r="F28" s="5">
        <f t="shared" si="0"/>
        <v>5.5</v>
      </c>
      <c r="L28" s="4">
        <v>42012</v>
      </c>
      <c r="M28" s="3" t="s">
        <v>29</v>
      </c>
      <c r="N28" s="3" t="s">
        <v>2</v>
      </c>
      <c r="O28" s="3" t="s">
        <v>35</v>
      </c>
      <c r="P28" s="3">
        <v>32</v>
      </c>
      <c r="Q28" s="5">
        <v>128</v>
      </c>
    </row>
    <row r="29" spans="1:17" hidden="1" x14ac:dyDescent="0.25">
      <c r="A29" s="4">
        <v>42119</v>
      </c>
      <c r="B29" s="3" t="s">
        <v>38</v>
      </c>
      <c r="C29" s="3" t="s">
        <v>5</v>
      </c>
      <c r="D29" s="3" t="s">
        <v>35</v>
      </c>
      <c r="E29" s="3">
        <v>4</v>
      </c>
      <c r="F29" s="5">
        <f t="shared" si="0"/>
        <v>16</v>
      </c>
      <c r="L29" s="4">
        <v>42071</v>
      </c>
      <c r="M29" s="3" t="s">
        <v>38</v>
      </c>
      <c r="N29" s="3" t="s">
        <v>2</v>
      </c>
      <c r="O29" s="3" t="s">
        <v>27</v>
      </c>
      <c r="P29" s="3">
        <v>15</v>
      </c>
      <c r="Q29" s="5">
        <v>7.5</v>
      </c>
    </row>
    <row r="30" spans="1:17" x14ac:dyDescent="0.25">
      <c r="A30" s="4">
        <v>42043</v>
      </c>
      <c r="B30" s="3" t="s">
        <v>38</v>
      </c>
      <c r="C30" s="3" t="s">
        <v>2</v>
      </c>
      <c r="D30" s="3" t="s">
        <v>36</v>
      </c>
      <c r="E30" s="3">
        <v>20</v>
      </c>
      <c r="F30" s="5">
        <f t="shared" si="0"/>
        <v>30</v>
      </c>
      <c r="L30" s="4">
        <v>42058</v>
      </c>
      <c r="M30" s="3" t="s">
        <v>39</v>
      </c>
      <c r="N30" s="3" t="s">
        <v>2</v>
      </c>
      <c r="O30" s="3" t="s">
        <v>27</v>
      </c>
      <c r="P30" s="3">
        <v>25</v>
      </c>
      <c r="Q30" s="5">
        <v>12.5</v>
      </c>
    </row>
    <row r="31" spans="1:17" hidden="1" x14ac:dyDescent="0.25">
      <c r="A31" s="4">
        <v>42057</v>
      </c>
      <c r="B31" s="3" t="s">
        <v>38</v>
      </c>
      <c r="C31" s="3" t="s">
        <v>6</v>
      </c>
      <c r="D31" s="3" t="s">
        <v>30</v>
      </c>
      <c r="E31" s="3">
        <v>24</v>
      </c>
      <c r="F31" s="5">
        <f t="shared" si="0"/>
        <v>2.4000000000000004</v>
      </c>
      <c r="L31" s="4">
        <v>42018</v>
      </c>
      <c r="M31" s="3" t="s">
        <v>38</v>
      </c>
      <c r="N31" s="3" t="s">
        <v>2</v>
      </c>
      <c r="O31" s="3" t="s">
        <v>34</v>
      </c>
      <c r="P31" s="3">
        <v>11</v>
      </c>
      <c r="Q31" s="5">
        <v>2.2000000000000002</v>
      </c>
    </row>
    <row r="32" spans="1:17" hidden="1" x14ac:dyDescent="0.25">
      <c r="A32" s="4">
        <v>42053</v>
      </c>
      <c r="B32" s="3" t="s">
        <v>26</v>
      </c>
      <c r="C32" s="3" t="s">
        <v>5</v>
      </c>
      <c r="D32" s="3" t="s">
        <v>31</v>
      </c>
      <c r="E32" s="3">
        <v>31</v>
      </c>
      <c r="F32" s="5">
        <f t="shared" si="0"/>
        <v>77.5</v>
      </c>
      <c r="L32" s="4">
        <v>42015</v>
      </c>
      <c r="M32" s="3" t="s">
        <v>39</v>
      </c>
      <c r="N32" s="3" t="s">
        <v>2</v>
      </c>
      <c r="O32" s="3" t="s">
        <v>33</v>
      </c>
      <c r="P32" s="3">
        <v>24</v>
      </c>
      <c r="Q32" s="5">
        <v>120</v>
      </c>
    </row>
    <row r="33" spans="1:17" hidden="1" x14ac:dyDescent="0.25">
      <c r="A33" s="4">
        <v>42059</v>
      </c>
      <c r="B33" s="3" t="s">
        <v>26</v>
      </c>
      <c r="C33" s="3" t="s">
        <v>6</v>
      </c>
      <c r="D33" s="3" t="s">
        <v>35</v>
      </c>
      <c r="E33" s="3">
        <v>49</v>
      </c>
      <c r="F33" s="5">
        <f t="shared" si="0"/>
        <v>196</v>
      </c>
      <c r="L33" s="4">
        <v>42043</v>
      </c>
      <c r="M33" s="3" t="s">
        <v>38</v>
      </c>
      <c r="N33" s="3" t="s">
        <v>2</v>
      </c>
      <c r="O33" s="3" t="s">
        <v>36</v>
      </c>
      <c r="P33" s="3">
        <v>20</v>
      </c>
      <c r="Q33" s="5">
        <v>30</v>
      </c>
    </row>
    <row r="34" spans="1:17" hidden="1" x14ac:dyDescent="0.25">
      <c r="A34" s="4">
        <v>42120</v>
      </c>
      <c r="B34" s="3" t="s">
        <v>39</v>
      </c>
      <c r="C34" s="3" t="s">
        <v>10</v>
      </c>
      <c r="D34" s="3" t="s">
        <v>27</v>
      </c>
      <c r="E34" s="3">
        <v>38</v>
      </c>
      <c r="F34" s="5">
        <f t="shared" si="0"/>
        <v>19</v>
      </c>
      <c r="L34" s="4">
        <v>42167</v>
      </c>
      <c r="M34" s="3" t="s">
        <v>26</v>
      </c>
      <c r="N34" s="3" t="s">
        <v>2</v>
      </c>
      <c r="O34" s="3" t="s">
        <v>35</v>
      </c>
      <c r="P34" s="3">
        <v>49</v>
      </c>
      <c r="Q34" s="5">
        <v>196</v>
      </c>
    </row>
    <row r="35" spans="1:17" hidden="1" x14ac:dyDescent="0.25">
      <c r="A35" s="4">
        <v>42026</v>
      </c>
      <c r="B35" s="3" t="s">
        <v>32</v>
      </c>
      <c r="C35" s="3" t="s">
        <v>6</v>
      </c>
      <c r="D35" s="3" t="s">
        <v>27</v>
      </c>
      <c r="E35" s="3">
        <v>31</v>
      </c>
      <c r="F35" s="5">
        <f t="shared" si="0"/>
        <v>15.5</v>
      </c>
      <c r="L35" s="4">
        <v>42026</v>
      </c>
      <c r="M35" s="3" t="s">
        <v>32</v>
      </c>
      <c r="N35" s="3" t="s">
        <v>2</v>
      </c>
      <c r="O35" s="3" t="s">
        <v>33</v>
      </c>
      <c r="P35" s="3">
        <v>24</v>
      </c>
      <c r="Q35" s="5">
        <v>120</v>
      </c>
    </row>
    <row r="36" spans="1:17" hidden="1" x14ac:dyDescent="0.25">
      <c r="A36" s="4">
        <v>42117</v>
      </c>
      <c r="B36" s="3" t="s">
        <v>39</v>
      </c>
      <c r="C36" s="3" t="s">
        <v>10</v>
      </c>
      <c r="D36" s="3" t="s">
        <v>28</v>
      </c>
      <c r="E36" s="3">
        <v>16</v>
      </c>
      <c r="F36" s="5">
        <f t="shared" si="0"/>
        <v>32</v>
      </c>
      <c r="L36" s="4">
        <v>42087</v>
      </c>
      <c r="M36" s="3" t="s">
        <v>39</v>
      </c>
      <c r="N36" s="3" t="s">
        <v>2</v>
      </c>
      <c r="O36" s="3" t="s">
        <v>36</v>
      </c>
      <c r="P36" s="3">
        <v>29</v>
      </c>
      <c r="Q36" s="5">
        <v>43.5</v>
      </c>
    </row>
    <row r="37" spans="1:17" hidden="1" x14ac:dyDescent="0.25">
      <c r="A37" s="4">
        <v>42135</v>
      </c>
      <c r="B37" s="3" t="s">
        <v>26</v>
      </c>
      <c r="C37" s="3" t="s">
        <v>5</v>
      </c>
      <c r="D37" s="3" t="s">
        <v>33</v>
      </c>
      <c r="E37" s="3">
        <v>47</v>
      </c>
      <c r="F37" s="5">
        <f t="shared" si="0"/>
        <v>235</v>
      </c>
      <c r="L37" s="4">
        <v>42102</v>
      </c>
      <c r="M37" s="3" t="s">
        <v>26</v>
      </c>
      <c r="N37" s="3" t="s">
        <v>2</v>
      </c>
      <c r="O37" s="3" t="s">
        <v>35</v>
      </c>
      <c r="P37" s="3">
        <v>5</v>
      </c>
      <c r="Q37" s="5">
        <v>20</v>
      </c>
    </row>
    <row r="38" spans="1:17" hidden="1" x14ac:dyDescent="0.25">
      <c r="A38" s="4">
        <v>42056</v>
      </c>
      <c r="B38" s="3" t="s">
        <v>39</v>
      </c>
      <c r="C38" s="3" t="s">
        <v>5</v>
      </c>
      <c r="D38" s="3" t="s">
        <v>34</v>
      </c>
      <c r="E38" s="3">
        <v>5</v>
      </c>
      <c r="F38" s="5">
        <f t="shared" si="0"/>
        <v>1</v>
      </c>
      <c r="L38" s="4">
        <v>42032</v>
      </c>
      <c r="M38" s="3" t="s">
        <v>39</v>
      </c>
      <c r="N38" s="3" t="s">
        <v>2</v>
      </c>
      <c r="O38" s="3" t="s">
        <v>35</v>
      </c>
      <c r="P38" s="3">
        <v>13</v>
      </c>
      <c r="Q38" s="5">
        <v>52</v>
      </c>
    </row>
    <row r="39" spans="1:17" hidden="1" x14ac:dyDescent="0.25">
      <c r="A39" s="4">
        <v>42171</v>
      </c>
      <c r="B39" s="3" t="s">
        <v>39</v>
      </c>
      <c r="C39" s="3" t="s">
        <v>6</v>
      </c>
      <c r="D39" s="3" t="s">
        <v>35</v>
      </c>
      <c r="E39" s="3">
        <v>11</v>
      </c>
      <c r="F39" s="5">
        <f t="shared" si="0"/>
        <v>44</v>
      </c>
      <c r="L39" s="4">
        <v>42019</v>
      </c>
      <c r="M39" s="3" t="s">
        <v>39</v>
      </c>
      <c r="N39" s="3" t="s">
        <v>2</v>
      </c>
      <c r="O39" s="3" t="s">
        <v>36</v>
      </c>
      <c r="P39" s="3">
        <v>45</v>
      </c>
      <c r="Q39" s="5">
        <v>67.5</v>
      </c>
    </row>
    <row r="40" spans="1:17" hidden="1" x14ac:dyDescent="0.25">
      <c r="A40" s="4">
        <v>42174</v>
      </c>
      <c r="B40" s="3" t="s">
        <v>29</v>
      </c>
      <c r="C40" s="3" t="s">
        <v>6</v>
      </c>
      <c r="D40" s="3" t="s">
        <v>33</v>
      </c>
      <c r="E40" s="3">
        <v>21</v>
      </c>
      <c r="F40" s="5">
        <f t="shared" si="0"/>
        <v>105</v>
      </c>
      <c r="L40" s="4">
        <v>42047</v>
      </c>
      <c r="M40" s="3" t="s">
        <v>37</v>
      </c>
      <c r="N40" s="3" t="s">
        <v>2</v>
      </c>
      <c r="O40" s="3" t="s">
        <v>33</v>
      </c>
      <c r="P40" s="3">
        <v>29</v>
      </c>
      <c r="Q40" s="5">
        <v>145</v>
      </c>
    </row>
    <row r="41" spans="1:17" x14ac:dyDescent="0.25">
      <c r="A41" s="4">
        <v>42167</v>
      </c>
      <c r="B41" s="3" t="s">
        <v>26</v>
      </c>
      <c r="C41" s="3" t="s">
        <v>2</v>
      </c>
      <c r="D41" s="3" t="s">
        <v>35</v>
      </c>
      <c r="E41" s="3">
        <v>49</v>
      </c>
      <c r="F41" s="5">
        <f t="shared" si="0"/>
        <v>196</v>
      </c>
      <c r="L41" s="4">
        <v>42017</v>
      </c>
      <c r="M41" s="3" t="s">
        <v>38</v>
      </c>
      <c r="N41" s="3" t="s">
        <v>2</v>
      </c>
      <c r="O41" s="3" t="s">
        <v>36</v>
      </c>
      <c r="P41" s="3">
        <v>11</v>
      </c>
      <c r="Q41" s="5">
        <v>16.5</v>
      </c>
    </row>
    <row r="42" spans="1:17" hidden="1" x14ac:dyDescent="0.25">
      <c r="A42" s="4">
        <v>42066</v>
      </c>
      <c r="B42" s="3" t="s">
        <v>26</v>
      </c>
      <c r="C42" s="3" t="s">
        <v>5</v>
      </c>
      <c r="D42" s="3" t="s">
        <v>28</v>
      </c>
      <c r="E42" s="3">
        <v>44</v>
      </c>
      <c r="F42" s="5">
        <f t="shared" si="0"/>
        <v>88</v>
      </c>
      <c r="L42" s="4">
        <v>42076</v>
      </c>
      <c r="M42" s="3" t="s">
        <v>32</v>
      </c>
      <c r="N42" s="3" t="s">
        <v>2</v>
      </c>
      <c r="O42" s="3" t="s">
        <v>28</v>
      </c>
      <c r="P42" s="3">
        <v>29</v>
      </c>
      <c r="Q42" s="5">
        <v>58</v>
      </c>
    </row>
    <row r="43" spans="1:17" hidden="1" x14ac:dyDescent="0.25">
      <c r="A43" s="4">
        <v>42040</v>
      </c>
      <c r="B43" s="3" t="s">
        <v>37</v>
      </c>
      <c r="C43" s="3" t="s">
        <v>6</v>
      </c>
      <c r="D43" s="3" t="s">
        <v>36</v>
      </c>
      <c r="E43" s="3">
        <v>27</v>
      </c>
      <c r="F43" s="5">
        <f t="shared" si="0"/>
        <v>40.5</v>
      </c>
      <c r="L43" s="4">
        <v>42146</v>
      </c>
      <c r="M43" s="3" t="s">
        <v>39</v>
      </c>
      <c r="N43" s="3" t="s">
        <v>2</v>
      </c>
      <c r="O43" s="3" t="s">
        <v>28</v>
      </c>
      <c r="P43" s="3">
        <v>4</v>
      </c>
      <c r="Q43" s="5">
        <v>8</v>
      </c>
    </row>
    <row r="44" spans="1:17" hidden="1" x14ac:dyDescent="0.25">
      <c r="A44" s="4">
        <v>42142</v>
      </c>
      <c r="B44" s="3" t="s">
        <v>32</v>
      </c>
      <c r="C44" s="3" t="s">
        <v>6</v>
      </c>
      <c r="D44" s="3" t="s">
        <v>36</v>
      </c>
      <c r="E44" s="3">
        <v>30</v>
      </c>
      <c r="F44" s="5">
        <f t="shared" si="0"/>
        <v>45</v>
      </c>
      <c r="L44" s="4">
        <v>42169</v>
      </c>
      <c r="M44" s="3" t="s">
        <v>38</v>
      </c>
      <c r="N44" s="3" t="s">
        <v>2</v>
      </c>
      <c r="O44" s="3" t="s">
        <v>36</v>
      </c>
      <c r="P44" s="3">
        <v>5</v>
      </c>
      <c r="Q44" s="5">
        <v>7.5</v>
      </c>
    </row>
    <row r="45" spans="1:17" hidden="1" x14ac:dyDescent="0.25">
      <c r="A45" s="4">
        <v>42172</v>
      </c>
      <c r="B45" s="3" t="s">
        <v>26</v>
      </c>
      <c r="C45" s="3" t="s">
        <v>10</v>
      </c>
      <c r="D45" s="3" t="s">
        <v>36</v>
      </c>
      <c r="E45" s="3">
        <v>31</v>
      </c>
      <c r="F45" s="5">
        <f t="shared" si="0"/>
        <v>46.5</v>
      </c>
      <c r="L45" s="4">
        <v>42098</v>
      </c>
      <c r="M45" s="3" t="s">
        <v>37</v>
      </c>
      <c r="N45" s="3" t="s">
        <v>2</v>
      </c>
      <c r="O45" s="3" t="s">
        <v>30</v>
      </c>
      <c r="P45" s="3">
        <v>17</v>
      </c>
      <c r="Q45" s="5">
        <v>1.7000000000000002</v>
      </c>
    </row>
    <row r="46" spans="1:17" hidden="1" x14ac:dyDescent="0.25">
      <c r="A46" s="4">
        <v>42118</v>
      </c>
      <c r="B46" s="3" t="s">
        <v>39</v>
      </c>
      <c r="C46" s="3" t="s">
        <v>6</v>
      </c>
      <c r="D46" s="3" t="s">
        <v>27</v>
      </c>
      <c r="E46" s="3">
        <v>3</v>
      </c>
      <c r="F46" s="5">
        <f t="shared" si="0"/>
        <v>1.5</v>
      </c>
      <c r="L46" s="4">
        <v>42179</v>
      </c>
      <c r="M46" s="3" t="s">
        <v>37</v>
      </c>
      <c r="N46" s="3" t="s">
        <v>2</v>
      </c>
      <c r="O46" s="3" t="s">
        <v>34</v>
      </c>
      <c r="P46" s="3">
        <v>26</v>
      </c>
      <c r="Q46" s="5">
        <v>5.2</v>
      </c>
    </row>
    <row r="47" spans="1:17" hidden="1" x14ac:dyDescent="0.25">
      <c r="A47" s="4">
        <v>42180</v>
      </c>
      <c r="B47" s="3" t="s">
        <v>38</v>
      </c>
      <c r="C47" s="3" t="s">
        <v>19</v>
      </c>
      <c r="D47" s="3" t="s">
        <v>28</v>
      </c>
      <c r="E47" s="3">
        <v>9</v>
      </c>
      <c r="F47" s="5">
        <f t="shared" si="0"/>
        <v>18</v>
      </c>
      <c r="L47" s="4">
        <v>42052</v>
      </c>
      <c r="M47" s="3" t="s">
        <v>39</v>
      </c>
      <c r="N47" s="3" t="s">
        <v>2</v>
      </c>
      <c r="O47" s="3" t="s">
        <v>30</v>
      </c>
      <c r="P47" s="3">
        <v>27</v>
      </c>
      <c r="Q47" s="5">
        <v>2.7</v>
      </c>
    </row>
    <row r="48" spans="1:17" hidden="1" x14ac:dyDescent="0.25">
      <c r="A48" s="4">
        <v>42114</v>
      </c>
      <c r="B48" s="3" t="s">
        <v>26</v>
      </c>
      <c r="C48" s="3" t="s">
        <v>19</v>
      </c>
      <c r="D48" s="3" t="s">
        <v>36</v>
      </c>
      <c r="E48" s="3">
        <v>50</v>
      </c>
      <c r="F48" s="5">
        <f t="shared" si="0"/>
        <v>75</v>
      </c>
      <c r="L48" s="4">
        <v>42126</v>
      </c>
      <c r="M48" s="3" t="s">
        <v>29</v>
      </c>
      <c r="N48" s="3" t="s">
        <v>2</v>
      </c>
      <c r="O48" s="3" t="s">
        <v>35</v>
      </c>
      <c r="P48" s="3">
        <v>5</v>
      </c>
      <c r="Q48" s="5">
        <v>20</v>
      </c>
    </row>
    <row r="49" spans="1:17" x14ac:dyDescent="0.25">
      <c r="A49" s="4">
        <v>42026</v>
      </c>
      <c r="B49" s="3" t="s">
        <v>32</v>
      </c>
      <c r="C49" s="3" t="s">
        <v>2</v>
      </c>
      <c r="D49" s="3" t="s">
        <v>33</v>
      </c>
      <c r="E49" s="3">
        <v>24</v>
      </c>
      <c r="F49" s="5">
        <f t="shared" si="0"/>
        <v>120</v>
      </c>
      <c r="L49" s="4">
        <v>42133</v>
      </c>
      <c r="M49" s="3" t="s">
        <v>39</v>
      </c>
      <c r="N49" s="3" t="s">
        <v>2</v>
      </c>
      <c r="O49" s="3" t="s">
        <v>34</v>
      </c>
      <c r="P49" s="3">
        <v>50</v>
      </c>
      <c r="Q49" s="5">
        <v>10</v>
      </c>
    </row>
    <row r="50" spans="1:17" x14ac:dyDescent="0.25">
      <c r="A50" s="4">
        <v>42087</v>
      </c>
      <c r="B50" s="3" t="s">
        <v>39</v>
      </c>
      <c r="C50" s="3" t="s">
        <v>2</v>
      </c>
      <c r="D50" s="3" t="s">
        <v>36</v>
      </c>
      <c r="E50" s="3">
        <v>29</v>
      </c>
      <c r="F50" s="5">
        <f t="shared" si="0"/>
        <v>43.5</v>
      </c>
      <c r="L50" s="4">
        <v>42132</v>
      </c>
      <c r="M50" s="3" t="s">
        <v>37</v>
      </c>
      <c r="N50" s="3" t="s">
        <v>2</v>
      </c>
      <c r="O50" s="3" t="s">
        <v>35</v>
      </c>
      <c r="P50" s="3">
        <v>22</v>
      </c>
      <c r="Q50" s="5">
        <v>88</v>
      </c>
    </row>
    <row r="51" spans="1:17" x14ac:dyDescent="0.25">
      <c r="A51" s="4">
        <v>42102</v>
      </c>
      <c r="B51" s="3" t="s">
        <v>26</v>
      </c>
      <c r="C51" s="3" t="s">
        <v>2</v>
      </c>
      <c r="D51" s="3" t="s">
        <v>35</v>
      </c>
      <c r="E51" s="3">
        <v>5</v>
      </c>
      <c r="F51" s="5">
        <f t="shared" si="0"/>
        <v>20</v>
      </c>
      <c r="L51" s="4">
        <v>42165</v>
      </c>
      <c r="M51" s="3" t="s">
        <v>37</v>
      </c>
      <c r="N51" s="3" t="s">
        <v>2</v>
      </c>
      <c r="O51" s="3" t="s">
        <v>34</v>
      </c>
      <c r="P51" s="3">
        <v>20</v>
      </c>
      <c r="Q51" s="5">
        <v>4</v>
      </c>
    </row>
    <row r="52" spans="1:17" hidden="1" x14ac:dyDescent="0.25">
      <c r="A52" s="4">
        <v>42127</v>
      </c>
      <c r="B52" s="3" t="s">
        <v>37</v>
      </c>
      <c r="C52" s="3" t="s">
        <v>10</v>
      </c>
      <c r="D52" s="3" t="s">
        <v>28</v>
      </c>
      <c r="E52" s="3">
        <v>29</v>
      </c>
      <c r="F52" s="5">
        <f t="shared" si="0"/>
        <v>58</v>
      </c>
      <c r="L52" s="4">
        <v>42184</v>
      </c>
      <c r="M52" s="3" t="s">
        <v>38</v>
      </c>
      <c r="N52" s="3" t="s">
        <v>2</v>
      </c>
      <c r="O52" s="3" t="s">
        <v>28</v>
      </c>
      <c r="P52" s="3">
        <v>41</v>
      </c>
      <c r="Q52" s="5">
        <v>82</v>
      </c>
    </row>
    <row r="53" spans="1:17" hidden="1" x14ac:dyDescent="0.25">
      <c r="A53" s="4">
        <v>42150</v>
      </c>
      <c r="B53" s="3" t="s">
        <v>32</v>
      </c>
      <c r="C53" s="3" t="s">
        <v>5</v>
      </c>
      <c r="D53" s="3" t="s">
        <v>30</v>
      </c>
      <c r="E53" s="3">
        <v>37</v>
      </c>
      <c r="F53" s="5">
        <f t="shared" si="0"/>
        <v>3.7</v>
      </c>
      <c r="L53" s="4">
        <v>42026</v>
      </c>
      <c r="M53" s="3" t="s">
        <v>26</v>
      </c>
      <c r="N53" s="3" t="s">
        <v>2</v>
      </c>
      <c r="O53" s="3" t="s">
        <v>31</v>
      </c>
      <c r="P53" s="3">
        <v>27</v>
      </c>
      <c r="Q53" s="5">
        <v>67.5</v>
      </c>
    </row>
    <row r="54" spans="1:17" hidden="1" x14ac:dyDescent="0.25">
      <c r="A54" s="4">
        <v>42070</v>
      </c>
      <c r="B54" s="3" t="s">
        <v>26</v>
      </c>
      <c r="C54" s="3" t="s">
        <v>6</v>
      </c>
      <c r="D54" s="3" t="s">
        <v>27</v>
      </c>
      <c r="E54" s="3">
        <v>44</v>
      </c>
      <c r="F54" s="5">
        <f t="shared" si="0"/>
        <v>22</v>
      </c>
      <c r="L54" s="4">
        <v>42013</v>
      </c>
      <c r="M54" s="3" t="s">
        <v>38</v>
      </c>
      <c r="N54" s="3" t="s">
        <v>2</v>
      </c>
      <c r="O54" s="3" t="s">
        <v>28</v>
      </c>
      <c r="P54" s="3">
        <v>29</v>
      </c>
      <c r="Q54" s="5">
        <v>58</v>
      </c>
    </row>
    <row r="55" spans="1:17" hidden="1" x14ac:dyDescent="0.25">
      <c r="A55" s="4">
        <v>42138</v>
      </c>
      <c r="B55" s="3" t="s">
        <v>29</v>
      </c>
      <c r="C55" s="3" t="s">
        <v>10</v>
      </c>
      <c r="D55" s="3" t="s">
        <v>36</v>
      </c>
      <c r="E55" s="3">
        <v>18</v>
      </c>
      <c r="F55" s="5">
        <f t="shared" si="0"/>
        <v>27</v>
      </c>
      <c r="L55" s="4">
        <v>42143</v>
      </c>
      <c r="M55" s="3" t="s">
        <v>29</v>
      </c>
      <c r="N55" s="3" t="s">
        <v>2</v>
      </c>
      <c r="O55" s="3" t="s">
        <v>31</v>
      </c>
      <c r="P55" s="3">
        <v>20</v>
      </c>
      <c r="Q55" s="5">
        <v>50</v>
      </c>
    </row>
    <row r="56" spans="1:17" x14ac:dyDescent="0.25">
      <c r="A56" s="4">
        <v>42032</v>
      </c>
      <c r="B56" s="3" t="s">
        <v>39</v>
      </c>
      <c r="C56" s="3" t="s">
        <v>2</v>
      </c>
      <c r="D56" s="3" t="s">
        <v>35</v>
      </c>
      <c r="E56" s="3">
        <v>13</v>
      </c>
      <c r="F56" s="5">
        <f t="shared" si="0"/>
        <v>52</v>
      </c>
      <c r="L56" s="4">
        <v>42164</v>
      </c>
      <c r="M56" s="3" t="s">
        <v>32</v>
      </c>
      <c r="N56" s="3" t="s">
        <v>2</v>
      </c>
      <c r="O56" s="3" t="s">
        <v>30</v>
      </c>
      <c r="P56" s="3">
        <v>7</v>
      </c>
      <c r="Q56" s="5">
        <v>0.70000000000000007</v>
      </c>
    </row>
    <row r="57" spans="1:17" hidden="1" x14ac:dyDescent="0.25">
      <c r="A57" s="4">
        <v>42173</v>
      </c>
      <c r="B57" s="3" t="s">
        <v>29</v>
      </c>
      <c r="C57" s="3" t="s">
        <v>10</v>
      </c>
      <c r="D57" s="3" t="s">
        <v>36</v>
      </c>
      <c r="E57" s="3">
        <v>17</v>
      </c>
      <c r="F57" s="5">
        <f t="shared" si="0"/>
        <v>25.5</v>
      </c>
      <c r="L57" s="4">
        <v>42032</v>
      </c>
      <c r="M57" s="3" t="s">
        <v>37</v>
      </c>
      <c r="N57" s="3" t="s">
        <v>2</v>
      </c>
      <c r="O57" s="3" t="s">
        <v>31</v>
      </c>
      <c r="P57" s="3">
        <v>37</v>
      </c>
      <c r="Q57" s="5">
        <v>92.5</v>
      </c>
    </row>
    <row r="58" spans="1:17" x14ac:dyDescent="0.25">
      <c r="A58" s="4">
        <v>42019</v>
      </c>
      <c r="B58" s="3" t="s">
        <v>39</v>
      </c>
      <c r="C58" s="3" t="s">
        <v>2</v>
      </c>
      <c r="D58" s="3" t="s">
        <v>36</v>
      </c>
      <c r="E58" s="3">
        <v>45</v>
      </c>
      <c r="F58" s="5">
        <f t="shared" si="0"/>
        <v>67.5</v>
      </c>
      <c r="L58" s="4">
        <v>42117</v>
      </c>
      <c r="M58" s="3" t="s">
        <v>26</v>
      </c>
      <c r="N58" s="3" t="s">
        <v>2</v>
      </c>
      <c r="O58" s="3" t="s">
        <v>30</v>
      </c>
      <c r="P58" s="3">
        <v>2</v>
      </c>
      <c r="Q58" s="5">
        <v>0.2</v>
      </c>
    </row>
    <row r="59" spans="1:17" x14ac:dyDescent="0.25">
      <c r="A59" s="4">
        <v>42047</v>
      </c>
      <c r="B59" s="3" t="s">
        <v>37</v>
      </c>
      <c r="C59" s="3" t="s">
        <v>2</v>
      </c>
      <c r="D59" s="3" t="s">
        <v>33</v>
      </c>
      <c r="E59" s="3">
        <v>29</v>
      </c>
      <c r="F59" s="5">
        <f t="shared" si="0"/>
        <v>145</v>
      </c>
      <c r="L59" s="4">
        <v>42125</v>
      </c>
      <c r="M59" s="3" t="s">
        <v>37</v>
      </c>
      <c r="N59" s="3" t="s">
        <v>2</v>
      </c>
      <c r="O59" s="3" t="s">
        <v>36</v>
      </c>
      <c r="P59" s="3">
        <v>36</v>
      </c>
      <c r="Q59" s="5">
        <v>54</v>
      </c>
    </row>
    <row r="60" spans="1:17" x14ac:dyDescent="0.25">
      <c r="A60" s="4">
        <v>42017</v>
      </c>
      <c r="B60" s="3" t="s">
        <v>38</v>
      </c>
      <c r="C60" s="3" t="s">
        <v>2</v>
      </c>
      <c r="D60" s="3" t="s">
        <v>36</v>
      </c>
      <c r="E60" s="3">
        <v>11</v>
      </c>
      <c r="F60" s="5">
        <f t="shared" si="0"/>
        <v>16.5</v>
      </c>
      <c r="L60" s="4">
        <v>42033</v>
      </c>
      <c r="M60" s="3" t="s">
        <v>37</v>
      </c>
      <c r="N60" s="3" t="s">
        <v>2</v>
      </c>
      <c r="O60" s="3" t="s">
        <v>35</v>
      </c>
      <c r="P60" s="3">
        <v>12</v>
      </c>
      <c r="Q60" s="5">
        <v>48</v>
      </c>
    </row>
    <row r="61" spans="1:17" hidden="1" x14ac:dyDescent="0.25">
      <c r="A61" s="4">
        <v>42043</v>
      </c>
      <c r="B61" s="3" t="s">
        <v>38</v>
      </c>
      <c r="C61" s="3" t="s">
        <v>10</v>
      </c>
      <c r="D61" s="3" t="s">
        <v>36</v>
      </c>
      <c r="E61" s="3">
        <v>4</v>
      </c>
      <c r="F61" s="5">
        <f t="shared" si="0"/>
        <v>6</v>
      </c>
      <c r="L61" s="4">
        <v>42132</v>
      </c>
      <c r="M61" s="3" t="s">
        <v>29</v>
      </c>
      <c r="N61" s="3" t="s">
        <v>2</v>
      </c>
      <c r="O61" s="3" t="s">
        <v>27</v>
      </c>
      <c r="P61" s="3">
        <v>14</v>
      </c>
      <c r="Q61" s="5">
        <v>7</v>
      </c>
    </row>
    <row r="62" spans="1:17" hidden="1" x14ac:dyDescent="0.25">
      <c r="A62" s="4">
        <v>42160</v>
      </c>
      <c r="B62" s="3" t="s">
        <v>32</v>
      </c>
      <c r="C62" s="3" t="s">
        <v>6</v>
      </c>
      <c r="D62" s="3" t="s">
        <v>31</v>
      </c>
      <c r="E62" s="3">
        <v>10</v>
      </c>
      <c r="F62" s="5">
        <f t="shared" si="0"/>
        <v>25</v>
      </c>
      <c r="L62" s="4">
        <v>42072</v>
      </c>
      <c r="M62" s="3" t="s">
        <v>37</v>
      </c>
      <c r="N62" s="3" t="s">
        <v>2</v>
      </c>
      <c r="O62" s="3" t="s">
        <v>31</v>
      </c>
      <c r="P62" s="3">
        <v>39</v>
      </c>
      <c r="Q62" s="5">
        <v>97.5</v>
      </c>
    </row>
    <row r="63" spans="1:17" hidden="1" x14ac:dyDescent="0.25">
      <c r="A63" s="4">
        <v>42018</v>
      </c>
      <c r="B63" s="3" t="s">
        <v>29</v>
      </c>
      <c r="C63" s="3" t="s">
        <v>10</v>
      </c>
      <c r="D63" s="3" t="s">
        <v>33</v>
      </c>
      <c r="E63" s="3">
        <v>15</v>
      </c>
      <c r="F63" s="5">
        <f t="shared" si="0"/>
        <v>75</v>
      </c>
      <c r="L63" s="4">
        <v>42029</v>
      </c>
      <c r="M63" s="3" t="s">
        <v>37</v>
      </c>
      <c r="N63" s="3" t="s">
        <v>2</v>
      </c>
      <c r="O63" s="3" t="s">
        <v>36</v>
      </c>
      <c r="P63" s="3">
        <v>20</v>
      </c>
      <c r="Q63" s="5">
        <v>30</v>
      </c>
    </row>
    <row r="64" spans="1:17" x14ac:dyDescent="0.25">
      <c r="A64" s="4">
        <v>42076</v>
      </c>
      <c r="B64" s="3" t="s">
        <v>32</v>
      </c>
      <c r="C64" s="3" t="s">
        <v>2</v>
      </c>
      <c r="D64" s="3" t="s">
        <v>28</v>
      </c>
      <c r="E64" s="3">
        <v>29</v>
      </c>
      <c r="F64" s="5">
        <f t="shared" si="0"/>
        <v>58</v>
      </c>
      <c r="L64" s="4">
        <v>42079</v>
      </c>
      <c r="M64" s="3" t="s">
        <v>26</v>
      </c>
      <c r="N64" s="3" t="s">
        <v>2</v>
      </c>
      <c r="O64" s="3" t="s">
        <v>30</v>
      </c>
      <c r="P64" s="3">
        <v>47</v>
      </c>
      <c r="Q64" s="5">
        <v>4.7</v>
      </c>
    </row>
    <row r="65" spans="1:17" hidden="1" x14ac:dyDescent="0.25">
      <c r="A65" s="4">
        <v>42032</v>
      </c>
      <c r="B65" s="3" t="s">
        <v>32</v>
      </c>
      <c r="C65" s="3" t="s">
        <v>19</v>
      </c>
      <c r="D65" s="3" t="s">
        <v>27</v>
      </c>
      <c r="E65" s="3">
        <v>9</v>
      </c>
      <c r="F65" s="5">
        <f t="shared" si="0"/>
        <v>4.5</v>
      </c>
      <c r="L65" s="4">
        <v>42159</v>
      </c>
      <c r="M65" s="3" t="s">
        <v>32</v>
      </c>
      <c r="N65" s="3" t="s">
        <v>2</v>
      </c>
      <c r="O65" s="3" t="s">
        <v>28</v>
      </c>
      <c r="P65" s="3">
        <v>24</v>
      </c>
      <c r="Q65" s="5">
        <v>48</v>
      </c>
    </row>
    <row r="66" spans="1:17" hidden="1" x14ac:dyDescent="0.25">
      <c r="A66" s="4">
        <v>42021</v>
      </c>
      <c r="B66" s="3" t="s">
        <v>38</v>
      </c>
      <c r="C66" s="3" t="s">
        <v>6</v>
      </c>
      <c r="D66" s="3" t="s">
        <v>30</v>
      </c>
      <c r="E66" s="3">
        <v>21</v>
      </c>
      <c r="F66" s="5">
        <f t="shared" si="0"/>
        <v>2.1</v>
      </c>
      <c r="L66" s="4">
        <v>42018</v>
      </c>
      <c r="M66" s="3" t="s">
        <v>38</v>
      </c>
      <c r="N66" s="3" t="s">
        <v>2</v>
      </c>
      <c r="O66" s="3" t="s">
        <v>30</v>
      </c>
      <c r="P66" s="3">
        <v>31</v>
      </c>
      <c r="Q66" s="5">
        <v>3.1</v>
      </c>
    </row>
    <row r="67" spans="1:17" hidden="1" x14ac:dyDescent="0.25">
      <c r="A67" s="4">
        <v>42077</v>
      </c>
      <c r="B67" s="3" t="s">
        <v>39</v>
      </c>
      <c r="C67" s="3" t="s">
        <v>5</v>
      </c>
      <c r="D67" s="3" t="s">
        <v>34</v>
      </c>
      <c r="E67" s="3">
        <v>35</v>
      </c>
      <c r="F67" s="5">
        <f t="shared" si="0"/>
        <v>7</v>
      </c>
      <c r="L67" s="4">
        <v>42119</v>
      </c>
      <c r="M67" s="3" t="s">
        <v>38</v>
      </c>
      <c r="N67" s="3" t="s">
        <v>2</v>
      </c>
      <c r="O67" s="3" t="s">
        <v>34</v>
      </c>
      <c r="P67" s="3">
        <v>35</v>
      </c>
      <c r="Q67" s="5">
        <v>7</v>
      </c>
    </row>
    <row r="68" spans="1:17" hidden="1" x14ac:dyDescent="0.25">
      <c r="A68" s="4">
        <v>42070</v>
      </c>
      <c r="B68" s="3" t="s">
        <v>37</v>
      </c>
      <c r="C68" s="3" t="s">
        <v>6</v>
      </c>
      <c r="D68" s="3" t="s">
        <v>34</v>
      </c>
      <c r="E68" s="3">
        <v>21</v>
      </c>
      <c r="F68" s="5">
        <f t="shared" si="0"/>
        <v>4.2</v>
      </c>
      <c r="L68" s="4">
        <v>42122</v>
      </c>
      <c r="M68" s="3" t="s">
        <v>29</v>
      </c>
      <c r="N68" s="3" t="s">
        <v>2</v>
      </c>
      <c r="O68" s="3" t="s">
        <v>35</v>
      </c>
      <c r="P68" s="3">
        <v>22</v>
      </c>
      <c r="Q68" s="5">
        <v>88</v>
      </c>
    </row>
    <row r="69" spans="1:17" x14ac:dyDescent="0.25">
      <c r="A69" s="4">
        <v>42146</v>
      </c>
      <c r="B69" s="3" t="s">
        <v>39</v>
      </c>
      <c r="C69" s="3" t="s">
        <v>2</v>
      </c>
      <c r="D69" s="3" t="s">
        <v>28</v>
      </c>
      <c r="E69" s="3">
        <v>4</v>
      </c>
      <c r="F69" s="5">
        <f t="shared" si="0"/>
        <v>8</v>
      </c>
      <c r="L69" s="4">
        <v>42138</v>
      </c>
      <c r="M69" s="3" t="s">
        <v>37</v>
      </c>
      <c r="N69" s="3" t="s">
        <v>2</v>
      </c>
      <c r="O69" s="3" t="s">
        <v>33</v>
      </c>
      <c r="P69" s="3">
        <v>8</v>
      </c>
      <c r="Q69" s="5">
        <v>40</v>
      </c>
    </row>
    <row r="70" spans="1:17" x14ac:dyDescent="0.25">
      <c r="A70" s="4">
        <v>42169</v>
      </c>
      <c r="B70" s="3" t="s">
        <v>38</v>
      </c>
      <c r="C70" s="3" t="s">
        <v>2</v>
      </c>
      <c r="D70" s="3" t="s">
        <v>36</v>
      </c>
      <c r="E70" s="3">
        <v>5</v>
      </c>
      <c r="F70" s="5">
        <f t="shared" si="0"/>
        <v>7.5</v>
      </c>
      <c r="L70" s="4">
        <v>42122</v>
      </c>
      <c r="M70" s="3" t="s">
        <v>39</v>
      </c>
      <c r="N70" s="3" t="s">
        <v>2</v>
      </c>
      <c r="O70" s="3" t="s">
        <v>36</v>
      </c>
      <c r="P70" s="3">
        <v>3</v>
      </c>
      <c r="Q70" s="5">
        <v>4.5</v>
      </c>
    </row>
    <row r="71" spans="1:17" x14ac:dyDescent="0.25">
      <c r="A71" s="4">
        <v>42098</v>
      </c>
      <c r="B71" s="3" t="s">
        <v>37</v>
      </c>
      <c r="C71" s="3" t="s">
        <v>2</v>
      </c>
      <c r="D71" s="3" t="s">
        <v>30</v>
      </c>
      <c r="E71" s="3">
        <v>17</v>
      </c>
      <c r="F71" s="5">
        <f t="shared" ref="F71:F134" si="1">E71*VLOOKUP(D71,$W$6:$X$13,2,0)</f>
        <v>1.7000000000000002</v>
      </c>
      <c r="L71" s="4">
        <v>42009</v>
      </c>
      <c r="M71" s="3" t="s">
        <v>32</v>
      </c>
      <c r="N71" s="3" t="s">
        <v>2</v>
      </c>
      <c r="O71" s="3" t="s">
        <v>35</v>
      </c>
      <c r="P71" s="3">
        <v>19</v>
      </c>
      <c r="Q71" s="5">
        <v>76</v>
      </c>
    </row>
    <row r="72" spans="1:17" hidden="1" x14ac:dyDescent="0.25">
      <c r="A72" s="4">
        <v>42080</v>
      </c>
      <c r="B72" s="3" t="s">
        <v>38</v>
      </c>
      <c r="C72" s="3" t="s">
        <v>19</v>
      </c>
      <c r="D72" s="3" t="s">
        <v>27</v>
      </c>
      <c r="E72" s="3">
        <v>2</v>
      </c>
      <c r="F72" s="5">
        <f t="shared" si="1"/>
        <v>1</v>
      </c>
      <c r="L72" s="4">
        <v>42026</v>
      </c>
      <c r="M72" s="3" t="s">
        <v>32</v>
      </c>
      <c r="N72" s="3" t="s">
        <v>2</v>
      </c>
      <c r="O72" s="3" t="s">
        <v>34</v>
      </c>
      <c r="P72" s="3">
        <v>19</v>
      </c>
      <c r="Q72" s="5">
        <v>3.8000000000000003</v>
      </c>
    </row>
    <row r="73" spans="1:17" hidden="1" x14ac:dyDescent="0.25">
      <c r="A73" s="4">
        <v>42132</v>
      </c>
      <c r="B73" s="3" t="s">
        <v>37</v>
      </c>
      <c r="C73" s="3" t="s">
        <v>5</v>
      </c>
      <c r="D73" s="3" t="s">
        <v>30</v>
      </c>
      <c r="E73" s="3">
        <v>11</v>
      </c>
      <c r="F73" s="5">
        <f t="shared" si="1"/>
        <v>1.1000000000000001</v>
      </c>
      <c r="L73" s="4">
        <v>42152</v>
      </c>
      <c r="M73" s="3" t="s">
        <v>37</v>
      </c>
      <c r="N73" s="3" t="s">
        <v>2</v>
      </c>
      <c r="O73" s="3" t="s">
        <v>30</v>
      </c>
      <c r="P73" s="3">
        <v>15</v>
      </c>
      <c r="Q73" s="5">
        <v>1.5</v>
      </c>
    </row>
    <row r="74" spans="1:17" hidden="1" x14ac:dyDescent="0.25">
      <c r="A74" s="4">
        <v>42145</v>
      </c>
      <c r="B74" s="3" t="s">
        <v>38</v>
      </c>
      <c r="C74" s="3" t="s">
        <v>10</v>
      </c>
      <c r="D74" s="3" t="s">
        <v>30</v>
      </c>
      <c r="E74" s="3">
        <v>37</v>
      </c>
      <c r="F74" s="5">
        <f t="shared" si="1"/>
        <v>3.7</v>
      </c>
      <c r="L74" s="4">
        <v>42075</v>
      </c>
      <c r="M74" s="3" t="s">
        <v>37</v>
      </c>
      <c r="N74" s="3" t="s">
        <v>2</v>
      </c>
      <c r="O74" s="3" t="s">
        <v>31</v>
      </c>
      <c r="P74" s="3">
        <v>5</v>
      </c>
      <c r="Q74" s="5">
        <v>12.5</v>
      </c>
    </row>
    <row r="75" spans="1:17" x14ac:dyDescent="0.25">
      <c r="A75" s="4">
        <v>42179</v>
      </c>
      <c r="B75" s="3" t="s">
        <v>37</v>
      </c>
      <c r="C75" s="3" t="s">
        <v>2</v>
      </c>
      <c r="D75" s="3" t="s">
        <v>34</v>
      </c>
      <c r="E75" s="3">
        <v>26</v>
      </c>
      <c r="F75" s="5">
        <f t="shared" si="1"/>
        <v>5.2</v>
      </c>
      <c r="L75" s="4">
        <v>42020</v>
      </c>
      <c r="M75" s="3" t="s">
        <v>37</v>
      </c>
      <c r="N75" s="3" t="s">
        <v>2</v>
      </c>
      <c r="O75" s="3" t="s">
        <v>28</v>
      </c>
      <c r="P75" s="3">
        <v>26</v>
      </c>
      <c r="Q75" s="5">
        <v>52</v>
      </c>
    </row>
    <row r="76" spans="1:17" hidden="1" x14ac:dyDescent="0.25">
      <c r="A76" s="4">
        <v>42016</v>
      </c>
      <c r="B76" s="3" t="s">
        <v>32</v>
      </c>
      <c r="C76" s="3" t="s">
        <v>19</v>
      </c>
      <c r="D76" s="3" t="s">
        <v>27</v>
      </c>
      <c r="E76" s="3">
        <v>45</v>
      </c>
      <c r="F76" s="5">
        <f t="shared" si="1"/>
        <v>22.5</v>
      </c>
      <c r="L76" s="4">
        <v>42137</v>
      </c>
      <c r="M76" s="3" t="s">
        <v>26</v>
      </c>
      <c r="N76" s="3" t="s">
        <v>2</v>
      </c>
      <c r="O76" s="3" t="s">
        <v>28</v>
      </c>
      <c r="P76" s="3">
        <v>35</v>
      </c>
      <c r="Q76" s="5">
        <v>70</v>
      </c>
    </row>
    <row r="77" spans="1:17" hidden="1" x14ac:dyDescent="0.25">
      <c r="A77" s="4">
        <v>42011</v>
      </c>
      <c r="B77" s="3" t="s">
        <v>29</v>
      </c>
      <c r="C77" s="3" t="s">
        <v>6</v>
      </c>
      <c r="D77" s="3" t="s">
        <v>35</v>
      </c>
      <c r="E77" s="3">
        <v>31</v>
      </c>
      <c r="F77" s="5">
        <f t="shared" si="1"/>
        <v>124</v>
      </c>
      <c r="L77" s="4">
        <v>42055</v>
      </c>
      <c r="M77" s="3" t="s">
        <v>29</v>
      </c>
      <c r="N77" s="3" t="s">
        <v>2</v>
      </c>
      <c r="O77" s="3" t="s">
        <v>35</v>
      </c>
      <c r="P77" s="3">
        <v>44</v>
      </c>
      <c r="Q77" s="5">
        <v>176</v>
      </c>
    </row>
    <row r="78" spans="1:17" hidden="1" x14ac:dyDescent="0.25">
      <c r="A78" s="4">
        <v>42107</v>
      </c>
      <c r="B78" s="3" t="s">
        <v>39</v>
      </c>
      <c r="C78" s="3" t="s">
        <v>6</v>
      </c>
      <c r="D78" s="3" t="s">
        <v>30</v>
      </c>
      <c r="E78" s="3">
        <v>25</v>
      </c>
      <c r="F78" s="5">
        <f t="shared" si="1"/>
        <v>2.5</v>
      </c>
      <c r="L78" s="4">
        <v>42057</v>
      </c>
      <c r="M78" s="3" t="s">
        <v>39</v>
      </c>
      <c r="N78" s="3" t="s">
        <v>2</v>
      </c>
      <c r="O78" s="3" t="s">
        <v>28</v>
      </c>
      <c r="P78" s="3">
        <v>30</v>
      </c>
      <c r="Q78" s="5">
        <v>60</v>
      </c>
    </row>
    <row r="79" spans="1:17" hidden="1" x14ac:dyDescent="0.25">
      <c r="A79" s="4">
        <v>42152</v>
      </c>
      <c r="B79" s="3" t="s">
        <v>38</v>
      </c>
      <c r="C79" s="3" t="s">
        <v>10</v>
      </c>
      <c r="D79" s="3" t="s">
        <v>28</v>
      </c>
      <c r="E79" s="3">
        <v>12</v>
      </c>
      <c r="F79" s="5">
        <f t="shared" si="1"/>
        <v>24</v>
      </c>
      <c r="L79" s="4">
        <v>42131</v>
      </c>
      <c r="M79" s="3" t="s">
        <v>39</v>
      </c>
      <c r="N79" s="3" t="s">
        <v>2</v>
      </c>
      <c r="O79" s="3" t="s">
        <v>30</v>
      </c>
      <c r="P79" s="3">
        <v>22</v>
      </c>
      <c r="Q79" s="5">
        <v>2.2000000000000002</v>
      </c>
    </row>
    <row r="80" spans="1:17" hidden="1" x14ac:dyDescent="0.25">
      <c r="A80" s="4">
        <v>42161</v>
      </c>
      <c r="B80" s="3" t="s">
        <v>32</v>
      </c>
      <c r="C80" s="3" t="s">
        <v>6</v>
      </c>
      <c r="D80" s="3" t="s">
        <v>28</v>
      </c>
      <c r="E80" s="3">
        <v>25</v>
      </c>
      <c r="F80" s="5">
        <f t="shared" si="1"/>
        <v>50</v>
      </c>
      <c r="L80" s="4">
        <v>42084</v>
      </c>
      <c r="M80" s="3" t="s">
        <v>29</v>
      </c>
      <c r="N80" s="3" t="s">
        <v>2</v>
      </c>
      <c r="O80" s="3" t="s">
        <v>30</v>
      </c>
      <c r="P80" s="3">
        <v>45</v>
      </c>
      <c r="Q80" s="5">
        <v>4.5</v>
      </c>
    </row>
    <row r="81" spans="1:17" hidden="1" x14ac:dyDescent="0.25">
      <c r="A81" s="4">
        <v>42118</v>
      </c>
      <c r="B81" s="3" t="s">
        <v>38</v>
      </c>
      <c r="C81" s="3" t="s">
        <v>5</v>
      </c>
      <c r="D81" s="3" t="s">
        <v>35</v>
      </c>
      <c r="E81" s="3">
        <v>48</v>
      </c>
      <c r="F81" s="5">
        <f t="shared" si="1"/>
        <v>192</v>
      </c>
      <c r="L81" s="4">
        <v>42146</v>
      </c>
      <c r="M81" s="3" t="s">
        <v>39</v>
      </c>
      <c r="N81" s="3" t="s">
        <v>2</v>
      </c>
      <c r="O81" s="3" t="s">
        <v>35</v>
      </c>
      <c r="P81" s="3">
        <v>24</v>
      </c>
      <c r="Q81" s="5">
        <v>96</v>
      </c>
    </row>
    <row r="82" spans="1:17" hidden="1" x14ac:dyDescent="0.25">
      <c r="A82" s="4">
        <v>42141</v>
      </c>
      <c r="B82" s="3" t="s">
        <v>38</v>
      </c>
      <c r="C82" s="3" t="s">
        <v>10</v>
      </c>
      <c r="D82" s="3" t="s">
        <v>35</v>
      </c>
      <c r="E82" s="3">
        <v>32</v>
      </c>
      <c r="F82" s="5">
        <f t="shared" si="1"/>
        <v>128</v>
      </c>
      <c r="L82" s="4">
        <v>42086</v>
      </c>
      <c r="M82" s="3" t="s">
        <v>29</v>
      </c>
      <c r="N82" s="3" t="s">
        <v>2</v>
      </c>
      <c r="O82" s="3" t="s">
        <v>35</v>
      </c>
      <c r="P82" s="3">
        <v>49</v>
      </c>
      <c r="Q82" s="5">
        <v>196</v>
      </c>
    </row>
    <row r="83" spans="1:17" hidden="1" x14ac:dyDescent="0.25">
      <c r="A83" s="4">
        <v>42064</v>
      </c>
      <c r="B83" s="3" t="s">
        <v>29</v>
      </c>
      <c r="C83" s="3" t="s">
        <v>5</v>
      </c>
      <c r="D83" s="3" t="s">
        <v>33</v>
      </c>
      <c r="E83" s="3">
        <v>4</v>
      </c>
      <c r="F83" s="5">
        <f t="shared" si="1"/>
        <v>20</v>
      </c>
      <c r="L83" s="4">
        <v>42033</v>
      </c>
      <c r="M83" s="3" t="s">
        <v>37</v>
      </c>
      <c r="N83" s="3" t="s">
        <v>2</v>
      </c>
      <c r="O83" s="3" t="s">
        <v>34</v>
      </c>
      <c r="P83" s="3">
        <v>18</v>
      </c>
      <c r="Q83" s="5">
        <v>3.6</v>
      </c>
    </row>
    <row r="84" spans="1:17" hidden="1" x14ac:dyDescent="0.25">
      <c r="A84" s="4">
        <v>42141</v>
      </c>
      <c r="B84" s="3" t="s">
        <v>26</v>
      </c>
      <c r="C84" s="3" t="s">
        <v>6</v>
      </c>
      <c r="D84" s="3" t="s">
        <v>33</v>
      </c>
      <c r="E84" s="3">
        <v>35</v>
      </c>
      <c r="F84" s="5">
        <f t="shared" si="1"/>
        <v>175</v>
      </c>
      <c r="L84" s="4">
        <v>42122</v>
      </c>
      <c r="M84" s="3" t="s">
        <v>26</v>
      </c>
      <c r="N84" s="3" t="s">
        <v>2</v>
      </c>
      <c r="O84" s="3" t="s">
        <v>27</v>
      </c>
      <c r="P84" s="3">
        <v>17</v>
      </c>
      <c r="Q84" s="5">
        <v>8.5</v>
      </c>
    </row>
    <row r="85" spans="1:17" hidden="1" x14ac:dyDescent="0.25">
      <c r="A85" s="4">
        <v>42090</v>
      </c>
      <c r="B85" s="3" t="s">
        <v>26</v>
      </c>
      <c r="C85" s="3" t="s">
        <v>6</v>
      </c>
      <c r="D85" s="3" t="s">
        <v>35</v>
      </c>
      <c r="E85" s="3">
        <v>50</v>
      </c>
      <c r="F85" s="5">
        <f t="shared" si="1"/>
        <v>200</v>
      </c>
      <c r="L85" s="4">
        <v>42030</v>
      </c>
      <c r="M85" s="3" t="s">
        <v>38</v>
      </c>
      <c r="N85" s="3" t="s">
        <v>2</v>
      </c>
      <c r="O85" s="3" t="s">
        <v>31</v>
      </c>
      <c r="P85" s="3">
        <v>28</v>
      </c>
      <c r="Q85" s="5">
        <v>70</v>
      </c>
    </row>
    <row r="86" spans="1:17" x14ac:dyDescent="0.25">
      <c r="A86" s="4">
        <v>42052</v>
      </c>
      <c r="B86" s="3" t="s">
        <v>39</v>
      </c>
      <c r="C86" s="3" t="s">
        <v>2</v>
      </c>
      <c r="D86" s="3" t="s">
        <v>30</v>
      </c>
      <c r="E86" s="3">
        <v>27</v>
      </c>
      <c r="F86" s="5">
        <f t="shared" si="1"/>
        <v>2.7</v>
      </c>
      <c r="L86" s="4">
        <v>42090</v>
      </c>
      <c r="M86" s="3" t="s">
        <v>32</v>
      </c>
      <c r="N86" s="3" t="s">
        <v>2</v>
      </c>
      <c r="O86" s="3" t="s">
        <v>31</v>
      </c>
      <c r="P86" s="3">
        <v>21</v>
      </c>
      <c r="Q86" s="5">
        <v>52.5</v>
      </c>
    </row>
    <row r="87" spans="1:17" hidden="1" x14ac:dyDescent="0.25">
      <c r="A87" s="4">
        <v>42123</v>
      </c>
      <c r="B87" s="3" t="s">
        <v>29</v>
      </c>
      <c r="C87" s="3" t="s">
        <v>6</v>
      </c>
      <c r="D87" s="3" t="s">
        <v>35</v>
      </c>
      <c r="E87" s="3">
        <v>36</v>
      </c>
      <c r="F87" s="5">
        <f t="shared" si="1"/>
        <v>144</v>
      </c>
      <c r="L87" s="4">
        <v>42185</v>
      </c>
      <c r="M87" s="3" t="s">
        <v>29</v>
      </c>
      <c r="N87" s="3" t="s">
        <v>2</v>
      </c>
      <c r="O87" s="3" t="s">
        <v>33</v>
      </c>
      <c r="P87" s="3">
        <v>17</v>
      </c>
      <c r="Q87" s="5">
        <v>85</v>
      </c>
    </row>
    <row r="88" spans="1:17" hidden="1" x14ac:dyDescent="0.25">
      <c r="A88" s="4">
        <v>42182</v>
      </c>
      <c r="B88" s="3" t="s">
        <v>38</v>
      </c>
      <c r="C88" s="3" t="s">
        <v>6</v>
      </c>
      <c r="D88" s="3" t="s">
        <v>28</v>
      </c>
      <c r="E88" s="3">
        <v>36</v>
      </c>
      <c r="F88" s="5">
        <f t="shared" si="1"/>
        <v>72</v>
      </c>
      <c r="L88" s="4">
        <v>42066</v>
      </c>
      <c r="M88" s="3" t="s">
        <v>29</v>
      </c>
      <c r="N88" s="3" t="s">
        <v>2</v>
      </c>
      <c r="O88" s="3" t="s">
        <v>36</v>
      </c>
      <c r="P88" s="3">
        <v>40</v>
      </c>
      <c r="Q88" s="5">
        <v>60</v>
      </c>
    </row>
    <row r="89" spans="1:17" x14ac:dyDescent="0.25">
      <c r="A89" s="4">
        <v>42126</v>
      </c>
      <c r="B89" s="3" t="s">
        <v>29</v>
      </c>
      <c r="C89" s="3" t="s">
        <v>2</v>
      </c>
      <c r="D89" s="3" t="s">
        <v>35</v>
      </c>
      <c r="E89" s="3">
        <v>5</v>
      </c>
      <c r="F89" s="5">
        <f t="shared" si="1"/>
        <v>20</v>
      </c>
      <c r="L89" s="4">
        <v>42126</v>
      </c>
      <c r="M89" s="3" t="s">
        <v>38</v>
      </c>
      <c r="N89" s="3" t="s">
        <v>2</v>
      </c>
      <c r="O89" s="3" t="s">
        <v>31</v>
      </c>
      <c r="P89" s="3">
        <v>47</v>
      </c>
      <c r="Q89" s="5">
        <v>117.5</v>
      </c>
    </row>
    <row r="90" spans="1:17" hidden="1" x14ac:dyDescent="0.25">
      <c r="A90" s="4">
        <v>42050</v>
      </c>
      <c r="B90" s="3" t="s">
        <v>38</v>
      </c>
      <c r="C90" s="3" t="s">
        <v>19</v>
      </c>
      <c r="D90" s="3" t="s">
        <v>27</v>
      </c>
      <c r="E90" s="3">
        <v>11</v>
      </c>
      <c r="F90" s="5">
        <f t="shared" si="1"/>
        <v>5.5</v>
      </c>
      <c r="L90" s="4">
        <v>42089</v>
      </c>
      <c r="M90" s="3" t="s">
        <v>38</v>
      </c>
      <c r="N90" s="3" t="s">
        <v>2</v>
      </c>
      <c r="O90" s="3" t="s">
        <v>27</v>
      </c>
      <c r="P90" s="3">
        <v>19</v>
      </c>
      <c r="Q90" s="5">
        <v>9.5</v>
      </c>
    </row>
    <row r="91" spans="1:17" hidden="1" x14ac:dyDescent="0.25">
      <c r="A91" s="4">
        <v>42072</v>
      </c>
      <c r="B91" s="3" t="s">
        <v>39</v>
      </c>
      <c r="C91" s="3" t="s">
        <v>10</v>
      </c>
      <c r="D91" s="3" t="s">
        <v>33</v>
      </c>
      <c r="E91" s="3">
        <v>7</v>
      </c>
      <c r="F91" s="5">
        <f t="shared" si="1"/>
        <v>35</v>
      </c>
      <c r="L91" s="4">
        <v>42009</v>
      </c>
      <c r="M91" s="3" t="s">
        <v>38</v>
      </c>
      <c r="N91" s="3" t="s">
        <v>2</v>
      </c>
      <c r="O91" s="3" t="s">
        <v>35</v>
      </c>
      <c r="P91" s="3">
        <v>45</v>
      </c>
      <c r="Q91" s="5">
        <v>180</v>
      </c>
    </row>
    <row r="92" spans="1:17" hidden="1" x14ac:dyDescent="0.25">
      <c r="A92" s="4">
        <v>42035</v>
      </c>
      <c r="B92" s="3" t="s">
        <v>37</v>
      </c>
      <c r="C92" s="3" t="s">
        <v>5</v>
      </c>
      <c r="D92" s="3" t="s">
        <v>33</v>
      </c>
      <c r="E92" s="3">
        <v>40</v>
      </c>
      <c r="F92" s="5">
        <f t="shared" si="1"/>
        <v>200</v>
      </c>
      <c r="L92" s="4">
        <v>42168</v>
      </c>
      <c r="M92" s="3" t="s">
        <v>32</v>
      </c>
      <c r="N92" s="3" t="s">
        <v>2</v>
      </c>
      <c r="O92" s="3" t="s">
        <v>28</v>
      </c>
      <c r="P92" s="3">
        <v>39</v>
      </c>
      <c r="Q92" s="5">
        <v>78</v>
      </c>
    </row>
    <row r="93" spans="1:17" hidden="1" x14ac:dyDescent="0.25">
      <c r="A93" s="4">
        <v>42169</v>
      </c>
      <c r="B93" s="3" t="s">
        <v>37</v>
      </c>
      <c r="C93" s="3" t="s">
        <v>5</v>
      </c>
      <c r="D93" s="3" t="s">
        <v>28</v>
      </c>
      <c r="E93" s="3">
        <v>44</v>
      </c>
      <c r="F93" s="5">
        <f t="shared" si="1"/>
        <v>88</v>
      </c>
      <c r="L93" s="4">
        <v>42032</v>
      </c>
      <c r="M93" s="3" t="s">
        <v>38</v>
      </c>
      <c r="N93" s="3" t="s">
        <v>2</v>
      </c>
      <c r="O93" s="3" t="s">
        <v>33</v>
      </c>
      <c r="P93" s="3">
        <v>5</v>
      </c>
      <c r="Q93" s="5">
        <v>25</v>
      </c>
    </row>
    <row r="94" spans="1:17" x14ac:dyDescent="0.25">
      <c r="A94" s="4">
        <v>42133</v>
      </c>
      <c r="B94" s="3" t="s">
        <v>39</v>
      </c>
      <c r="C94" s="3" t="s">
        <v>2</v>
      </c>
      <c r="D94" s="3" t="s">
        <v>34</v>
      </c>
      <c r="E94" s="3">
        <v>50</v>
      </c>
      <c r="F94" s="5">
        <f t="shared" si="1"/>
        <v>10</v>
      </c>
      <c r="L94" s="4">
        <v>42171</v>
      </c>
      <c r="M94" s="3" t="s">
        <v>26</v>
      </c>
      <c r="N94" s="3" t="s">
        <v>2</v>
      </c>
      <c r="O94" s="3" t="s">
        <v>31</v>
      </c>
      <c r="P94" s="3">
        <v>15</v>
      </c>
      <c r="Q94" s="5">
        <v>37.5</v>
      </c>
    </row>
    <row r="95" spans="1:17" x14ac:dyDescent="0.25">
      <c r="A95" s="4">
        <v>42132</v>
      </c>
      <c r="B95" s="3" t="s">
        <v>37</v>
      </c>
      <c r="C95" s="3" t="s">
        <v>2</v>
      </c>
      <c r="D95" s="3" t="s">
        <v>35</v>
      </c>
      <c r="E95" s="3">
        <v>22</v>
      </c>
      <c r="F95" s="5">
        <f t="shared" si="1"/>
        <v>88</v>
      </c>
      <c r="L95" s="4">
        <v>42101</v>
      </c>
      <c r="M95" s="3" t="s">
        <v>32</v>
      </c>
      <c r="N95" s="3" t="s">
        <v>2</v>
      </c>
      <c r="O95" s="3" t="s">
        <v>36</v>
      </c>
      <c r="P95" s="3">
        <v>26</v>
      </c>
      <c r="Q95" s="5">
        <v>39</v>
      </c>
    </row>
    <row r="96" spans="1:17" hidden="1" x14ac:dyDescent="0.25">
      <c r="A96" s="4">
        <v>42091</v>
      </c>
      <c r="B96" s="3" t="s">
        <v>37</v>
      </c>
      <c r="C96" s="3" t="s">
        <v>10</v>
      </c>
      <c r="D96" s="3" t="s">
        <v>27</v>
      </c>
      <c r="E96" s="3">
        <v>35</v>
      </c>
      <c r="F96" s="5">
        <f t="shared" si="1"/>
        <v>17.5</v>
      </c>
      <c r="L96" s="4">
        <v>42146</v>
      </c>
      <c r="M96" s="3" t="s">
        <v>32</v>
      </c>
      <c r="N96" s="3" t="s">
        <v>2</v>
      </c>
      <c r="O96" s="3" t="s">
        <v>30</v>
      </c>
      <c r="P96" s="3">
        <v>18</v>
      </c>
      <c r="Q96" s="5">
        <v>1.8</v>
      </c>
    </row>
    <row r="97" spans="1:17" hidden="1" x14ac:dyDescent="0.25">
      <c r="A97" s="4">
        <v>42180</v>
      </c>
      <c r="B97" s="3" t="s">
        <v>26</v>
      </c>
      <c r="C97" s="3" t="s">
        <v>10</v>
      </c>
      <c r="D97" s="3" t="s">
        <v>35</v>
      </c>
      <c r="E97" s="3">
        <v>22</v>
      </c>
      <c r="F97" s="5">
        <f t="shared" si="1"/>
        <v>88</v>
      </c>
      <c r="L97" s="4">
        <v>42097</v>
      </c>
      <c r="M97" s="3" t="s">
        <v>32</v>
      </c>
      <c r="N97" s="3" t="s">
        <v>2</v>
      </c>
      <c r="O97" s="3" t="s">
        <v>28</v>
      </c>
      <c r="P97" s="3">
        <v>17</v>
      </c>
      <c r="Q97" s="5">
        <v>34</v>
      </c>
    </row>
    <row r="98" spans="1:17" hidden="1" x14ac:dyDescent="0.25">
      <c r="A98" s="4">
        <v>42172</v>
      </c>
      <c r="B98" s="3" t="s">
        <v>26</v>
      </c>
      <c r="C98" s="3" t="s">
        <v>5</v>
      </c>
      <c r="D98" s="3" t="s">
        <v>30</v>
      </c>
      <c r="E98" s="3">
        <v>6</v>
      </c>
      <c r="F98" s="5">
        <f t="shared" si="1"/>
        <v>0.60000000000000009</v>
      </c>
      <c r="L98" s="4">
        <v>42110</v>
      </c>
      <c r="M98" s="3" t="s">
        <v>38</v>
      </c>
      <c r="N98" s="3" t="s">
        <v>2</v>
      </c>
      <c r="O98" s="3" t="s">
        <v>36</v>
      </c>
      <c r="P98" s="3">
        <v>36</v>
      </c>
      <c r="Q98" s="5">
        <v>54</v>
      </c>
    </row>
    <row r="99" spans="1:17" hidden="1" x14ac:dyDescent="0.25">
      <c r="A99" s="4">
        <v>42046</v>
      </c>
      <c r="B99" s="3" t="s">
        <v>37</v>
      </c>
      <c r="C99" s="3" t="s">
        <v>6</v>
      </c>
      <c r="D99" s="3" t="s">
        <v>35</v>
      </c>
      <c r="E99" s="3">
        <v>49</v>
      </c>
      <c r="F99" s="5">
        <f t="shared" si="1"/>
        <v>196</v>
      </c>
      <c r="L99" s="4">
        <v>42087</v>
      </c>
      <c r="M99" s="3" t="s">
        <v>37</v>
      </c>
      <c r="N99" s="3" t="s">
        <v>2</v>
      </c>
      <c r="O99" s="3" t="s">
        <v>34</v>
      </c>
      <c r="P99" s="3">
        <v>14</v>
      </c>
      <c r="Q99" s="5">
        <v>2.8000000000000003</v>
      </c>
    </row>
    <row r="100" spans="1:17" hidden="1" x14ac:dyDescent="0.25">
      <c r="A100" s="4">
        <v>42039</v>
      </c>
      <c r="B100" s="3" t="s">
        <v>37</v>
      </c>
      <c r="C100" s="3" t="s">
        <v>19</v>
      </c>
      <c r="D100" s="3" t="s">
        <v>35</v>
      </c>
      <c r="E100" s="3">
        <v>24</v>
      </c>
      <c r="F100" s="5">
        <f t="shared" si="1"/>
        <v>96</v>
      </c>
      <c r="L100" s="4">
        <v>42125</v>
      </c>
      <c r="M100" s="3" t="s">
        <v>32</v>
      </c>
      <c r="N100" s="3" t="s">
        <v>2</v>
      </c>
      <c r="O100" s="3" t="s">
        <v>34</v>
      </c>
      <c r="P100" s="3">
        <v>26</v>
      </c>
      <c r="Q100" s="5">
        <v>5.2</v>
      </c>
    </row>
    <row r="101" spans="1:17" hidden="1" x14ac:dyDescent="0.25">
      <c r="A101" s="4">
        <v>42114</v>
      </c>
      <c r="B101" s="3" t="s">
        <v>26</v>
      </c>
      <c r="C101" s="3" t="s">
        <v>10</v>
      </c>
      <c r="D101" s="3" t="s">
        <v>31</v>
      </c>
      <c r="E101" s="3">
        <v>2</v>
      </c>
      <c r="F101" s="5">
        <f t="shared" si="1"/>
        <v>5</v>
      </c>
      <c r="L101" s="4">
        <v>42185</v>
      </c>
      <c r="M101" s="3" t="s">
        <v>39</v>
      </c>
      <c r="N101" s="3" t="s">
        <v>2</v>
      </c>
      <c r="O101" s="3" t="s">
        <v>34</v>
      </c>
      <c r="P101" s="3">
        <v>28</v>
      </c>
      <c r="Q101" s="5">
        <v>5.6000000000000005</v>
      </c>
    </row>
    <row r="102" spans="1:17" x14ac:dyDescent="0.25">
      <c r="A102" s="4">
        <v>42165</v>
      </c>
      <c r="B102" s="3" t="s">
        <v>37</v>
      </c>
      <c r="C102" s="3" t="s">
        <v>2</v>
      </c>
      <c r="D102" s="3" t="s">
        <v>34</v>
      </c>
      <c r="E102" s="3">
        <v>20</v>
      </c>
      <c r="F102" s="5">
        <f t="shared" si="1"/>
        <v>4</v>
      </c>
      <c r="L102" s="4">
        <v>42183</v>
      </c>
      <c r="M102" s="3" t="s">
        <v>26</v>
      </c>
      <c r="N102" s="3" t="s">
        <v>2</v>
      </c>
      <c r="O102" s="3" t="s">
        <v>28</v>
      </c>
      <c r="P102" s="3">
        <v>12</v>
      </c>
      <c r="Q102" s="5">
        <v>24</v>
      </c>
    </row>
    <row r="103" spans="1:17" hidden="1" x14ac:dyDescent="0.25">
      <c r="A103" s="4">
        <v>42136</v>
      </c>
      <c r="B103" s="3" t="s">
        <v>38</v>
      </c>
      <c r="C103" s="3" t="s">
        <v>10</v>
      </c>
      <c r="D103" s="3" t="s">
        <v>36</v>
      </c>
      <c r="E103" s="3">
        <v>26</v>
      </c>
      <c r="F103" s="5">
        <f t="shared" si="1"/>
        <v>39</v>
      </c>
      <c r="L103" s="4">
        <v>42079</v>
      </c>
      <c r="M103" s="3" t="s">
        <v>39</v>
      </c>
      <c r="N103" s="3" t="s">
        <v>2</v>
      </c>
      <c r="O103" s="3" t="s">
        <v>27</v>
      </c>
      <c r="P103" s="3">
        <v>16</v>
      </c>
      <c r="Q103" s="5">
        <v>8</v>
      </c>
    </row>
    <row r="104" spans="1:17" hidden="1" x14ac:dyDescent="0.25">
      <c r="A104" s="4">
        <v>42121</v>
      </c>
      <c r="B104" s="3" t="s">
        <v>39</v>
      </c>
      <c r="C104" s="3" t="s">
        <v>19</v>
      </c>
      <c r="D104" s="3" t="s">
        <v>36</v>
      </c>
      <c r="E104" s="3">
        <v>24</v>
      </c>
      <c r="F104" s="5">
        <f t="shared" si="1"/>
        <v>36</v>
      </c>
      <c r="L104" s="4">
        <v>42046</v>
      </c>
      <c r="M104" s="3" t="s">
        <v>37</v>
      </c>
      <c r="N104" s="3" t="s">
        <v>2</v>
      </c>
      <c r="O104" s="3" t="s">
        <v>33</v>
      </c>
      <c r="P104" s="3">
        <v>11</v>
      </c>
      <c r="Q104" s="5">
        <v>55</v>
      </c>
    </row>
    <row r="105" spans="1:17" x14ac:dyDescent="0.25">
      <c r="A105" s="4">
        <v>42184</v>
      </c>
      <c r="B105" s="3" t="s">
        <v>38</v>
      </c>
      <c r="C105" s="3" t="s">
        <v>2</v>
      </c>
      <c r="D105" s="3" t="s">
        <v>28</v>
      </c>
      <c r="E105" s="3">
        <v>41</v>
      </c>
      <c r="F105" s="5">
        <f t="shared" si="1"/>
        <v>82</v>
      </c>
      <c r="L105" s="4">
        <v>42070</v>
      </c>
      <c r="M105" s="3" t="s">
        <v>39</v>
      </c>
      <c r="N105" s="3" t="s">
        <v>2</v>
      </c>
      <c r="O105" s="3" t="s">
        <v>34</v>
      </c>
      <c r="P105" s="3">
        <v>6</v>
      </c>
      <c r="Q105" s="5">
        <v>1.2000000000000002</v>
      </c>
    </row>
    <row r="106" spans="1:17" x14ac:dyDescent="0.25">
      <c r="A106" s="4">
        <v>42026</v>
      </c>
      <c r="B106" s="3" t="s">
        <v>26</v>
      </c>
      <c r="C106" s="3" t="s">
        <v>2</v>
      </c>
      <c r="D106" s="3" t="s">
        <v>31</v>
      </c>
      <c r="E106" s="3">
        <v>27</v>
      </c>
      <c r="F106" s="5">
        <f t="shared" si="1"/>
        <v>67.5</v>
      </c>
      <c r="L106" s="4">
        <v>42111</v>
      </c>
      <c r="M106" s="3" t="s">
        <v>29</v>
      </c>
      <c r="N106" s="3" t="s">
        <v>2</v>
      </c>
      <c r="O106" s="3" t="s">
        <v>36</v>
      </c>
      <c r="P106" s="3">
        <v>28</v>
      </c>
      <c r="Q106" s="5">
        <v>42</v>
      </c>
    </row>
    <row r="107" spans="1:17" hidden="1" x14ac:dyDescent="0.25">
      <c r="A107" s="4">
        <v>42039</v>
      </c>
      <c r="B107" s="3" t="s">
        <v>29</v>
      </c>
      <c r="C107" s="3" t="s">
        <v>6</v>
      </c>
      <c r="D107" s="3" t="s">
        <v>31</v>
      </c>
      <c r="E107" s="3">
        <v>29</v>
      </c>
      <c r="F107" s="5">
        <f t="shared" si="1"/>
        <v>72.5</v>
      </c>
      <c r="L107" s="4">
        <v>42053</v>
      </c>
      <c r="M107" s="3" t="s">
        <v>39</v>
      </c>
      <c r="N107" s="3" t="s">
        <v>2</v>
      </c>
      <c r="O107" s="3" t="s">
        <v>28</v>
      </c>
      <c r="P107" s="3">
        <v>46</v>
      </c>
      <c r="Q107" s="5">
        <v>92</v>
      </c>
    </row>
    <row r="108" spans="1:17" hidden="1" x14ac:dyDescent="0.25">
      <c r="A108" s="4">
        <v>42174</v>
      </c>
      <c r="B108" s="3" t="s">
        <v>29</v>
      </c>
      <c r="C108" s="3" t="s">
        <v>5</v>
      </c>
      <c r="D108" s="3" t="s">
        <v>28</v>
      </c>
      <c r="E108" s="3">
        <v>40</v>
      </c>
      <c r="F108" s="5">
        <f t="shared" si="1"/>
        <v>80</v>
      </c>
      <c r="L108" s="4">
        <v>42047</v>
      </c>
      <c r="M108" s="3" t="s">
        <v>38</v>
      </c>
      <c r="N108" s="3" t="s">
        <v>2</v>
      </c>
      <c r="O108" s="3" t="s">
        <v>27</v>
      </c>
      <c r="P108" s="3">
        <v>48</v>
      </c>
      <c r="Q108" s="5">
        <v>24</v>
      </c>
    </row>
    <row r="109" spans="1:17" hidden="1" x14ac:dyDescent="0.25">
      <c r="A109" s="4">
        <v>42130</v>
      </c>
      <c r="B109" s="3" t="s">
        <v>37</v>
      </c>
      <c r="C109" s="3" t="s">
        <v>19</v>
      </c>
      <c r="D109" s="3" t="s">
        <v>34</v>
      </c>
      <c r="E109" s="3">
        <v>32</v>
      </c>
      <c r="F109" s="5">
        <f t="shared" si="1"/>
        <v>6.4</v>
      </c>
      <c r="L109" s="4">
        <v>42043</v>
      </c>
      <c r="M109" s="3" t="s">
        <v>29</v>
      </c>
      <c r="N109" s="3" t="s">
        <v>2</v>
      </c>
      <c r="O109" s="3" t="s">
        <v>30</v>
      </c>
      <c r="P109" s="3">
        <v>39</v>
      </c>
      <c r="Q109" s="5">
        <v>3.9000000000000004</v>
      </c>
    </row>
    <row r="110" spans="1:17" x14ac:dyDescent="0.25">
      <c r="A110" s="4">
        <v>42013</v>
      </c>
      <c r="B110" s="3" t="s">
        <v>38</v>
      </c>
      <c r="C110" s="3" t="s">
        <v>2</v>
      </c>
      <c r="D110" s="3" t="s">
        <v>28</v>
      </c>
      <c r="E110" s="3">
        <v>29</v>
      </c>
      <c r="F110" s="5">
        <f t="shared" si="1"/>
        <v>58</v>
      </c>
      <c r="L110" s="4">
        <v>42036</v>
      </c>
      <c r="M110" s="3" t="s">
        <v>26</v>
      </c>
      <c r="N110" s="3" t="s">
        <v>2</v>
      </c>
      <c r="O110" s="3" t="s">
        <v>33</v>
      </c>
      <c r="P110" s="3">
        <v>41</v>
      </c>
      <c r="Q110" s="5">
        <v>205</v>
      </c>
    </row>
    <row r="111" spans="1:17" hidden="1" x14ac:dyDescent="0.25">
      <c r="A111" s="4">
        <v>42068</v>
      </c>
      <c r="B111" s="3" t="s">
        <v>32</v>
      </c>
      <c r="C111" s="3" t="s">
        <v>6</v>
      </c>
      <c r="D111" s="3" t="s">
        <v>31</v>
      </c>
      <c r="E111" s="3">
        <v>19</v>
      </c>
      <c r="F111" s="5">
        <f t="shared" si="1"/>
        <v>47.5</v>
      </c>
      <c r="L111" s="4">
        <v>42005</v>
      </c>
      <c r="M111" s="3" t="s">
        <v>38</v>
      </c>
      <c r="N111" s="3" t="s">
        <v>2</v>
      </c>
      <c r="O111" s="3" t="s">
        <v>35</v>
      </c>
      <c r="P111" s="3">
        <v>30</v>
      </c>
      <c r="Q111" s="5">
        <v>120</v>
      </c>
    </row>
    <row r="112" spans="1:17" hidden="1" x14ac:dyDescent="0.25">
      <c r="A112" s="4">
        <v>42093</v>
      </c>
      <c r="B112" s="3" t="s">
        <v>29</v>
      </c>
      <c r="C112" s="3" t="s">
        <v>5</v>
      </c>
      <c r="D112" s="3" t="s">
        <v>28</v>
      </c>
      <c r="E112" s="3">
        <v>15</v>
      </c>
      <c r="F112" s="5">
        <f t="shared" si="1"/>
        <v>30</v>
      </c>
      <c r="L112" s="4">
        <v>42118</v>
      </c>
      <c r="M112" s="3" t="s">
        <v>26</v>
      </c>
      <c r="N112" s="3" t="s">
        <v>2</v>
      </c>
      <c r="O112" s="3" t="s">
        <v>28</v>
      </c>
      <c r="P112" s="3">
        <v>34</v>
      </c>
      <c r="Q112" s="5">
        <v>68</v>
      </c>
    </row>
    <row r="113" spans="1:17" hidden="1" x14ac:dyDescent="0.25">
      <c r="A113" s="4">
        <v>42178</v>
      </c>
      <c r="B113" s="3" t="s">
        <v>37</v>
      </c>
      <c r="C113" s="3" t="s">
        <v>6</v>
      </c>
      <c r="D113" s="3" t="s">
        <v>30</v>
      </c>
      <c r="E113" s="3">
        <v>24</v>
      </c>
      <c r="F113" s="5">
        <f t="shared" si="1"/>
        <v>2.4000000000000004</v>
      </c>
      <c r="L113" s="4">
        <v>42040</v>
      </c>
      <c r="M113" s="3" t="s">
        <v>37</v>
      </c>
      <c r="N113" s="3" t="s">
        <v>2</v>
      </c>
      <c r="O113" s="3" t="s">
        <v>35</v>
      </c>
      <c r="P113" s="3">
        <v>33</v>
      </c>
      <c r="Q113" s="5">
        <v>132</v>
      </c>
    </row>
    <row r="114" spans="1:17" hidden="1" x14ac:dyDescent="0.25">
      <c r="A114" s="4">
        <v>42097</v>
      </c>
      <c r="B114" s="3" t="s">
        <v>38</v>
      </c>
      <c r="C114" s="3" t="s">
        <v>5</v>
      </c>
      <c r="D114" s="3" t="s">
        <v>28</v>
      </c>
      <c r="E114" s="3">
        <v>21</v>
      </c>
      <c r="F114" s="5">
        <f t="shared" si="1"/>
        <v>42</v>
      </c>
      <c r="L114" s="4">
        <v>42126</v>
      </c>
      <c r="M114" s="3" t="s">
        <v>26</v>
      </c>
      <c r="N114" s="3" t="s">
        <v>2</v>
      </c>
      <c r="O114" s="3" t="s">
        <v>31</v>
      </c>
      <c r="P114" s="3">
        <v>4</v>
      </c>
      <c r="Q114" s="5">
        <v>10</v>
      </c>
    </row>
    <row r="115" spans="1:17" hidden="1" x14ac:dyDescent="0.25">
      <c r="A115" s="4">
        <v>42140</v>
      </c>
      <c r="B115" s="3" t="s">
        <v>32</v>
      </c>
      <c r="C115" s="3" t="s">
        <v>10</v>
      </c>
      <c r="D115" s="3" t="s">
        <v>28</v>
      </c>
      <c r="E115" s="3">
        <v>16</v>
      </c>
      <c r="F115" s="5">
        <f t="shared" si="1"/>
        <v>32</v>
      </c>
      <c r="L115" s="4">
        <v>42067</v>
      </c>
      <c r="M115" s="3" t="s">
        <v>37</v>
      </c>
      <c r="N115" s="3" t="s">
        <v>2</v>
      </c>
      <c r="O115" s="3" t="s">
        <v>28</v>
      </c>
      <c r="P115" s="3">
        <v>41</v>
      </c>
      <c r="Q115" s="5">
        <v>82</v>
      </c>
    </row>
    <row r="116" spans="1:17" hidden="1" x14ac:dyDescent="0.25">
      <c r="A116" s="4">
        <v>42010</v>
      </c>
      <c r="B116" s="3" t="s">
        <v>38</v>
      </c>
      <c r="C116" s="3" t="s">
        <v>19</v>
      </c>
      <c r="D116" s="3" t="s">
        <v>31</v>
      </c>
      <c r="E116" s="3">
        <v>44</v>
      </c>
      <c r="F116" s="5">
        <f t="shared" si="1"/>
        <v>110</v>
      </c>
      <c r="L116" s="4">
        <v>42087</v>
      </c>
      <c r="M116" s="3" t="s">
        <v>38</v>
      </c>
      <c r="N116" s="3" t="s">
        <v>2</v>
      </c>
      <c r="O116" s="3" t="s">
        <v>30</v>
      </c>
      <c r="P116" s="3">
        <v>39</v>
      </c>
      <c r="Q116" s="5">
        <v>3.9000000000000004</v>
      </c>
    </row>
    <row r="117" spans="1:17" hidden="1" x14ac:dyDescent="0.25">
      <c r="A117" s="4">
        <v>42019</v>
      </c>
      <c r="B117" s="3" t="s">
        <v>29</v>
      </c>
      <c r="C117" s="3" t="s">
        <v>5</v>
      </c>
      <c r="D117" s="3" t="s">
        <v>28</v>
      </c>
      <c r="E117" s="3">
        <v>4</v>
      </c>
      <c r="F117" s="5">
        <f t="shared" si="1"/>
        <v>8</v>
      </c>
      <c r="L117" s="4">
        <v>42057</v>
      </c>
      <c r="M117" s="3" t="s">
        <v>29</v>
      </c>
      <c r="N117" s="3" t="s">
        <v>2</v>
      </c>
      <c r="O117" s="3" t="s">
        <v>28</v>
      </c>
      <c r="P117" s="3">
        <v>28</v>
      </c>
      <c r="Q117" s="5">
        <v>56</v>
      </c>
    </row>
    <row r="118" spans="1:17" hidden="1" x14ac:dyDescent="0.25">
      <c r="A118" s="4">
        <v>42095</v>
      </c>
      <c r="B118" s="3" t="s">
        <v>39</v>
      </c>
      <c r="C118" s="3" t="s">
        <v>19</v>
      </c>
      <c r="D118" s="3" t="s">
        <v>28</v>
      </c>
      <c r="E118" s="3">
        <v>5</v>
      </c>
      <c r="F118" s="5">
        <f t="shared" si="1"/>
        <v>10</v>
      </c>
      <c r="L118" s="4">
        <v>42152</v>
      </c>
      <c r="M118" s="3" t="s">
        <v>32</v>
      </c>
      <c r="N118" s="3" t="s">
        <v>2</v>
      </c>
      <c r="O118" s="3" t="s">
        <v>31</v>
      </c>
      <c r="P118" s="3">
        <v>11</v>
      </c>
      <c r="Q118" s="5">
        <v>27.5</v>
      </c>
    </row>
    <row r="119" spans="1:17" hidden="1" x14ac:dyDescent="0.25">
      <c r="A119" s="4">
        <v>42089</v>
      </c>
      <c r="B119" s="3" t="s">
        <v>39</v>
      </c>
      <c r="C119" s="3" t="s">
        <v>19</v>
      </c>
      <c r="D119" s="3" t="s">
        <v>33</v>
      </c>
      <c r="E119" s="3">
        <v>1</v>
      </c>
      <c r="F119" s="5">
        <f t="shared" si="1"/>
        <v>5</v>
      </c>
      <c r="L119" s="4">
        <v>42014</v>
      </c>
      <c r="M119" s="3" t="s">
        <v>26</v>
      </c>
      <c r="N119" s="3" t="s">
        <v>2</v>
      </c>
      <c r="O119" s="3" t="s">
        <v>34</v>
      </c>
      <c r="P119" s="3">
        <v>14</v>
      </c>
      <c r="Q119" s="5">
        <v>2.8000000000000003</v>
      </c>
    </row>
    <row r="120" spans="1:17" hidden="1" x14ac:dyDescent="0.25">
      <c r="A120" s="4">
        <v>42175</v>
      </c>
      <c r="B120" s="3" t="s">
        <v>37</v>
      </c>
      <c r="C120" s="3" t="s">
        <v>19</v>
      </c>
      <c r="D120" s="3" t="s">
        <v>30</v>
      </c>
      <c r="E120" s="3">
        <v>43</v>
      </c>
      <c r="F120" s="5">
        <f t="shared" si="1"/>
        <v>4.3</v>
      </c>
      <c r="L120" s="4">
        <v>42093</v>
      </c>
      <c r="M120" s="3" t="s">
        <v>29</v>
      </c>
      <c r="N120" s="3" t="s">
        <v>2</v>
      </c>
      <c r="O120" s="3" t="s">
        <v>34</v>
      </c>
      <c r="P120" s="3">
        <v>47</v>
      </c>
      <c r="Q120" s="5">
        <v>9.4</v>
      </c>
    </row>
    <row r="121" spans="1:17" hidden="1" x14ac:dyDescent="0.25">
      <c r="A121" s="4">
        <v>42138</v>
      </c>
      <c r="B121" s="3" t="s">
        <v>26</v>
      </c>
      <c r="C121" s="3" t="s">
        <v>5</v>
      </c>
      <c r="D121" s="3" t="s">
        <v>33</v>
      </c>
      <c r="E121" s="3">
        <v>34</v>
      </c>
      <c r="F121" s="5">
        <f t="shared" si="1"/>
        <v>170</v>
      </c>
      <c r="L121" s="4">
        <v>42179</v>
      </c>
      <c r="M121" s="3" t="s">
        <v>38</v>
      </c>
      <c r="N121" s="3" t="s">
        <v>2</v>
      </c>
      <c r="O121" s="3" t="s">
        <v>28</v>
      </c>
      <c r="P121" s="3">
        <v>17</v>
      </c>
      <c r="Q121" s="5">
        <v>34</v>
      </c>
    </row>
    <row r="122" spans="1:17" x14ac:dyDescent="0.25">
      <c r="A122" s="4">
        <v>42143</v>
      </c>
      <c r="B122" s="3" t="s">
        <v>29</v>
      </c>
      <c r="C122" s="3" t="s">
        <v>2</v>
      </c>
      <c r="D122" s="3" t="s">
        <v>31</v>
      </c>
      <c r="E122" s="3">
        <v>20</v>
      </c>
      <c r="F122" s="5">
        <f t="shared" si="1"/>
        <v>50</v>
      </c>
      <c r="L122" s="4">
        <v>42070</v>
      </c>
      <c r="M122" s="3" t="s">
        <v>29</v>
      </c>
      <c r="N122" s="3" t="s">
        <v>2</v>
      </c>
      <c r="O122" s="3" t="s">
        <v>27</v>
      </c>
      <c r="P122" s="3">
        <v>12</v>
      </c>
      <c r="Q122" s="5">
        <v>6</v>
      </c>
    </row>
    <row r="123" spans="1:17" hidden="1" x14ac:dyDescent="0.25">
      <c r="A123" s="4">
        <v>42011</v>
      </c>
      <c r="B123" s="3" t="s">
        <v>38</v>
      </c>
      <c r="C123" s="3" t="s">
        <v>5</v>
      </c>
      <c r="D123" s="3" t="s">
        <v>36</v>
      </c>
      <c r="E123" s="3">
        <v>17</v>
      </c>
      <c r="F123" s="5">
        <f t="shared" si="1"/>
        <v>25.5</v>
      </c>
      <c r="L123" s="4">
        <v>42026</v>
      </c>
      <c r="M123" s="3" t="s">
        <v>29</v>
      </c>
      <c r="N123" s="3" t="s">
        <v>2</v>
      </c>
      <c r="O123" s="3" t="s">
        <v>36</v>
      </c>
      <c r="P123" s="3">
        <v>32</v>
      </c>
      <c r="Q123" s="5">
        <v>48</v>
      </c>
    </row>
    <row r="124" spans="1:17" hidden="1" x14ac:dyDescent="0.25">
      <c r="A124" s="4">
        <v>42138</v>
      </c>
      <c r="B124" s="3" t="s">
        <v>39</v>
      </c>
      <c r="C124" s="3" t="s">
        <v>6</v>
      </c>
      <c r="D124" s="3" t="s">
        <v>36</v>
      </c>
      <c r="E124" s="3">
        <v>23</v>
      </c>
      <c r="F124" s="5">
        <f t="shared" si="1"/>
        <v>34.5</v>
      </c>
      <c r="L124" s="4">
        <v>42090</v>
      </c>
      <c r="M124" s="3" t="s">
        <v>29</v>
      </c>
      <c r="N124" s="3" t="s">
        <v>2</v>
      </c>
      <c r="O124" s="3" t="s">
        <v>31</v>
      </c>
      <c r="P124" s="3">
        <v>34</v>
      </c>
      <c r="Q124" s="5">
        <v>85</v>
      </c>
    </row>
    <row r="125" spans="1:17" hidden="1" x14ac:dyDescent="0.25">
      <c r="A125" s="4">
        <v>42166</v>
      </c>
      <c r="B125" s="3" t="s">
        <v>37</v>
      </c>
      <c r="C125" s="3" t="s">
        <v>19</v>
      </c>
      <c r="D125" s="3" t="s">
        <v>30</v>
      </c>
      <c r="E125" s="3">
        <v>22</v>
      </c>
      <c r="F125" s="5">
        <f t="shared" si="1"/>
        <v>2.2000000000000002</v>
      </c>
      <c r="L125" s="4">
        <v>42073</v>
      </c>
      <c r="M125" s="3" t="s">
        <v>29</v>
      </c>
      <c r="N125" s="3" t="s">
        <v>2</v>
      </c>
      <c r="O125" s="3" t="s">
        <v>31</v>
      </c>
      <c r="P125" s="3">
        <v>8</v>
      </c>
      <c r="Q125" s="5">
        <v>20</v>
      </c>
    </row>
    <row r="126" spans="1:17" hidden="1" x14ac:dyDescent="0.25">
      <c r="A126" s="4">
        <v>42043</v>
      </c>
      <c r="B126" s="3" t="s">
        <v>39</v>
      </c>
      <c r="C126" s="3" t="s">
        <v>6</v>
      </c>
      <c r="D126" s="3" t="s">
        <v>33</v>
      </c>
      <c r="E126" s="3">
        <v>40</v>
      </c>
      <c r="F126" s="5">
        <f t="shared" si="1"/>
        <v>200</v>
      </c>
      <c r="L126" s="4">
        <v>42094</v>
      </c>
      <c r="M126" s="3" t="s">
        <v>29</v>
      </c>
      <c r="N126" s="3" t="s">
        <v>2</v>
      </c>
      <c r="O126" s="3" t="s">
        <v>27</v>
      </c>
      <c r="P126" s="3">
        <v>18</v>
      </c>
      <c r="Q126" s="5">
        <v>9</v>
      </c>
    </row>
    <row r="127" spans="1:17" hidden="1" x14ac:dyDescent="0.25">
      <c r="A127" s="4">
        <v>42184</v>
      </c>
      <c r="B127" s="3" t="s">
        <v>29</v>
      </c>
      <c r="C127" s="3" t="s">
        <v>6</v>
      </c>
      <c r="D127" s="3" t="s">
        <v>35</v>
      </c>
      <c r="E127" s="3">
        <v>50</v>
      </c>
      <c r="F127" s="5">
        <f t="shared" si="1"/>
        <v>200</v>
      </c>
      <c r="L127" s="4">
        <v>42032</v>
      </c>
      <c r="M127" s="3" t="s">
        <v>39</v>
      </c>
      <c r="N127" s="3" t="s">
        <v>2</v>
      </c>
      <c r="O127" s="3" t="s">
        <v>31</v>
      </c>
      <c r="P127" s="3">
        <v>35</v>
      </c>
      <c r="Q127" s="5">
        <v>87.5</v>
      </c>
    </row>
    <row r="128" spans="1:17" hidden="1" x14ac:dyDescent="0.25">
      <c r="A128" s="4">
        <v>42176</v>
      </c>
      <c r="B128" s="3" t="s">
        <v>39</v>
      </c>
      <c r="C128" s="3" t="s">
        <v>5</v>
      </c>
      <c r="D128" s="3" t="s">
        <v>30</v>
      </c>
      <c r="E128" s="3">
        <v>29</v>
      </c>
      <c r="F128" s="5">
        <f t="shared" si="1"/>
        <v>2.9000000000000004</v>
      </c>
      <c r="L128" s="4">
        <v>42161</v>
      </c>
      <c r="M128" s="3" t="s">
        <v>39</v>
      </c>
      <c r="N128" s="3" t="s">
        <v>2</v>
      </c>
      <c r="O128" s="3" t="s">
        <v>33</v>
      </c>
      <c r="P128" s="3">
        <v>12</v>
      </c>
      <c r="Q128" s="5">
        <v>60</v>
      </c>
    </row>
    <row r="129" spans="1:17" hidden="1" x14ac:dyDescent="0.25">
      <c r="A129" s="4">
        <v>42062</v>
      </c>
      <c r="B129" s="3" t="s">
        <v>38</v>
      </c>
      <c r="C129" s="3" t="s">
        <v>10</v>
      </c>
      <c r="D129" s="3" t="s">
        <v>34</v>
      </c>
      <c r="E129" s="3">
        <v>17</v>
      </c>
      <c r="F129" s="5">
        <f t="shared" si="1"/>
        <v>3.4000000000000004</v>
      </c>
      <c r="L129" s="4">
        <v>42101</v>
      </c>
      <c r="M129" s="3" t="s">
        <v>37</v>
      </c>
      <c r="N129" s="3" t="s">
        <v>2</v>
      </c>
      <c r="O129" s="3" t="s">
        <v>31</v>
      </c>
      <c r="P129" s="3">
        <v>32</v>
      </c>
      <c r="Q129" s="5">
        <v>80</v>
      </c>
    </row>
    <row r="130" spans="1:17" hidden="1" x14ac:dyDescent="0.25">
      <c r="A130" s="4">
        <v>42162</v>
      </c>
      <c r="B130" s="3" t="s">
        <v>26</v>
      </c>
      <c r="C130" s="3" t="s">
        <v>19</v>
      </c>
      <c r="D130" s="3" t="s">
        <v>35</v>
      </c>
      <c r="E130" s="3">
        <v>42</v>
      </c>
      <c r="F130" s="5">
        <f t="shared" si="1"/>
        <v>168</v>
      </c>
      <c r="L130" s="4">
        <v>42108</v>
      </c>
      <c r="M130" s="3" t="s">
        <v>38</v>
      </c>
      <c r="N130" s="3" t="s">
        <v>2</v>
      </c>
      <c r="O130" s="3" t="s">
        <v>27</v>
      </c>
      <c r="P130" s="3">
        <v>50</v>
      </c>
      <c r="Q130" s="5">
        <v>25</v>
      </c>
    </row>
    <row r="131" spans="1:17" hidden="1" x14ac:dyDescent="0.25">
      <c r="A131" s="4">
        <v>42127</v>
      </c>
      <c r="B131" s="3" t="s">
        <v>26</v>
      </c>
      <c r="C131" s="3" t="s">
        <v>10</v>
      </c>
      <c r="D131" s="3" t="s">
        <v>28</v>
      </c>
      <c r="E131" s="3">
        <v>50</v>
      </c>
      <c r="F131" s="5">
        <f t="shared" si="1"/>
        <v>100</v>
      </c>
    </row>
    <row r="132" spans="1:17" hidden="1" x14ac:dyDescent="0.25">
      <c r="A132" s="4">
        <v>42100</v>
      </c>
      <c r="B132" s="3" t="s">
        <v>39</v>
      </c>
      <c r="C132" s="3" t="s">
        <v>19</v>
      </c>
      <c r="D132" s="3" t="s">
        <v>35</v>
      </c>
      <c r="E132" s="3">
        <v>20</v>
      </c>
      <c r="F132" s="5">
        <f t="shared" si="1"/>
        <v>80</v>
      </c>
    </row>
    <row r="133" spans="1:17" x14ac:dyDescent="0.25">
      <c r="A133" s="4">
        <v>42164</v>
      </c>
      <c r="B133" s="3" t="s">
        <v>32</v>
      </c>
      <c r="C133" s="3" t="s">
        <v>2</v>
      </c>
      <c r="D133" s="3" t="s">
        <v>30</v>
      </c>
      <c r="E133" s="3">
        <v>7</v>
      </c>
      <c r="F133" s="5">
        <f t="shared" si="1"/>
        <v>0.70000000000000007</v>
      </c>
    </row>
    <row r="134" spans="1:17" hidden="1" x14ac:dyDescent="0.25">
      <c r="A134" s="4">
        <v>42074</v>
      </c>
      <c r="B134" s="3" t="s">
        <v>26</v>
      </c>
      <c r="C134" s="3" t="s">
        <v>6</v>
      </c>
      <c r="D134" s="3" t="s">
        <v>34</v>
      </c>
      <c r="E134" s="3">
        <v>23</v>
      </c>
      <c r="F134" s="5">
        <f t="shared" si="1"/>
        <v>4.6000000000000005</v>
      </c>
    </row>
    <row r="135" spans="1:17" hidden="1" x14ac:dyDescent="0.25">
      <c r="A135" s="4">
        <v>42168</v>
      </c>
      <c r="B135" s="3" t="s">
        <v>29</v>
      </c>
      <c r="C135" s="3" t="s">
        <v>10</v>
      </c>
      <c r="D135" s="3" t="s">
        <v>30</v>
      </c>
      <c r="E135" s="3">
        <v>41</v>
      </c>
      <c r="F135" s="5">
        <f t="shared" ref="F135:F198" si="2">E135*VLOOKUP(D135,$W$6:$X$13,2,0)</f>
        <v>4.1000000000000005</v>
      </c>
    </row>
    <row r="136" spans="1:17" hidden="1" x14ac:dyDescent="0.25">
      <c r="A136" s="4">
        <v>42067</v>
      </c>
      <c r="B136" s="3" t="s">
        <v>32</v>
      </c>
      <c r="C136" s="3" t="s">
        <v>10</v>
      </c>
      <c r="D136" s="3" t="s">
        <v>33</v>
      </c>
      <c r="E136" s="3">
        <v>10</v>
      </c>
      <c r="F136" s="5">
        <f t="shared" si="2"/>
        <v>50</v>
      </c>
    </row>
    <row r="137" spans="1:17" hidden="1" x14ac:dyDescent="0.25">
      <c r="A137" s="4">
        <v>42133</v>
      </c>
      <c r="B137" s="3" t="s">
        <v>32</v>
      </c>
      <c r="C137" s="3" t="s">
        <v>6</v>
      </c>
      <c r="D137" s="3" t="s">
        <v>27</v>
      </c>
      <c r="E137" s="3">
        <v>50</v>
      </c>
      <c r="F137" s="5">
        <f t="shared" si="2"/>
        <v>25</v>
      </c>
    </row>
    <row r="138" spans="1:17" hidden="1" x14ac:dyDescent="0.25">
      <c r="A138" s="4">
        <v>42161</v>
      </c>
      <c r="B138" s="3" t="s">
        <v>38</v>
      </c>
      <c r="C138" s="3" t="s">
        <v>19</v>
      </c>
      <c r="D138" s="3" t="s">
        <v>34</v>
      </c>
      <c r="E138" s="3">
        <v>6</v>
      </c>
      <c r="F138" s="5">
        <f t="shared" si="2"/>
        <v>1.2000000000000002</v>
      </c>
    </row>
    <row r="139" spans="1:17" x14ac:dyDescent="0.25">
      <c r="A139" s="4">
        <v>42032</v>
      </c>
      <c r="B139" s="3" t="s">
        <v>37</v>
      </c>
      <c r="C139" s="3" t="s">
        <v>2</v>
      </c>
      <c r="D139" s="3" t="s">
        <v>31</v>
      </c>
      <c r="E139" s="3">
        <v>37</v>
      </c>
      <c r="F139" s="5">
        <f t="shared" si="2"/>
        <v>92.5</v>
      </c>
    </row>
    <row r="140" spans="1:17" x14ac:dyDescent="0.25">
      <c r="A140" s="4">
        <v>42117</v>
      </c>
      <c r="B140" s="3" t="s">
        <v>26</v>
      </c>
      <c r="C140" s="3" t="s">
        <v>2</v>
      </c>
      <c r="D140" s="3" t="s">
        <v>30</v>
      </c>
      <c r="E140" s="3">
        <v>2</v>
      </c>
      <c r="F140" s="5">
        <f t="shared" si="2"/>
        <v>0.2</v>
      </c>
    </row>
    <row r="141" spans="1:17" x14ac:dyDescent="0.25">
      <c r="A141" s="4">
        <v>42125</v>
      </c>
      <c r="B141" s="3" t="s">
        <v>37</v>
      </c>
      <c r="C141" s="3" t="s">
        <v>2</v>
      </c>
      <c r="D141" s="3" t="s">
        <v>36</v>
      </c>
      <c r="E141" s="3">
        <v>36</v>
      </c>
      <c r="F141" s="5">
        <f t="shared" si="2"/>
        <v>54</v>
      </c>
    </row>
    <row r="142" spans="1:17" hidden="1" x14ac:dyDescent="0.25">
      <c r="A142" s="4">
        <v>42153</v>
      </c>
      <c r="B142" s="3" t="s">
        <v>38</v>
      </c>
      <c r="C142" s="3" t="s">
        <v>5</v>
      </c>
      <c r="D142" s="3" t="s">
        <v>30</v>
      </c>
      <c r="E142" s="3">
        <v>28</v>
      </c>
      <c r="F142" s="5">
        <f t="shared" si="2"/>
        <v>2.8000000000000003</v>
      </c>
    </row>
    <row r="143" spans="1:17" hidden="1" x14ac:dyDescent="0.25">
      <c r="A143" s="4">
        <v>42149</v>
      </c>
      <c r="B143" s="3" t="s">
        <v>32</v>
      </c>
      <c r="C143" s="3" t="s">
        <v>10</v>
      </c>
      <c r="D143" s="3" t="s">
        <v>33</v>
      </c>
      <c r="E143" s="3">
        <v>10</v>
      </c>
      <c r="F143" s="5">
        <f t="shared" si="2"/>
        <v>50</v>
      </c>
    </row>
    <row r="144" spans="1:17" hidden="1" x14ac:dyDescent="0.25">
      <c r="A144" s="4">
        <v>42107</v>
      </c>
      <c r="B144" s="3" t="s">
        <v>39</v>
      </c>
      <c r="C144" s="3" t="s">
        <v>5</v>
      </c>
      <c r="D144" s="3" t="s">
        <v>36</v>
      </c>
      <c r="E144" s="3">
        <v>47</v>
      </c>
      <c r="F144" s="5">
        <f t="shared" si="2"/>
        <v>70.5</v>
      </c>
    </row>
    <row r="145" spans="1:6" hidden="1" x14ac:dyDescent="0.25">
      <c r="A145" s="4">
        <v>42178</v>
      </c>
      <c r="B145" s="3" t="s">
        <v>39</v>
      </c>
      <c r="C145" s="3" t="s">
        <v>10</v>
      </c>
      <c r="D145" s="3" t="s">
        <v>28</v>
      </c>
      <c r="E145" s="3">
        <v>44</v>
      </c>
      <c r="F145" s="5">
        <f t="shared" si="2"/>
        <v>88</v>
      </c>
    </row>
    <row r="146" spans="1:6" x14ac:dyDescent="0.25">
      <c r="A146" s="4">
        <v>42033</v>
      </c>
      <c r="B146" s="3" t="s">
        <v>37</v>
      </c>
      <c r="C146" s="3" t="s">
        <v>2</v>
      </c>
      <c r="D146" s="3" t="s">
        <v>35</v>
      </c>
      <c r="E146" s="3">
        <v>12</v>
      </c>
      <c r="F146" s="5">
        <f t="shared" si="2"/>
        <v>48</v>
      </c>
    </row>
    <row r="147" spans="1:6" x14ac:dyDescent="0.25">
      <c r="A147" s="4">
        <v>42132</v>
      </c>
      <c r="B147" s="3" t="s">
        <v>29</v>
      </c>
      <c r="C147" s="3" t="s">
        <v>2</v>
      </c>
      <c r="D147" s="3" t="s">
        <v>27</v>
      </c>
      <c r="E147" s="3">
        <v>14</v>
      </c>
      <c r="F147" s="5">
        <f t="shared" si="2"/>
        <v>7</v>
      </c>
    </row>
    <row r="148" spans="1:6" hidden="1" x14ac:dyDescent="0.25">
      <c r="A148" s="4">
        <v>42006</v>
      </c>
      <c r="B148" s="3" t="s">
        <v>32</v>
      </c>
      <c r="C148" s="3" t="s">
        <v>6</v>
      </c>
      <c r="D148" s="3" t="s">
        <v>34</v>
      </c>
      <c r="E148" s="3">
        <v>44</v>
      </c>
      <c r="F148" s="5">
        <f t="shared" si="2"/>
        <v>8.8000000000000007</v>
      </c>
    </row>
    <row r="149" spans="1:6" hidden="1" x14ac:dyDescent="0.25">
      <c r="A149" s="4">
        <v>42173</v>
      </c>
      <c r="B149" s="3" t="s">
        <v>29</v>
      </c>
      <c r="C149" s="3" t="s">
        <v>10</v>
      </c>
      <c r="D149" s="3" t="s">
        <v>31</v>
      </c>
      <c r="E149" s="3">
        <v>12</v>
      </c>
      <c r="F149" s="5">
        <f t="shared" si="2"/>
        <v>30</v>
      </c>
    </row>
    <row r="150" spans="1:6" hidden="1" x14ac:dyDescent="0.25">
      <c r="A150" s="4">
        <v>42093</v>
      </c>
      <c r="B150" s="3" t="s">
        <v>26</v>
      </c>
      <c r="C150" s="3" t="s">
        <v>19</v>
      </c>
      <c r="D150" s="3" t="s">
        <v>31</v>
      </c>
      <c r="E150" s="3">
        <v>35</v>
      </c>
      <c r="F150" s="5">
        <f t="shared" si="2"/>
        <v>87.5</v>
      </c>
    </row>
    <row r="151" spans="1:6" hidden="1" x14ac:dyDescent="0.25">
      <c r="A151" s="4">
        <v>42093</v>
      </c>
      <c r="B151" s="3" t="s">
        <v>32</v>
      </c>
      <c r="C151" s="3" t="s">
        <v>6</v>
      </c>
      <c r="D151" s="3" t="s">
        <v>36</v>
      </c>
      <c r="E151" s="3">
        <v>19</v>
      </c>
      <c r="F151" s="5">
        <f t="shared" si="2"/>
        <v>28.5</v>
      </c>
    </row>
    <row r="152" spans="1:6" hidden="1" x14ac:dyDescent="0.25">
      <c r="A152" s="4">
        <v>42033</v>
      </c>
      <c r="B152" s="3" t="s">
        <v>38</v>
      </c>
      <c r="C152" s="3" t="s">
        <v>10</v>
      </c>
      <c r="D152" s="3" t="s">
        <v>34</v>
      </c>
      <c r="E152" s="3">
        <v>9</v>
      </c>
      <c r="F152" s="5">
        <f t="shared" si="2"/>
        <v>1.8</v>
      </c>
    </row>
    <row r="153" spans="1:6" hidden="1" x14ac:dyDescent="0.25">
      <c r="A153" s="4">
        <v>42184</v>
      </c>
      <c r="B153" s="3" t="s">
        <v>32</v>
      </c>
      <c r="C153" s="3" t="s">
        <v>5</v>
      </c>
      <c r="D153" s="3" t="s">
        <v>36</v>
      </c>
      <c r="E153" s="3">
        <v>16</v>
      </c>
      <c r="F153" s="5">
        <f t="shared" si="2"/>
        <v>24</v>
      </c>
    </row>
    <row r="154" spans="1:6" x14ac:dyDescent="0.25">
      <c r="A154" s="4">
        <v>42072</v>
      </c>
      <c r="B154" s="3" t="s">
        <v>37</v>
      </c>
      <c r="C154" s="3" t="s">
        <v>2</v>
      </c>
      <c r="D154" s="3" t="s">
        <v>31</v>
      </c>
      <c r="E154" s="3">
        <v>39</v>
      </c>
      <c r="F154" s="5">
        <f t="shared" si="2"/>
        <v>97.5</v>
      </c>
    </row>
    <row r="155" spans="1:6" hidden="1" x14ac:dyDescent="0.25">
      <c r="A155" s="4">
        <v>42131</v>
      </c>
      <c r="B155" s="3" t="s">
        <v>39</v>
      </c>
      <c r="C155" s="3" t="s">
        <v>5</v>
      </c>
      <c r="D155" s="3" t="s">
        <v>34</v>
      </c>
      <c r="E155" s="3">
        <v>25</v>
      </c>
      <c r="F155" s="5">
        <f t="shared" si="2"/>
        <v>5</v>
      </c>
    </row>
    <row r="156" spans="1:6" hidden="1" x14ac:dyDescent="0.25">
      <c r="A156" s="4">
        <v>42018</v>
      </c>
      <c r="B156" s="3" t="s">
        <v>39</v>
      </c>
      <c r="C156" s="3" t="s">
        <v>19</v>
      </c>
      <c r="D156" s="3" t="s">
        <v>28</v>
      </c>
      <c r="E156" s="3">
        <v>13</v>
      </c>
      <c r="F156" s="5">
        <f t="shared" si="2"/>
        <v>26</v>
      </c>
    </row>
    <row r="157" spans="1:6" hidden="1" x14ac:dyDescent="0.25">
      <c r="A157" s="4">
        <v>42128</v>
      </c>
      <c r="B157" s="3" t="s">
        <v>39</v>
      </c>
      <c r="C157" s="3" t="s">
        <v>10</v>
      </c>
      <c r="D157" s="3" t="s">
        <v>27</v>
      </c>
      <c r="E157" s="3">
        <v>40</v>
      </c>
      <c r="F157" s="5">
        <f t="shared" si="2"/>
        <v>20</v>
      </c>
    </row>
    <row r="158" spans="1:6" x14ac:dyDescent="0.25">
      <c r="A158" s="4">
        <v>42029</v>
      </c>
      <c r="B158" s="3" t="s">
        <v>37</v>
      </c>
      <c r="C158" s="3" t="s">
        <v>2</v>
      </c>
      <c r="D158" s="3" t="s">
        <v>36</v>
      </c>
      <c r="E158" s="3">
        <v>20</v>
      </c>
      <c r="F158" s="5">
        <f t="shared" si="2"/>
        <v>30</v>
      </c>
    </row>
    <row r="159" spans="1:6" hidden="1" x14ac:dyDescent="0.25">
      <c r="A159" s="4">
        <v>42133</v>
      </c>
      <c r="B159" s="3" t="s">
        <v>38</v>
      </c>
      <c r="C159" s="3" t="s">
        <v>5</v>
      </c>
      <c r="D159" s="3" t="s">
        <v>34</v>
      </c>
      <c r="E159" s="3">
        <v>24</v>
      </c>
      <c r="F159" s="5">
        <f t="shared" si="2"/>
        <v>4.8000000000000007</v>
      </c>
    </row>
    <row r="160" spans="1:6" x14ac:dyDescent="0.25">
      <c r="A160" s="4">
        <v>42079</v>
      </c>
      <c r="B160" s="3" t="s">
        <v>26</v>
      </c>
      <c r="C160" s="3" t="s">
        <v>2</v>
      </c>
      <c r="D160" s="3" t="s">
        <v>30</v>
      </c>
      <c r="E160" s="3">
        <v>47</v>
      </c>
      <c r="F160" s="5">
        <f t="shared" si="2"/>
        <v>4.7</v>
      </c>
    </row>
    <row r="161" spans="1:6" hidden="1" x14ac:dyDescent="0.25">
      <c r="A161" s="4">
        <v>42112</v>
      </c>
      <c r="B161" s="3" t="s">
        <v>32</v>
      </c>
      <c r="C161" s="3" t="s">
        <v>6</v>
      </c>
      <c r="D161" s="3" t="s">
        <v>34</v>
      </c>
      <c r="E161" s="3">
        <v>4</v>
      </c>
      <c r="F161" s="5">
        <f t="shared" si="2"/>
        <v>0.8</v>
      </c>
    </row>
    <row r="162" spans="1:6" hidden="1" x14ac:dyDescent="0.25">
      <c r="A162" s="4">
        <v>42083</v>
      </c>
      <c r="B162" s="3" t="s">
        <v>38</v>
      </c>
      <c r="C162" s="3" t="s">
        <v>5</v>
      </c>
      <c r="D162" s="3" t="s">
        <v>36</v>
      </c>
      <c r="E162" s="3">
        <v>34</v>
      </c>
      <c r="F162" s="5">
        <f t="shared" si="2"/>
        <v>51</v>
      </c>
    </row>
    <row r="163" spans="1:6" hidden="1" x14ac:dyDescent="0.25">
      <c r="A163" s="4">
        <v>42136</v>
      </c>
      <c r="B163" s="3" t="s">
        <v>29</v>
      </c>
      <c r="C163" s="3" t="s">
        <v>5</v>
      </c>
      <c r="D163" s="3" t="s">
        <v>34</v>
      </c>
      <c r="E163" s="3">
        <v>26</v>
      </c>
      <c r="F163" s="5">
        <f t="shared" si="2"/>
        <v>5.2</v>
      </c>
    </row>
    <row r="164" spans="1:6" hidden="1" x14ac:dyDescent="0.25">
      <c r="A164" s="4">
        <v>42016</v>
      </c>
      <c r="B164" s="3" t="s">
        <v>26</v>
      </c>
      <c r="C164" s="3" t="s">
        <v>5</v>
      </c>
      <c r="D164" s="3" t="s">
        <v>30</v>
      </c>
      <c r="E164" s="3">
        <v>8</v>
      </c>
      <c r="F164" s="5">
        <f t="shared" si="2"/>
        <v>0.8</v>
      </c>
    </row>
    <row r="165" spans="1:6" hidden="1" x14ac:dyDescent="0.25">
      <c r="A165" s="4">
        <v>42097</v>
      </c>
      <c r="B165" s="3" t="s">
        <v>29</v>
      </c>
      <c r="C165" s="3" t="s">
        <v>5</v>
      </c>
      <c r="D165" s="3" t="s">
        <v>36</v>
      </c>
      <c r="E165" s="3">
        <v>33</v>
      </c>
      <c r="F165" s="5">
        <f t="shared" si="2"/>
        <v>49.5</v>
      </c>
    </row>
    <row r="166" spans="1:6" hidden="1" x14ac:dyDescent="0.25">
      <c r="A166" s="4">
        <v>42150</v>
      </c>
      <c r="B166" s="3" t="s">
        <v>26</v>
      </c>
      <c r="C166" s="3" t="s">
        <v>19</v>
      </c>
      <c r="D166" s="3" t="s">
        <v>30</v>
      </c>
      <c r="E166" s="3">
        <v>40</v>
      </c>
      <c r="F166" s="5">
        <f t="shared" si="2"/>
        <v>4</v>
      </c>
    </row>
    <row r="167" spans="1:6" hidden="1" x14ac:dyDescent="0.25">
      <c r="A167" s="4">
        <v>42039</v>
      </c>
      <c r="B167" s="3" t="s">
        <v>26</v>
      </c>
      <c r="C167" s="3" t="s">
        <v>10</v>
      </c>
      <c r="D167" s="3" t="s">
        <v>28</v>
      </c>
      <c r="E167" s="3">
        <v>8</v>
      </c>
      <c r="F167" s="5">
        <f t="shared" si="2"/>
        <v>16</v>
      </c>
    </row>
    <row r="168" spans="1:6" hidden="1" x14ac:dyDescent="0.25">
      <c r="A168" s="4">
        <v>42147</v>
      </c>
      <c r="B168" s="3" t="s">
        <v>32</v>
      </c>
      <c r="C168" s="3" t="s">
        <v>10</v>
      </c>
      <c r="D168" s="3" t="s">
        <v>27</v>
      </c>
      <c r="E168" s="3">
        <v>40</v>
      </c>
      <c r="F168" s="5">
        <f t="shared" si="2"/>
        <v>20</v>
      </c>
    </row>
    <row r="169" spans="1:6" hidden="1" x14ac:dyDescent="0.25">
      <c r="A169" s="4">
        <v>42172</v>
      </c>
      <c r="B169" s="3" t="s">
        <v>39</v>
      </c>
      <c r="C169" s="3" t="s">
        <v>10</v>
      </c>
      <c r="D169" s="3" t="s">
        <v>34</v>
      </c>
      <c r="E169" s="3">
        <v>48</v>
      </c>
      <c r="F169" s="5">
        <f t="shared" si="2"/>
        <v>9.6000000000000014</v>
      </c>
    </row>
    <row r="170" spans="1:6" hidden="1" x14ac:dyDescent="0.25">
      <c r="A170" s="4">
        <v>42170</v>
      </c>
      <c r="B170" s="3" t="s">
        <v>26</v>
      </c>
      <c r="C170" s="3" t="s">
        <v>6</v>
      </c>
      <c r="D170" s="3" t="s">
        <v>30</v>
      </c>
      <c r="E170" s="3">
        <v>7</v>
      </c>
      <c r="F170" s="5">
        <f t="shared" si="2"/>
        <v>0.70000000000000007</v>
      </c>
    </row>
    <row r="171" spans="1:6" hidden="1" x14ac:dyDescent="0.25">
      <c r="A171" s="4">
        <v>42139</v>
      </c>
      <c r="B171" s="3" t="s">
        <v>37</v>
      </c>
      <c r="C171" s="3" t="s">
        <v>10</v>
      </c>
      <c r="D171" s="3" t="s">
        <v>27</v>
      </c>
      <c r="E171" s="3">
        <v>47</v>
      </c>
      <c r="F171" s="5">
        <f t="shared" si="2"/>
        <v>23.5</v>
      </c>
    </row>
    <row r="172" spans="1:6" hidden="1" x14ac:dyDescent="0.25">
      <c r="A172" s="4">
        <v>42167</v>
      </c>
      <c r="B172" s="3" t="s">
        <v>26</v>
      </c>
      <c r="C172" s="3" t="s">
        <v>6</v>
      </c>
      <c r="D172" s="3" t="s">
        <v>28</v>
      </c>
      <c r="E172" s="3">
        <v>46</v>
      </c>
      <c r="F172" s="5">
        <f t="shared" si="2"/>
        <v>92</v>
      </c>
    </row>
    <row r="173" spans="1:6" hidden="1" x14ac:dyDescent="0.25">
      <c r="A173" s="4">
        <v>42078</v>
      </c>
      <c r="B173" s="3" t="s">
        <v>37</v>
      </c>
      <c r="C173" s="3" t="s">
        <v>19</v>
      </c>
      <c r="D173" s="3" t="s">
        <v>28</v>
      </c>
      <c r="E173" s="3">
        <v>31</v>
      </c>
      <c r="F173" s="5">
        <f t="shared" si="2"/>
        <v>62</v>
      </c>
    </row>
    <row r="174" spans="1:6" hidden="1" x14ac:dyDescent="0.25">
      <c r="A174" s="4">
        <v>42127</v>
      </c>
      <c r="B174" s="3" t="s">
        <v>29</v>
      </c>
      <c r="C174" s="3" t="s">
        <v>10</v>
      </c>
      <c r="D174" s="3" t="s">
        <v>27</v>
      </c>
      <c r="E174" s="3">
        <v>41</v>
      </c>
      <c r="F174" s="5">
        <f t="shared" si="2"/>
        <v>20.5</v>
      </c>
    </row>
    <row r="175" spans="1:6" hidden="1" x14ac:dyDescent="0.25">
      <c r="A175" s="4">
        <v>42040</v>
      </c>
      <c r="B175" s="3" t="s">
        <v>26</v>
      </c>
      <c r="C175" s="3" t="s">
        <v>5</v>
      </c>
      <c r="D175" s="3" t="s">
        <v>27</v>
      </c>
      <c r="E175" s="3">
        <v>43</v>
      </c>
      <c r="F175" s="5">
        <f t="shared" si="2"/>
        <v>21.5</v>
      </c>
    </row>
    <row r="176" spans="1:6" hidden="1" x14ac:dyDescent="0.25">
      <c r="A176" s="4">
        <v>42157</v>
      </c>
      <c r="B176" s="3" t="s">
        <v>39</v>
      </c>
      <c r="C176" s="3" t="s">
        <v>6</v>
      </c>
      <c r="D176" s="3" t="s">
        <v>35</v>
      </c>
      <c r="E176" s="3">
        <v>3</v>
      </c>
      <c r="F176" s="5">
        <f t="shared" si="2"/>
        <v>12</v>
      </c>
    </row>
    <row r="177" spans="1:6" hidden="1" x14ac:dyDescent="0.25">
      <c r="A177" s="4">
        <v>42112</v>
      </c>
      <c r="B177" s="3" t="s">
        <v>37</v>
      </c>
      <c r="C177" s="3" t="s">
        <v>6</v>
      </c>
      <c r="D177" s="3" t="s">
        <v>33</v>
      </c>
      <c r="E177" s="3">
        <v>18</v>
      </c>
      <c r="F177" s="5">
        <f t="shared" si="2"/>
        <v>90</v>
      </c>
    </row>
    <row r="178" spans="1:6" hidden="1" x14ac:dyDescent="0.25">
      <c r="A178" s="4">
        <v>42014</v>
      </c>
      <c r="B178" s="3" t="s">
        <v>37</v>
      </c>
      <c r="C178" s="3" t="s">
        <v>5</v>
      </c>
      <c r="D178" s="3" t="s">
        <v>34</v>
      </c>
      <c r="E178" s="3">
        <v>12</v>
      </c>
      <c r="F178" s="5">
        <f t="shared" si="2"/>
        <v>2.4000000000000004</v>
      </c>
    </row>
    <row r="179" spans="1:6" x14ac:dyDescent="0.25">
      <c r="A179" s="4">
        <v>42159</v>
      </c>
      <c r="B179" s="3" t="s">
        <v>32</v>
      </c>
      <c r="C179" s="3" t="s">
        <v>2</v>
      </c>
      <c r="D179" s="3" t="s">
        <v>28</v>
      </c>
      <c r="E179" s="3">
        <v>24</v>
      </c>
      <c r="F179" s="5">
        <f t="shared" si="2"/>
        <v>48</v>
      </c>
    </row>
    <row r="180" spans="1:6" x14ac:dyDescent="0.25">
      <c r="A180" s="4">
        <v>42018</v>
      </c>
      <c r="B180" s="3" t="s">
        <v>38</v>
      </c>
      <c r="C180" s="3" t="s">
        <v>2</v>
      </c>
      <c r="D180" s="3" t="s">
        <v>30</v>
      </c>
      <c r="E180" s="3">
        <v>31</v>
      </c>
      <c r="F180" s="5">
        <f t="shared" si="2"/>
        <v>3.1</v>
      </c>
    </row>
    <row r="181" spans="1:6" hidden="1" x14ac:dyDescent="0.25">
      <c r="A181" s="4">
        <v>42122</v>
      </c>
      <c r="B181" s="3" t="s">
        <v>26</v>
      </c>
      <c r="C181" s="3" t="s">
        <v>10</v>
      </c>
      <c r="D181" s="3" t="s">
        <v>36</v>
      </c>
      <c r="E181" s="3">
        <v>32</v>
      </c>
      <c r="F181" s="5">
        <f t="shared" si="2"/>
        <v>48</v>
      </c>
    </row>
    <row r="182" spans="1:6" hidden="1" x14ac:dyDescent="0.25">
      <c r="A182" s="4">
        <v>42158</v>
      </c>
      <c r="B182" s="3" t="s">
        <v>32</v>
      </c>
      <c r="C182" s="3" t="s">
        <v>10</v>
      </c>
      <c r="D182" s="3" t="s">
        <v>35</v>
      </c>
      <c r="E182" s="3">
        <v>17</v>
      </c>
      <c r="F182" s="5">
        <f t="shared" si="2"/>
        <v>68</v>
      </c>
    </row>
    <row r="183" spans="1:6" hidden="1" x14ac:dyDescent="0.25">
      <c r="A183" s="4">
        <v>42007</v>
      </c>
      <c r="B183" s="3" t="s">
        <v>39</v>
      </c>
      <c r="C183" s="3" t="s">
        <v>6</v>
      </c>
      <c r="D183" s="3" t="s">
        <v>34</v>
      </c>
      <c r="E183" s="3">
        <v>5</v>
      </c>
      <c r="F183" s="5">
        <f t="shared" si="2"/>
        <v>1</v>
      </c>
    </row>
    <row r="184" spans="1:6" hidden="1" x14ac:dyDescent="0.25">
      <c r="A184" s="4">
        <v>42152</v>
      </c>
      <c r="B184" s="3" t="s">
        <v>37</v>
      </c>
      <c r="C184" s="3" t="s">
        <v>5</v>
      </c>
      <c r="D184" s="3" t="s">
        <v>36</v>
      </c>
      <c r="E184" s="3">
        <v>6</v>
      </c>
      <c r="F184" s="5">
        <f t="shared" si="2"/>
        <v>9</v>
      </c>
    </row>
    <row r="185" spans="1:6" hidden="1" x14ac:dyDescent="0.25">
      <c r="A185" s="4">
        <v>42124</v>
      </c>
      <c r="B185" s="3" t="s">
        <v>26</v>
      </c>
      <c r="C185" s="3" t="s">
        <v>19</v>
      </c>
      <c r="D185" s="3" t="s">
        <v>36</v>
      </c>
      <c r="E185" s="3">
        <v>28</v>
      </c>
      <c r="F185" s="5">
        <f t="shared" si="2"/>
        <v>42</v>
      </c>
    </row>
    <row r="186" spans="1:6" hidden="1" x14ac:dyDescent="0.25">
      <c r="A186" s="4">
        <v>42084</v>
      </c>
      <c r="B186" s="3" t="s">
        <v>26</v>
      </c>
      <c r="C186" s="3" t="s">
        <v>6</v>
      </c>
      <c r="D186" s="3" t="s">
        <v>31</v>
      </c>
      <c r="E186" s="3">
        <v>36</v>
      </c>
      <c r="F186" s="5">
        <f t="shared" si="2"/>
        <v>90</v>
      </c>
    </row>
    <row r="187" spans="1:6" hidden="1" x14ac:dyDescent="0.25">
      <c r="A187" s="4">
        <v>42116</v>
      </c>
      <c r="B187" s="3" t="s">
        <v>32</v>
      </c>
      <c r="C187" s="3" t="s">
        <v>10</v>
      </c>
      <c r="D187" s="3" t="s">
        <v>30</v>
      </c>
      <c r="E187" s="3">
        <v>30</v>
      </c>
      <c r="F187" s="5">
        <f t="shared" si="2"/>
        <v>3</v>
      </c>
    </row>
    <row r="188" spans="1:6" hidden="1" x14ac:dyDescent="0.25">
      <c r="A188" s="4">
        <v>42153</v>
      </c>
      <c r="B188" s="3" t="s">
        <v>39</v>
      </c>
      <c r="C188" s="3" t="s">
        <v>6</v>
      </c>
      <c r="D188" s="3" t="s">
        <v>35</v>
      </c>
      <c r="E188" s="3">
        <v>26</v>
      </c>
      <c r="F188" s="5">
        <f t="shared" si="2"/>
        <v>104</v>
      </c>
    </row>
    <row r="189" spans="1:6" hidden="1" x14ac:dyDescent="0.25">
      <c r="A189" s="4">
        <v>42006</v>
      </c>
      <c r="B189" s="3" t="s">
        <v>38</v>
      </c>
      <c r="C189" s="3" t="s">
        <v>10</v>
      </c>
      <c r="D189" s="3" t="s">
        <v>34</v>
      </c>
      <c r="E189" s="3">
        <v>33</v>
      </c>
      <c r="F189" s="5">
        <f t="shared" si="2"/>
        <v>6.6000000000000005</v>
      </c>
    </row>
    <row r="190" spans="1:6" hidden="1" x14ac:dyDescent="0.25">
      <c r="A190" s="4">
        <v>42138</v>
      </c>
      <c r="B190" s="3" t="s">
        <v>26</v>
      </c>
      <c r="C190" s="3" t="s">
        <v>6</v>
      </c>
      <c r="D190" s="3" t="s">
        <v>28</v>
      </c>
      <c r="E190" s="3">
        <v>26</v>
      </c>
      <c r="F190" s="5">
        <f t="shared" si="2"/>
        <v>52</v>
      </c>
    </row>
    <row r="191" spans="1:6" hidden="1" x14ac:dyDescent="0.25">
      <c r="A191" s="4">
        <v>42054</v>
      </c>
      <c r="B191" s="3" t="s">
        <v>38</v>
      </c>
      <c r="C191" s="3" t="s">
        <v>6</v>
      </c>
      <c r="D191" s="3" t="s">
        <v>27</v>
      </c>
      <c r="E191" s="3">
        <v>17</v>
      </c>
      <c r="F191" s="5">
        <f t="shared" si="2"/>
        <v>8.5</v>
      </c>
    </row>
    <row r="192" spans="1:6" hidden="1" x14ac:dyDescent="0.25">
      <c r="A192" s="4">
        <v>42030</v>
      </c>
      <c r="B192" s="3" t="s">
        <v>26</v>
      </c>
      <c r="C192" s="3" t="s">
        <v>19</v>
      </c>
      <c r="D192" s="3" t="s">
        <v>31</v>
      </c>
      <c r="E192" s="3">
        <v>7</v>
      </c>
      <c r="F192" s="5">
        <f t="shared" si="2"/>
        <v>17.5</v>
      </c>
    </row>
    <row r="193" spans="1:6" x14ac:dyDescent="0.25">
      <c r="A193" s="4">
        <v>42119</v>
      </c>
      <c r="B193" s="3" t="s">
        <v>38</v>
      </c>
      <c r="C193" s="3" t="s">
        <v>2</v>
      </c>
      <c r="D193" s="3" t="s">
        <v>34</v>
      </c>
      <c r="E193" s="3">
        <v>35</v>
      </c>
      <c r="F193" s="5">
        <f t="shared" si="2"/>
        <v>7</v>
      </c>
    </row>
    <row r="194" spans="1:6" hidden="1" x14ac:dyDescent="0.25">
      <c r="A194" s="4">
        <v>42109</v>
      </c>
      <c r="B194" s="3" t="s">
        <v>29</v>
      </c>
      <c r="C194" s="3" t="s">
        <v>5</v>
      </c>
      <c r="D194" s="3" t="s">
        <v>34</v>
      </c>
      <c r="E194" s="3">
        <v>12</v>
      </c>
      <c r="F194" s="5">
        <f t="shared" si="2"/>
        <v>2.4000000000000004</v>
      </c>
    </row>
    <row r="195" spans="1:6" x14ac:dyDescent="0.25">
      <c r="A195" s="4">
        <v>42122</v>
      </c>
      <c r="B195" s="3" t="s">
        <v>29</v>
      </c>
      <c r="C195" s="3" t="s">
        <v>2</v>
      </c>
      <c r="D195" s="3" t="s">
        <v>35</v>
      </c>
      <c r="E195" s="3">
        <v>22</v>
      </c>
      <c r="F195" s="5">
        <f t="shared" si="2"/>
        <v>88</v>
      </c>
    </row>
    <row r="196" spans="1:6" hidden="1" x14ac:dyDescent="0.25">
      <c r="A196" s="4">
        <v>42014</v>
      </c>
      <c r="B196" s="3" t="s">
        <v>37</v>
      </c>
      <c r="C196" s="3" t="s">
        <v>10</v>
      </c>
      <c r="D196" s="3" t="s">
        <v>35</v>
      </c>
      <c r="E196" s="3">
        <v>11</v>
      </c>
      <c r="F196" s="5">
        <f t="shared" si="2"/>
        <v>44</v>
      </c>
    </row>
    <row r="197" spans="1:6" hidden="1" x14ac:dyDescent="0.25">
      <c r="A197" s="4">
        <v>42173</v>
      </c>
      <c r="B197" s="3" t="s">
        <v>39</v>
      </c>
      <c r="C197" s="3" t="s">
        <v>6</v>
      </c>
      <c r="D197" s="3" t="s">
        <v>33</v>
      </c>
      <c r="E197" s="3">
        <v>18</v>
      </c>
      <c r="F197" s="5">
        <f t="shared" si="2"/>
        <v>90</v>
      </c>
    </row>
    <row r="198" spans="1:6" hidden="1" x14ac:dyDescent="0.25">
      <c r="A198" s="4">
        <v>42147</v>
      </c>
      <c r="B198" s="3" t="s">
        <v>26</v>
      </c>
      <c r="C198" s="3" t="s">
        <v>6</v>
      </c>
      <c r="D198" s="3" t="s">
        <v>36</v>
      </c>
      <c r="E198" s="3">
        <v>49</v>
      </c>
      <c r="F198" s="5">
        <f t="shared" si="2"/>
        <v>73.5</v>
      </c>
    </row>
    <row r="199" spans="1:6" x14ac:dyDescent="0.25">
      <c r="A199" s="4">
        <v>42138</v>
      </c>
      <c r="B199" s="3" t="s">
        <v>37</v>
      </c>
      <c r="C199" s="3" t="s">
        <v>2</v>
      </c>
      <c r="D199" s="3" t="s">
        <v>33</v>
      </c>
      <c r="E199" s="3">
        <v>8</v>
      </c>
      <c r="F199" s="5">
        <f t="shared" ref="F199:F262" si="3">E199*VLOOKUP(D199,$W$6:$X$13,2,0)</f>
        <v>40</v>
      </c>
    </row>
    <row r="200" spans="1:6" hidden="1" x14ac:dyDescent="0.25">
      <c r="A200" s="4">
        <v>42086</v>
      </c>
      <c r="B200" s="3" t="s">
        <v>38</v>
      </c>
      <c r="C200" s="3" t="s">
        <v>6</v>
      </c>
      <c r="D200" s="3" t="s">
        <v>35</v>
      </c>
      <c r="E200" s="3">
        <v>18</v>
      </c>
      <c r="F200" s="5">
        <f t="shared" si="3"/>
        <v>72</v>
      </c>
    </row>
    <row r="201" spans="1:6" hidden="1" x14ac:dyDescent="0.25">
      <c r="A201" s="4">
        <v>42105</v>
      </c>
      <c r="B201" s="3" t="s">
        <v>39</v>
      </c>
      <c r="C201" s="3" t="s">
        <v>6</v>
      </c>
      <c r="D201" s="3" t="s">
        <v>36</v>
      </c>
      <c r="E201" s="3">
        <v>5</v>
      </c>
      <c r="F201" s="5">
        <f t="shared" si="3"/>
        <v>7.5</v>
      </c>
    </row>
    <row r="202" spans="1:6" hidden="1" x14ac:dyDescent="0.25">
      <c r="A202" s="4">
        <v>42096</v>
      </c>
      <c r="B202" s="3" t="s">
        <v>29</v>
      </c>
      <c r="C202" s="3" t="s">
        <v>5</v>
      </c>
      <c r="D202" s="3" t="s">
        <v>28</v>
      </c>
      <c r="E202" s="3">
        <v>43</v>
      </c>
      <c r="F202" s="5">
        <f t="shared" si="3"/>
        <v>86</v>
      </c>
    </row>
    <row r="203" spans="1:6" hidden="1" x14ac:dyDescent="0.25">
      <c r="A203" s="4">
        <v>42130</v>
      </c>
      <c r="B203" s="3" t="s">
        <v>38</v>
      </c>
      <c r="C203" s="3" t="s">
        <v>10</v>
      </c>
      <c r="D203" s="3" t="s">
        <v>36</v>
      </c>
      <c r="E203" s="3">
        <v>45</v>
      </c>
      <c r="F203" s="5">
        <f t="shared" si="3"/>
        <v>67.5</v>
      </c>
    </row>
    <row r="204" spans="1:6" hidden="1" x14ac:dyDescent="0.25">
      <c r="A204" s="4">
        <v>42094</v>
      </c>
      <c r="B204" s="3" t="s">
        <v>32</v>
      </c>
      <c r="C204" s="3" t="s">
        <v>10</v>
      </c>
      <c r="D204" s="3" t="s">
        <v>33</v>
      </c>
      <c r="E204" s="3">
        <v>41</v>
      </c>
      <c r="F204" s="5">
        <f t="shared" si="3"/>
        <v>205</v>
      </c>
    </row>
    <row r="205" spans="1:6" hidden="1" x14ac:dyDescent="0.25">
      <c r="A205" s="4">
        <v>42025</v>
      </c>
      <c r="B205" s="3" t="s">
        <v>32</v>
      </c>
      <c r="C205" s="3" t="s">
        <v>10</v>
      </c>
      <c r="D205" s="3" t="s">
        <v>35</v>
      </c>
      <c r="E205" s="3">
        <v>42</v>
      </c>
      <c r="F205" s="5">
        <f t="shared" si="3"/>
        <v>168</v>
      </c>
    </row>
    <row r="206" spans="1:6" x14ac:dyDescent="0.25">
      <c r="A206" s="4">
        <v>42122</v>
      </c>
      <c r="B206" s="3" t="s">
        <v>39</v>
      </c>
      <c r="C206" s="3" t="s">
        <v>2</v>
      </c>
      <c r="D206" s="3" t="s">
        <v>36</v>
      </c>
      <c r="E206" s="3">
        <v>3</v>
      </c>
      <c r="F206" s="5">
        <f t="shared" si="3"/>
        <v>4.5</v>
      </c>
    </row>
    <row r="207" spans="1:6" hidden="1" x14ac:dyDescent="0.25">
      <c r="A207" s="4">
        <v>42014</v>
      </c>
      <c r="B207" s="3" t="s">
        <v>37</v>
      </c>
      <c r="C207" s="3" t="s">
        <v>5</v>
      </c>
      <c r="D207" s="3" t="s">
        <v>31</v>
      </c>
      <c r="E207" s="3">
        <v>28</v>
      </c>
      <c r="F207" s="5">
        <f t="shared" si="3"/>
        <v>70</v>
      </c>
    </row>
    <row r="208" spans="1:6" hidden="1" x14ac:dyDescent="0.25">
      <c r="A208" s="4">
        <v>42054</v>
      </c>
      <c r="B208" s="3" t="s">
        <v>37</v>
      </c>
      <c r="C208" s="3" t="s">
        <v>19</v>
      </c>
      <c r="D208" s="3" t="s">
        <v>28</v>
      </c>
      <c r="E208" s="3">
        <v>1</v>
      </c>
      <c r="F208" s="5">
        <f t="shared" si="3"/>
        <v>2</v>
      </c>
    </row>
    <row r="209" spans="1:6" hidden="1" x14ac:dyDescent="0.25">
      <c r="A209" s="4">
        <v>42060</v>
      </c>
      <c r="B209" s="3" t="s">
        <v>38</v>
      </c>
      <c r="C209" s="3" t="s">
        <v>6</v>
      </c>
      <c r="D209" s="3" t="s">
        <v>27</v>
      </c>
      <c r="E209" s="3">
        <v>14</v>
      </c>
      <c r="F209" s="5">
        <f t="shared" si="3"/>
        <v>7</v>
      </c>
    </row>
    <row r="210" spans="1:6" hidden="1" x14ac:dyDescent="0.25">
      <c r="A210" s="4">
        <v>42154</v>
      </c>
      <c r="B210" s="3" t="s">
        <v>38</v>
      </c>
      <c r="C210" s="3" t="s">
        <v>5</v>
      </c>
      <c r="D210" s="3" t="s">
        <v>35</v>
      </c>
      <c r="E210" s="3">
        <v>32</v>
      </c>
      <c r="F210" s="5">
        <f t="shared" si="3"/>
        <v>128</v>
      </c>
    </row>
    <row r="211" spans="1:6" hidden="1" x14ac:dyDescent="0.25">
      <c r="A211" s="4">
        <v>42152</v>
      </c>
      <c r="B211" s="3" t="s">
        <v>37</v>
      </c>
      <c r="C211" s="3" t="s">
        <v>10</v>
      </c>
      <c r="D211" s="3" t="s">
        <v>36</v>
      </c>
      <c r="E211" s="3">
        <v>11</v>
      </c>
      <c r="F211" s="5">
        <f t="shared" si="3"/>
        <v>16.5</v>
      </c>
    </row>
    <row r="212" spans="1:6" x14ac:dyDescent="0.25">
      <c r="A212" s="4">
        <v>42009</v>
      </c>
      <c r="B212" s="3" t="s">
        <v>32</v>
      </c>
      <c r="C212" s="3" t="s">
        <v>2</v>
      </c>
      <c r="D212" s="3" t="s">
        <v>35</v>
      </c>
      <c r="E212" s="3">
        <v>19</v>
      </c>
      <c r="F212" s="5">
        <f t="shared" si="3"/>
        <v>76</v>
      </c>
    </row>
    <row r="213" spans="1:6" hidden="1" x14ac:dyDescent="0.25">
      <c r="A213" s="4">
        <v>42176</v>
      </c>
      <c r="B213" s="3" t="s">
        <v>32</v>
      </c>
      <c r="C213" s="3" t="s">
        <v>10</v>
      </c>
      <c r="D213" s="3" t="s">
        <v>28</v>
      </c>
      <c r="E213" s="3">
        <v>4</v>
      </c>
      <c r="F213" s="5">
        <f t="shared" si="3"/>
        <v>8</v>
      </c>
    </row>
    <row r="214" spans="1:6" hidden="1" x14ac:dyDescent="0.25">
      <c r="A214" s="4">
        <v>42111</v>
      </c>
      <c r="B214" s="3" t="s">
        <v>39</v>
      </c>
      <c r="C214" s="3" t="s">
        <v>6</v>
      </c>
      <c r="D214" s="3" t="s">
        <v>34</v>
      </c>
      <c r="E214" s="3">
        <v>32</v>
      </c>
      <c r="F214" s="5">
        <f t="shared" si="3"/>
        <v>6.4</v>
      </c>
    </row>
    <row r="215" spans="1:6" hidden="1" x14ac:dyDescent="0.25">
      <c r="A215" s="4">
        <v>42093</v>
      </c>
      <c r="B215" s="3" t="s">
        <v>39</v>
      </c>
      <c r="C215" s="3" t="s">
        <v>10</v>
      </c>
      <c r="D215" s="3" t="s">
        <v>28</v>
      </c>
      <c r="E215" s="3">
        <v>29</v>
      </c>
      <c r="F215" s="5">
        <f t="shared" si="3"/>
        <v>58</v>
      </c>
    </row>
    <row r="216" spans="1:6" hidden="1" x14ac:dyDescent="0.25">
      <c r="A216" s="4">
        <v>42005</v>
      </c>
      <c r="B216" s="3" t="s">
        <v>37</v>
      </c>
      <c r="C216" s="3" t="s">
        <v>5</v>
      </c>
      <c r="D216" s="3" t="s">
        <v>35</v>
      </c>
      <c r="E216" s="3">
        <v>40</v>
      </c>
      <c r="F216" s="5">
        <f t="shared" si="3"/>
        <v>160</v>
      </c>
    </row>
    <row r="217" spans="1:6" hidden="1" x14ac:dyDescent="0.25">
      <c r="A217" s="4">
        <v>42008</v>
      </c>
      <c r="B217" s="3" t="s">
        <v>37</v>
      </c>
      <c r="C217" s="3" t="s">
        <v>6</v>
      </c>
      <c r="D217" s="3" t="s">
        <v>33</v>
      </c>
      <c r="E217" s="3">
        <v>38</v>
      </c>
      <c r="F217" s="5">
        <f t="shared" si="3"/>
        <v>190</v>
      </c>
    </row>
    <row r="218" spans="1:6" hidden="1" x14ac:dyDescent="0.25">
      <c r="A218" s="4">
        <v>42151</v>
      </c>
      <c r="B218" s="3" t="s">
        <v>32</v>
      </c>
      <c r="C218" s="3" t="s">
        <v>19</v>
      </c>
      <c r="D218" s="3" t="s">
        <v>33</v>
      </c>
      <c r="E218" s="3">
        <v>13</v>
      </c>
      <c r="F218" s="5">
        <f t="shared" si="3"/>
        <v>65</v>
      </c>
    </row>
    <row r="219" spans="1:6" x14ac:dyDescent="0.25">
      <c r="A219" s="4">
        <v>42026</v>
      </c>
      <c r="B219" s="3" t="s">
        <v>32</v>
      </c>
      <c r="C219" s="3" t="s">
        <v>2</v>
      </c>
      <c r="D219" s="3" t="s">
        <v>34</v>
      </c>
      <c r="E219" s="3">
        <v>19</v>
      </c>
      <c r="F219" s="5">
        <f t="shared" si="3"/>
        <v>3.8000000000000003</v>
      </c>
    </row>
    <row r="220" spans="1:6" hidden="1" x14ac:dyDescent="0.25">
      <c r="A220" s="4">
        <v>42028</v>
      </c>
      <c r="B220" s="3" t="s">
        <v>37</v>
      </c>
      <c r="C220" s="3" t="s">
        <v>5</v>
      </c>
      <c r="D220" s="3" t="s">
        <v>28</v>
      </c>
      <c r="E220" s="3">
        <v>2</v>
      </c>
      <c r="F220" s="5">
        <f t="shared" si="3"/>
        <v>4</v>
      </c>
    </row>
    <row r="221" spans="1:6" hidden="1" x14ac:dyDescent="0.25">
      <c r="A221" s="4">
        <v>42105</v>
      </c>
      <c r="B221" s="3" t="s">
        <v>32</v>
      </c>
      <c r="C221" s="3" t="s">
        <v>10</v>
      </c>
      <c r="D221" s="3" t="s">
        <v>27</v>
      </c>
      <c r="E221" s="3">
        <v>46</v>
      </c>
      <c r="F221" s="5">
        <f t="shared" si="3"/>
        <v>23</v>
      </c>
    </row>
    <row r="222" spans="1:6" hidden="1" x14ac:dyDescent="0.25">
      <c r="A222" s="4">
        <v>42038</v>
      </c>
      <c r="B222" s="3" t="s">
        <v>32</v>
      </c>
      <c r="C222" s="3" t="s">
        <v>5</v>
      </c>
      <c r="D222" s="3" t="s">
        <v>35</v>
      </c>
      <c r="E222" s="3">
        <v>41</v>
      </c>
      <c r="F222" s="5">
        <f t="shared" si="3"/>
        <v>164</v>
      </c>
    </row>
    <row r="223" spans="1:6" hidden="1" x14ac:dyDescent="0.25">
      <c r="A223" s="4">
        <v>42014</v>
      </c>
      <c r="B223" s="3" t="s">
        <v>38</v>
      </c>
      <c r="C223" s="3" t="s">
        <v>10</v>
      </c>
      <c r="D223" s="3" t="s">
        <v>36</v>
      </c>
      <c r="E223" s="3">
        <v>11</v>
      </c>
      <c r="F223" s="5">
        <f t="shared" si="3"/>
        <v>16.5</v>
      </c>
    </row>
    <row r="224" spans="1:6" hidden="1" x14ac:dyDescent="0.25">
      <c r="A224" s="4">
        <v>42005</v>
      </c>
      <c r="B224" s="3" t="s">
        <v>38</v>
      </c>
      <c r="C224" s="3" t="s">
        <v>10</v>
      </c>
      <c r="D224" s="3" t="s">
        <v>34</v>
      </c>
      <c r="E224" s="3">
        <v>21</v>
      </c>
      <c r="F224" s="5">
        <f t="shared" si="3"/>
        <v>4.2</v>
      </c>
    </row>
    <row r="225" spans="1:6" hidden="1" x14ac:dyDescent="0.25">
      <c r="A225" s="4">
        <v>42117</v>
      </c>
      <c r="B225" s="3" t="s">
        <v>32</v>
      </c>
      <c r="C225" s="3" t="s">
        <v>6</v>
      </c>
      <c r="D225" s="3" t="s">
        <v>31</v>
      </c>
      <c r="E225" s="3">
        <v>8</v>
      </c>
      <c r="F225" s="5">
        <f t="shared" si="3"/>
        <v>20</v>
      </c>
    </row>
    <row r="226" spans="1:6" hidden="1" x14ac:dyDescent="0.25">
      <c r="A226" s="4">
        <v>42048</v>
      </c>
      <c r="B226" s="3" t="s">
        <v>26</v>
      </c>
      <c r="C226" s="3" t="s">
        <v>19</v>
      </c>
      <c r="D226" s="3" t="s">
        <v>35</v>
      </c>
      <c r="E226" s="3">
        <v>15</v>
      </c>
      <c r="F226" s="5">
        <f t="shared" si="3"/>
        <v>60</v>
      </c>
    </row>
    <row r="227" spans="1:6" x14ac:dyDescent="0.25">
      <c r="A227" s="4">
        <v>42152</v>
      </c>
      <c r="B227" s="3" t="s">
        <v>37</v>
      </c>
      <c r="C227" s="3" t="s">
        <v>2</v>
      </c>
      <c r="D227" s="3" t="s">
        <v>30</v>
      </c>
      <c r="E227" s="3">
        <v>15</v>
      </c>
      <c r="F227" s="5">
        <f t="shared" si="3"/>
        <v>1.5</v>
      </c>
    </row>
    <row r="228" spans="1:6" hidden="1" x14ac:dyDescent="0.25">
      <c r="A228" s="4">
        <v>42055</v>
      </c>
      <c r="B228" s="3" t="s">
        <v>38</v>
      </c>
      <c r="C228" s="3" t="s">
        <v>19</v>
      </c>
      <c r="D228" s="3" t="s">
        <v>28</v>
      </c>
      <c r="E228" s="3">
        <v>14</v>
      </c>
      <c r="F228" s="5">
        <f t="shared" si="3"/>
        <v>28</v>
      </c>
    </row>
    <row r="229" spans="1:6" hidden="1" x14ac:dyDescent="0.25">
      <c r="A229" s="4">
        <v>42016</v>
      </c>
      <c r="B229" s="3" t="s">
        <v>38</v>
      </c>
      <c r="C229" s="3" t="s">
        <v>6</v>
      </c>
      <c r="D229" s="3" t="s">
        <v>35</v>
      </c>
      <c r="E229" s="3">
        <v>49</v>
      </c>
      <c r="F229" s="5">
        <f t="shared" si="3"/>
        <v>196</v>
      </c>
    </row>
    <row r="230" spans="1:6" x14ac:dyDescent="0.25">
      <c r="A230" s="4">
        <v>42075</v>
      </c>
      <c r="B230" s="3" t="s">
        <v>37</v>
      </c>
      <c r="C230" s="3" t="s">
        <v>2</v>
      </c>
      <c r="D230" s="3" t="s">
        <v>31</v>
      </c>
      <c r="E230" s="3">
        <v>5</v>
      </c>
      <c r="F230" s="5">
        <f t="shared" si="3"/>
        <v>12.5</v>
      </c>
    </row>
    <row r="231" spans="1:6" hidden="1" x14ac:dyDescent="0.25">
      <c r="A231" s="4">
        <v>42128</v>
      </c>
      <c r="B231" s="3" t="s">
        <v>39</v>
      </c>
      <c r="C231" s="3" t="s">
        <v>6</v>
      </c>
      <c r="D231" s="3" t="s">
        <v>34</v>
      </c>
      <c r="E231" s="3">
        <v>19</v>
      </c>
      <c r="F231" s="5">
        <f t="shared" si="3"/>
        <v>3.8000000000000003</v>
      </c>
    </row>
    <row r="232" spans="1:6" hidden="1" x14ac:dyDescent="0.25">
      <c r="A232" s="4">
        <v>42122</v>
      </c>
      <c r="B232" s="3" t="s">
        <v>32</v>
      </c>
      <c r="C232" s="3" t="s">
        <v>10</v>
      </c>
      <c r="D232" s="3" t="s">
        <v>34</v>
      </c>
      <c r="E232" s="3">
        <v>22</v>
      </c>
      <c r="F232" s="5">
        <f t="shared" si="3"/>
        <v>4.4000000000000004</v>
      </c>
    </row>
    <row r="233" spans="1:6" hidden="1" x14ac:dyDescent="0.25">
      <c r="A233" s="4">
        <v>42151</v>
      </c>
      <c r="B233" s="3" t="s">
        <v>37</v>
      </c>
      <c r="C233" s="3" t="s">
        <v>19</v>
      </c>
      <c r="D233" s="3" t="s">
        <v>31</v>
      </c>
      <c r="E233" s="3">
        <v>28</v>
      </c>
      <c r="F233" s="5">
        <f t="shared" si="3"/>
        <v>70</v>
      </c>
    </row>
    <row r="234" spans="1:6" x14ac:dyDescent="0.25">
      <c r="A234" s="4">
        <v>42020</v>
      </c>
      <c r="B234" s="3" t="s">
        <v>37</v>
      </c>
      <c r="C234" s="3" t="s">
        <v>2</v>
      </c>
      <c r="D234" s="3" t="s">
        <v>28</v>
      </c>
      <c r="E234" s="3">
        <v>26</v>
      </c>
      <c r="F234" s="5">
        <f t="shared" si="3"/>
        <v>52</v>
      </c>
    </row>
    <row r="235" spans="1:6" hidden="1" x14ac:dyDescent="0.25">
      <c r="A235" s="4">
        <v>42087</v>
      </c>
      <c r="B235" s="3" t="s">
        <v>39</v>
      </c>
      <c r="C235" s="3" t="s">
        <v>6</v>
      </c>
      <c r="D235" s="3" t="s">
        <v>33</v>
      </c>
      <c r="E235" s="3">
        <v>23</v>
      </c>
      <c r="F235" s="5">
        <f t="shared" si="3"/>
        <v>115</v>
      </c>
    </row>
    <row r="236" spans="1:6" hidden="1" x14ac:dyDescent="0.25">
      <c r="A236" s="4">
        <v>42030</v>
      </c>
      <c r="B236" s="3" t="s">
        <v>39</v>
      </c>
      <c r="C236" s="3" t="s">
        <v>10</v>
      </c>
      <c r="D236" s="3" t="s">
        <v>34</v>
      </c>
      <c r="E236" s="3">
        <v>39</v>
      </c>
      <c r="F236" s="5">
        <f t="shared" si="3"/>
        <v>7.8000000000000007</v>
      </c>
    </row>
    <row r="237" spans="1:6" hidden="1" x14ac:dyDescent="0.25">
      <c r="A237" s="4">
        <v>42104</v>
      </c>
      <c r="B237" s="3" t="s">
        <v>29</v>
      </c>
      <c r="C237" s="3" t="s">
        <v>19</v>
      </c>
      <c r="D237" s="3" t="s">
        <v>27</v>
      </c>
      <c r="E237" s="3">
        <v>14</v>
      </c>
      <c r="F237" s="5">
        <f t="shared" si="3"/>
        <v>7</v>
      </c>
    </row>
    <row r="238" spans="1:6" x14ac:dyDescent="0.25">
      <c r="A238" s="4">
        <v>42137</v>
      </c>
      <c r="B238" s="3" t="s">
        <v>26</v>
      </c>
      <c r="C238" s="3" t="s">
        <v>2</v>
      </c>
      <c r="D238" s="3" t="s">
        <v>28</v>
      </c>
      <c r="E238" s="3">
        <v>35</v>
      </c>
      <c r="F238" s="5">
        <f t="shared" si="3"/>
        <v>70</v>
      </c>
    </row>
    <row r="239" spans="1:6" hidden="1" x14ac:dyDescent="0.25">
      <c r="A239" s="4">
        <v>42149</v>
      </c>
      <c r="B239" s="3" t="s">
        <v>37</v>
      </c>
      <c r="C239" s="3" t="s">
        <v>19</v>
      </c>
      <c r="D239" s="3" t="s">
        <v>28</v>
      </c>
      <c r="E239" s="3">
        <v>26</v>
      </c>
      <c r="F239" s="5">
        <f t="shared" si="3"/>
        <v>52</v>
      </c>
    </row>
    <row r="240" spans="1:6" hidden="1" x14ac:dyDescent="0.25">
      <c r="A240" s="4">
        <v>42108</v>
      </c>
      <c r="B240" s="3" t="s">
        <v>37</v>
      </c>
      <c r="C240" s="3" t="s">
        <v>10</v>
      </c>
      <c r="D240" s="3" t="s">
        <v>34</v>
      </c>
      <c r="E240" s="3">
        <v>26</v>
      </c>
      <c r="F240" s="5">
        <f t="shared" si="3"/>
        <v>5.2</v>
      </c>
    </row>
    <row r="241" spans="1:6" hidden="1" x14ac:dyDescent="0.25">
      <c r="A241" s="4">
        <v>42183</v>
      </c>
      <c r="B241" s="3" t="s">
        <v>32</v>
      </c>
      <c r="C241" s="3" t="s">
        <v>6</v>
      </c>
      <c r="D241" s="3" t="s">
        <v>28</v>
      </c>
      <c r="E241" s="3">
        <v>50</v>
      </c>
      <c r="F241" s="5">
        <f t="shared" si="3"/>
        <v>100</v>
      </c>
    </row>
    <row r="242" spans="1:6" hidden="1" x14ac:dyDescent="0.25">
      <c r="A242" s="4">
        <v>42064</v>
      </c>
      <c r="B242" s="3" t="s">
        <v>29</v>
      </c>
      <c r="C242" s="3" t="s">
        <v>6</v>
      </c>
      <c r="D242" s="3" t="s">
        <v>28</v>
      </c>
      <c r="E242" s="3">
        <v>17</v>
      </c>
      <c r="F242" s="5">
        <f t="shared" si="3"/>
        <v>34</v>
      </c>
    </row>
    <row r="243" spans="1:6" hidden="1" x14ac:dyDescent="0.25">
      <c r="A243" s="4">
        <v>42041</v>
      </c>
      <c r="B243" s="3" t="s">
        <v>37</v>
      </c>
      <c r="C243" s="3" t="s">
        <v>5</v>
      </c>
      <c r="D243" s="3" t="s">
        <v>35</v>
      </c>
      <c r="E243" s="3">
        <v>41</v>
      </c>
      <c r="F243" s="5">
        <f t="shared" si="3"/>
        <v>164</v>
      </c>
    </row>
    <row r="244" spans="1:6" hidden="1" x14ac:dyDescent="0.25">
      <c r="A244" s="4">
        <v>42161</v>
      </c>
      <c r="B244" s="3" t="s">
        <v>38</v>
      </c>
      <c r="C244" s="3" t="s">
        <v>19</v>
      </c>
      <c r="D244" s="3" t="s">
        <v>31</v>
      </c>
      <c r="E244" s="3">
        <v>21</v>
      </c>
      <c r="F244" s="5">
        <f t="shared" si="3"/>
        <v>52.5</v>
      </c>
    </row>
    <row r="245" spans="1:6" hidden="1" x14ac:dyDescent="0.25">
      <c r="A245" s="4">
        <v>42079</v>
      </c>
      <c r="B245" s="3" t="s">
        <v>32</v>
      </c>
      <c r="C245" s="3" t="s">
        <v>5</v>
      </c>
      <c r="D245" s="3" t="s">
        <v>30</v>
      </c>
      <c r="E245" s="3">
        <v>45</v>
      </c>
      <c r="F245" s="5">
        <f t="shared" si="3"/>
        <v>4.5</v>
      </c>
    </row>
    <row r="246" spans="1:6" hidden="1" x14ac:dyDescent="0.25">
      <c r="A246" s="4">
        <v>42008</v>
      </c>
      <c r="B246" s="3" t="s">
        <v>39</v>
      </c>
      <c r="C246" s="3" t="s">
        <v>6</v>
      </c>
      <c r="D246" s="3" t="s">
        <v>35</v>
      </c>
      <c r="E246" s="3">
        <v>38</v>
      </c>
      <c r="F246" s="5">
        <f t="shared" si="3"/>
        <v>152</v>
      </c>
    </row>
    <row r="247" spans="1:6" x14ac:dyDescent="0.25">
      <c r="A247" s="4">
        <v>42055</v>
      </c>
      <c r="B247" s="3" t="s">
        <v>29</v>
      </c>
      <c r="C247" s="3" t="s">
        <v>2</v>
      </c>
      <c r="D247" s="3" t="s">
        <v>35</v>
      </c>
      <c r="E247" s="3">
        <v>44</v>
      </c>
      <c r="F247" s="5">
        <f t="shared" si="3"/>
        <v>176</v>
      </c>
    </row>
    <row r="248" spans="1:6" hidden="1" x14ac:dyDescent="0.25">
      <c r="A248" s="4">
        <v>42010</v>
      </c>
      <c r="B248" s="3" t="s">
        <v>26</v>
      </c>
      <c r="C248" s="3" t="s">
        <v>5</v>
      </c>
      <c r="D248" s="3" t="s">
        <v>33</v>
      </c>
      <c r="E248" s="3">
        <v>43</v>
      </c>
      <c r="F248" s="5">
        <f t="shared" si="3"/>
        <v>215</v>
      </c>
    </row>
    <row r="249" spans="1:6" hidden="1" x14ac:dyDescent="0.25">
      <c r="A249" s="4">
        <v>42109</v>
      </c>
      <c r="B249" s="3" t="s">
        <v>38</v>
      </c>
      <c r="C249" s="3" t="s">
        <v>19</v>
      </c>
      <c r="D249" s="3" t="s">
        <v>34</v>
      </c>
      <c r="E249" s="3">
        <v>10</v>
      </c>
      <c r="F249" s="5">
        <f t="shared" si="3"/>
        <v>2</v>
      </c>
    </row>
    <row r="250" spans="1:6" x14ac:dyDescent="0.25">
      <c r="A250" s="4">
        <v>42057</v>
      </c>
      <c r="B250" s="3" t="s">
        <v>39</v>
      </c>
      <c r="C250" s="3" t="s">
        <v>2</v>
      </c>
      <c r="D250" s="3" t="s">
        <v>28</v>
      </c>
      <c r="E250" s="3">
        <v>30</v>
      </c>
      <c r="F250" s="5">
        <f t="shared" si="3"/>
        <v>60</v>
      </c>
    </row>
    <row r="251" spans="1:6" x14ac:dyDescent="0.25">
      <c r="A251" s="4">
        <v>42131</v>
      </c>
      <c r="B251" s="3" t="s">
        <v>39</v>
      </c>
      <c r="C251" s="3" t="s">
        <v>2</v>
      </c>
      <c r="D251" s="3" t="s">
        <v>30</v>
      </c>
      <c r="E251" s="3">
        <v>22</v>
      </c>
      <c r="F251" s="5">
        <f t="shared" si="3"/>
        <v>2.2000000000000002</v>
      </c>
    </row>
    <row r="252" spans="1:6" hidden="1" x14ac:dyDescent="0.25">
      <c r="A252" s="4">
        <v>42025</v>
      </c>
      <c r="B252" s="3" t="s">
        <v>29</v>
      </c>
      <c r="C252" s="3" t="s">
        <v>6</v>
      </c>
      <c r="D252" s="3" t="s">
        <v>36</v>
      </c>
      <c r="E252" s="3">
        <v>39</v>
      </c>
      <c r="F252" s="5">
        <f t="shared" si="3"/>
        <v>58.5</v>
      </c>
    </row>
    <row r="253" spans="1:6" x14ac:dyDescent="0.25">
      <c r="A253" s="4">
        <v>42084</v>
      </c>
      <c r="B253" s="3" t="s">
        <v>29</v>
      </c>
      <c r="C253" s="3" t="s">
        <v>2</v>
      </c>
      <c r="D253" s="3" t="s">
        <v>30</v>
      </c>
      <c r="E253" s="3">
        <v>45</v>
      </c>
      <c r="F253" s="5">
        <f t="shared" si="3"/>
        <v>4.5</v>
      </c>
    </row>
    <row r="254" spans="1:6" x14ac:dyDescent="0.25">
      <c r="A254" s="4">
        <v>42146</v>
      </c>
      <c r="B254" s="3" t="s">
        <v>39</v>
      </c>
      <c r="C254" s="3" t="s">
        <v>2</v>
      </c>
      <c r="D254" s="3" t="s">
        <v>35</v>
      </c>
      <c r="E254" s="3">
        <v>24</v>
      </c>
      <c r="F254" s="5">
        <f t="shared" si="3"/>
        <v>96</v>
      </c>
    </row>
    <row r="255" spans="1:6" hidden="1" x14ac:dyDescent="0.25">
      <c r="A255" s="4">
        <v>42119</v>
      </c>
      <c r="B255" s="3" t="s">
        <v>26</v>
      </c>
      <c r="C255" s="3" t="s">
        <v>10</v>
      </c>
      <c r="D255" s="3" t="s">
        <v>28</v>
      </c>
      <c r="E255" s="3">
        <v>1</v>
      </c>
      <c r="F255" s="5">
        <f t="shared" si="3"/>
        <v>2</v>
      </c>
    </row>
    <row r="256" spans="1:6" hidden="1" x14ac:dyDescent="0.25">
      <c r="A256" s="4">
        <v>42009</v>
      </c>
      <c r="B256" s="3" t="s">
        <v>38</v>
      </c>
      <c r="C256" s="3" t="s">
        <v>6</v>
      </c>
      <c r="D256" s="3" t="s">
        <v>34</v>
      </c>
      <c r="E256" s="3">
        <v>49</v>
      </c>
      <c r="F256" s="5">
        <f t="shared" si="3"/>
        <v>9.8000000000000007</v>
      </c>
    </row>
    <row r="257" spans="1:6" hidden="1" x14ac:dyDescent="0.25">
      <c r="A257" s="4">
        <v>42177</v>
      </c>
      <c r="B257" s="3" t="s">
        <v>26</v>
      </c>
      <c r="C257" s="3" t="s">
        <v>5</v>
      </c>
      <c r="D257" s="3" t="s">
        <v>36</v>
      </c>
      <c r="E257" s="3">
        <v>32</v>
      </c>
      <c r="F257" s="5">
        <f t="shared" si="3"/>
        <v>48</v>
      </c>
    </row>
    <row r="258" spans="1:6" hidden="1" x14ac:dyDescent="0.25">
      <c r="A258" s="4">
        <v>42083</v>
      </c>
      <c r="B258" s="3" t="s">
        <v>32</v>
      </c>
      <c r="C258" s="3" t="s">
        <v>10</v>
      </c>
      <c r="D258" s="3" t="s">
        <v>27</v>
      </c>
      <c r="E258" s="3">
        <v>17</v>
      </c>
      <c r="F258" s="5">
        <f t="shared" si="3"/>
        <v>8.5</v>
      </c>
    </row>
    <row r="259" spans="1:6" hidden="1" x14ac:dyDescent="0.25">
      <c r="A259" s="4">
        <v>42095</v>
      </c>
      <c r="B259" s="3" t="s">
        <v>38</v>
      </c>
      <c r="C259" s="3" t="s">
        <v>10</v>
      </c>
      <c r="D259" s="3" t="s">
        <v>35</v>
      </c>
      <c r="E259" s="3">
        <v>9</v>
      </c>
      <c r="F259" s="5">
        <f t="shared" si="3"/>
        <v>36</v>
      </c>
    </row>
    <row r="260" spans="1:6" hidden="1" x14ac:dyDescent="0.25">
      <c r="A260" s="4">
        <v>42025</v>
      </c>
      <c r="B260" s="3" t="s">
        <v>38</v>
      </c>
      <c r="C260" s="3" t="s">
        <v>19</v>
      </c>
      <c r="D260" s="3" t="s">
        <v>35</v>
      </c>
      <c r="E260" s="3">
        <v>23</v>
      </c>
      <c r="F260" s="5">
        <f t="shared" si="3"/>
        <v>92</v>
      </c>
    </row>
    <row r="261" spans="1:6" x14ac:dyDescent="0.25">
      <c r="A261" s="4">
        <v>42086</v>
      </c>
      <c r="B261" s="3" t="s">
        <v>29</v>
      </c>
      <c r="C261" s="3" t="s">
        <v>2</v>
      </c>
      <c r="D261" s="3" t="s">
        <v>35</v>
      </c>
      <c r="E261" s="3">
        <v>49</v>
      </c>
      <c r="F261" s="5">
        <f t="shared" si="3"/>
        <v>196</v>
      </c>
    </row>
    <row r="262" spans="1:6" hidden="1" x14ac:dyDescent="0.25">
      <c r="A262" s="4">
        <v>42077</v>
      </c>
      <c r="B262" s="3" t="s">
        <v>32</v>
      </c>
      <c r="C262" s="3" t="s">
        <v>19</v>
      </c>
      <c r="D262" s="3" t="s">
        <v>31</v>
      </c>
      <c r="E262" s="3">
        <v>25</v>
      </c>
      <c r="F262" s="5">
        <f t="shared" si="3"/>
        <v>62.5</v>
      </c>
    </row>
    <row r="263" spans="1:6" hidden="1" x14ac:dyDescent="0.25">
      <c r="A263" s="4">
        <v>42059</v>
      </c>
      <c r="B263" s="3" t="s">
        <v>32</v>
      </c>
      <c r="C263" s="3" t="s">
        <v>19</v>
      </c>
      <c r="D263" s="3" t="s">
        <v>31</v>
      </c>
      <c r="E263" s="3">
        <v>11</v>
      </c>
      <c r="F263" s="5">
        <f t="shared" ref="F263:F326" si="4">E263*VLOOKUP(D263,$W$6:$X$13,2,0)</f>
        <v>27.5</v>
      </c>
    </row>
    <row r="264" spans="1:6" x14ac:dyDescent="0.25">
      <c r="A264" s="4">
        <v>42033</v>
      </c>
      <c r="B264" s="3" t="s">
        <v>37</v>
      </c>
      <c r="C264" s="3" t="s">
        <v>2</v>
      </c>
      <c r="D264" s="3" t="s">
        <v>34</v>
      </c>
      <c r="E264" s="3">
        <v>18</v>
      </c>
      <c r="F264" s="5">
        <f t="shared" si="4"/>
        <v>3.6</v>
      </c>
    </row>
    <row r="265" spans="1:6" hidden="1" x14ac:dyDescent="0.25">
      <c r="A265" s="4">
        <v>42063</v>
      </c>
      <c r="B265" s="3" t="s">
        <v>39</v>
      </c>
      <c r="C265" s="3" t="s">
        <v>10</v>
      </c>
      <c r="D265" s="3" t="s">
        <v>33</v>
      </c>
      <c r="E265" s="3">
        <v>40</v>
      </c>
      <c r="F265" s="5">
        <f t="shared" si="4"/>
        <v>200</v>
      </c>
    </row>
    <row r="266" spans="1:6" hidden="1" x14ac:dyDescent="0.25">
      <c r="A266" s="4">
        <v>42063</v>
      </c>
      <c r="B266" s="3" t="s">
        <v>38</v>
      </c>
      <c r="C266" s="3" t="s">
        <v>6</v>
      </c>
      <c r="D266" s="3" t="s">
        <v>30</v>
      </c>
      <c r="E266" s="3">
        <v>3</v>
      </c>
      <c r="F266" s="5">
        <f t="shared" si="4"/>
        <v>0.30000000000000004</v>
      </c>
    </row>
    <row r="267" spans="1:6" x14ac:dyDescent="0.25">
      <c r="A267" s="4">
        <v>42122</v>
      </c>
      <c r="B267" s="3" t="s">
        <v>26</v>
      </c>
      <c r="C267" s="3" t="s">
        <v>2</v>
      </c>
      <c r="D267" s="3" t="s">
        <v>27</v>
      </c>
      <c r="E267" s="3">
        <v>17</v>
      </c>
      <c r="F267" s="5">
        <f t="shared" si="4"/>
        <v>8.5</v>
      </c>
    </row>
    <row r="268" spans="1:6" hidden="1" x14ac:dyDescent="0.25">
      <c r="A268" s="4">
        <v>42118</v>
      </c>
      <c r="B268" s="3" t="s">
        <v>37</v>
      </c>
      <c r="C268" s="3" t="s">
        <v>10</v>
      </c>
      <c r="D268" s="3" t="s">
        <v>31</v>
      </c>
      <c r="E268" s="3">
        <v>9</v>
      </c>
      <c r="F268" s="5">
        <f t="shared" si="4"/>
        <v>22.5</v>
      </c>
    </row>
    <row r="269" spans="1:6" hidden="1" x14ac:dyDescent="0.25">
      <c r="A269" s="4">
        <v>42177</v>
      </c>
      <c r="B269" s="3" t="s">
        <v>29</v>
      </c>
      <c r="C269" s="3" t="s">
        <v>10</v>
      </c>
      <c r="D269" s="3" t="s">
        <v>30</v>
      </c>
      <c r="E269" s="3">
        <v>34</v>
      </c>
      <c r="F269" s="5">
        <f t="shared" si="4"/>
        <v>3.4000000000000004</v>
      </c>
    </row>
    <row r="270" spans="1:6" hidden="1" x14ac:dyDescent="0.25">
      <c r="A270" s="4">
        <v>42053</v>
      </c>
      <c r="B270" s="3" t="s">
        <v>32</v>
      </c>
      <c r="C270" s="3" t="s">
        <v>10</v>
      </c>
      <c r="D270" s="3" t="s">
        <v>28</v>
      </c>
      <c r="E270" s="3">
        <v>22</v>
      </c>
      <c r="F270" s="5">
        <f t="shared" si="4"/>
        <v>44</v>
      </c>
    </row>
    <row r="271" spans="1:6" x14ac:dyDescent="0.25">
      <c r="A271" s="4">
        <v>42030</v>
      </c>
      <c r="B271" s="3" t="s">
        <v>38</v>
      </c>
      <c r="C271" s="3" t="s">
        <v>2</v>
      </c>
      <c r="D271" s="3" t="s">
        <v>31</v>
      </c>
      <c r="E271" s="3">
        <v>28</v>
      </c>
      <c r="F271" s="5">
        <f t="shared" si="4"/>
        <v>70</v>
      </c>
    </row>
    <row r="272" spans="1:6" x14ac:dyDescent="0.25">
      <c r="A272" s="4">
        <v>42090</v>
      </c>
      <c r="B272" s="3" t="s">
        <v>32</v>
      </c>
      <c r="C272" s="3" t="s">
        <v>2</v>
      </c>
      <c r="D272" s="3" t="s">
        <v>31</v>
      </c>
      <c r="E272" s="3">
        <v>21</v>
      </c>
      <c r="F272" s="5">
        <f t="shared" si="4"/>
        <v>52.5</v>
      </c>
    </row>
    <row r="273" spans="1:6" hidden="1" x14ac:dyDescent="0.25">
      <c r="A273" s="4">
        <v>42158</v>
      </c>
      <c r="B273" s="3" t="s">
        <v>29</v>
      </c>
      <c r="C273" s="3" t="s">
        <v>10</v>
      </c>
      <c r="D273" s="3" t="s">
        <v>30</v>
      </c>
      <c r="E273" s="3">
        <v>45</v>
      </c>
      <c r="F273" s="5">
        <f t="shared" si="4"/>
        <v>4.5</v>
      </c>
    </row>
    <row r="274" spans="1:6" x14ac:dyDescent="0.25">
      <c r="A274" s="4">
        <v>42185</v>
      </c>
      <c r="B274" s="3" t="s">
        <v>29</v>
      </c>
      <c r="C274" s="3" t="s">
        <v>2</v>
      </c>
      <c r="D274" s="3" t="s">
        <v>33</v>
      </c>
      <c r="E274" s="3">
        <v>17</v>
      </c>
      <c r="F274" s="5">
        <f t="shared" si="4"/>
        <v>85</v>
      </c>
    </row>
    <row r="275" spans="1:6" hidden="1" x14ac:dyDescent="0.25">
      <c r="A275" s="4">
        <v>42079</v>
      </c>
      <c r="B275" s="3" t="s">
        <v>38</v>
      </c>
      <c r="C275" s="3" t="s">
        <v>5</v>
      </c>
      <c r="D275" s="3" t="s">
        <v>28</v>
      </c>
      <c r="E275" s="3">
        <v>44</v>
      </c>
      <c r="F275" s="5">
        <f t="shared" si="4"/>
        <v>88</v>
      </c>
    </row>
    <row r="276" spans="1:6" hidden="1" x14ac:dyDescent="0.25">
      <c r="A276" s="4">
        <v>42078</v>
      </c>
      <c r="B276" s="3" t="s">
        <v>29</v>
      </c>
      <c r="C276" s="3" t="s">
        <v>19</v>
      </c>
      <c r="D276" s="3" t="s">
        <v>33</v>
      </c>
      <c r="E276" s="3">
        <v>20</v>
      </c>
      <c r="F276" s="5">
        <f t="shared" si="4"/>
        <v>100</v>
      </c>
    </row>
    <row r="277" spans="1:6" hidden="1" x14ac:dyDescent="0.25">
      <c r="A277" s="4">
        <v>42170</v>
      </c>
      <c r="B277" s="3" t="s">
        <v>39</v>
      </c>
      <c r="C277" s="3" t="s">
        <v>10</v>
      </c>
      <c r="D277" s="3" t="s">
        <v>36</v>
      </c>
      <c r="E277" s="3">
        <v>29</v>
      </c>
      <c r="F277" s="5">
        <f t="shared" si="4"/>
        <v>43.5</v>
      </c>
    </row>
    <row r="278" spans="1:6" hidden="1" x14ac:dyDescent="0.25">
      <c r="A278" s="4">
        <v>42027</v>
      </c>
      <c r="B278" s="3" t="s">
        <v>26</v>
      </c>
      <c r="C278" s="3" t="s">
        <v>10</v>
      </c>
      <c r="D278" s="3" t="s">
        <v>36</v>
      </c>
      <c r="E278" s="3">
        <v>13</v>
      </c>
      <c r="F278" s="5">
        <f t="shared" si="4"/>
        <v>19.5</v>
      </c>
    </row>
    <row r="279" spans="1:6" hidden="1" x14ac:dyDescent="0.25">
      <c r="A279" s="4">
        <v>42038</v>
      </c>
      <c r="B279" s="3" t="s">
        <v>37</v>
      </c>
      <c r="C279" s="3" t="s">
        <v>19</v>
      </c>
      <c r="D279" s="3" t="s">
        <v>33</v>
      </c>
      <c r="E279" s="3">
        <v>45</v>
      </c>
      <c r="F279" s="5">
        <f t="shared" si="4"/>
        <v>225</v>
      </c>
    </row>
    <row r="280" spans="1:6" x14ac:dyDescent="0.25">
      <c r="A280" s="4">
        <v>42066</v>
      </c>
      <c r="B280" s="3" t="s">
        <v>29</v>
      </c>
      <c r="C280" s="3" t="s">
        <v>2</v>
      </c>
      <c r="D280" s="3" t="s">
        <v>36</v>
      </c>
      <c r="E280" s="3">
        <v>40</v>
      </c>
      <c r="F280" s="5">
        <f t="shared" si="4"/>
        <v>60</v>
      </c>
    </row>
    <row r="281" spans="1:6" hidden="1" x14ac:dyDescent="0.25">
      <c r="A281" s="4">
        <v>42069</v>
      </c>
      <c r="B281" s="3" t="s">
        <v>29</v>
      </c>
      <c r="C281" s="3" t="s">
        <v>5</v>
      </c>
      <c r="D281" s="3" t="s">
        <v>31</v>
      </c>
      <c r="E281" s="3">
        <v>10</v>
      </c>
      <c r="F281" s="5">
        <f t="shared" si="4"/>
        <v>25</v>
      </c>
    </row>
    <row r="282" spans="1:6" hidden="1" x14ac:dyDescent="0.25">
      <c r="A282" s="4">
        <v>42131</v>
      </c>
      <c r="B282" s="3" t="s">
        <v>29</v>
      </c>
      <c r="C282" s="3" t="s">
        <v>5</v>
      </c>
      <c r="D282" s="3" t="s">
        <v>36</v>
      </c>
      <c r="E282" s="3">
        <v>40</v>
      </c>
      <c r="F282" s="5">
        <f t="shared" si="4"/>
        <v>60</v>
      </c>
    </row>
    <row r="283" spans="1:6" hidden="1" x14ac:dyDescent="0.25">
      <c r="A283" s="4">
        <v>42164</v>
      </c>
      <c r="B283" s="3" t="s">
        <v>26</v>
      </c>
      <c r="C283" s="3" t="s">
        <v>10</v>
      </c>
      <c r="D283" s="3" t="s">
        <v>34</v>
      </c>
      <c r="E283" s="3">
        <v>24</v>
      </c>
      <c r="F283" s="5">
        <f t="shared" si="4"/>
        <v>4.8000000000000007</v>
      </c>
    </row>
    <row r="284" spans="1:6" hidden="1" x14ac:dyDescent="0.25">
      <c r="A284" s="4">
        <v>42013</v>
      </c>
      <c r="B284" s="3" t="s">
        <v>38</v>
      </c>
      <c r="C284" s="3" t="s">
        <v>6</v>
      </c>
      <c r="D284" s="3" t="s">
        <v>35</v>
      </c>
      <c r="E284" s="3">
        <v>5</v>
      </c>
      <c r="F284" s="5">
        <f t="shared" si="4"/>
        <v>20</v>
      </c>
    </row>
    <row r="285" spans="1:6" hidden="1" x14ac:dyDescent="0.25">
      <c r="A285" s="4">
        <v>42106</v>
      </c>
      <c r="B285" s="3" t="s">
        <v>29</v>
      </c>
      <c r="C285" s="3" t="s">
        <v>19</v>
      </c>
      <c r="D285" s="3" t="s">
        <v>35</v>
      </c>
      <c r="E285" s="3">
        <v>47</v>
      </c>
      <c r="F285" s="5">
        <f t="shared" si="4"/>
        <v>188</v>
      </c>
    </row>
    <row r="286" spans="1:6" x14ac:dyDescent="0.25">
      <c r="A286" s="4">
        <v>42126</v>
      </c>
      <c r="B286" s="3" t="s">
        <v>38</v>
      </c>
      <c r="C286" s="3" t="s">
        <v>2</v>
      </c>
      <c r="D286" s="3" t="s">
        <v>31</v>
      </c>
      <c r="E286" s="3">
        <v>47</v>
      </c>
      <c r="F286" s="5">
        <f t="shared" si="4"/>
        <v>117.5</v>
      </c>
    </row>
    <row r="287" spans="1:6" hidden="1" x14ac:dyDescent="0.25">
      <c r="A287" s="4">
        <v>42157</v>
      </c>
      <c r="B287" s="3" t="s">
        <v>32</v>
      </c>
      <c r="C287" s="3" t="s">
        <v>6</v>
      </c>
      <c r="D287" s="3" t="s">
        <v>36</v>
      </c>
      <c r="E287" s="3">
        <v>27</v>
      </c>
      <c r="F287" s="5">
        <f t="shared" si="4"/>
        <v>40.5</v>
      </c>
    </row>
    <row r="288" spans="1:6" hidden="1" x14ac:dyDescent="0.25">
      <c r="A288" s="4">
        <v>42128</v>
      </c>
      <c r="B288" s="3" t="s">
        <v>26</v>
      </c>
      <c r="C288" s="3" t="s">
        <v>5</v>
      </c>
      <c r="D288" s="3" t="s">
        <v>36</v>
      </c>
      <c r="E288" s="3">
        <v>8</v>
      </c>
      <c r="F288" s="5">
        <f t="shared" si="4"/>
        <v>12</v>
      </c>
    </row>
    <row r="289" spans="1:6" hidden="1" x14ac:dyDescent="0.25">
      <c r="A289" s="4">
        <v>42010</v>
      </c>
      <c r="B289" s="3" t="s">
        <v>29</v>
      </c>
      <c r="C289" s="3" t="s">
        <v>19</v>
      </c>
      <c r="D289" s="3" t="s">
        <v>31</v>
      </c>
      <c r="E289" s="3">
        <v>45</v>
      </c>
      <c r="F289" s="5">
        <f t="shared" si="4"/>
        <v>112.5</v>
      </c>
    </row>
    <row r="290" spans="1:6" hidden="1" x14ac:dyDescent="0.25">
      <c r="A290" s="4">
        <v>42046</v>
      </c>
      <c r="B290" s="3" t="s">
        <v>32</v>
      </c>
      <c r="C290" s="3" t="s">
        <v>19</v>
      </c>
      <c r="D290" s="3" t="s">
        <v>28</v>
      </c>
      <c r="E290" s="3">
        <v>8</v>
      </c>
      <c r="F290" s="5">
        <f t="shared" si="4"/>
        <v>16</v>
      </c>
    </row>
    <row r="291" spans="1:6" hidden="1" x14ac:dyDescent="0.25">
      <c r="A291" s="4">
        <v>42128</v>
      </c>
      <c r="B291" s="3" t="s">
        <v>26</v>
      </c>
      <c r="C291" s="3" t="s">
        <v>10</v>
      </c>
      <c r="D291" s="3" t="s">
        <v>36</v>
      </c>
      <c r="E291" s="3">
        <v>41</v>
      </c>
      <c r="F291" s="5">
        <f t="shared" si="4"/>
        <v>61.5</v>
      </c>
    </row>
    <row r="292" spans="1:6" hidden="1" x14ac:dyDescent="0.25">
      <c r="A292" s="4">
        <v>42104</v>
      </c>
      <c r="B292" s="3" t="s">
        <v>32</v>
      </c>
      <c r="C292" s="3" t="s">
        <v>19</v>
      </c>
      <c r="D292" s="3" t="s">
        <v>31</v>
      </c>
      <c r="E292" s="3">
        <v>43</v>
      </c>
      <c r="F292" s="5">
        <f t="shared" si="4"/>
        <v>107.5</v>
      </c>
    </row>
    <row r="293" spans="1:6" hidden="1" x14ac:dyDescent="0.25">
      <c r="A293" s="4">
        <v>42170</v>
      </c>
      <c r="B293" s="3" t="s">
        <v>26</v>
      </c>
      <c r="C293" s="3" t="s">
        <v>19</v>
      </c>
      <c r="D293" s="3" t="s">
        <v>28</v>
      </c>
      <c r="E293" s="3">
        <v>3</v>
      </c>
      <c r="F293" s="5">
        <f t="shared" si="4"/>
        <v>6</v>
      </c>
    </row>
    <row r="294" spans="1:6" hidden="1" x14ac:dyDescent="0.25">
      <c r="A294" s="4">
        <v>42179</v>
      </c>
      <c r="B294" s="3" t="s">
        <v>39</v>
      </c>
      <c r="C294" s="3" t="s">
        <v>6</v>
      </c>
      <c r="D294" s="3" t="s">
        <v>34</v>
      </c>
      <c r="E294" s="3">
        <v>10</v>
      </c>
      <c r="F294" s="5">
        <f t="shared" si="4"/>
        <v>2</v>
      </c>
    </row>
    <row r="295" spans="1:6" hidden="1" x14ac:dyDescent="0.25">
      <c r="A295" s="4">
        <v>42098</v>
      </c>
      <c r="B295" s="3" t="s">
        <v>37</v>
      </c>
      <c r="C295" s="3" t="s">
        <v>19</v>
      </c>
      <c r="D295" s="3" t="s">
        <v>36</v>
      </c>
      <c r="E295" s="3">
        <v>33</v>
      </c>
      <c r="F295" s="5">
        <f t="shared" si="4"/>
        <v>49.5</v>
      </c>
    </row>
    <row r="296" spans="1:6" hidden="1" x14ac:dyDescent="0.25">
      <c r="A296" s="4">
        <v>42011</v>
      </c>
      <c r="B296" s="3" t="s">
        <v>32</v>
      </c>
      <c r="C296" s="3" t="s">
        <v>10</v>
      </c>
      <c r="D296" s="3" t="s">
        <v>36</v>
      </c>
      <c r="E296" s="3">
        <v>30</v>
      </c>
      <c r="F296" s="5">
        <f t="shared" si="4"/>
        <v>45</v>
      </c>
    </row>
    <row r="297" spans="1:6" hidden="1" x14ac:dyDescent="0.25">
      <c r="A297" s="4">
        <v>42153</v>
      </c>
      <c r="B297" s="3" t="s">
        <v>26</v>
      </c>
      <c r="C297" s="3" t="s">
        <v>5</v>
      </c>
      <c r="D297" s="3" t="s">
        <v>31</v>
      </c>
      <c r="E297" s="3">
        <v>50</v>
      </c>
      <c r="F297" s="5">
        <f t="shared" si="4"/>
        <v>125</v>
      </c>
    </row>
    <row r="298" spans="1:6" hidden="1" x14ac:dyDescent="0.25">
      <c r="A298" s="4">
        <v>42040</v>
      </c>
      <c r="B298" s="3" t="s">
        <v>37</v>
      </c>
      <c r="C298" s="3" t="s">
        <v>19</v>
      </c>
      <c r="D298" s="3" t="s">
        <v>28</v>
      </c>
      <c r="E298" s="3">
        <v>24</v>
      </c>
      <c r="F298" s="5">
        <f t="shared" si="4"/>
        <v>48</v>
      </c>
    </row>
    <row r="299" spans="1:6" x14ac:dyDescent="0.25">
      <c r="A299" s="4">
        <v>42089</v>
      </c>
      <c r="B299" s="3" t="s">
        <v>38</v>
      </c>
      <c r="C299" s="3" t="s">
        <v>2</v>
      </c>
      <c r="D299" s="3" t="s">
        <v>27</v>
      </c>
      <c r="E299" s="3">
        <v>19</v>
      </c>
      <c r="F299" s="5">
        <f t="shared" si="4"/>
        <v>9.5</v>
      </c>
    </row>
    <row r="300" spans="1:6" hidden="1" x14ac:dyDescent="0.25">
      <c r="A300" s="4">
        <v>42054</v>
      </c>
      <c r="B300" s="3" t="s">
        <v>37</v>
      </c>
      <c r="C300" s="3" t="s">
        <v>19</v>
      </c>
      <c r="D300" s="3" t="s">
        <v>35</v>
      </c>
      <c r="E300" s="3">
        <v>44</v>
      </c>
      <c r="F300" s="5">
        <f t="shared" si="4"/>
        <v>176</v>
      </c>
    </row>
    <row r="301" spans="1:6" hidden="1" x14ac:dyDescent="0.25">
      <c r="A301" s="4">
        <v>42028</v>
      </c>
      <c r="B301" s="3" t="s">
        <v>29</v>
      </c>
      <c r="C301" s="3" t="s">
        <v>10</v>
      </c>
      <c r="D301" s="3" t="s">
        <v>27</v>
      </c>
      <c r="E301" s="3">
        <v>33</v>
      </c>
      <c r="F301" s="5">
        <f t="shared" si="4"/>
        <v>16.5</v>
      </c>
    </row>
    <row r="302" spans="1:6" x14ac:dyDescent="0.25">
      <c r="A302" s="4">
        <v>42009</v>
      </c>
      <c r="B302" s="3" t="s">
        <v>38</v>
      </c>
      <c r="C302" s="3" t="s">
        <v>2</v>
      </c>
      <c r="D302" s="3" t="s">
        <v>35</v>
      </c>
      <c r="E302" s="3">
        <v>45</v>
      </c>
      <c r="F302" s="5">
        <f t="shared" si="4"/>
        <v>180</v>
      </c>
    </row>
    <row r="303" spans="1:6" hidden="1" x14ac:dyDescent="0.25">
      <c r="A303" s="4">
        <v>42077</v>
      </c>
      <c r="B303" s="3" t="s">
        <v>38</v>
      </c>
      <c r="C303" s="3" t="s">
        <v>10</v>
      </c>
      <c r="D303" s="3" t="s">
        <v>35</v>
      </c>
      <c r="E303" s="3">
        <v>48</v>
      </c>
      <c r="F303" s="5">
        <f t="shared" si="4"/>
        <v>192</v>
      </c>
    </row>
    <row r="304" spans="1:6" hidden="1" x14ac:dyDescent="0.25">
      <c r="A304" s="4">
        <v>42161</v>
      </c>
      <c r="B304" s="3" t="s">
        <v>38</v>
      </c>
      <c r="C304" s="3" t="s">
        <v>6</v>
      </c>
      <c r="D304" s="3" t="s">
        <v>30</v>
      </c>
      <c r="E304" s="3">
        <v>25</v>
      </c>
      <c r="F304" s="5">
        <f t="shared" si="4"/>
        <v>2.5</v>
      </c>
    </row>
    <row r="305" spans="1:6" x14ac:dyDescent="0.25">
      <c r="A305" s="4">
        <v>42168</v>
      </c>
      <c r="B305" s="3" t="s">
        <v>32</v>
      </c>
      <c r="C305" s="3" t="s">
        <v>2</v>
      </c>
      <c r="D305" s="3" t="s">
        <v>28</v>
      </c>
      <c r="E305" s="3">
        <v>39</v>
      </c>
      <c r="F305" s="5">
        <f t="shared" si="4"/>
        <v>78</v>
      </c>
    </row>
    <row r="306" spans="1:6" hidden="1" x14ac:dyDescent="0.25">
      <c r="A306" s="4">
        <v>42053</v>
      </c>
      <c r="B306" s="3" t="s">
        <v>39</v>
      </c>
      <c r="C306" s="3" t="s">
        <v>5</v>
      </c>
      <c r="D306" s="3" t="s">
        <v>30</v>
      </c>
      <c r="E306" s="3">
        <v>38</v>
      </c>
      <c r="F306" s="5">
        <f t="shared" si="4"/>
        <v>3.8000000000000003</v>
      </c>
    </row>
    <row r="307" spans="1:6" hidden="1" x14ac:dyDescent="0.25">
      <c r="A307" s="4">
        <v>42028</v>
      </c>
      <c r="B307" s="3" t="s">
        <v>38</v>
      </c>
      <c r="C307" s="3" t="s">
        <v>5</v>
      </c>
      <c r="D307" s="3" t="s">
        <v>33</v>
      </c>
      <c r="E307" s="3">
        <v>24</v>
      </c>
      <c r="F307" s="5">
        <f t="shared" si="4"/>
        <v>120</v>
      </c>
    </row>
    <row r="308" spans="1:6" hidden="1" x14ac:dyDescent="0.25">
      <c r="A308" s="4">
        <v>42091</v>
      </c>
      <c r="B308" s="3" t="s">
        <v>26</v>
      </c>
      <c r="C308" s="3" t="s">
        <v>6</v>
      </c>
      <c r="D308" s="3" t="s">
        <v>30</v>
      </c>
      <c r="E308" s="3">
        <v>27</v>
      </c>
      <c r="F308" s="5">
        <f t="shared" si="4"/>
        <v>2.7</v>
      </c>
    </row>
    <row r="309" spans="1:6" hidden="1" x14ac:dyDescent="0.25">
      <c r="A309" s="4">
        <v>42102</v>
      </c>
      <c r="B309" s="3" t="s">
        <v>39</v>
      </c>
      <c r="C309" s="3" t="s">
        <v>6</v>
      </c>
      <c r="D309" s="3" t="s">
        <v>28</v>
      </c>
      <c r="E309" s="3">
        <v>27</v>
      </c>
      <c r="F309" s="5">
        <f t="shared" si="4"/>
        <v>54</v>
      </c>
    </row>
    <row r="310" spans="1:6" x14ac:dyDescent="0.25">
      <c r="A310" s="4">
        <v>42032</v>
      </c>
      <c r="B310" s="3" t="s">
        <v>38</v>
      </c>
      <c r="C310" s="3" t="s">
        <v>2</v>
      </c>
      <c r="D310" s="3" t="s">
        <v>33</v>
      </c>
      <c r="E310" s="3">
        <v>5</v>
      </c>
      <c r="F310" s="5">
        <f t="shared" si="4"/>
        <v>25</v>
      </c>
    </row>
    <row r="311" spans="1:6" hidden="1" x14ac:dyDescent="0.25">
      <c r="A311" s="4">
        <v>42096</v>
      </c>
      <c r="B311" s="3" t="s">
        <v>38</v>
      </c>
      <c r="C311" s="3" t="s">
        <v>5</v>
      </c>
      <c r="D311" s="3" t="s">
        <v>33</v>
      </c>
      <c r="E311" s="3">
        <v>10</v>
      </c>
      <c r="F311" s="5">
        <f t="shared" si="4"/>
        <v>50</v>
      </c>
    </row>
    <row r="312" spans="1:6" hidden="1" x14ac:dyDescent="0.25">
      <c r="A312" s="4">
        <v>42005</v>
      </c>
      <c r="B312" s="3" t="s">
        <v>29</v>
      </c>
      <c r="C312" s="3" t="s">
        <v>10</v>
      </c>
      <c r="D312" s="3" t="s">
        <v>33</v>
      </c>
      <c r="E312" s="3">
        <v>12</v>
      </c>
      <c r="F312" s="5">
        <f t="shared" si="4"/>
        <v>60</v>
      </c>
    </row>
    <row r="313" spans="1:6" hidden="1" x14ac:dyDescent="0.25">
      <c r="A313" s="4">
        <v>42071</v>
      </c>
      <c r="B313" s="3" t="s">
        <v>37</v>
      </c>
      <c r="C313" s="3" t="s">
        <v>6</v>
      </c>
      <c r="D313" s="3" t="s">
        <v>36</v>
      </c>
      <c r="E313" s="3">
        <v>10</v>
      </c>
      <c r="F313" s="5">
        <f t="shared" si="4"/>
        <v>15</v>
      </c>
    </row>
    <row r="314" spans="1:6" hidden="1" x14ac:dyDescent="0.25">
      <c r="A314" s="4">
        <v>42086</v>
      </c>
      <c r="B314" s="3" t="s">
        <v>37</v>
      </c>
      <c r="C314" s="3" t="s">
        <v>5</v>
      </c>
      <c r="D314" s="3" t="s">
        <v>36</v>
      </c>
      <c r="E314" s="3">
        <v>34</v>
      </c>
      <c r="F314" s="5">
        <f t="shared" si="4"/>
        <v>51</v>
      </c>
    </row>
    <row r="315" spans="1:6" hidden="1" x14ac:dyDescent="0.25">
      <c r="A315" s="4">
        <v>42175</v>
      </c>
      <c r="B315" s="3" t="s">
        <v>26</v>
      </c>
      <c r="C315" s="3" t="s">
        <v>6</v>
      </c>
      <c r="D315" s="3" t="s">
        <v>31</v>
      </c>
      <c r="E315" s="3">
        <v>1</v>
      </c>
      <c r="F315" s="5">
        <f t="shared" si="4"/>
        <v>2.5</v>
      </c>
    </row>
    <row r="316" spans="1:6" hidden="1" x14ac:dyDescent="0.25">
      <c r="A316" s="4">
        <v>42080</v>
      </c>
      <c r="B316" s="3" t="s">
        <v>29</v>
      </c>
      <c r="C316" s="3" t="s">
        <v>6</v>
      </c>
      <c r="D316" s="3" t="s">
        <v>30</v>
      </c>
      <c r="E316" s="3">
        <v>48</v>
      </c>
      <c r="F316" s="5">
        <f t="shared" si="4"/>
        <v>4.8000000000000007</v>
      </c>
    </row>
    <row r="317" spans="1:6" hidden="1" x14ac:dyDescent="0.25">
      <c r="A317" s="4">
        <v>42166</v>
      </c>
      <c r="B317" s="3" t="s">
        <v>26</v>
      </c>
      <c r="C317" s="3" t="s">
        <v>19</v>
      </c>
      <c r="D317" s="3" t="s">
        <v>33</v>
      </c>
      <c r="E317" s="3">
        <v>26</v>
      </c>
      <c r="F317" s="5">
        <f t="shared" si="4"/>
        <v>130</v>
      </c>
    </row>
    <row r="318" spans="1:6" hidden="1" x14ac:dyDescent="0.25">
      <c r="A318" s="4">
        <v>42151</v>
      </c>
      <c r="B318" s="3" t="s">
        <v>32</v>
      </c>
      <c r="C318" s="3" t="s">
        <v>10</v>
      </c>
      <c r="D318" s="3" t="s">
        <v>28</v>
      </c>
      <c r="E318" s="3">
        <v>48</v>
      </c>
      <c r="F318" s="5">
        <f t="shared" si="4"/>
        <v>96</v>
      </c>
    </row>
    <row r="319" spans="1:6" hidden="1" x14ac:dyDescent="0.25">
      <c r="A319" s="4">
        <v>42157</v>
      </c>
      <c r="B319" s="3" t="s">
        <v>38</v>
      </c>
      <c r="C319" s="3" t="s">
        <v>19</v>
      </c>
      <c r="D319" s="3" t="s">
        <v>35</v>
      </c>
      <c r="E319" s="3">
        <v>6</v>
      </c>
      <c r="F319" s="5">
        <f t="shared" si="4"/>
        <v>24</v>
      </c>
    </row>
    <row r="320" spans="1:6" hidden="1" x14ac:dyDescent="0.25">
      <c r="A320" s="4">
        <v>42107</v>
      </c>
      <c r="B320" s="3" t="s">
        <v>26</v>
      </c>
      <c r="C320" s="3" t="s">
        <v>19</v>
      </c>
      <c r="D320" s="3" t="s">
        <v>35</v>
      </c>
      <c r="E320" s="3">
        <v>50</v>
      </c>
      <c r="F320" s="5">
        <f t="shared" si="4"/>
        <v>200</v>
      </c>
    </row>
    <row r="321" spans="1:6" hidden="1" x14ac:dyDescent="0.25">
      <c r="A321" s="4">
        <v>42149</v>
      </c>
      <c r="B321" s="3" t="s">
        <v>37</v>
      </c>
      <c r="C321" s="3" t="s">
        <v>19</v>
      </c>
      <c r="D321" s="3" t="s">
        <v>30</v>
      </c>
      <c r="E321" s="3">
        <v>14</v>
      </c>
      <c r="F321" s="5">
        <f t="shared" si="4"/>
        <v>1.4000000000000001</v>
      </c>
    </row>
    <row r="322" spans="1:6" hidden="1" x14ac:dyDescent="0.25">
      <c r="A322" s="4">
        <v>42060</v>
      </c>
      <c r="B322" s="3" t="s">
        <v>37</v>
      </c>
      <c r="C322" s="3" t="s">
        <v>10</v>
      </c>
      <c r="D322" s="3" t="s">
        <v>33</v>
      </c>
      <c r="E322" s="3">
        <v>39</v>
      </c>
      <c r="F322" s="5">
        <f t="shared" si="4"/>
        <v>195</v>
      </c>
    </row>
    <row r="323" spans="1:6" hidden="1" x14ac:dyDescent="0.25">
      <c r="A323" s="4">
        <v>42136</v>
      </c>
      <c r="B323" s="3" t="s">
        <v>37</v>
      </c>
      <c r="C323" s="3" t="s">
        <v>5</v>
      </c>
      <c r="D323" s="3" t="s">
        <v>28</v>
      </c>
      <c r="E323" s="3">
        <v>5</v>
      </c>
      <c r="F323" s="5">
        <f t="shared" si="4"/>
        <v>10</v>
      </c>
    </row>
    <row r="324" spans="1:6" x14ac:dyDescent="0.25">
      <c r="A324" s="4">
        <v>42171</v>
      </c>
      <c r="B324" s="3" t="s">
        <v>26</v>
      </c>
      <c r="C324" s="3" t="s">
        <v>2</v>
      </c>
      <c r="D324" s="3" t="s">
        <v>31</v>
      </c>
      <c r="E324" s="3">
        <v>15</v>
      </c>
      <c r="F324" s="5">
        <f t="shared" si="4"/>
        <v>37.5</v>
      </c>
    </row>
    <row r="325" spans="1:6" x14ac:dyDescent="0.25">
      <c r="A325" s="4">
        <v>42101</v>
      </c>
      <c r="B325" s="3" t="s">
        <v>32</v>
      </c>
      <c r="C325" s="3" t="s">
        <v>2</v>
      </c>
      <c r="D325" s="3" t="s">
        <v>36</v>
      </c>
      <c r="E325" s="3">
        <v>26</v>
      </c>
      <c r="F325" s="5">
        <f t="shared" si="4"/>
        <v>39</v>
      </c>
    </row>
    <row r="326" spans="1:6" hidden="1" x14ac:dyDescent="0.25">
      <c r="A326" s="4">
        <v>42150</v>
      </c>
      <c r="B326" s="3" t="s">
        <v>32</v>
      </c>
      <c r="C326" s="3" t="s">
        <v>5</v>
      </c>
      <c r="D326" s="3" t="s">
        <v>30</v>
      </c>
      <c r="E326" s="3">
        <v>43</v>
      </c>
      <c r="F326" s="5">
        <f t="shared" si="4"/>
        <v>4.3</v>
      </c>
    </row>
    <row r="327" spans="1:6" hidden="1" x14ac:dyDescent="0.25">
      <c r="A327" s="4">
        <v>42046</v>
      </c>
      <c r="B327" s="3" t="s">
        <v>37</v>
      </c>
      <c r="C327" s="3" t="s">
        <v>19</v>
      </c>
      <c r="D327" s="3" t="s">
        <v>30</v>
      </c>
      <c r="E327" s="3">
        <v>29</v>
      </c>
      <c r="F327" s="5">
        <f t="shared" ref="F327:F390" si="5">E327*VLOOKUP(D327,$W$6:$X$13,2,0)</f>
        <v>2.9000000000000004</v>
      </c>
    </row>
    <row r="328" spans="1:6" hidden="1" x14ac:dyDescent="0.25">
      <c r="A328" s="4">
        <v>42067</v>
      </c>
      <c r="B328" s="3" t="s">
        <v>39</v>
      </c>
      <c r="C328" s="3" t="s">
        <v>6</v>
      </c>
      <c r="D328" s="3" t="s">
        <v>36</v>
      </c>
      <c r="E328" s="3">
        <v>9</v>
      </c>
      <c r="F328" s="5">
        <f t="shared" si="5"/>
        <v>13.5</v>
      </c>
    </row>
    <row r="329" spans="1:6" hidden="1" x14ac:dyDescent="0.25">
      <c r="A329" s="4">
        <v>42166</v>
      </c>
      <c r="B329" s="3" t="s">
        <v>39</v>
      </c>
      <c r="C329" s="3" t="s">
        <v>6</v>
      </c>
      <c r="D329" s="3" t="s">
        <v>36</v>
      </c>
      <c r="E329" s="3">
        <v>13</v>
      </c>
      <c r="F329" s="5">
        <f t="shared" si="5"/>
        <v>19.5</v>
      </c>
    </row>
    <row r="330" spans="1:6" hidden="1" x14ac:dyDescent="0.25">
      <c r="A330" s="4">
        <v>42039</v>
      </c>
      <c r="B330" s="3" t="s">
        <v>38</v>
      </c>
      <c r="C330" s="3" t="s">
        <v>19</v>
      </c>
      <c r="D330" s="3" t="s">
        <v>30</v>
      </c>
      <c r="E330" s="3">
        <v>48</v>
      </c>
      <c r="F330" s="5">
        <f t="shared" si="5"/>
        <v>4.8000000000000007</v>
      </c>
    </row>
    <row r="331" spans="1:6" hidden="1" x14ac:dyDescent="0.25">
      <c r="A331" s="4">
        <v>42174</v>
      </c>
      <c r="B331" s="3" t="s">
        <v>39</v>
      </c>
      <c r="C331" s="3" t="s">
        <v>5</v>
      </c>
      <c r="D331" s="3" t="s">
        <v>33</v>
      </c>
      <c r="E331" s="3">
        <v>5</v>
      </c>
      <c r="F331" s="5">
        <f t="shared" si="5"/>
        <v>25</v>
      </c>
    </row>
    <row r="332" spans="1:6" x14ac:dyDescent="0.25">
      <c r="A332" s="4">
        <v>42146</v>
      </c>
      <c r="B332" s="3" t="s">
        <v>32</v>
      </c>
      <c r="C332" s="3" t="s">
        <v>2</v>
      </c>
      <c r="D332" s="3" t="s">
        <v>30</v>
      </c>
      <c r="E332" s="3">
        <v>18</v>
      </c>
      <c r="F332" s="5">
        <f t="shared" si="5"/>
        <v>1.8</v>
      </c>
    </row>
    <row r="333" spans="1:6" hidden="1" x14ac:dyDescent="0.25">
      <c r="A333" s="4">
        <v>42182</v>
      </c>
      <c r="B333" s="3" t="s">
        <v>37</v>
      </c>
      <c r="C333" s="3" t="s">
        <v>19</v>
      </c>
      <c r="D333" s="3" t="s">
        <v>35</v>
      </c>
      <c r="E333" s="3">
        <v>9</v>
      </c>
      <c r="F333" s="5">
        <f t="shared" si="5"/>
        <v>36</v>
      </c>
    </row>
    <row r="334" spans="1:6" hidden="1" x14ac:dyDescent="0.25">
      <c r="A334" s="4">
        <v>42025</v>
      </c>
      <c r="B334" s="3" t="s">
        <v>32</v>
      </c>
      <c r="C334" s="3" t="s">
        <v>6</v>
      </c>
      <c r="D334" s="3" t="s">
        <v>35</v>
      </c>
      <c r="E334" s="3">
        <v>22</v>
      </c>
      <c r="F334" s="5">
        <f t="shared" si="5"/>
        <v>88</v>
      </c>
    </row>
    <row r="335" spans="1:6" hidden="1" x14ac:dyDescent="0.25">
      <c r="A335" s="4">
        <v>42019</v>
      </c>
      <c r="B335" s="3" t="s">
        <v>29</v>
      </c>
      <c r="C335" s="3" t="s">
        <v>5</v>
      </c>
      <c r="D335" s="3" t="s">
        <v>36</v>
      </c>
      <c r="E335" s="3">
        <v>23</v>
      </c>
      <c r="F335" s="5">
        <f t="shared" si="5"/>
        <v>34.5</v>
      </c>
    </row>
    <row r="336" spans="1:6" hidden="1" x14ac:dyDescent="0.25">
      <c r="A336" s="4">
        <v>42110</v>
      </c>
      <c r="B336" s="3" t="s">
        <v>32</v>
      </c>
      <c r="C336" s="3" t="s">
        <v>6</v>
      </c>
      <c r="D336" s="3" t="s">
        <v>36</v>
      </c>
      <c r="E336" s="3">
        <v>20</v>
      </c>
      <c r="F336" s="5">
        <f t="shared" si="5"/>
        <v>30</v>
      </c>
    </row>
    <row r="337" spans="1:6" hidden="1" x14ac:dyDescent="0.25">
      <c r="A337" s="4">
        <v>42081</v>
      </c>
      <c r="B337" s="3" t="s">
        <v>38</v>
      </c>
      <c r="C337" s="3" t="s">
        <v>19</v>
      </c>
      <c r="D337" s="3" t="s">
        <v>33</v>
      </c>
      <c r="E337" s="3">
        <v>45</v>
      </c>
      <c r="F337" s="5">
        <f t="shared" si="5"/>
        <v>225</v>
      </c>
    </row>
    <row r="338" spans="1:6" hidden="1" x14ac:dyDescent="0.25">
      <c r="A338" s="4">
        <v>42027</v>
      </c>
      <c r="B338" s="3" t="s">
        <v>37</v>
      </c>
      <c r="C338" s="3" t="s">
        <v>10</v>
      </c>
      <c r="D338" s="3" t="s">
        <v>28</v>
      </c>
      <c r="E338" s="3">
        <v>45</v>
      </c>
      <c r="F338" s="5">
        <f t="shared" si="5"/>
        <v>90</v>
      </c>
    </row>
    <row r="339" spans="1:6" hidden="1" x14ac:dyDescent="0.25">
      <c r="A339" s="4">
        <v>42115</v>
      </c>
      <c r="B339" s="3" t="s">
        <v>38</v>
      </c>
      <c r="C339" s="3" t="s">
        <v>10</v>
      </c>
      <c r="D339" s="3" t="s">
        <v>31</v>
      </c>
      <c r="E339" s="3">
        <v>36</v>
      </c>
      <c r="F339" s="5">
        <f t="shared" si="5"/>
        <v>90</v>
      </c>
    </row>
    <row r="340" spans="1:6" hidden="1" x14ac:dyDescent="0.25">
      <c r="A340" s="4">
        <v>42088</v>
      </c>
      <c r="B340" s="3" t="s">
        <v>38</v>
      </c>
      <c r="C340" s="3" t="s">
        <v>19</v>
      </c>
      <c r="D340" s="3" t="s">
        <v>28</v>
      </c>
      <c r="E340" s="3">
        <v>38</v>
      </c>
      <c r="F340" s="5">
        <f t="shared" si="5"/>
        <v>76</v>
      </c>
    </row>
    <row r="341" spans="1:6" hidden="1" x14ac:dyDescent="0.25">
      <c r="A341" s="4">
        <v>42105</v>
      </c>
      <c r="B341" s="3" t="s">
        <v>29</v>
      </c>
      <c r="C341" s="3" t="s">
        <v>6</v>
      </c>
      <c r="D341" s="3" t="s">
        <v>31</v>
      </c>
      <c r="E341" s="3">
        <v>50</v>
      </c>
      <c r="F341" s="5">
        <f t="shared" si="5"/>
        <v>125</v>
      </c>
    </row>
    <row r="342" spans="1:6" x14ac:dyDescent="0.25">
      <c r="A342" s="4">
        <v>42097</v>
      </c>
      <c r="B342" s="3" t="s">
        <v>32</v>
      </c>
      <c r="C342" s="3" t="s">
        <v>2</v>
      </c>
      <c r="D342" s="3" t="s">
        <v>28</v>
      </c>
      <c r="E342" s="3">
        <v>17</v>
      </c>
      <c r="F342" s="5">
        <f t="shared" si="5"/>
        <v>34</v>
      </c>
    </row>
    <row r="343" spans="1:6" hidden="1" x14ac:dyDescent="0.25">
      <c r="A343" s="4">
        <v>42100</v>
      </c>
      <c r="B343" s="3" t="s">
        <v>26</v>
      </c>
      <c r="C343" s="3" t="s">
        <v>19</v>
      </c>
      <c r="D343" s="3" t="s">
        <v>33</v>
      </c>
      <c r="E343" s="3">
        <v>13</v>
      </c>
      <c r="F343" s="5">
        <f t="shared" si="5"/>
        <v>65</v>
      </c>
    </row>
    <row r="344" spans="1:6" hidden="1" x14ac:dyDescent="0.25">
      <c r="A344" s="4">
        <v>42130</v>
      </c>
      <c r="B344" s="3" t="s">
        <v>37</v>
      </c>
      <c r="C344" s="3" t="s">
        <v>19</v>
      </c>
      <c r="D344" s="3" t="s">
        <v>35</v>
      </c>
      <c r="E344" s="3">
        <v>31</v>
      </c>
      <c r="F344" s="5">
        <f t="shared" si="5"/>
        <v>124</v>
      </c>
    </row>
    <row r="345" spans="1:6" hidden="1" x14ac:dyDescent="0.25">
      <c r="A345" s="4">
        <v>42095</v>
      </c>
      <c r="B345" s="3" t="s">
        <v>37</v>
      </c>
      <c r="C345" s="3" t="s">
        <v>19</v>
      </c>
      <c r="D345" s="3" t="s">
        <v>33</v>
      </c>
      <c r="E345" s="3">
        <v>14</v>
      </c>
      <c r="F345" s="5">
        <f t="shared" si="5"/>
        <v>70</v>
      </c>
    </row>
    <row r="346" spans="1:6" hidden="1" x14ac:dyDescent="0.25">
      <c r="A346" s="4">
        <v>42117</v>
      </c>
      <c r="B346" s="3" t="s">
        <v>39</v>
      </c>
      <c r="C346" s="3" t="s">
        <v>19</v>
      </c>
      <c r="D346" s="3" t="s">
        <v>30</v>
      </c>
      <c r="E346" s="3">
        <v>16</v>
      </c>
      <c r="F346" s="5">
        <f t="shared" si="5"/>
        <v>1.6</v>
      </c>
    </row>
    <row r="347" spans="1:6" hidden="1" x14ac:dyDescent="0.25">
      <c r="A347" s="4">
        <v>42019</v>
      </c>
      <c r="B347" s="3" t="s">
        <v>39</v>
      </c>
      <c r="C347" s="3" t="s">
        <v>19</v>
      </c>
      <c r="D347" s="3" t="s">
        <v>36</v>
      </c>
      <c r="E347" s="3">
        <v>42</v>
      </c>
      <c r="F347" s="5">
        <f t="shared" si="5"/>
        <v>63</v>
      </c>
    </row>
    <row r="348" spans="1:6" hidden="1" x14ac:dyDescent="0.25">
      <c r="A348" s="4">
        <v>42093</v>
      </c>
      <c r="B348" s="3" t="s">
        <v>32</v>
      </c>
      <c r="C348" s="3" t="s">
        <v>6</v>
      </c>
      <c r="D348" s="3" t="s">
        <v>35</v>
      </c>
      <c r="E348" s="3">
        <v>11</v>
      </c>
      <c r="F348" s="5">
        <f t="shared" si="5"/>
        <v>44</v>
      </c>
    </row>
    <row r="349" spans="1:6" x14ac:dyDescent="0.25">
      <c r="A349" s="4">
        <v>42110</v>
      </c>
      <c r="B349" s="3" t="s">
        <v>38</v>
      </c>
      <c r="C349" s="3" t="s">
        <v>2</v>
      </c>
      <c r="D349" s="3" t="s">
        <v>36</v>
      </c>
      <c r="E349" s="3">
        <v>36</v>
      </c>
      <c r="F349" s="5">
        <f t="shared" si="5"/>
        <v>54</v>
      </c>
    </row>
    <row r="350" spans="1:6" x14ac:dyDescent="0.25">
      <c r="A350" s="4">
        <v>42087</v>
      </c>
      <c r="B350" s="3" t="s">
        <v>37</v>
      </c>
      <c r="C350" s="3" t="s">
        <v>2</v>
      </c>
      <c r="D350" s="3" t="s">
        <v>34</v>
      </c>
      <c r="E350" s="3">
        <v>14</v>
      </c>
      <c r="F350" s="5">
        <f t="shared" si="5"/>
        <v>2.8000000000000003</v>
      </c>
    </row>
    <row r="351" spans="1:6" hidden="1" x14ac:dyDescent="0.25">
      <c r="A351" s="4">
        <v>42138</v>
      </c>
      <c r="B351" s="3" t="s">
        <v>37</v>
      </c>
      <c r="C351" s="3" t="s">
        <v>19</v>
      </c>
      <c r="D351" s="3" t="s">
        <v>31</v>
      </c>
      <c r="E351" s="3">
        <v>4</v>
      </c>
      <c r="F351" s="5">
        <f t="shared" si="5"/>
        <v>10</v>
      </c>
    </row>
    <row r="352" spans="1:6" hidden="1" x14ac:dyDescent="0.25">
      <c r="A352" s="4">
        <v>42036</v>
      </c>
      <c r="B352" s="3" t="s">
        <v>26</v>
      </c>
      <c r="C352" s="3" t="s">
        <v>19</v>
      </c>
      <c r="D352" s="3" t="s">
        <v>31</v>
      </c>
      <c r="E352" s="3">
        <v>14</v>
      </c>
      <c r="F352" s="5">
        <f t="shared" si="5"/>
        <v>35</v>
      </c>
    </row>
    <row r="353" spans="1:6" hidden="1" x14ac:dyDescent="0.25">
      <c r="A353" s="4">
        <v>42084</v>
      </c>
      <c r="B353" s="3" t="s">
        <v>37</v>
      </c>
      <c r="C353" s="3" t="s">
        <v>19</v>
      </c>
      <c r="D353" s="3" t="s">
        <v>34</v>
      </c>
      <c r="E353" s="3">
        <v>20</v>
      </c>
      <c r="F353" s="5">
        <f t="shared" si="5"/>
        <v>4</v>
      </c>
    </row>
    <row r="354" spans="1:6" hidden="1" x14ac:dyDescent="0.25">
      <c r="A354" s="4">
        <v>42018</v>
      </c>
      <c r="B354" s="3" t="s">
        <v>39</v>
      </c>
      <c r="C354" s="3" t="s">
        <v>19</v>
      </c>
      <c r="D354" s="3" t="s">
        <v>34</v>
      </c>
      <c r="E354" s="3">
        <v>44</v>
      </c>
      <c r="F354" s="5">
        <f t="shared" si="5"/>
        <v>8.8000000000000007</v>
      </c>
    </row>
    <row r="355" spans="1:6" hidden="1" x14ac:dyDescent="0.25">
      <c r="A355" s="4">
        <v>42117</v>
      </c>
      <c r="B355" s="3" t="s">
        <v>38</v>
      </c>
      <c r="C355" s="3" t="s">
        <v>5</v>
      </c>
      <c r="D355" s="3" t="s">
        <v>33</v>
      </c>
      <c r="E355" s="3">
        <v>50</v>
      </c>
      <c r="F355" s="5">
        <f t="shared" si="5"/>
        <v>250</v>
      </c>
    </row>
    <row r="356" spans="1:6" x14ac:dyDescent="0.25">
      <c r="A356" s="4">
        <v>42125</v>
      </c>
      <c r="B356" s="3" t="s">
        <v>32</v>
      </c>
      <c r="C356" s="3" t="s">
        <v>2</v>
      </c>
      <c r="D356" s="3" t="s">
        <v>34</v>
      </c>
      <c r="E356" s="3">
        <v>26</v>
      </c>
      <c r="F356" s="5">
        <f t="shared" si="5"/>
        <v>5.2</v>
      </c>
    </row>
    <row r="357" spans="1:6" hidden="1" x14ac:dyDescent="0.25">
      <c r="A357" s="4">
        <v>42155</v>
      </c>
      <c r="B357" s="3" t="s">
        <v>37</v>
      </c>
      <c r="C357" s="3" t="s">
        <v>19</v>
      </c>
      <c r="D357" s="3" t="s">
        <v>34</v>
      </c>
      <c r="E357" s="3">
        <v>49</v>
      </c>
      <c r="F357" s="5">
        <f t="shared" si="5"/>
        <v>9.8000000000000007</v>
      </c>
    </row>
    <row r="358" spans="1:6" hidden="1" x14ac:dyDescent="0.25">
      <c r="A358" s="4">
        <v>42083</v>
      </c>
      <c r="B358" s="3" t="s">
        <v>38</v>
      </c>
      <c r="C358" s="3" t="s">
        <v>6</v>
      </c>
      <c r="D358" s="3" t="s">
        <v>27</v>
      </c>
      <c r="E358" s="3">
        <v>28</v>
      </c>
      <c r="F358" s="5">
        <f t="shared" si="5"/>
        <v>14</v>
      </c>
    </row>
    <row r="359" spans="1:6" x14ac:dyDescent="0.25">
      <c r="A359" s="4">
        <v>42185</v>
      </c>
      <c r="B359" s="3" t="s">
        <v>39</v>
      </c>
      <c r="C359" s="3" t="s">
        <v>2</v>
      </c>
      <c r="D359" s="3" t="s">
        <v>34</v>
      </c>
      <c r="E359" s="3">
        <v>28</v>
      </c>
      <c r="F359" s="5">
        <f t="shared" si="5"/>
        <v>5.6000000000000005</v>
      </c>
    </row>
    <row r="360" spans="1:6" hidden="1" x14ac:dyDescent="0.25">
      <c r="A360" s="4">
        <v>42098</v>
      </c>
      <c r="B360" s="3" t="s">
        <v>32</v>
      </c>
      <c r="C360" s="3" t="s">
        <v>19</v>
      </c>
      <c r="D360" s="3" t="s">
        <v>27</v>
      </c>
      <c r="E360" s="3">
        <v>18</v>
      </c>
      <c r="F360" s="5">
        <f t="shared" si="5"/>
        <v>9</v>
      </c>
    </row>
    <row r="361" spans="1:6" hidden="1" x14ac:dyDescent="0.25">
      <c r="A361" s="4">
        <v>42056</v>
      </c>
      <c r="B361" s="3" t="s">
        <v>37</v>
      </c>
      <c r="C361" s="3" t="s">
        <v>19</v>
      </c>
      <c r="D361" s="3" t="s">
        <v>33</v>
      </c>
      <c r="E361" s="3">
        <v>8</v>
      </c>
      <c r="F361" s="5">
        <f t="shared" si="5"/>
        <v>40</v>
      </c>
    </row>
    <row r="362" spans="1:6" hidden="1" x14ac:dyDescent="0.25">
      <c r="A362" s="4">
        <v>42082</v>
      </c>
      <c r="B362" s="3" t="s">
        <v>37</v>
      </c>
      <c r="C362" s="3" t="s">
        <v>10</v>
      </c>
      <c r="D362" s="3" t="s">
        <v>33</v>
      </c>
      <c r="E362" s="3">
        <v>32</v>
      </c>
      <c r="F362" s="5">
        <f t="shared" si="5"/>
        <v>160</v>
      </c>
    </row>
    <row r="363" spans="1:6" hidden="1" x14ac:dyDescent="0.25">
      <c r="A363" s="4">
        <v>42144</v>
      </c>
      <c r="B363" s="3" t="s">
        <v>38</v>
      </c>
      <c r="C363" s="3" t="s">
        <v>19</v>
      </c>
      <c r="D363" s="3" t="s">
        <v>33</v>
      </c>
      <c r="E363" s="3">
        <v>37</v>
      </c>
      <c r="F363" s="5">
        <f t="shared" si="5"/>
        <v>185</v>
      </c>
    </row>
    <row r="364" spans="1:6" hidden="1" x14ac:dyDescent="0.25">
      <c r="A364" s="4">
        <v>42040</v>
      </c>
      <c r="B364" s="3" t="s">
        <v>37</v>
      </c>
      <c r="C364" s="3" t="s">
        <v>10</v>
      </c>
      <c r="D364" s="3" t="s">
        <v>36</v>
      </c>
      <c r="E364" s="3">
        <v>46</v>
      </c>
      <c r="F364" s="5">
        <f t="shared" si="5"/>
        <v>69</v>
      </c>
    </row>
    <row r="365" spans="1:6" hidden="1" x14ac:dyDescent="0.25">
      <c r="A365" s="4">
        <v>42173</v>
      </c>
      <c r="B365" s="3" t="s">
        <v>26</v>
      </c>
      <c r="C365" s="3" t="s">
        <v>19</v>
      </c>
      <c r="D365" s="3" t="s">
        <v>31</v>
      </c>
      <c r="E365" s="3">
        <v>40</v>
      </c>
      <c r="F365" s="5">
        <f t="shared" si="5"/>
        <v>100</v>
      </c>
    </row>
    <row r="366" spans="1:6" x14ac:dyDescent="0.25">
      <c r="A366" s="4">
        <v>42183</v>
      </c>
      <c r="B366" s="3" t="s">
        <v>26</v>
      </c>
      <c r="C366" s="3" t="s">
        <v>2</v>
      </c>
      <c r="D366" s="3" t="s">
        <v>28</v>
      </c>
      <c r="E366" s="3">
        <v>12</v>
      </c>
      <c r="F366" s="5">
        <f t="shared" si="5"/>
        <v>24</v>
      </c>
    </row>
    <row r="367" spans="1:6" hidden="1" x14ac:dyDescent="0.25">
      <c r="A367" s="4">
        <v>42089</v>
      </c>
      <c r="B367" s="3" t="s">
        <v>26</v>
      </c>
      <c r="C367" s="3" t="s">
        <v>5</v>
      </c>
      <c r="D367" s="3" t="s">
        <v>33</v>
      </c>
      <c r="E367" s="3">
        <v>37</v>
      </c>
      <c r="F367" s="5">
        <f t="shared" si="5"/>
        <v>185</v>
      </c>
    </row>
    <row r="368" spans="1:6" hidden="1" x14ac:dyDescent="0.25">
      <c r="A368" s="4">
        <v>42061</v>
      </c>
      <c r="B368" s="3" t="s">
        <v>38</v>
      </c>
      <c r="C368" s="3" t="s">
        <v>6</v>
      </c>
      <c r="D368" s="3" t="s">
        <v>35</v>
      </c>
      <c r="E368" s="3">
        <v>11</v>
      </c>
      <c r="F368" s="5">
        <f t="shared" si="5"/>
        <v>44</v>
      </c>
    </row>
    <row r="369" spans="1:6" hidden="1" x14ac:dyDescent="0.25">
      <c r="A369" s="4">
        <v>42157</v>
      </c>
      <c r="B369" s="3" t="s">
        <v>39</v>
      </c>
      <c r="C369" s="3" t="s">
        <v>10</v>
      </c>
      <c r="D369" s="3" t="s">
        <v>35</v>
      </c>
      <c r="E369" s="3">
        <v>31</v>
      </c>
      <c r="F369" s="5">
        <f t="shared" si="5"/>
        <v>124</v>
      </c>
    </row>
    <row r="370" spans="1:6" hidden="1" x14ac:dyDescent="0.25">
      <c r="A370" s="4">
        <v>42070</v>
      </c>
      <c r="B370" s="3" t="s">
        <v>26</v>
      </c>
      <c r="C370" s="3" t="s">
        <v>5</v>
      </c>
      <c r="D370" s="3" t="s">
        <v>27</v>
      </c>
      <c r="E370" s="3">
        <v>12</v>
      </c>
      <c r="F370" s="5">
        <f t="shared" si="5"/>
        <v>6</v>
      </c>
    </row>
    <row r="371" spans="1:6" hidden="1" x14ac:dyDescent="0.25">
      <c r="A371" s="4">
        <v>42104</v>
      </c>
      <c r="B371" s="3" t="s">
        <v>29</v>
      </c>
      <c r="C371" s="3" t="s">
        <v>19</v>
      </c>
      <c r="D371" s="3" t="s">
        <v>27</v>
      </c>
      <c r="E371" s="3">
        <v>24</v>
      </c>
      <c r="F371" s="5">
        <f t="shared" si="5"/>
        <v>12</v>
      </c>
    </row>
    <row r="372" spans="1:6" hidden="1" x14ac:dyDescent="0.25">
      <c r="A372" s="4">
        <v>42135</v>
      </c>
      <c r="B372" s="3" t="s">
        <v>37</v>
      </c>
      <c r="C372" s="3" t="s">
        <v>10</v>
      </c>
      <c r="D372" s="3" t="s">
        <v>34</v>
      </c>
      <c r="E372" s="3">
        <v>36</v>
      </c>
      <c r="F372" s="5">
        <f t="shared" si="5"/>
        <v>7.2</v>
      </c>
    </row>
    <row r="373" spans="1:6" hidden="1" x14ac:dyDescent="0.25">
      <c r="A373" s="4">
        <v>42174</v>
      </c>
      <c r="B373" s="3" t="s">
        <v>39</v>
      </c>
      <c r="C373" s="3" t="s">
        <v>6</v>
      </c>
      <c r="D373" s="3" t="s">
        <v>30</v>
      </c>
      <c r="E373" s="3">
        <v>40</v>
      </c>
      <c r="F373" s="5">
        <f t="shared" si="5"/>
        <v>4</v>
      </c>
    </row>
    <row r="374" spans="1:6" hidden="1" x14ac:dyDescent="0.25">
      <c r="A374" s="4">
        <v>42013</v>
      </c>
      <c r="B374" s="3" t="s">
        <v>38</v>
      </c>
      <c r="C374" s="3" t="s">
        <v>10</v>
      </c>
      <c r="D374" s="3" t="s">
        <v>33</v>
      </c>
      <c r="E374" s="3">
        <v>12</v>
      </c>
      <c r="F374" s="5">
        <f t="shared" si="5"/>
        <v>60</v>
      </c>
    </row>
    <row r="375" spans="1:6" x14ac:dyDescent="0.25">
      <c r="A375" s="4">
        <v>42079</v>
      </c>
      <c r="B375" s="3" t="s">
        <v>39</v>
      </c>
      <c r="C375" s="3" t="s">
        <v>2</v>
      </c>
      <c r="D375" s="3" t="s">
        <v>27</v>
      </c>
      <c r="E375" s="3">
        <v>16</v>
      </c>
      <c r="F375" s="5">
        <f t="shared" si="5"/>
        <v>8</v>
      </c>
    </row>
    <row r="376" spans="1:6" hidden="1" x14ac:dyDescent="0.25">
      <c r="A376" s="4">
        <v>42092</v>
      </c>
      <c r="B376" s="3" t="s">
        <v>38</v>
      </c>
      <c r="C376" s="3" t="s">
        <v>10</v>
      </c>
      <c r="D376" s="3" t="s">
        <v>34</v>
      </c>
      <c r="E376" s="3">
        <v>27</v>
      </c>
      <c r="F376" s="5">
        <f t="shared" si="5"/>
        <v>5.4</v>
      </c>
    </row>
    <row r="377" spans="1:6" hidden="1" x14ac:dyDescent="0.25">
      <c r="A377" s="4">
        <v>42110</v>
      </c>
      <c r="B377" s="3" t="s">
        <v>29</v>
      </c>
      <c r="C377" s="3" t="s">
        <v>5</v>
      </c>
      <c r="D377" s="3" t="s">
        <v>33</v>
      </c>
      <c r="E377" s="3">
        <v>31</v>
      </c>
      <c r="F377" s="5">
        <f t="shared" si="5"/>
        <v>155</v>
      </c>
    </row>
    <row r="378" spans="1:6" x14ac:dyDescent="0.25">
      <c r="A378" s="4">
        <v>42046</v>
      </c>
      <c r="B378" s="3" t="s">
        <v>37</v>
      </c>
      <c r="C378" s="3" t="s">
        <v>2</v>
      </c>
      <c r="D378" s="3" t="s">
        <v>33</v>
      </c>
      <c r="E378" s="3">
        <v>11</v>
      </c>
      <c r="F378" s="5">
        <f t="shared" si="5"/>
        <v>55</v>
      </c>
    </row>
    <row r="379" spans="1:6" hidden="1" x14ac:dyDescent="0.25">
      <c r="A379" s="4">
        <v>42031</v>
      </c>
      <c r="B379" s="3" t="s">
        <v>39</v>
      </c>
      <c r="C379" s="3" t="s">
        <v>19</v>
      </c>
      <c r="D379" s="3" t="s">
        <v>36</v>
      </c>
      <c r="E379" s="3">
        <v>4</v>
      </c>
      <c r="F379" s="5">
        <f t="shared" si="5"/>
        <v>6</v>
      </c>
    </row>
    <row r="380" spans="1:6" x14ac:dyDescent="0.25">
      <c r="A380" s="4">
        <v>42070</v>
      </c>
      <c r="B380" s="3" t="s">
        <v>39</v>
      </c>
      <c r="C380" s="3" t="s">
        <v>2</v>
      </c>
      <c r="D380" s="3" t="s">
        <v>34</v>
      </c>
      <c r="E380" s="3">
        <v>6</v>
      </c>
      <c r="F380" s="5">
        <f t="shared" si="5"/>
        <v>1.2000000000000002</v>
      </c>
    </row>
    <row r="381" spans="1:6" x14ac:dyDescent="0.25">
      <c r="A381" s="4">
        <v>42111</v>
      </c>
      <c r="B381" s="3" t="s">
        <v>29</v>
      </c>
      <c r="C381" s="3" t="s">
        <v>2</v>
      </c>
      <c r="D381" s="3" t="s">
        <v>36</v>
      </c>
      <c r="E381" s="3">
        <v>28</v>
      </c>
      <c r="F381" s="5">
        <f t="shared" si="5"/>
        <v>42</v>
      </c>
    </row>
    <row r="382" spans="1:6" hidden="1" x14ac:dyDescent="0.25">
      <c r="A382" s="4">
        <v>42107</v>
      </c>
      <c r="B382" s="3" t="s">
        <v>37</v>
      </c>
      <c r="C382" s="3" t="s">
        <v>5</v>
      </c>
      <c r="D382" s="3" t="s">
        <v>27</v>
      </c>
      <c r="E382" s="3">
        <v>22</v>
      </c>
      <c r="F382" s="5">
        <f t="shared" si="5"/>
        <v>11</v>
      </c>
    </row>
    <row r="383" spans="1:6" x14ac:dyDescent="0.25">
      <c r="A383" s="4">
        <v>42053</v>
      </c>
      <c r="B383" s="3" t="s">
        <v>39</v>
      </c>
      <c r="C383" s="3" t="s">
        <v>2</v>
      </c>
      <c r="D383" s="3" t="s">
        <v>28</v>
      </c>
      <c r="E383" s="3">
        <v>46</v>
      </c>
      <c r="F383" s="5">
        <f t="shared" si="5"/>
        <v>92</v>
      </c>
    </row>
    <row r="384" spans="1:6" x14ac:dyDescent="0.25">
      <c r="A384" s="4">
        <v>42047</v>
      </c>
      <c r="B384" s="3" t="s">
        <v>38</v>
      </c>
      <c r="C384" s="3" t="s">
        <v>2</v>
      </c>
      <c r="D384" s="3" t="s">
        <v>27</v>
      </c>
      <c r="E384" s="3">
        <v>48</v>
      </c>
      <c r="F384" s="5">
        <f t="shared" si="5"/>
        <v>24</v>
      </c>
    </row>
    <row r="385" spans="1:6" hidden="1" x14ac:dyDescent="0.25">
      <c r="A385" s="4">
        <v>42132</v>
      </c>
      <c r="B385" s="3" t="s">
        <v>26</v>
      </c>
      <c r="C385" s="3" t="s">
        <v>6</v>
      </c>
      <c r="D385" s="3" t="s">
        <v>27</v>
      </c>
      <c r="E385" s="3">
        <v>28</v>
      </c>
      <c r="F385" s="5">
        <f t="shared" si="5"/>
        <v>14</v>
      </c>
    </row>
    <row r="386" spans="1:6" hidden="1" x14ac:dyDescent="0.25">
      <c r="A386" s="4">
        <v>42011</v>
      </c>
      <c r="B386" s="3" t="s">
        <v>26</v>
      </c>
      <c r="C386" s="3" t="s">
        <v>10</v>
      </c>
      <c r="D386" s="3" t="s">
        <v>27</v>
      </c>
      <c r="E386" s="3">
        <v>3</v>
      </c>
      <c r="F386" s="5">
        <f t="shared" si="5"/>
        <v>1.5</v>
      </c>
    </row>
    <row r="387" spans="1:6" hidden="1" x14ac:dyDescent="0.25">
      <c r="A387" s="4">
        <v>42132</v>
      </c>
      <c r="B387" s="3" t="s">
        <v>38</v>
      </c>
      <c r="C387" s="3" t="s">
        <v>19</v>
      </c>
      <c r="D387" s="3" t="s">
        <v>34</v>
      </c>
      <c r="E387" s="3">
        <v>42</v>
      </c>
      <c r="F387" s="5">
        <f t="shared" si="5"/>
        <v>8.4</v>
      </c>
    </row>
    <row r="388" spans="1:6" hidden="1" x14ac:dyDescent="0.25">
      <c r="A388" s="4">
        <v>42155</v>
      </c>
      <c r="B388" s="3" t="s">
        <v>37</v>
      </c>
      <c r="C388" s="3" t="s">
        <v>5</v>
      </c>
      <c r="D388" s="3" t="s">
        <v>34</v>
      </c>
      <c r="E388" s="3">
        <v>40</v>
      </c>
      <c r="F388" s="5">
        <f t="shared" si="5"/>
        <v>8</v>
      </c>
    </row>
    <row r="389" spans="1:6" x14ac:dyDescent="0.25">
      <c r="A389" s="4">
        <v>42043</v>
      </c>
      <c r="B389" s="3" t="s">
        <v>29</v>
      </c>
      <c r="C389" s="3" t="s">
        <v>2</v>
      </c>
      <c r="D389" s="3" t="s">
        <v>30</v>
      </c>
      <c r="E389" s="3">
        <v>39</v>
      </c>
      <c r="F389" s="5">
        <f t="shared" si="5"/>
        <v>3.9000000000000004</v>
      </c>
    </row>
    <row r="390" spans="1:6" hidden="1" x14ac:dyDescent="0.25">
      <c r="A390" s="4">
        <v>42184</v>
      </c>
      <c r="B390" s="3" t="s">
        <v>39</v>
      </c>
      <c r="C390" s="3" t="s">
        <v>6</v>
      </c>
      <c r="D390" s="3" t="s">
        <v>33</v>
      </c>
      <c r="E390" s="3">
        <v>41</v>
      </c>
      <c r="F390" s="5">
        <f t="shared" si="5"/>
        <v>205</v>
      </c>
    </row>
    <row r="391" spans="1:6" hidden="1" x14ac:dyDescent="0.25">
      <c r="A391" s="4">
        <v>42163</v>
      </c>
      <c r="B391" s="3" t="s">
        <v>39</v>
      </c>
      <c r="C391" s="3" t="s">
        <v>10</v>
      </c>
      <c r="D391" s="3" t="s">
        <v>30</v>
      </c>
      <c r="E391" s="3">
        <v>18</v>
      </c>
      <c r="F391" s="5">
        <f t="shared" ref="F391:F454" si="6">E391*VLOOKUP(D391,$W$6:$X$13,2,0)</f>
        <v>1.8</v>
      </c>
    </row>
    <row r="392" spans="1:6" hidden="1" x14ac:dyDescent="0.25">
      <c r="A392" s="4">
        <v>42023</v>
      </c>
      <c r="B392" s="3" t="s">
        <v>37</v>
      </c>
      <c r="C392" s="3" t="s">
        <v>19</v>
      </c>
      <c r="D392" s="3" t="s">
        <v>35</v>
      </c>
      <c r="E392" s="3">
        <v>45</v>
      </c>
      <c r="F392" s="5">
        <f t="shared" si="6"/>
        <v>180</v>
      </c>
    </row>
    <row r="393" spans="1:6" hidden="1" x14ac:dyDescent="0.25">
      <c r="A393" s="4">
        <v>42157</v>
      </c>
      <c r="B393" s="3" t="s">
        <v>32</v>
      </c>
      <c r="C393" s="3" t="s">
        <v>5</v>
      </c>
      <c r="D393" s="3" t="s">
        <v>31</v>
      </c>
      <c r="E393" s="3">
        <v>10</v>
      </c>
      <c r="F393" s="5">
        <f t="shared" si="6"/>
        <v>25</v>
      </c>
    </row>
    <row r="394" spans="1:6" hidden="1" x14ac:dyDescent="0.25">
      <c r="A394" s="4">
        <v>42013</v>
      </c>
      <c r="B394" s="3" t="s">
        <v>37</v>
      </c>
      <c r="C394" s="3" t="s">
        <v>5</v>
      </c>
      <c r="D394" s="3" t="s">
        <v>34</v>
      </c>
      <c r="E394" s="3">
        <v>23</v>
      </c>
      <c r="F394" s="5">
        <f t="shared" si="6"/>
        <v>4.6000000000000005</v>
      </c>
    </row>
    <row r="395" spans="1:6" hidden="1" x14ac:dyDescent="0.25">
      <c r="A395" s="4">
        <v>42153</v>
      </c>
      <c r="B395" s="3" t="s">
        <v>38</v>
      </c>
      <c r="C395" s="3" t="s">
        <v>6</v>
      </c>
      <c r="D395" s="3" t="s">
        <v>33</v>
      </c>
      <c r="E395" s="3">
        <v>49</v>
      </c>
      <c r="F395" s="5">
        <f t="shared" si="6"/>
        <v>245</v>
      </c>
    </row>
    <row r="396" spans="1:6" hidden="1" x14ac:dyDescent="0.25">
      <c r="A396" s="4">
        <v>42098</v>
      </c>
      <c r="B396" s="3" t="s">
        <v>29</v>
      </c>
      <c r="C396" s="3" t="s">
        <v>6</v>
      </c>
      <c r="D396" s="3" t="s">
        <v>33</v>
      </c>
      <c r="E396" s="3">
        <v>14</v>
      </c>
      <c r="F396" s="5">
        <f t="shared" si="6"/>
        <v>70</v>
      </c>
    </row>
    <row r="397" spans="1:6" hidden="1" x14ac:dyDescent="0.25">
      <c r="A397" s="4">
        <v>42006</v>
      </c>
      <c r="B397" s="3" t="s">
        <v>29</v>
      </c>
      <c r="C397" s="3" t="s">
        <v>19</v>
      </c>
      <c r="D397" s="3" t="s">
        <v>36</v>
      </c>
      <c r="E397" s="3">
        <v>37</v>
      </c>
      <c r="F397" s="5">
        <f t="shared" si="6"/>
        <v>55.5</v>
      </c>
    </row>
    <row r="398" spans="1:6" hidden="1" x14ac:dyDescent="0.25">
      <c r="A398" s="4">
        <v>42181</v>
      </c>
      <c r="B398" s="3" t="s">
        <v>29</v>
      </c>
      <c r="C398" s="3" t="s">
        <v>5</v>
      </c>
      <c r="D398" s="3" t="s">
        <v>31</v>
      </c>
      <c r="E398" s="3">
        <v>50</v>
      </c>
      <c r="F398" s="5">
        <f t="shared" si="6"/>
        <v>125</v>
      </c>
    </row>
    <row r="399" spans="1:6" hidden="1" x14ac:dyDescent="0.25">
      <c r="A399" s="4">
        <v>42006</v>
      </c>
      <c r="B399" s="3" t="s">
        <v>38</v>
      </c>
      <c r="C399" s="3" t="s">
        <v>5</v>
      </c>
      <c r="D399" s="3" t="s">
        <v>33</v>
      </c>
      <c r="E399" s="3">
        <v>27</v>
      </c>
      <c r="F399" s="5">
        <f t="shared" si="6"/>
        <v>135</v>
      </c>
    </row>
    <row r="400" spans="1:6" x14ac:dyDescent="0.25">
      <c r="A400" s="4">
        <v>42036</v>
      </c>
      <c r="B400" s="3" t="s">
        <v>26</v>
      </c>
      <c r="C400" s="3" t="s">
        <v>2</v>
      </c>
      <c r="D400" s="3" t="s">
        <v>33</v>
      </c>
      <c r="E400" s="3">
        <v>41</v>
      </c>
      <c r="F400" s="5">
        <f t="shared" si="6"/>
        <v>205</v>
      </c>
    </row>
    <row r="401" spans="1:6" hidden="1" x14ac:dyDescent="0.25">
      <c r="A401" s="4">
        <v>42161</v>
      </c>
      <c r="B401" s="3" t="s">
        <v>37</v>
      </c>
      <c r="C401" s="3" t="s">
        <v>5</v>
      </c>
      <c r="D401" s="3" t="s">
        <v>33</v>
      </c>
      <c r="E401" s="3">
        <v>27</v>
      </c>
      <c r="F401" s="5">
        <f t="shared" si="6"/>
        <v>135</v>
      </c>
    </row>
    <row r="402" spans="1:6" hidden="1" x14ac:dyDescent="0.25">
      <c r="A402" s="4">
        <v>42059</v>
      </c>
      <c r="B402" s="3" t="s">
        <v>39</v>
      </c>
      <c r="C402" s="3" t="s">
        <v>10</v>
      </c>
      <c r="D402" s="3" t="s">
        <v>27</v>
      </c>
      <c r="E402" s="3">
        <v>4</v>
      </c>
      <c r="F402" s="5">
        <f t="shared" si="6"/>
        <v>2</v>
      </c>
    </row>
    <row r="403" spans="1:6" hidden="1" x14ac:dyDescent="0.25">
      <c r="A403" s="4">
        <v>42132</v>
      </c>
      <c r="B403" s="3" t="s">
        <v>37</v>
      </c>
      <c r="C403" s="3" t="s">
        <v>5</v>
      </c>
      <c r="D403" s="3" t="s">
        <v>36</v>
      </c>
      <c r="E403" s="3">
        <v>31</v>
      </c>
      <c r="F403" s="5">
        <f t="shared" si="6"/>
        <v>46.5</v>
      </c>
    </row>
    <row r="404" spans="1:6" x14ac:dyDescent="0.25">
      <c r="A404" s="4">
        <v>42005</v>
      </c>
      <c r="B404" s="3" t="s">
        <v>38</v>
      </c>
      <c r="C404" s="3" t="s">
        <v>2</v>
      </c>
      <c r="D404" s="3" t="s">
        <v>35</v>
      </c>
      <c r="E404" s="3">
        <v>30</v>
      </c>
      <c r="F404" s="5">
        <f t="shared" si="6"/>
        <v>120</v>
      </c>
    </row>
    <row r="405" spans="1:6" hidden="1" x14ac:dyDescent="0.25">
      <c r="A405" s="4">
        <v>42066</v>
      </c>
      <c r="B405" s="3" t="s">
        <v>39</v>
      </c>
      <c r="C405" s="3" t="s">
        <v>5</v>
      </c>
      <c r="D405" s="3" t="s">
        <v>27</v>
      </c>
      <c r="E405" s="3">
        <v>23</v>
      </c>
      <c r="F405" s="5">
        <f t="shared" si="6"/>
        <v>11.5</v>
      </c>
    </row>
    <row r="406" spans="1:6" hidden="1" x14ac:dyDescent="0.25">
      <c r="A406" s="4">
        <v>42080</v>
      </c>
      <c r="B406" s="3" t="s">
        <v>38</v>
      </c>
      <c r="C406" s="3" t="s">
        <v>5</v>
      </c>
      <c r="D406" s="3" t="s">
        <v>28</v>
      </c>
      <c r="E406" s="3">
        <v>22</v>
      </c>
      <c r="F406" s="5">
        <f t="shared" si="6"/>
        <v>44</v>
      </c>
    </row>
    <row r="407" spans="1:6" x14ac:dyDescent="0.25">
      <c r="A407" s="4">
        <v>42118</v>
      </c>
      <c r="B407" s="3" t="s">
        <v>26</v>
      </c>
      <c r="C407" s="3" t="s">
        <v>2</v>
      </c>
      <c r="D407" s="3" t="s">
        <v>28</v>
      </c>
      <c r="E407" s="3">
        <v>34</v>
      </c>
      <c r="F407" s="5">
        <f t="shared" si="6"/>
        <v>68</v>
      </c>
    </row>
    <row r="408" spans="1:6" x14ac:dyDescent="0.25">
      <c r="A408" s="4">
        <v>42040</v>
      </c>
      <c r="B408" s="3" t="s">
        <v>37</v>
      </c>
      <c r="C408" s="3" t="s">
        <v>2</v>
      </c>
      <c r="D408" s="3" t="s">
        <v>35</v>
      </c>
      <c r="E408" s="3">
        <v>33</v>
      </c>
      <c r="F408" s="5">
        <f t="shared" si="6"/>
        <v>132</v>
      </c>
    </row>
    <row r="409" spans="1:6" hidden="1" x14ac:dyDescent="0.25">
      <c r="A409" s="4">
        <v>42036</v>
      </c>
      <c r="B409" s="3" t="s">
        <v>26</v>
      </c>
      <c r="C409" s="3" t="s">
        <v>10</v>
      </c>
      <c r="D409" s="3" t="s">
        <v>34</v>
      </c>
      <c r="E409" s="3">
        <v>23</v>
      </c>
      <c r="F409" s="5">
        <f t="shared" si="6"/>
        <v>4.6000000000000005</v>
      </c>
    </row>
    <row r="410" spans="1:6" hidden="1" x14ac:dyDescent="0.25">
      <c r="A410" s="4">
        <v>42023</v>
      </c>
      <c r="B410" s="3" t="s">
        <v>29</v>
      </c>
      <c r="C410" s="3" t="s">
        <v>6</v>
      </c>
      <c r="D410" s="3" t="s">
        <v>35</v>
      </c>
      <c r="E410" s="3">
        <v>46</v>
      </c>
      <c r="F410" s="5">
        <f t="shared" si="6"/>
        <v>184</v>
      </c>
    </row>
    <row r="411" spans="1:6" hidden="1" x14ac:dyDescent="0.25">
      <c r="A411" s="4">
        <v>42180</v>
      </c>
      <c r="B411" s="3" t="s">
        <v>26</v>
      </c>
      <c r="C411" s="3" t="s">
        <v>6</v>
      </c>
      <c r="D411" s="3" t="s">
        <v>28</v>
      </c>
      <c r="E411" s="3">
        <v>4</v>
      </c>
      <c r="F411" s="5">
        <f t="shared" si="6"/>
        <v>8</v>
      </c>
    </row>
    <row r="412" spans="1:6" hidden="1" x14ac:dyDescent="0.25">
      <c r="A412" s="4">
        <v>42044</v>
      </c>
      <c r="B412" s="3" t="s">
        <v>38</v>
      </c>
      <c r="C412" s="3" t="s">
        <v>5</v>
      </c>
      <c r="D412" s="3" t="s">
        <v>35</v>
      </c>
      <c r="E412" s="3">
        <v>23</v>
      </c>
      <c r="F412" s="5">
        <f t="shared" si="6"/>
        <v>92</v>
      </c>
    </row>
    <row r="413" spans="1:6" hidden="1" x14ac:dyDescent="0.25">
      <c r="A413" s="4">
        <v>42029</v>
      </c>
      <c r="B413" s="3" t="s">
        <v>29</v>
      </c>
      <c r="C413" s="3" t="s">
        <v>10</v>
      </c>
      <c r="D413" s="3" t="s">
        <v>27</v>
      </c>
      <c r="E413" s="3">
        <v>10</v>
      </c>
      <c r="F413" s="5">
        <f t="shared" si="6"/>
        <v>5</v>
      </c>
    </row>
    <row r="414" spans="1:6" x14ac:dyDescent="0.25">
      <c r="A414" s="4">
        <v>42126</v>
      </c>
      <c r="B414" s="3" t="s">
        <v>26</v>
      </c>
      <c r="C414" s="3" t="s">
        <v>2</v>
      </c>
      <c r="D414" s="3" t="s">
        <v>31</v>
      </c>
      <c r="E414" s="3">
        <v>4</v>
      </c>
      <c r="F414" s="5">
        <f t="shared" si="6"/>
        <v>10</v>
      </c>
    </row>
    <row r="415" spans="1:6" hidden="1" x14ac:dyDescent="0.25">
      <c r="A415" s="4">
        <v>42013</v>
      </c>
      <c r="B415" s="3" t="s">
        <v>26</v>
      </c>
      <c r="C415" s="3" t="s">
        <v>5</v>
      </c>
      <c r="D415" s="3" t="s">
        <v>27</v>
      </c>
      <c r="E415" s="3">
        <v>10</v>
      </c>
      <c r="F415" s="5">
        <f t="shared" si="6"/>
        <v>5</v>
      </c>
    </row>
    <row r="416" spans="1:6" hidden="1" x14ac:dyDescent="0.25">
      <c r="A416" s="4">
        <v>42092</v>
      </c>
      <c r="B416" s="3" t="s">
        <v>32</v>
      </c>
      <c r="C416" s="3" t="s">
        <v>10</v>
      </c>
      <c r="D416" s="3" t="s">
        <v>27</v>
      </c>
      <c r="E416" s="3">
        <v>38</v>
      </c>
      <c r="F416" s="5">
        <f t="shared" si="6"/>
        <v>19</v>
      </c>
    </row>
    <row r="417" spans="1:6" hidden="1" x14ac:dyDescent="0.25">
      <c r="A417" s="4">
        <v>42109</v>
      </c>
      <c r="B417" s="3" t="s">
        <v>32</v>
      </c>
      <c r="C417" s="3" t="s">
        <v>19</v>
      </c>
      <c r="D417" s="3" t="s">
        <v>31</v>
      </c>
      <c r="E417" s="3">
        <v>47</v>
      </c>
      <c r="F417" s="5">
        <f t="shared" si="6"/>
        <v>117.5</v>
      </c>
    </row>
    <row r="418" spans="1:6" hidden="1" x14ac:dyDescent="0.25">
      <c r="A418" s="4">
        <v>42138</v>
      </c>
      <c r="B418" s="3" t="s">
        <v>26</v>
      </c>
      <c r="C418" s="3" t="s">
        <v>5</v>
      </c>
      <c r="D418" s="3" t="s">
        <v>33</v>
      </c>
      <c r="E418" s="3">
        <v>29</v>
      </c>
      <c r="F418" s="5">
        <f t="shared" si="6"/>
        <v>145</v>
      </c>
    </row>
    <row r="419" spans="1:6" hidden="1" x14ac:dyDescent="0.25">
      <c r="A419" s="4">
        <v>42044</v>
      </c>
      <c r="B419" s="3" t="s">
        <v>37</v>
      </c>
      <c r="C419" s="3" t="s">
        <v>10</v>
      </c>
      <c r="D419" s="3" t="s">
        <v>27</v>
      </c>
      <c r="E419" s="3">
        <v>46</v>
      </c>
      <c r="F419" s="5">
        <f t="shared" si="6"/>
        <v>23</v>
      </c>
    </row>
    <row r="420" spans="1:6" hidden="1" x14ac:dyDescent="0.25">
      <c r="A420" s="4">
        <v>42010</v>
      </c>
      <c r="B420" s="3" t="s">
        <v>26</v>
      </c>
      <c r="C420" s="3" t="s">
        <v>19</v>
      </c>
      <c r="D420" s="3" t="s">
        <v>31</v>
      </c>
      <c r="E420" s="3">
        <v>37</v>
      </c>
      <c r="F420" s="5">
        <f t="shared" si="6"/>
        <v>92.5</v>
      </c>
    </row>
    <row r="421" spans="1:6" hidden="1" x14ac:dyDescent="0.25">
      <c r="A421" s="4">
        <v>42032</v>
      </c>
      <c r="B421" s="3" t="s">
        <v>29</v>
      </c>
      <c r="C421" s="3" t="s">
        <v>10</v>
      </c>
      <c r="D421" s="3" t="s">
        <v>36</v>
      </c>
      <c r="E421" s="3">
        <v>10</v>
      </c>
      <c r="F421" s="5">
        <f t="shared" si="6"/>
        <v>15</v>
      </c>
    </row>
    <row r="422" spans="1:6" x14ac:dyDescent="0.25">
      <c r="A422" s="4">
        <v>42067</v>
      </c>
      <c r="B422" s="3" t="s">
        <v>37</v>
      </c>
      <c r="C422" s="3" t="s">
        <v>2</v>
      </c>
      <c r="D422" s="3" t="s">
        <v>28</v>
      </c>
      <c r="E422" s="3">
        <v>41</v>
      </c>
      <c r="F422" s="5">
        <f t="shared" si="6"/>
        <v>82</v>
      </c>
    </row>
    <row r="423" spans="1:6" hidden="1" x14ac:dyDescent="0.25">
      <c r="A423" s="4">
        <v>42165</v>
      </c>
      <c r="B423" s="3" t="s">
        <v>26</v>
      </c>
      <c r="C423" s="3" t="s">
        <v>6</v>
      </c>
      <c r="D423" s="3" t="s">
        <v>34</v>
      </c>
      <c r="E423" s="3">
        <v>46</v>
      </c>
      <c r="F423" s="5">
        <f t="shared" si="6"/>
        <v>9.2000000000000011</v>
      </c>
    </row>
    <row r="424" spans="1:6" hidden="1" x14ac:dyDescent="0.25">
      <c r="A424" s="4">
        <v>42128</v>
      </c>
      <c r="B424" s="3" t="s">
        <v>32</v>
      </c>
      <c r="C424" s="3" t="s">
        <v>19</v>
      </c>
      <c r="D424" s="3" t="s">
        <v>36</v>
      </c>
      <c r="E424" s="3">
        <v>41</v>
      </c>
      <c r="F424" s="5">
        <f t="shared" si="6"/>
        <v>61.5</v>
      </c>
    </row>
    <row r="425" spans="1:6" hidden="1" x14ac:dyDescent="0.25">
      <c r="A425" s="4">
        <v>42139</v>
      </c>
      <c r="B425" s="3" t="s">
        <v>29</v>
      </c>
      <c r="C425" s="3" t="s">
        <v>5</v>
      </c>
      <c r="D425" s="3" t="s">
        <v>31</v>
      </c>
      <c r="E425" s="3">
        <v>37</v>
      </c>
      <c r="F425" s="5">
        <f t="shared" si="6"/>
        <v>92.5</v>
      </c>
    </row>
    <row r="426" spans="1:6" hidden="1" x14ac:dyDescent="0.25">
      <c r="A426" s="4">
        <v>42047</v>
      </c>
      <c r="B426" s="3" t="s">
        <v>32</v>
      </c>
      <c r="C426" s="3" t="s">
        <v>19</v>
      </c>
      <c r="D426" s="3" t="s">
        <v>33</v>
      </c>
      <c r="E426" s="3">
        <v>34</v>
      </c>
      <c r="F426" s="5">
        <f t="shared" si="6"/>
        <v>170</v>
      </c>
    </row>
    <row r="427" spans="1:6" x14ac:dyDescent="0.25">
      <c r="A427" s="4">
        <v>42087</v>
      </c>
      <c r="B427" s="3" t="s">
        <v>38</v>
      </c>
      <c r="C427" s="3" t="s">
        <v>2</v>
      </c>
      <c r="D427" s="3" t="s">
        <v>30</v>
      </c>
      <c r="E427" s="3">
        <v>39</v>
      </c>
      <c r="F427" s="5">
        <f t="shared" si="6"/>
        <v>3.9000000000000004</v>
      </c>
    </row>
    <row r="428" spans="1:6" hidden="1" x14ac:dyDescent="0.25">
      <c r="A428" s="4">
        <v>42162</v>
      </c>
      <c r="B428" s="3" t="s">
        <v>37</v>
      </c>
      <c r="C428" s="3" t="s">
        <v>5</v>
      </c>
      <c r="D428" s="3" t="s">
        <v>35</v>
      </c>
      <c r="E428" s="3">
        <v>3</v>
      </c>
      <c r="F428" s="5">
        <f t="shared" si="6"/>
        <v>12</v>
      </c>
    </row>
    <row r="429" spans="1:6" x14ac:dyDescent="0.25">
      <c r="A429" s="4">
        <v>42057</v>
      </c>
      <c r="B429" s="3" t="s">
        <v>29</v>
      </c>
      <c r="C429" s="3" t="s">
        <v>2</v>
      </c>
      <c r="D429" s="3" t="s">
        <v>28</v>
      </c>
      <c r="E429" s="3">
        <v>28</v>
      </c>
      <c r="F429" s="5">
        <f t="shared" si="6"/>
        <v>56</v>
      </c>
    </row>
    <row r="430" spans="1:6" hidden="1" x14ac:dyDescent="0.25">
      <c r="A430" s="4">
        <v>42130</v>
      </c>
      <c r="B430" s="3" t="s">
        <v>37</v>
      </c>
      <c r="C430" s="3" t="s">
        <v>10</v>
      </c>
      <c r="D430" s="3" t="s">
        <v>34</v>
      </c>
      <c r="E430" s="3">
        <v>6</v>
      </c>
      <c r="F430" s="5">
        <f t="shared" si="6"/>
        <v>1.2000000000000002</v>
      </c>
    </row>
    <row r="431" spans="1:6" x14ac:dyDescent="0.25">
      <c r="A431" s="4">
        <v>42152</v>
      </c>
      <c r="B431" s="3" t="s">
        <v>32</v>
      </c>
      <c r="C431" s="3" t="s">
        <v>2</v>
      </c>
      <c r="D431" s="3" t="s">
        <v>31</v>
      </c>
      <c r="E431" s="3">
        <v>11</v>
      </c>
      <c r="F431" s="5">
        <f t="shared" si="6"/>
        <v>27.5</v>
      </c>
    </row>
    <row r="432" spans="1:6" x14ac:dyDescent="0.25">
      <c r="A432" s="4">
        <v>42014</v>
      </c>
      <c r="B432" s="3" t="s">
        <v>26</v>
      </c>
      <c r="C432" s="3" t="s">
        <v>2</v>
      </c>
      <c r="D432" s="3" t="s">
        <v>34</v>
      </c>
      <c r="E432" s="3">
        <v>14</v>
      </c>
      <c r="F432" s="5">
        <f t="shared" si="6"/>
        <v>2.8000000000000003</v>
      </c>
    </row>
    <row r="433" spans="1:6" hidden="1" x14ac:dyDescent="0.25">
      <c r="A433" s="4">
        <v>42140</v>
      </c>
      <c r="B433" s="3" t="s">
        <v>37</v>
      </c>
      <c r="C433" s="3" t="s">
        <v>19</v>
      </c>
      <c r="D433" s="3" t="s">
        <v>30</v>
      </c>
      <c r="E433" s="3">
        <v>9</v>
      </c>
      <c r="F433" s="5">
        <f t="shared" si="6"/>
        <v>0.9</v>
      </c>
    </row>
    <row r="434" spans="1:6" hidden="1" x14ac:dyDescent="0.25">
      <c r="A434" s="4">
        <v>42021</v>
      </c>
      <c r="B434" s="3" t="s">
        <v>38</v>
      </c>
      <c r="C434" s="3" t="s">
        <v>6</v>
      </c>
      <c r="D434" s="3" t="s">
        <v>27</v>
      </c>
      <c r="E434" s="3">
        <v>2</v>
      </c>
      <c r="F434" s="5">
        <f t="shared" si="6"/>
        <v>1</v>
      </c>
    </row>
    <row r="435" spans="1:6" hidden="1" x14ac:dyDescent="0.25">
      <c r="A435" s="4">
        <v>42149</v>
      </c>
      <c r="B435" s="3" t="s">
        <v>39</v>
      </c>
      <c r="C435" s="3" t="s">
        <v>10</v>
      </c>
      <c r="D435" s="3" t="s">
        <v>36</v>
      </c>
      <c r="E435" s="3">
        <v>19</v>
      </c>
      <c r="F435" s="5">
        <f t="shared" si="6"/>
        <v>28.5</v>
      </c>
    </row>
    <row r="436" spans="1:6" hidden="1" x14ac:dyDescent="0.25">
      <c r="A436" s="4">
        <v>42015</v>
      </c>
      <c r="B436" s="3" t="s">
        <v>32</v>
      </c>
      <c r="C436" s="3" t="s">
        <v>10</v>
      </c>
      <c r="D436" s="3" t="s">
        <v>36</v>
      </c>
      <c r="E436" s="3">
        <v>15</v>
      </c>
      <c r="F436" s="5">
        <f t="shared" si="6"/>
        <v>22.5</v>
      </c>
    </row>
    <row r="437" spans="1:6" hidden="1" x14ac:dyDescent="0.25">
      <c r="A437" s="4">
        <v>42087</v>
      </c>
      <c r="B437" s="3" t="s">
        <v>32</v>
      </c>
      <c r="C437" s="3" t="s">
        <v>6</v>
      </c>
      <c r="D437" s="3" t="s">
        <v>33</v>
      </c>
      <c r="E437" s="3">
        <v>44</v>
      </c>
      <c r="F437" s="5">
        <f t="shared" si="6"/>
        <v>220</v>
      </c>
    </row>
    <row r="438" spans="1:6" hidden="1" x14ac:dyDescent="0.25">
      <c r="A438" s="4">
        <v>42034</v>
      </c>
      <c r="B438" s="3" t="s">
        <v>39</v>
      </c>
      <c r="C438" s="3" t="s">
        <v>10</v>
      </c>
      <c r="D438" s="3" t="s">
        <v>27</v>
      </c>
      <c r="E438" s="3">
        <v>24</v>
      </c>
      <c r="F438" s="5">
        <f t="shared" si="6"/>
        <v>12</v>
      </c>
    </row>
    <row r="439" spans="1:6" hidden="1" x14ac:dyDescent="0.25">
      <c r="A439" s="4">
        <v>42110</v>
      </c>
      <c r="B439" s="3" t="s">
        <v>39</v>
      </c>
      <c r="C439" s="3" t="s">
        <v>10</v>
      </c>
      <c r="D439" s="3" t="s">
        <v>28</v>
      </c>
      <c r="E439" s="3">
        <v>46</v>
      </c>
      <c r="F439" s="5">
        <f t="shared" si="6"/>
        <v>92</v>
      </c>
    </row>
    <row r="440" spans="1:6" hidden="1" x14ac:dyDescent="0.25">
      <c r="A440" s="4">
        <v>42107</v>
      </c>
      <c r="B440" s="3" t="s">
        <v>39</v>
      </c>
      <c r="C440" s="3" t="s">
        <v>19</v>
      </c>
      <c r="D440" s="3" t="s">
        <v>34</v>
      </c>
      <c r="E440" s="3">
        <v>11</v>
      </c>
      <c r="F440" s="5">
        <f t="shared" si="6"/>
        <v>2.2000000000000002</v>
      </c>
    </row>
    <row r="441" spans="1:6" hidden="1" x14ac:dyDescent="0.25">
      <c r="A441" s="4">
        <v>42130</v>
      </c>
      <c r="B441" s="3" t="s">
        <v>32</v>
      </c>
      <c r="C441" s="3" t="s">
        <v>6</v>
      </c>
      <c r="D441" s="3" t="s">
        <v>33</v>
      </c>
      <c r="E441" s="3">
        <v>20</v>
      </c>
      <c r="F441" s="5">
        <f t="shared" si="6"/>
        <v>100</v>
      </c>
    </row>
    <row r="442" spans="1:6" hidden="1" x14ac:dyDescent="0.25">
      <c r="A442" s="4">
        <v>42076</v>
      </c>
      <c r="B442" s="3" t="s">
        <v>38</v>
      </c>
      <c r="C442" s="3" t="s">
        <v>5</v>
      </c>
      <c r="D442" s="3" t="s">
        <v>30</v>
      </c>
      <c r="E442" s="3">
        <v>10</v>
      </c>
      <c r="F442" s="5">
        <f t="shared" si="6"/>
        <v>1</v>
      </c>
    </row>
    <row r="443" spans="1:6" hidden="1" x14ac:dyDescent="0.25">
      <c r="A443" s="4">
        <v>42023</v>
      </c>
      <c r="B443" s="3" t="s">
        <v>32</v>
      </c>
      <c r="C443" s="3" t="s">
        <v>10</v>
      </c>
      <c r="D443" s="3" t="s">
        <v>27</v>
      </c>
      <c r="E443" s="3">
        <v>25</v>
      </c>
      <c r="F443" s="5">
        <f t="shared" si="6"/>
        <v>12.5</v>
      </c>
    </row>
    <row r="444" spans="1:6" x14ac:dyDescent="0.25">
      <c r="A444" s="4">
        <v>42093</v>
      </c>
      <c r="B444" s="3" t="s">
        <v>29</v>
      </c>
      <c r="C444" s="3" t="s">
        <v>2</v>
      </c>
      <c r="D444" s="3" t="s">
        <v>34</v>
      </c>
      <c r="E444" s="3">
        <v>47</v>
      </c>
      <c r="F444" s="5">
        <f t="shared" si="6"/>
        <v>9.4</v>
      </c>
    </row>
    <row r="445" spans="1:6" hidden="1" x14ac:dyDescent="0.25">
      <c r="A445" s="4">
        <v>42035</v>
      </c>
      <c r="B445" s="3" t="s">
        <v>29</v>
      </c>
      <c r="C445" s="3" t="s">
        <v>6</v>
      </c>
      <c r="D445" s="3" t="s">
        <v>33</v>
      </c>
      <c r="E445" s="3">
        <v>17</v>
      </c>
      <c r="F445" s="5">
        <f t="shared" si="6"/>
        <v>85</v>
      </c>
    </row>
    <row r="446" spans="1:6" hidden="1" x14ac:dyDescent="0.25">
      <c r="A446" s="4">
        <v>42099</v>
      </c>
      <c r="B446" s="3" t="s">
        <v>38</v>
      </c>
      <c r="C446" s="3" t="s">
        <v>5</v>
      </c>
      <c r="D446" s="3" t="s">
        <v>30</v>
      </c>
      <c r="E446" s="3">
        <v>10</v>
      </c>
      <c r="F446" s="5">
        <f t="shared" si="6"/>
        <v>1</v>
      </c>
    </row>
    <row r="447" spans="1:6" hidden="1" x14ac:dyDescent="0.25">
      <c r="A447" s="4">
        <v>42080</v>
      </c>
      <c r="B447" s="3" t="s">
        <v>32</v>
      </c>
      <c r="C447" s="3" t="s">
        <v>6</v>
      </c>
      <c r="D447" s="3" t="s">
        <v>30</v>
      </c>
      <c r="E447" s="3">
        <v>30</v>
      </c>
      <c r="F447" s="5">
        <f t="shared" si="6"/>
        <v>3</v>
      </c>
    </row>
    <row r="448" spans="1:6" hidden="1" x14ac:dyDescent="0.25">
      <c r="A448" s="4">
        <v>42006</v>
      </c>
      <c r="B448" s="3" t="s">
        <v>29</v>
      </c>
      <c r="C448" s="3" t="s">
        <v>19</v>
      </c>
      <c r="D448" s="3" t="s">
        <v>27</v>
      </c>
      <c r="E448" s="3">
        <v>13</v>
      </c>
      <c r="F448" s="5">
        <f t="shared" si="6"/>
        <v>6.5</v>
      </c>
    </row>
    <row r="449" spans="1:6" x14ac:dyDescent="0.25">
      <c r="A449" s="4">
        <v>42179</v>
      </c>
      <c r="B449" s="3" t="s">
        <v>38</v>
      </c>
      <c r="C449" s="3" t="s">
        <v>2</v>
      </c>
      <c r="D449" s="3" t="s">
        <v>28</v>
      </c>
      <c r="E449" s="3">
        <v>17</v>
      </c>
      <c r="F449" s="5">
        <f t="shared" si="6"/>
        <v>34</v>
      </c>
    </row>
    <row r="450" spans="1:6" hidden="1" x14ac:dyDescent="0.25">
      <c r="A450" s="4">
        <v>42170</v>
      </c>
      <c r="B450" s="3" t="s">
        <v>39</v>
      </c>
      <c r="C450" s="3" t="s">
        <v>5</v>
      </c>
      <c r="D450" s="3" t="s">
        <v>27</v>
      </c>
      <c r="E450" s="3">
        <v>32</v>
      </c>
      <c r="F450" s="5">
        <f t="shared" si="6"/>
        <v>16</v>
      </c>
    </row>
    <row r="451" spans="1:6" hidden="1" x14ac:dyDescent="0.25">
      <c r="A451" s="4">
        <v>42068</v>
      </c>
      <c r="B451" s="3" t="s">
        <v>26</v>
      </c>
      <c r="C451" s="3" t="s">
        <v>10</v>
      </c>
      <c r="D451" s="3" t="s">
        <v>36</v>
      </c>
      <c r="E451" s="3">
        <v>34</v>
      </c>
      <c r="F451" s="5">
        <f t="shared" si="6"/>
        <v>51</v>
      </c>
    </row>
    <row r="452" spans="1:6" hidden="1" x14ac:dyDescent="0.25">
      <c r="A452" s="4">
        <v>42118</v>
      </c>
      <c r="B452" s="3" t="s">
        <v>29</v>
      </c>
      <c r="C452" s="3" t="s">
        <v>19</v>
      </c>
      <c r="D452" s="3" t="s">
        <v>31</v>
      </c>
      <c r="E452" s="3">
        <v>14</v>
      </c>
      <c r="F452" s="5">
        <f t="shared" si="6"/>
        <v>35</v>
      </c>
    </row>
    <row r="453" spans="1:6" hidden="1" x14ac:dyDescent="0.25">
      <c r="A453" s="4">
        <v>42042</v>
      </c>
      <c r="B453" s="3" t="s">
        <v>39</v>
      </c>
      <c r="C453" s="3" t="s">
        <v>10</v>
      </c>
      <c r="D453" s="3" t="s">
        <v>28</v>
      </c>
      <c r="E453" s="3">
        <v>37</v>
      </c>
      <c r="F453" s="5">
        <f t="shared" si="6"/>
        <v>74</v>
      </c>
    </row>
    <row r="454" spans="1:6" hidden="1" x14ac:dyDescent="0.25">
      <c r="A454" s="4">
        <v>42016</v>
      </c>
      <c r="B454" s="3" t="s">
        <v>32</v>
      </c>
      <c r="C454" s="3" t="s">
        <v>10</v>
      </c>
      <c r="D454" s="3" t="s">
        <v>36</v>
      </c>
      <c r="E454" s="3">
        <v>31</v>
      </c>
      <c r="F454" s="5">
        <f t="shared" si="6"/>
        <v>46.5</v>
      </c>
    </row>
    <row r="455" spans="1:6" hidden="1" x14ac:dyDescent="0.25">
      <c r="A455" s="4">
        <v>42126</v>
      </c>
      <c r="B455" s="3" t="s">
        <v>26</v>
      </c>
      <c r="C455" s="3" t="s">
        <v>10</v>
      </c>
      <c r="D455" s="3" t="s">
        <v>36</v>
      </c>
      <c r="E455" s="3">
        <v>32</v>
      </c>
      <c r="F455" s="5">
        <f t="shared" ref="F455:F499" si="7">E455*VLOOKUP(D455,$W$6:$X$13,2,0)</f>
        <v>48</v>
      </c>
    </row>
    <row r="456" spans="1:6" hidden="1" x14ac:dyDescent="0.25">
      <c r="A456" s="4">
        <v>42162</v>
      </c>
      <c r="B456" s="3" t="s">
        <v>37</v>
      </c>
      <c r="C456" s="3" t="s">
        <v>5</v>
      </c>
      <c r="D456" s="3" t="s">
        <v>30</v>
      </c>
      <c r="E456" s="3">
        <v>27</v>
      </c>
      <c r="F456" s="5">
        <f t="shared" si="7"/>
        <v>2.7</v>
      </c>
    </row>
    <row r="457" spans="1:6" hidden="1" x14ac:dyDescent="0.25">
      <c r="A457" s="4">
        <v>42157</v>
      </c>
      <c r="B457" s="3" t="s">
        <v>32</v>
      </c>
      <c r="C457" s="3" t="s">
        <v>5</v>
      </c>
      <c r="D457" s="3" t="s">
        <v>33</v>
      </c>
      <c r="E457" s="3">
        <v>27</v>
      </c>
      <c r="F457" s="5">
        <f t="shared" si="7"/>
        <v>135</v>
      </c>
    </row>
    <row r="458" spans="1:6" x14ac:dyDescent="0.25">
      <c r="A458" s="4">
        <v>42070</v>
      </c>
      <c r="B458" s="3" t="s">
        <v>29</v>
      </c>
      <c r="C458" s="3" t="s">
        <v>2</v>
      </c>
      <c r="D458" s="3" t="s">
        <v>27</v>
      </c>
      <c r="E458" s="3">
        <v>12</v>
      </c>
      <c r="F458" s="5">
        <f t="shared" si="7"/>
        <v>6</v>
      </c>
    </row>
    <row r="459" spans="1:6" hidden="1" x14ac:dyDescent="0.25">
      <c r="A459" s="4">
        <v>42035</v>
      </c>
      <c r="B459" s="3" t="s">
        <v>29</v>
      </c>
      <c r="C459" s="3" t="s">
        <v>19</v>
      </c>
      <c r="D459" s="3" t="s">
        <v>34</v>
      </c>
      <c r="E459" s="3">
        <v>11</v>
      </c>
      <c r="F459" s="5">
        <f t="shared" si="7"/>
        <v>2.2000000000000002</v>
      </c>
    </row>
    <row r="460" spans="1:6" x14ac:dyDescent="0.25">
      <c r="A460" s="4">
        <v>42026</v>
      </c>
      <c r="B460" s="3" t="s">
        <v>29</v>
      </c>
      <c r="C460" s="3" t="s">
        <v>2</v>
      </c>
      <c r="D460" s="3" t="s">
        <v>36</v>
      </c>
      <c r="E460" s="3">
        <v>32</v>
      </c>
      <c r="F460" s="5">
        <f t="shared" si="7"/>
        <v>48</v>
      </c>
    </row>
    <row r="461" spans="1:6" hidden="1" x14ac:dyDescent="0.25">
      <c r="A461" s="4">
        <v>42159</v>
      </c>
      <c r="B461" s="3" t="s">
        <v>39</v>
      </c>
      <c r="C461" s="3" t="s">
        <v>10</v>
      </c>
      <c r="D461" s="3" t="s">
        <v>31</v>
      </c>
      <c r="E461" s="3">
        <v>23</v>
      </c>
      <c r="F461" s="5">
        <f t="shared" si="7"/>
        <v>57.5</v>
      </c>
    </row>
    <row r="462" spans="1:6" hidden="1" x14ac:dyDescent="0.25">
      <c r="A462" s="4">
        <v>42050</v>
      </c>
      <c r="B462" s="3" t="s">
        <v>26</v>
      </c>
      <c r="C462" s="3" t="s">
        <v>6</v>
      </c>
      <c r="D462" s="3" t="s">
        <v>27</v>
      </c>
      <c r="E462" s="3">
        <v>45</v>
      </c>
      <c r="F462" s="5">
        <f t="shared" si="7"/>
        <v>22.5</v>
      </c>
    </row>
    <row r="463" spans="1:6" hidden="1" x14ac:dyDescent="0.25">
      <c r="A463" s="4">
        <v>42118</v>
      </c>
      <c r="B463" s="3" t="s">
        <v>39</v>
      </c>
      <c r="C463" s="3" t="s">
        <v>5</v>
      </c>
      <c r="D463" s="3" t="s">
        <v>31</v>
      </c>
      <c r="E463" s="3">
        <v>11</v>
      </c>
      <c r="F463" s="5">
        <f t="shared" si="7"/>
        <v>27.5</v>
      </c>
    </row>
    <row r="464" spans="1:6" hidden="1" x14ac:dyDescent="0.25">
      <c r="A464" s="4">
        <v>42013</v>
      </c>
      <c r="B464" s="3" t="s">
        <v>39</v>
      </c>
      <c r="C464" s="3" t="s">
        <v>6</v>
      </c>
      <c r="D464" s="3" t="s">
        <v>30</v>
      </c>
      <c r="E464" s="3">
        <v>33</v>
      </c>
      <c r="F464" s="5">
        <f t="shared" si="7"/>
        <v>3.3000000000000003</v>
      </c>
    </row>
    <row r="465" spans="1:6" x14ac:dyDescent="0.25">
      <c r="A465" s="4">
        <v>42090</v>
      </c>
      <c r="B465" s="3" t="s">
        <v>29</v>
      </c>
      <c r="C465" s="3" t="s">
        <v>2</v>
      </c>
      <c r="D465" s="3" t="s">
        <v>31</v>
      </c>
      <c r="E465" s="3">
        <v>34</v>
      </c>
      <c r="F465" s="5">
        <f t="shared" si="7"/>
        <v>85</v>
      </c>
    </row>
    <row r="466" spans="1:6" hidden="1" x14ac:dyDescent="0.25">
      <c r="A466" s="4">
        <v>42140</v>
      </c>
      <c r="B466" s="3" t="s">
        <v>37</v>
      </c>
      <c r="C466" s="3" t="s">
        <v>19</v>
      </c>
      <c r="D466" s="3" t="s">
        <v>36</v>
      </c>
      <c r="E466" s="3">
        <v>42</v>
      </c>
      <c r="F466" s="5">
        <f t="shared" si="7"/>
        <v>63</v>
      </c>
    </row>
    <row r="467" spans="1:6" x14ac:dyDescent="0.25">
      <c r="A467" s="4">
        <v>42073</v>
      </c>
      <c r="B467" s="3" t="s">
        <v>29</v>
      </c>
      <c r="C467" s="3" t="s">
        <v>2</v>
      </c>
      <c r="D467" s="3" t="s">
        <v>31</v>
      </c>
      <c r="E467" s="3">
        <v>8</v>
      </c>
      <c r="F467" s="5">
        <f t="shared" si="7"/>
        <v>20</v>
      </c>
    </row>
    <row r="468" spans="1:6" hidden="1" x14ac:dyDescent="0.25">
      <c r="A468" s="4">
        <v>42093</v>
      </c>
      <c r="B468" s="3" t="s">
        <v>37</v>
      </c>
      <c r="C468" s="3" t="s">
        <v>19</v>
      </c>
      <c r="D468" s="3" t="s">
        <v>33</v>
      </c>
      <c r="E468" s="3">
        <v>11</v>
      </c>
      <c r="F468" s="5">
        <f t="shared" si="7"/>
        <v>55</v>
      </c>
    </row>
    <row r="469" spans="1:6" x14ac:dyDescent="0.25">
      <c r="A469" s="4">
        <v>42094</v>
      </c>
      <c r="B469" s="3" t="s">
        <v>29</v>
      </c>
      <c r="C469" s="3" t="s">
        <v>2</v>
      </c>
      <c r="D469" s="3" t="s">
        <v>27</v>
      </c>
      <c r="E469" s="3">
        <v>18</v>
      </c>
      <c r="F469" s="5">
        <f t="shared" si="7"/>
        <v>9</v>
      </c>
    </row>
    <row r="470" spans="1:6" hidden="1" x14ac:dyDescent="0.25">
      <c r="A470" s="4">
        <v>42056</v>
      </c>
      <c r="B470" s="3" t="s">
        <v>38</v>
      </c>
      <c r="C470" s="3" t="s">
        <v>6</v>
      </c>
      <c r="D470" s="3" t="s">
        <v>30</v>
      </c>
      <c r="E470" s="3">
        <v>44</v>
      </c>
      <c r="F470" s="5">
        <f t="shared" si="7"/>
        <v>4.4000000000000004</v>
      </c>
    </row>
    <row r="471" spans="1:6" hidden="1" x14ac:dyDescent="0.25">
      <c r="A471" s="4">
        <v>42143</v>
      </c>
      <c r="B471" s="3" t="s">
        <v>38</v>
      </c>
      <c r="C471" s="3" t="s">
        <v>5</v>
      </c>
      <c r="D471" s="3" t="s">
        <v>30</v>
      </c>
      <c r="E471" s="3">
        <v>47</v>
      </c>
      <c r="F471" s="5">
        <f t="shared" si="7"/>
        <v>4.7</v>
      </c>
    </row>
    <row r="472" spans="1:6" x14ac:dyDescent="0.25">
      <c r="A472" s="4">
        <v>42032</v>
      </c>
      <c r="B472" s="3" t="s">
        <v>39</v>
      </c>
      <c r="C472" s="3" t="s">
        <v>2</v>
      </c>
      <c r="D472" s="3" t="s">
        <v>31</v>
      </c>
      <c r="E472" s="3">
        <v>35</v>
      </c>
      <c r="F472" s="5">
        <f t="shared" si="7"/>
        <v>87.5</v>
      </c>
    </row>
    <row r="473" spans="1:6" hidden="1" x14ac:dyDescent="0.25">
      <c r="A473" s="4">
        <v>42041</v>
      </c>
      <c r="B473" s="3" t="s">
        <v>39</v>
      </c>
      <c r="C473" s="3" t="s">
        <v>6</v>
      </c>
      <c r="D473" s="3" t="s">
        <v>36</v>
      </c>
      <c r="E473" s="3">
        <v>13</v>
      </c>
      <c r="F473" s="5">
        <f t="shared" si="7"/>
        <v>19.5</v>
      </c>
    </row>
    <row r="474" spans="1:6" hidden="1" x14ac:dyDescent="0.25">
      <c r="A474" s="4">
        <v>42062</v>
      </c>
      <c r="B474" s="3" t="s">
        <v>37</v>
      </c>
      <c r="C474" s="3" t="s">
        <v>10</v>
      </c>
      <c r="D474" s="3" t="s">
        <v>34</v>
      </c>
      <c r="E474" s="3">
        <v>30</v>
      </c>
      <c r="F474" s="5">
        <f t="shared" si="7"/>
        <v>6</v>
      </c>
    </row>
    <row r="475" spans="1:6" hidden="1" x14ac:dyDescent="0.25">
      <c r="A475" s="4">
        <v>42145</v>
      </c>
      <c r="B475" s="3" t="s">
        <v>37</v>
      </c>
      <c r="C475" s="3" t="s">
        <v>19</v>
      </c>
      <c r="D475" s="3" t="s">
        <v>31</v>
      </c>
      <c r="E475" s="3">
        <v>14</v>
      </c>
      <c r="F475" s="5">
        <f t="shared" si="7"/>
        <v>35</v>
      </c>
    </row>
    <row r="476" spans="1:6" hidden="1" x14ac:dyDescent="0.25">
      <c r="A476" s="4">
        <v>42144</v>
      </c>
      <c r="B476" s="3" t="s">
        <v>32</v>
      </c>
      <c r="C476" s="3" t="s">
        <v>5</v>
      </c>
      <c r="D476" s="3" t="s">
        <v>27</v>
      </c>
      <c r="E476" s="3">
        <v>27</v>
      </c>
      <c r="F476" s="5">
        <f t="shared" si="7"/>
        <v>13.5</v>
      </c>
    </row>
    <row r="477" spans="1:6" hidden="1" x14ac:dyDescent="0.25">
      <c r="A477" s="4">
        <v>42079</v>
      </c>
      <c r="B477" s="3" t="s">
        <v>29</v>
      </c>
      <c r="C477" s="3" t="s">
        <v>10</v>
      </c>
      <c r="D477" s="3" t="s">
        <v>30</v>
      </c>
      <c r="E477" s="3">
        <v>4</v>
      </c>
      <c r="F477" s="5">
        <f t="shared" si="7"/>
        <v>0.4</v>
      </c>
    </row>
    <row r="478" spans="1:6" hidden="1" x14ac:dyDescent="0.25">
      <c r="A478" s="4">
        <v>42138</v>
      </c>
      <c r="B478" s="3" t="s">
        <v>39</v>
      </c>
      <c r="C478" s="3" t="s">
        <v>5</v>
      </c>
      <c r="D478" s="3" t="s">
        <v>36</v>
      </c>
      <c r="E478" s="3">
        <v>6</v>
      </c>
      <c r="F478" s="5">
        <f t="shared" si="7"/>
        <v>9</v>
      </c>
    </row>
    <row r="479" spans="1:6" hidden="1" x14ac:dyDescent="0.25">
      <c r="A479" s="4">
        <v>42078</v>
      </c>
      <c r="B479" s="3" t="s">
        <v>38</v>
      </c>
      <c r="C479" s="3" t="s">
        <v>5</v>
      </c>
      <c r="D479" s="3" t="s">
        <v>31</v>
      </c>
      <c r="E479" s="3">
        <v>35</v>
      </c>
      <c r="F479" s="5">
        <f t="shared" si="7"/>
        <v>87.5</v>
      </c>
    </row>
    <row r="480" spans="1:6" x14ac:dyDescent="0.25">
      <c r="A480" s="4">
        <v>42161</v>
      </c>
      <c r="B480" s="3" t="s">
        <v>39</v>
      </c>
      <c r="C480" s="3" t="s">
        <v>2</v>
      </c>
      <c r="D480" s="3" t="s">
        <v>33</v>
      </c>
      <c r="E480" s="3">
        <v>12</v>
      </c>
      <c r="F480" s="5">
        <f t="shared" si="7"/>
        <v>60</v>
      </c>
    </row>
    <row r="481" spans="1:6" x14ac:dyDescent="0.25">
      <c r="A481" s="4">
        <v>42101</v>
      </c>
      <c r="B481" s="3" t="s">
        <v>37</v>
      </c>
      <c r="C481" s="3" t="s">
        <v>2</v>
      </c>
      <c r="D481" s="3" t="s">
        <v>31</v>
      </c>
      <c r="E481" s="3">
        <v>32</v>
      </c>
      <c r="F481" s="5">
        <f t="shared" si="7"/>
        <v>80</v>
      </c>
    </row>
    <row r="482" spans="1:6" hidden="1" x14ac:dyDescent="0.25">
      <c r="A482" s="4">
        <v>42181</v>
      </c>
      <c r="B482" s="3" t="s">
        <v>37</v>
      </c>
      <c r="C482" s="3" t="s">
        <v>10</v>
      </c>
      <c r="D482" s="3" t="s">
        <v>28</v>
      </c>
      <c r="E482" s="3">
        <v>41</v>
      </c>
      <c r="F482" s="5">
        <f t="shared" si="7"/>
        <v>82</v>
      </c>
    </row>
    <row r="483" spans="1:6" hidden="1" x14ac:dyDescent="0.25">
      <c r="A483" s="4">
        <v>42053</v>
      </c>
      <c r="B483" s="3" t="s">
        <v>38</v>
      </c>
      <c r="C483" s="3" t="s">
        <v>10</v>
      </c>
      <c r="D483" s="3" t="s">
        <v>34</v>
      </c>
      <c r="E483" s="3">
        <v>49</v>
      </c>
      <c r="F483" s="5">
        <f t="shared" si="7"/>
        <v>9.8000000000000007</v>
      </c>
    </row>
    <row r="484" spans="1:6" hidden="1" x14ac:dyDescent="0.25">
      <c r="A484" s="4">
        <v>42073</v>
      </c>
      <c r="B484" s="3" t="s">
        <v>38</v>
      </c>
      <c r="C484" s="3" t="s">
        <v>19</v>
      </c>
      <c r="D484" s="3" t="s">
        <v>31</v>
      </c>
      <c r="E484" s="3">
        <v>14</v>
      </c>
      <c r="F484" s="5">
        <f t="shared" si="7"/>
        <v>35</v>
      </c>
    </row>
    <row r="485" spans="1:6" hidden="1" x14ac:dyDescent="0.25">
      <c r="A485" s="4">
        <v>42095</v>
      </c>
      <c r="B485" s="3" t="s">
        <v>38</v>
      </c>
      <c r="C485" s="3" t="s">
        <v>6</v>
      </c>
      <c r="D485" s="3" t="s">
        <v>27</v>
      </c>
      <c r="E485" s="3">
        <v>50</v>
      </c>
      <c r="F485" s="5">
        <f t="shared" si="7"/>
        <v>25</v>
      </c>
    </row>
    <row r="486" spans="1:6" hidden="1" x14ac:dyDescent="0.25">
      <c r="A486" s="4">
        <v>42028</v>
      </c>
      <c r="B486" s="3" t="s">
        <v>29</v>
      </c>
      <c r="C486" s="3" t="s">
        <v>6</v>
      </c>
      <c r="D486" s="3" t="s">
        <v>36</v>
      </c>
      <c r="E486" s="3">
        <v>22</v>
      </c>
      <c r="F486" s="5">
        <f t="shared" si="7"/>
        <v>33</v>
      </c>
    </row>
    <row r="487" spans="1:6" hidden="1" x14ac:dyDescent="0.25">
      <c r="A487" s="4">
        <v>42091</v>
      </c>
      <c r="B487" s="3" t="s">
        <v>38</v>
      </c>
      <c r="C487" s="3" t="s">
        <v>19</v>
      </c>
      <c r="D487" s="3" t="s">
        <v>33</v>
      </c>
      <c r="E487" s="3">
        <v>46</v>
      </c>
      <c r="F487" s="5">
        <f t="shared" si="7"/>
        <v>230</v>
      </c>
    </row>
    <row r="488" spans="1:6" hidden="1" x14ac:dyDescent="0.25">
      <c r="A488" s="4">
        <v>42063</v>
      </c>
      <c r="B488" s="3" t="s">
        <v>37</v>
      </c>
      <c r="C488" s="3" t="s">
        <v>10</v>
      </c>
      <c r="D488" s="3" t="s">
        <v>30</v>
      </c>
      <c r="E488" s="3">
        <v>19</v>
      </c>
      <c r="F488" s="5">
        <f t="shared" si="7"/>
        <v>1.9000000000000001</v>
      </c>
    </row>
    <row r="489" spans="1:6" hidden="1" x14ac:dyDescent="0.25">
      <c r="A489" s="4">
        <v>42093</v>
      </c>
      <c r="B489" s="3" t="s">
        <v>37</v>
      </c>
      <c r="C489" s="3" t="s">
        <v>6</v>
      </c>
      <c r="D489" s="3" t="s">
        <v>36</v>
      </c>
      <c r="E489" s="3">
        <v>23</v>
      </c>
      <c r="F489" s="5">
        <f t="shared" si="7"/>
        <v>34.5</v>
      </c>
    </row>
    <row r="490" spans="1:6" hidden="1" x14ac:dyDescent="0.25">
      <c r="A490" s="4">
        <v>42060</v>
      </c>
      <c r="B490" s="3" t="s">
        <v>29</v>
      </c>
      <c r="C490" s="3" t="s">
        <v>5</v>
      </c>
      <c r="D490" s="3" t="s">
        <v>30</v>
      </c>
      <c r="E490" s="3">
        <v>49</v>
      </c>
      <c r="F490" s="5">
        <f t="shared" si="7"/>
        <v>4.9000000000000004</v>
      </c>
    </row>
    <row r="491" spans="1:6" hidden="1" x14ac:dyDescent="0.25">
      <c r="A491" s="4">
        <v>42030</v>
      </c>
      <c r="B491" s="3" t="s">
        <v>37</v>
      </c>
      <c r="C491" s="3" t="s">
        <v>10</v>
      </c>
      <c r="D491" s="3" t="s">
        <v>27</v>
      </c>
      <c r="E491" s="3">
        <v>9</v>
      </c>
      <c r="F491" s="5">
        <f t="shared" si="7"/>
        <v>4.5</v>
      </c>
    </row>
    <row r="492" spans="1:6" hidden="1" x14ac:dyDescent="0.25">
      <c r="A492" s="4">
        <v>42076</v>
      </c>
      <c r="B492" s="3" t="s">
        <v>32</v>
      </c>
      <c r="C492" s="3" t="s">
        <v>6</v>
      </c>
      <c r="D492" s="3" t="s">
        <v>27</v>
      </c>
      <c r="E492" s="3">
        <v>49</v>
      </c>
      <c r="F492" s="5">
        <f t="shared" si="7"/>
        <v>24.5</v>
      </c>
    </row>
    <row r="493" spans="1:6" x14ac:dyDescent="0.25">
      <c r="A493" s="4">
        <v>42108</v>
      </c>
      <c r="B493" s="3" t="s">
        <v>38</v>
      </c>
      <c r="C493" s="3" t="s">
        <v>2</v>
      </c>
      <c r="D493" s="3" t="s">
        <v>27</v>
      </c>
      <c r="E493" s="3">
        <v>50</v>
      </c>
      <c r="F493" s="5">
        <f t="shared" si="7"/>
        <v>25</v>
      </c>
    </row>
    <row r="494" spans="1:6" hidden="1" x14ac:dyDescent="0.25">
      <c r="A494" s="4">
        <v>42075</v>
      </c>
      <c r="B494" s="3" t="s">
        <v>39</v>
      </c>
      <c r="C494" s="3" t="s">
        <v>6</v>
      </c>
      <c r="D494" s="3" t="s">
        <v>31</v>
      </c>
      <c r="E494" s="3">
        <v>7</v>
      </c>
      <c r="F494" s="5">
        <f t="shared" si="7"/>
        <v>17.5</v>
      </c>
    </row>
    <row r="495" spans="1:6" hidden="1" x14ac:dyDescent="0.25">
      <c r="A495" s="4">
        <v>42115</v>
      </c>
      <c r="B495" s="3" t="s">
        <v>26</v>
      </c>
      <c r="C495" s="3" t="s">
        <v>10</v>
      </c>
      <c r="D495" s="3" t="s">
        <v>28</v>
      </c>
      <c r="E495" s="3">
        <v>48</v>
      </c>
      <c r="F495" s="5">
        <f t="shared" si="7"/>
        <v>96</v>
      </c>
    </row>
    <row r="496" spans="1:6" hidden="1" x14ac:dyDescent="0.25">
      <c r="A496" s="4">
        <v>42135</v>
      </c>
      <c r="B496" s="3" t="s">
        <v>38</v>
      </c>
      <c r="C496" s="3" t="s">
        <v>6</v>
      </c>
      <c r="D496" s="3" t="s">
        <v>36</v>
      </c>
      <c r="E496" s="3">
        <v>18</v>
      </c>
      <c r="F496" s="5">
        <f t="shared" si="7"/>
        <v>27</v>
      </c>
    </row>
    <row r="497" spans="1:6" hidden="1" x14ac:dyDescent="0.25">
      <c r="A497" s="4">
        <v>42051</v>
      </c>
      <c r="B497" s="3" t="s">
        <v>26</v>
      </c>
      <c r="C497" s="3" t="s">
        <v>10</v>
      </c>
      <c r="D497" s="3" t="s">
        <v>27</v>
      </c>
      <c r="E497" s="3">
        <v>35</v>
      </c>
      <c r="F497" s="5">
        <f t="shared" si="7"/>
        <v>17.5</v>
      </c>
    </row>
    <row r="498" spans="1:6" hidden="1" x14ac:dyDescent="0.25">
      <c r="A498" s="4">
        <v>42057</v>
      </c>
      <c r="B498" s="3" t="s">
        <v>38</v>
      </c>
      <c r="C498" s="3" t="s">
        <v>6</v>
      </c>
      <c r="D498" s="3" t="s">
        <v>28</v>
      </c>
      <c r="E498" s="3">
        <v>41</v>
      </c>
      <c r="F498" s="5">
        <f t="shared" si="7"/>
        <v>82</v>
      </c>
    </row>
    <row r="499" spans="1:6" hidden="1" x14ac:dyDescent="0.25">
      <c r="A499" s="4">
        <v>42024</v>
      </c>
      <c r="B499" s="3" t="s">
        <v>32</v>
      </c>
      <c r="C499" s="3" t="s">
        <v>5</v>
      </c>
      <c r="D499" s="3" t="s">
        <v>33</v>
      </c>
      <c r="E499" s="3">
        <v>38</v>
      </c>
      <c r="F499" s="5">
        <f t="shared" si="7"/>
        <v>190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tabColor rgb="FF2EA3F2"/>
  </sheetPr>
  <dimension ref="A1:X499"/>
  <sheetViews>
    <sheetView zoomScale="115" zoomScaleNormal="115" workbookViewId="0">
      <selection activeCell="P26" sqref="P26"/>
    </sheetView>
  </sheetViews>
  <sheetFormatPr defaultColWidth="8.85546875" defaultRowHeight="14.25" x14ac:dyDescent="0.25"/>
  <cols>
    <col min="1" max="1" width="12.42578125" style="2" bestFit="1" customWidth="1"/>
    <col min="2" max="2" width="12" style="2" customWidth="1"/>
    <col min="3" max="3" width="14.28515625" style="2" bestFit="1" customWidth="1"/>
    <col min="4" max="5" width="10.7109375" style="2" bestFit="1" customWidth="1"/>
    <col min="6" max="6" width="10.28515625" style="2" customWidth="1"/>
    <col min="7" max="7" width="8.85546875" style="2"/>
    <col min="8" max="8" width="10.42578125" style="2" bestFit="1" customWidth="1"/>
    <col min="9" max="10" width="8.85546875" style="2"/>
    <col min="11" max="11" width="9.42578125" style="2" bestFit="1" customWidth="1"/>
    <col min="12" max="22" width="8.85546875" style="2"/>
    <col min="23" max="23" width="10.7109375" style="2" bestFit="1" customWidth="1"/>
    <col min="24" max="16384" width="8.85546875" style="2"/>
  </cols>
  <sheetData>
    <row r="1" spans="1:24" x14ac:dyDescent="0.25">
      <c r="A1" s="1" t="s">
        <v>40</v>
      </c>
      <c r="B1" s="1"/>
      <c r="C1" s="1"/>
      <c r="D1" s="1"/>
      <c r="E1" s="1"/>
      <c r="F1" s="1"/>
    </row>
    <row r="2" spans="1:24" x14ac:dyDescent="0.25">
      <c r="A2" s="11" t="s">
        <v>0</v>
      </c>
      <c r="B2" s="11" t="s">
        <v>3</v>
      </c>
      <c r="C2" s="11" t="s">
        <v>1</v>
      </c>
      <c r="D2" s="11" t="s">
        <v>7</v>
      </c>
      <c r="E2" s="11" t="s">
        <v>49</v>
      </c>
      <c r="F2" s="11" t="s">
        <v>4</v>
      </c>
    </row>
    <row r="3" spans="1:24" x14ac:dyDescent="0.25">
      <c r="A3" s="4" t="s">
        <v>72</v>
      </c>
      <c r="B3" s="3"/>
      <c r="C3" s="3" t="s">
        <v>6</v>
      </c>
      <c r="D3" s="3" t="s">
        <v>27</v>
      </c>
      <c r="E3" s="3"/>
      <c r="F3" s="3"/>
    </row>
    <row r="5" spans="1:24" x14ac:dyDescent="0.25">
      <c r="A5" s="11" t="s">
        <v>0</v>
      </c>
      <c r="B5" s="11" t="s">
        <v>3</v>
      </c>
      <c r="C5" s="11" t="s">
        <v>1</v>
      </c>
      <c r="D5" s="11" t="s">
        <v>7</v>
      </c>
      <c r="E5" s="11" t="s">
        <v>49</v>
      </c>
      <c r="F5" s="11" t="s">
        <v>4</v>
      </c>
    </row>
    <row r="6" spans="1:24" x14ac:dyDescent="0.25">
      <c r="A6" s="4">
        <v>42067</v>
      </c>
      <c r="B6" s="3" t="s">
        <v>29</v>
      </c>
      <c r="C6" s="3" t="s">
        <v>5</v>
      </c>
      <c r="D6" s="3" t="s">
        <v>27</v>
      </c>
      <c r="E6" s="3">
        <v>13</v>
      </c>
      <c r="F6" s="5">
        <f>E6*VLOOKUP(D6,$W$6:$X$13,2,0)</f>
        <v>6.5</v>
      </c>
      <c r="W6" s="2" t="s">
        <v>28</v>
      </c>
      <c r="X6" s="2">
        <v>2</v>
      </c>
    </row>
    <row r="7" spans="1:24" x14ac:dyDescent="0.25">
      <c r="A7" s="4">
        <v>42074</v>
      </c>
      <c r="B7" s="3" t="s">
        <v>32</v>
      </c>
      <c r="C7" s="3" t="s">
        <v>5</v>
      </c>
      <c r="D7" s="3" t="s">
        <v>34</v>
      </c>
      <c r="E7" s="3">
        <v>12</v>
      </c>
      <c r="F7" s="5">
        <f t="shared" ref="F7:F70" si="0">E7*VLOOKUP(D7,$W$6:$X$13,2,0)</f>
        <v>2.4000000000000004</v>
      </c>
      <c r="W7" s="2" t="s">
        <v>27</v>
      </c>
      <c r="X7" s="2">
        <v>0.5</v>
      </c>
    </row>
    <row r="8" spans="1:24" x14ac:dyDescent="0.25">
      <c r="A8" s="4">
        <v>42177</v>
      </c>
      <c r="B8" s="3" t="s">
        <v>26</v>
      </c>
      <c r="C8" s="3" t="s">
        <v>10</v>
      </c>
      <c r="D8" s="3" t="s">
        <v>27</v>
      </c>
      <c r="E8" s="3">
        <v>29</v>
      </c>
      <c r="F8" s="5">
        <f t="shared" si="0"/>
        <v>14.5</v>
      </c>
      <c r="W8" s="2" t="s">
        <v>31</v>
      </c>
      <c r="X8" s="2">
        <v>2.5</v>
      </c>
    </row>
    <row r="9" spans="1:24" x14ac:dyDescent="0.25">
      <c r="A9" s="4">
        <v>42103</v>
      </c>
      <c r="B9" s="3" t="s">
        <v>38</v>
      </c>
      <c r="C9" s="3" t="s">
        <v>2</v>
      </c>
      <c r="D9" s="3" t="s">
        <v>27</v>
      </c>
      <c r="E9" s="3">
        <v>33</v>
      </c>
      <c r="F9" s="5">
        <f t="shared" si="0"/>
        <v>16.5</v>
      </c>
      <c r="W9" s="2" t="s">
        <v>33</v>
      </c>
      <c r="X9" s="2">
        <v>5</v>
      </c>
    </row>
    <row r="10" spans="1:24" x14ac:dyDescent="0.25">
      <c r="A10" s="4">
        <v>42007</v>
      </c>
      <c r="B10" s="3" t="s">
        <v>37</v>
      </c>
      <c r="C10" s="3" t="s">
        <v>19</v>
      </c>
      <c r="D10" s="3" t="s">
        <v>30</v>
      </c>
      <c r="E10" s="3">
        <v>41</v>
      </c>
      <c r="F10" s="5">
        <f t="shared" si="0"/>
        <v>4.1000000000000005</v>
      </c>
      <c r="W10" s="2" t="s">
        <v>34</v>
      </c>
      <c r="X10" s="2">
        <v>0.2</v>
      </c>
    </row>
    <row r="11" spans="1:24" x14ac:dyDescent="0.25">
      <c r="A11" s="4">
        <v>42012</v>
      </c>
      <c r="B11" s="3" t="s">
        <v>29</v>
      </c>
      <c r="C11" s="3" t="s">
        <v>2</v>
      </c>
      <c r="D11" s="3" t="s">
        <v>35</v>
      </c>
      <c r="E11" s="3">
        <v>32</v>
      </c>
      <c r="F11" s="5">
        <f t="shared" si="0"/>
        <v>128</v>
      </c>
      <c r="W11" s="2" t="s">
        <v>30</v>
      </c>
      <c r="X11" s="2">
        <v>0.1</v>
      </c>
    </row>
    <row r="12" spans="1:24" x14ac:dyDescent="0.25">
      <c r="A12" s="4">
        <v>42051</v>
      </c>
      <c r="B12" s="3" t="s">
        <v>38</v>
      </c>
      <c r="C12" s="3" t="s">
        <v>10</v>
      </c>
      <c r="D12" s="3" t="s">
        <v>33</v>
      </c>
      <c r="E12" s="3">
        <v>34</v>
      </c>
      <c r="F12" s="5">
        <f t="shared" si="0"/>
        <v>170</v>
      </c>
      <c r="W12" s="2" t="s">
        <v>36</v>
      </c>
      <c r="X12" s="2">
        <v>1.5</v>
      </c>
    </row>
    <row r="13" spans="1:24" x14ac:dyDescent="0.25">
      <c r="A13" s="4">
        <v>42163</v>
      </c>
      <c r="B13" s="3" t="s">
        <v>26</v>
      </c>
      <c r="C13" s="3" t="s">
        <v>6</v>
      </c>
      <c r="D13" s="3" t="s">
        <v>35</v>
      </c>
      <c r="E13" s="3">
        <v>12</v>
      </c>
      <c r="F13" s="5">
        <f t="shared" si="0"/>
        <v>48</v>
      </c>
      <c r="W13" s="2" t="s">
        <v>35</v>
      </c>
      <c r="X13" s="2">
        <v>4</v>
      </c>
    </row>
    <row r="14" spans="1:24" x14ac:dyDescent="0.25">
      <c r="A14" s="4">
        <v>42118</v>
      </c>
      <c r="B14" s="3" t="s">
        <v>38</v>
      </c>
      <c r="C14" s="3" t="s">
        <v>19</v>
      </c>
      <c r="D14" s="3" t="s">
        <v>27</v>
      </c>
      <c r="E14" s="3">
        <v>20</v>
      </c>
      <c r="F14" s="5">
        <f t="shared" si="0"/>
        <v>10</v>
      </c>
    </row>
    <row r="15" spans="1:24" x14ac:dyDescent="0.25">
      <c r="A15" s="4">
        <v>42071</v>
      </c>
      <c r="B15" s="3" t="s">
        <v>38</v>
      </c>
      <c r="C15" s="3" t="s">
        <v>2</v>
      </c>
      <c r="D15" s="3" t="s">
        <v>27</v>
      </c>
      <c r="E15" s="3">
        <v>15</v>
      </c>
      <c r="F15" s="5">
        <f t="shared" si="0"/>
        <v>7.5</v>
      </c>
    </row>
    <row r="16" spans="1:24" x14ac:dyDescent="0.25">
      <c r="A16" s="4">
        <v>42134</v>
      </c>
      <c r="B16" s="3" t="s">
        <v>39</v>
      </c>
      <c r="C16" s="3" t="s">
        <v>5</v>
      </c>
      <c r="D16" s="3" t="s">
        <v>27</v>
      </c>
      <c r="E16" s="3">
        <v>35</v>
      </c>
      <c r="F16" s="5">
        <f t="shared" si="0"/>
        <v>17.5</v>
      </c>
    </row>
    <row r="17" spans="1:16" x14ac:dyDescent="0.25">
      <c r="A17" s="4">
        <v>42063</v>
      </c>
      <c r="B17" s="3" t="s">
        <v>32</v>
      </c>
      <c r="C17" s="3" t="s">
        <v>5</v>
      </c>
      <c r="D17" s="3" t="s">
        <v>33</v>
      </c>
      <c r="E17" s="3">
        <v>21</v>
      </c>
      <c r="F17" s="5">
        <f t="shared" si="0"/>
        <v>105</v>
      </c>
      <c r="K17" s="11" t="s">
        <v>0</v>
      </c>
      <c r="L17" s="11" t="s">
        <v>3</v>
      </c>
      <c r="M17" s="11" t="s">
        <v>1</v>
      </c>
      <c r="N17" s="11" t="s">
        <v>7</v>
      </c>
      <c r="O17" s="11" t="s">
        <v>49</v>
      </c>
      <c r="P17" s="11" t="s">
        <v>4</v>
      </c>
    </row>
    <row r="18" spans="1:16" x14ac:dyDescent="0.25">
      <c r="A18" s="4">
        <v>42012</v>
      </c>
      <c r="B18" s="3" t="s">
        <v>38</v>
      </c>
      <c r="C18" s="3" t="s">
        <v>5</v>
      </c>
      <c r="D18" s="3" t="s">
        <v>31</v>
      </c>
      <c r="E18" s="3">
        <v>40</v>
      </c>
      <c r="F18" s="5">
        <f t="shared" si="0"/>
        <v>100</v>
      </c>
      <c r="K18" s="4">
        <v>42080</v>
      </c>
      <c r="L18" s="3" t="s">
        <v>38</v>
      </c>
      <c r="M18" s="3" t="s">
        <v>6</v>
      </c>
      <c r="N18" s="3" t="s">
        <v>27</v>
      </c>
      <c r="O18" s="3">
        <v>11</v>
      </c>
      <c r="P18" s="5">
        <v>5.5</v>
      </c>
    </row>
    <row r="19" spans="1:16" x14ac:dyDescent="0.25">
      <c r="A19" s="4">
        <v>42097</v>
      </c>
      <c r="B19" s="3" t="s">
        <v>26</v>
      </c>
      <c r="C19" s="3" t="s">
        <v>10</v>
      </c>
      <c r="D19" s="3" t="s">
        <v>28</v>
      </c>
      <c r="E19" s="3">
        <v>3</v>
      </c>
      <c r="F19" s="5">
        <f t="shared" si="0"/>
        <v>6</v>
      </c>
      <c r="K19" s="4">
        <v>42026</v>
      </c>
      <c r="L19" s="3" t="s">
        <v>32</v>
      </c>
      <c r="M19" s="3" t="s">
        <v>6</v>
      </c>
      <c r="N19" s="3" t="s">
        <v>27</v>
      </c>
      <c r="O19" s="3">
        <v>31</v>
      </c>
      <c r="P19" s="5">
        <v>15.5</v>
      </c>
    </row>
    <row r="20" spans="1:16" x14ac:dyDescent="0.25">
      <c r="A20" s="4">
        <v>42058</v>
      </c>
      <c r="B20" s="3" t="s">
        <v>39</v>
      </c>
      <c r="C20" s="3" t="s">
        <v>2</v>
      </c>
      <c r="D20" s="3" t="s">
        <v>27</v>
      </c>
      <c r="E20" s="3">
        <v>25</v>
      </c>
      <c r="F20" s="5">
        <f t="shared" si="0"/>
        <v>12.5</v>
      </c>
      <c r="K20" s="4">
        <v>42070</v>
      </c>
      <c r="L20" s="3" t="s">
        <v>26</v>
      </c>
      <c r="M20" s="3" t="s">
        <v>6</v>
      </c>
      <c r="N20" s="3" t="s">
        <v>27</v>
      </c>
      <c r="O20" s="3">
        <v>44</v>
      </c>
      <c r="P20" s="5">
        <v>22</v>
      </c>
    </row>
    <row r="21" spans="1:16" x14ac:dyDescent="0.25">
      <c r="A21" s="4">
        <v>42018</v>
      </c>
      <c r="B21" s="3" t="s">
        <v>38</v>
      </c>
      <c r="C21" s="3" t="s">
        <v>2</v>
      </c>
      <c r="D21" s="3" t="s">
        <v>34</v>
      </c>
      <c r="E21" s="3">
        <v>11</v>
      </c>
      <c r="F21" s="5">
        <f t="shared" si="0"/>
        <v>2.2000000000000002</v>
      </c>
      <c r="K21" s="4">
        <v>42054</v>
      </c>
      <c r="L21" s="3" t="s">
        <v>38</v>
      </c>
      <c r="M21" s="3" t="s">
        <v>6</v>
      </c>
      <c r="N21" s="3" t="s">
        <v>27</v>
      </c>
      <c r="O21" s="3">
        <v>17</v>
      </c>
      <c r="P21" s="5">
        <v>8.5</v>
      </c>
    </row>
    <row r="22" spans="1:16" x14ac:dyDescent="0.25">
      <c r="A22" s="4">
        <v>42085</v>
      </c>
      <c r="B22" s="3" t="s">
        <v>37</v>
      </c>
      <c r="C22" s="3" t="s">
        <v>6</v>
      </c>
      <c r="D22" s="3" t="s">
        <v>33</v>
      </c>
      <c r="E22" s="3">
        <v>9</v>
      </c>
      <c r="F22" s="5">
        <f t="shared" si="0"/>
        <v>45</v>
      </c>
      <c r="K22" s="4">
        <v>42060</v>
      </c>
      <c r="L22" s="3" t="s">
        <v>38</v>
      </c>
      <c r="M22" s="3" t="s">
        <v>6</v>
      </c>
      <c r="N22" s="3" t="s">
        <v>27</v>
      </c>
      <c r="O22" s="3">
        <v>14</v>
      </c>
      <c r="P22" s="5">
        <v>7</v>
      </c>
    </row>
    <row r="23" spans="1:16" x14ac:dyDescent="0.25">
      <c r="A23" s="4">
        <v>42150</v>
      </c>
      <c r="B23" s="3" t="s">
        <v>37</v>
      </c>
      <c r="C23" s="3" t="s">
        <v>6</v>
      </c>
      <c r="D23" s="3" t="s">
        <v>33</v>
      </c>
      <c r="E23" s="3">
        <v>48</v>
      </c>
      <c r="F23" s="5">
        <f t="shared" si="0"/>
        <v>240</v>
      </c>
      <c r="K23" s="4">
        <v>42083</v>
      </c>
      <c r="L23" s="3" t="s">
        <v>38</v>
      </c>
      <c r="M23" s="3" t="s">
        <v>6</v>
      </c>
      <c r="N23" s="3" t="s">
        <v>27</v>
      </c>
      <c r="O23" s="3">
        <v>28</v>
      </c>
      <c r="P23" s="5">
        <v>14</v>
      </c>
    </row>
    <row r="24" spans="1:16" x14ac:dyDescent="0.25">
      <c r="A24" s="4">
        <v>42015</v>
      </c>
      <c r="B24" s="3" t="s">
        <v>38</v>
      </c>
      <c r="C24" s="3" t="s">
        <v>5</v>
      </c>
      <c r="D24" s="3" t="s">
        <v>36</v>
      </c>
      <c r="E24" s="3">
        <v>19</v>
      </c>
      <c r="F24" s="5">
        <f t="shared" si="0"/>
        <v>28.5</v>
      </c>
      <c r="K24" s="4">
        <v>42021</v>
      </c>
      <c r="L24" s="3" t="s">
        <v>38</v>
      </c>
      <c r="M24" s="3" t="s">
        <v>6</v>
      </c>
      <c r="N24" s="3" t="s">
        <v>27</v>
      </c>
      <c r="O24" s="3">
        <v>2</v>
      </c>
      <c r="P24" s="5">
        <v>1</v>
      </c>
    </row>
    <row r="25" spans="1:16" x14ac:dyDescent="0.25">
      <c r="A25" s="4">
        <v>42013</v>
      </c>
      <c r="B25" s="3" t="s">
        <v>39</v>
      </c>
      <c r="C25" s="3" t="s">
        <v>6</v>
      </c>
      <c r="D25" s="3" t="s">
        <v>31</v>
      </c>
      <c r="E25" s="3">
        <v>50</v>
      </c>
      <c r="F25" s="5">
        <f t="shared" si="0"/>
        <v>125</v>
      </c>
      <c r="K25" s="4">
        <v>42050</v>
      </c>
      <c r="L25" s="3" t="s">
        <v>26</v>
      </c>
      <c r="M25" s="3" t="s">
        <v>6</v>
      </c>
      <c r="N25" s="3" t="s">
        <v>27</v>
      </c>
      <c r="O25" s="3">
        <v>45</v>
      </c>
      <c r="P25" s="5">
        <v>22.5</v>
      </c>
    </row>
    <row r="26" spans="1:16" x14ac:dyDescent="0.25">
      <c r="A26" s="4">
        <v>42015</v>
      </c>
      <c r="B26" s="3" t="s">
        <v>39</v>
      </c>
      <c r="C26" s="3" t="s">
        <v>2</v>
      </c>
      <c r="D26" s="3" t="s">
        <v>33</v>
      </c>
      <c r="E26" s="3">
        <v>24</v>
      </c>
      <c r="F26" s="5">
        <f t="shared" si="0"/>
        <v>120</v>
      </c>
      <c r="K26" s="4">
        <v>42076</v>
      </c>
      <c r="L26" s="3" t="s">
        <v>32</v>
      </c>
      <c r="M26" s="3" t="s">
        <v>6</v>
      </c>
      <c r="N26" s="3" t="s">
        <v>27</v>
      </c>
      <c r="O26" s="3">
        <v>49</v>
      </c>
      <c r="P26" s="5">
        <v>24.5</v>
      </c>
    </row>
    <row r="27" spans="1:16" x14ac:dyDescent="0.25">
      <c r="A27" s="4">
        <v>42075</v>
      </c>
      <c r="B27" s="3" t="s">
        <v>38</v>
      </c>
      <c r="C27" s="3" t="s">
        <v>19</v>
      </c>
      <c r="D27" s="3" t="s">
        <v>27</v>
      </c>
      <c r="E27" s="3">
        <v>26</v>
      </c>
      <c r="F27" s="5">
        <f t="shared" si="0"/>
        <v>13</v>
      </c>
    </row>
    <row r="28" spans="1:16" x14ac:dyDescent="0.25">
      <c r="A28" s="4">
        <v>42080</v>
      </c>
      <c r="B28" s="3" t="s">
        <v>38</v>
      </c>
      <c r="C28" s="3" t="s">
        <v>6</v>
      </c>
      <c r="D28" s="3" t="s">
        <v>27</v>
      </c>
      <c r="E28" s="3">
        <v>11</v>
      </c>
      <c r="F28" s="5">
        <f t="shared" si="0"/>
        <v>5.5</v>
      </c>
    </row>
    <row r="29" spans="1:16" x14ac:dyDescent="0.25">
      <c r="A29" s="4">
        <v>42119</v>
      </c>
      <c r="B29" s="3" t="s">
        <v>38</v>
      </c>
      <c r="C29" s="3" t="s">
        <v>5</v>
      </c>
      <c r="D29" s="3" t="s">
        <v>35</v>
      </c>
      <c r="E29" s="3">
        <v>4</v>
      </c>
      <c r="F29" s="5">
        <f t="shared" si="0"/>
        <v>16</v>
      </c>
    </row>
    <row r="30" spans="1:16" x14ac:dyDescent="0.25">
      <c r="A30" s="4">
        <v>42043</v>
      </c>
      <c r="B30" s="3" t="s">
        <v>38</v>
      </c>
      <c r="C30" s="3" t="s">
        <v>2</v>
      </c>
      <c r="D30" s="3" t="s">
        <v>36</v>
      </c>
      <c r="E30" s="3">
        <v>20</v>
      </c>
      <c r="F30" s="5">
        <f t="shared" si="0"/>
        <v>30</v>
      </c>
    </row>
    <row r="31" spans="1:16" x14ac:dyDescent="0.25">
      <c r="A31" s="4">
        <v>42057</v>
      </c>
      <c r="B31" s="3" t="s">
        <v>38</v>
      </c>
      <c r="C31" s="3" t="s">
        <v>6</v>
      </c>
      <c r="D31" s="3" t="s">
        <v>30</v>
      </c>
      <c r="E31" s="3">
        <v>24</v>
      </c>
      <c r="F31" s="5">
        <f t="shared" si="0"/>
        <v>2.4000000000000004</v>
      </c>
    </row>
    <row r="32" spans="1:16" x14ac:dyDescent="0.25">
      <c r="A32" s="4">
        <v>42053</v>
      </c>
      <c r="B32" s="3" t="s">
        <v>26</v>
      </c>
      <c r="C32" s="3" t="s">
        <v>5</v>
      </c>
      <c r="D32" s="3" t="s">
        <v>31</v>
      </c>
      <c r="E32" s="3">
        <v>31</v>
      </c>
      <c r="F32" s="5">
        <f t="shared" si="0"/>
        <v>77.5</v>
      </c>
    </row>
    <row r="33" spans="1:6" x14ac:dyDescent="0.25">
      <c r="A33" s="4">
        <v>42059</v>
      </c>
      <c r="B33" s="3" t="s">
        <v>26</v>
      </c>
      <c r="C33" s="3" t="s">
        <v>6</v>
      </c>
      <c r="D33" s="3" t="s">
        <v>35</v>
      </c>
      <c r="E33" s="3">
        <v>49</v>
      </c>
      <c r="F33" s="5">
        <f t="shared" si="0"/>
        <v>196</v>
      </c>
    </row>
    <row r="34" spans="1:6" x14ac:dyDescent="0.25">
      <c r="A34" s="4">
        <v>42120</v>
      </c>
      <c r="B34" s="3" t="s">
        <v>39</v>
      </c>
      <c r="C34" s="3" t="s">
        <v>10</v>
      </c>
      <c r="D34" s="3" t="s">
        <v>27</v>
      </c>
      <c r="E34" s="3">
        <v>38</v>
      </c>
      <c r="F34" s="5">
        <f t="shared" si="0"/>
        <v>19</v>
      </c>
    </row>
    <row r="35" spans="1:6" x14ac:dyDescent="0.25">
      <c r="A35" s="4">
        <v>42026</v>
      </c>
      <c r="B35" s="3" t="s">
        <v>32</v>
      </c>
      <c r="C35" s="3" t="s">
        <v>6</v>
      </c>
      <c r="D35" s="3" t="s">
        <v>27</v>
      </c>
      <c r="E35" s="3">
        <v>31</v>
      </c>
      <c r="F35" s="5">
        <f t="shared" si="0"/>
        <v>15.5</v>
      </c>
    </row>
    <row r="36" spans="1:6" x14ac:dyDescent="0.25">
      <c r="A36" s="4">
        <v>42117</v>
      </c>
      <c r="B36" s="3" t="s">
        <v>39</v>
      </c>
      <c r="C36" s="3" t="s">
        <v>10</v>
      </c>
      <c r="D36" s="3" t="s">
        <v>28</v>
      </c>
      <c r="E36" s="3">
        <v>16</v>
      </c>
      <c r="F36" s="5">
        <f t="shared" si="0"/>
        <v>32</v>
      </c>
    </row>
    <row r="37" spans="1:6" x14ac:dyDescent="0.25">
      <c r="A37" s="4">
        <v>42135</v>
      </c>
      <c r="B37" s="3" t="s">
        <v>26</v>
      </c>
      <c r="C37" s="3" t="s">
        <v>5</v>
      </c>
      <c r="D37" s="3" t="s">
        <v>33</v>
      </c>
      <c r="E37" s="3">
        <v>47</v>
      </c>
      <c r="F37" s="5">
        <f t="shared" si="0"/>
        <v>235</v>
      </c>
    </row>
    <row r="38" spans="1:6" x14ac:dyDescent="0.25">
      <c r="A38" s="4">
        <v>42056</v>
      </c>
      <c r="B38" s="3" t="s">
        <v>39</v>
      </c>
      <c r="C38" s="3" t="s">
        <v>5</v>
      </c>
      <c r="D38" s="3" t="s">
        <v>34</v>
      </c>
      <c r="E38" s="3">
        <v>5</v>
      </c>
      <c r="F38" s="5">
        <f t="shared" si="0"/>
        <v>1</v>
      </c>
    </row>
    <row r="39" spans="1:6" x14ac:dyDescent="0.25">
      <c r="A39" s="4">
        <v>42171</v>
      </c>
      <c r="B39" s="3" t="s">
        <v>39</v>
      </c>
      <c r="C39" s="3" t="s">
        <v>6</v>
      </c>
      <c r="D39" s="3" t="s">
        <v>35</v>
      </c>
      <c r="E39" s="3">
        <v>11</v>
      </c>
      <c r="F39" s="5">
        <f t="shared" si="0"/>
        <v>44</v>
      </c>
    </row>
    <row r="40" spans="1:6" x14ac:dyDescent="0.25">
      <c r="A40" s="4">
        <v>42174</v>
      </c>
      <c r="B40" s="3" t="s">
        <v>29</v>
      </c>
      <c r="C40" s="3" t="s">
        <v>6</v>
      </c>
      <c r="D40" s="3" t="s">
        <v>33</v>
      </c>
      <c r="E40" s="3">
        <v>21</v>
      </c>
      <c r="F40" s="5">
        <f t="shared" si="0"/>
        <v>105</v>
      </c>
    </row>
    <row r="41" spans="1:6" x14ac:dyDescent="0.25">
      <c r="A41" s="4">
        <v>42167</v>
      </c>
      <c r="B41" s="3" t="s">
        <v>26</v>
      </c>
      <c r="C41" s="3" t="s">
        <v>2</v>
      </c>
      <c r="D41" s="3" t="s">
        <v>35</v>
      </c>
      <c r="E41" s="3">
        <v>49</v>
      </c>
      <c r="F41" s="5">
        <f t="shared" si="0"/>
        <v>196</v>
      </c>
    </row>
    <row r="42" spans="1:6" x14ac:dyDescent="0.25">
      <c r="A42" s="4">
        <v>42066</v>
      </c>
      <c r="B42" s="3" t="s">
        <v>26</v>
      </c>
      <c r="C42" s="3" t="s">
        <v>5</v>
      </c>
      <c r="D42" s="3" t="s">
        <v>28</v>
      </c>
      <c r="E42" s="3">
        <v>44</v>
      </c>
      <c r="F42" s="5">
        <f t="shared" si="0"/>
        <v>88</v>
      </c>
    </row>
    <row r="43" spans="1:6" x14ac:dyDescent="0.25">
      <c r="A43" s="4">
        <v>42040</v>
      </c>
      <c r="B43" s="3" t="s">
        <v>37</v>
      </c>
      <c r="C43" s="3" t="s">
        <v>6</v>
      </c>
      <c r="D43" s="3" t="s">
        <v>36</v>
      </c>
      <c r="E43" s="3">
        <v>27</v>
      </c>
      <c r="F43" s="5">
        <f t="shared" si="0"/>
        <v>40.5</v>
      </c>
    </row>
    <row r="44" spans="1:6" x14ac:dyDescent="0.25">
      <c r="A44" s="4">
        <v>42142</v>
      </c>
      <c r="B44" s="3" t="s">
        <v>32</v>
      </c>
      <c r="C44" s="3" t="s">
        <v>6</v>
      </c>
      <c r="D44" s="3" t="s">
        <v>36</v>
      </c>
      <c r="E44" s="3">
        <v>30</v>
      </c>
      <c r="F44" s="5">
        <f t="shared" si="0"/>
        <v>45</v>
      </c>
    </row>
    <row r="45" spans="1:6" x14ac:dyDescent="0.25">
      <c r="A45" s="4">
        <v>42172</v>
      </c>
      <c r="B45" s="3" t="s">
        <v>26</v>
      </c>
      <c r="C45" s="3" t="s">
        <v>10</v>
      </c>
      <c r="D45" s="3" t="s">
        <v>36</v>
      </c>
      <c r="E45" s="3">
        <v>31</v>
      </c>
      <c r="F45" s="5">
        <f t="shared" si="0"/>
        <v>46.5</v>
      </c>
    </row>
    <row r="46" spans="1:6" x14ac:dyDescent="0.25">
      <c r="A46" s="4">
        <v>42118</v>
      </c>
      <c r="B46" s="3" t="s">
        <v>39</v>
      </c>
      <c r="C46" s="3" t="s">
        <v>6</v>
      </c>
      <c r="D46" s="3" t="s">
        <v>27</v>
      </c>
      <c r="E46" s="3">
        <v>3</v>
      </c>
      <c r="F46" s="5">
        <f t="shared" si="0"/>
        <v>1.5</v>
      </c>
    </row>
    <row r="47" spans="1:6" x14ac:dyDescent="0.25">
      <c r="A47" s="4">
        <v>42180</v>
      </c>
      <c r="B47" s="3" t="s">
        <v>38</v>
      </c>
      <c r="C47" s="3" t="s">
        <v>19</v>
      </c>
      <c r="D47" s="3" t="s">
        <v>28</v>
      </c>
      <c r="E47" s="3">
        <v>9</v>
      </c>
      <c r="F47" s="5">
        <f t="shared" si="0"/>
        <v>18</v>
      </c>
    </row>
    <row r="48" spans="1:6" x14ac:dyDescent="0.25">
      <c r="A48" s="4">
        <v>42114</v>
      </c>
      <c r="B48" s="3" t="s">
        <v>26</v>
      </c>
      <c r="C48" s="3" t="s">
        <v>19</v>
      </c>
      <c r="D48" s="3" t="s">
        <v>36</v>
      </c>
      <c r="E48" s="3">
        <v>50</v>
      </c>
      <c r="F48" s="5">
        <f t="shared" si="0"/>
        <v>75</v>
      </c>
    </row>
    <row r="49" spans="1:6" x14ac:dyDescent="0.25">
      <c r="A49" s="4">
        <v>42026</v>
      </c>
      <c r="B49" s="3" t="s">
        <v>32</v>
      </c>
      <c r="C49" s="3" t="s">
        <v>2</v>
      </c>
      <c r="D49" s="3" t="s">
        <v>33</v>
      </c>
      <c r="E49" s="3">
        <v>24</v>
      </c>
      <c r="F49" s="5">
        <f t="shared" si="0"/>
        <v>120</v>
      </c>
    </row>
    <row r="50" spans="1:6" x14ac:dyDescent="0.25">
      <c r="A50" s="4">
        <v>42087</v>
      </c>
      <c r="B50" s="3" t="s">
        <v>39</v>
      </c>
      <c r="C50" s="3" t="s">
        <v>2</v>
      </c>
      <c r="D50" s="3" t="s">
        <v>36</v>
      </c>
      <c r="E50" s="3">
        <v>29</v>
      </c>
      <c r="F50" s="5">
        <f t="shared" si="0"/>
        <v>43.5</v>
      </c>
    </row>
    <row r="51" spans="1:6" x14ac:dyDescent="0.25">
      <c r="A51" s="4">
        <v>42102</v>
      </c>
      <c r="B51" s="3" t="s">
        <v>26</v>
      </c>
      <c r="C51" s="3" t="s">
        <v>2</v>
      </c>
      <c r="D51" s="3" t="s">
        <v>35</v>
      </c>
      <c r="E51" s="3">
        <v>5</v>
      </c>
      <c r="F51" s="5">
        <f t="shared" si="0"/>
        <v>20</v>
      </c>
    </row>
    <row r="52" spans="1:6" x14ac:dyDescent="0.25">
      <c r="A52" s="4">
        <v>42127</v>
      </c>
      <c r="B52" s="3" t="s">
        <v>37</v>
      </c>
      <c r="C52" s="3" t="s">
        <v>10</v>
      </c>
      <c r="D52" s="3" t="s">
        <v>28</v>
      </c>
      <c r="E52" s="3">
        <v>29</v>
      </c>
      <c r="F52" s="5">
        <f t="shared" si="0"/>
        <v>58</v>
      </c>
    </row>
    <row r="53" spans="1:6" x14ac:dyDescent="0.25">
      <c r="A53" s="4">
        <v>42150</v>
      </c>
      <c r="B53" s="3" t="s">
        <v>32</v>
      </c>
      <c r="C53" s="3" t="s">
        <v>5</v>
      </c>
      <c r="D53" s="3" t="s">
        <v>30</v>
      </c>
      <c r="E53" s="3">
        <v>37</v>
      </c>
      <c r="F53" s="5">
        <f t="shared" si="0"/>
        <v>3.7</v>
      </c>
    </row>
    <row r="54" spans="1:6" x14ac:dyDescent="0.25">
      <c r="A54" s="4">
        <v>42070</v>
      </c>
      <c r="B54" s="3" t="s">
        <v>26</v>
      </c>
      <c r="C54" s="3" t="s">
        <v>6</v>
      </c>
      <c r="D54" s="3" t="s">
        <v>27</v>
      </c>
      <c r="E54" s="3">
        <v>44</v>
      </c>
      <c r="F54" s="5">
        <f t="shared" si="0"/>
        <v>22</v>
      </c>
    </row>
    <row r="55" spans="1:6" x14ac:dyDescent="0.25">
      <c r="A55" s="4">
        <v>42138</v>
      </c>
      <c r="B55" s="3" t="s">
        <v>29</v>
      </c>
      <c r="C55" s="3" t="s">
        <v>10</v>
      </c>
      <c r="D55" s="3" t="s">
        <v>36</v>
      </c>
      <c r="E55" s="3">
        <v>18</v>
      </c>
      <c r="F55" s="5">
        <f t="shared" si="0"/>
        <v>27</v>
      </c>
    </row>
    <row r="56" spans="1:6" x14ac:dyDescent="0.25">
      <c r="A56" s="4">
        <v>42032</v>
      </c>
      <c r="B56" s="3" t="s">
        <v>39</v>
      </c>
      <c r="C56" s="3" t="s">
        <v>2</v>
      </c>
      <c r="D56" s="3" t="s">
        <v>35</v>
      </c>
      <c r="E56" s="3">
        <v>13</v>
      </c>
      <c r="F56" s="5">
        <f t="shared" si="0"/>
        <v>52</v>
      </c>
    </row>
    <row r="57" spans="1:6" x14ac:dyDescent="0.25">
      <c r="A57" s="4">
        <v>42173</v>
      </c>
      <c r="B57" s="3" t="s">
        <v>29</v>
      </c>
      <c r="C57" s="3" t="s">
        <v>10</v>
      </c>
      <c r="D57" s="3" t="s">
        <v>36</v>
      </c>
      <c r="E57" s="3">
        <v>17</v>
      </c>
      <c r="F57" s="5">
        <f t="shared" si="0"/>
        <v>25.5</v>
      </c>
    </row>
    <row r="58" spans="1:6" x14ac:dyDescent="0.25">
      <c r="A58" s="4">
        <v>42019</v>
      </c>
      <c r="B58" s="3" t="s">
        <v>39</v>
      </c>
      <c r="C58" s="3" t="s">
        <v>2</v>
      </c>
      <c r="D58" s="3" t="s">
        <v>36</v>
      </c>
      <c r="E58" s="3">
        <v>45</v>
      </c>
      <c r="F58" s="5">
        <f t="shared" si="0"/>
        <v>67.5</v>
      </c>
    </row>
    <row r="59" spans="1:6" x14ac:dyDescent="0.25">
      <c r="A59" s="4">
        <v>42047</v>
      </c>
      <c r="B59" s="3" t="s">
        <v>37</v>
      </c>
      <c r="C59" s="3" t="s">
        <v>2</v>
      </c>
      <c r="D59" s="3" t="s">
        <v>33</v>
      </c>
      <c r="E59" s="3">
        <v>29</v>
      </c>
      <c r="F59" s="5">
        <f t="shared" si="0"/>
        <v>145</v>
      </c>
    </row>
    <row r="60" spans="1:6" x14ac:dyDescent="0.25">
      <c r="A60" s="4">
        <v>42017</v>
      </c>
      <c r="B60" s="3" t="s">
        <v>38</v>
      </c>
      <c r="C60" s="3" t="s">
        <v>2</v>
      </c>
      <c r="D60" s="3" t="s">
        <v>36</v>
      </c>
      <c r="E60" s="3">
        <v>11</v>
      </c>
      <c r="F60" s="5">
        <f t="shared" si="0"/>
        <v>16.5</v>
      </c>
    </row>
    <row r="61" spans="1:6" x14ac:dyDescent="0.25">
      <c r="A61" s="4">
        <v>42043</v>
      </c>
      <c r="B61" s="3" t="s">
        <v>38</v>
      </c>
      <c r="C61" s="3" t="s">
        <v>10</v>
      </c>
      <c r="D61" s="3" t="s">
        <v>36</v>
      </c>
      <c r="E61" s="3">
        <v>4</v>
      </c>
      <c r="F61" s="5">
        <f t="shared" si="0"/>
        <v>6</v>
      </c>
    </row>
    <row r="62" spans="1:6" x14ac:dyDescent="0.25">
      <c r="A62" s="4">
        <v>42160</v>
      </c>
      <c r="B62" s="3" t="s">
        <v>32</v>
      </c>
      <c r="C62" s="3" t="s">
        <v>6</v>
      </c>
      <c r="D62" s="3" t="s">
        <v>31</v>
      </c>
      <c r="E62" s="3">
        <v>10</v>
      </c>
      <c r="F62" s="5">
        <f t="shared" si="0"/>
        <v>25</v>
      </c>
    </row>
    <row r="63" spans="1:6" x14ac:dyDescent="0.25">
      <c r="A63" s="4">
        <v>42018</v>
      </c>
      <c r="B63" s="3" t="s">
        <v>29</v>
      </c>
      <c r="C63" s="3" t="s">
        <v>10</v>
      </c>
      <c r="D63" s="3" t="s">
        <v>33</v>
      </c>
      <c r="E63" s="3">
        <v>15</v>
      </c>
      <c r="F63" s="5">
        <f t="shared" si="0"/>
        <v>75</v>
      </c>
    </row>
    <row r="64" spans="1:6" x14ac:dyDescent="0.25">
      <c r="A64" s="4">
        <v>42076</v>
      </c>
      <c r="B64" s="3" t="s">
        <v>32</v>
      </c>
      <c r="C64" s="3" t="s">
        <v>2</v>
      </c>
      <c r="D64" s="3" t="s">
        <v>28</v>
      </c>
      <c r="E64" s="3">
        <v>29</v>
      </c>
      <c r="F64" s="5">
        <f t="shared" si="0"/>
        <v>58</v>
      </c>
    </row>
    <row r="65" spans="1:6" x14ac:dyDescent="0.25">
      <c r="A65" s="4">
        <v>42032</v>
      </c>
      <c r="B65" s="3" t="s">
        <v>32</v>
      </c>
      <c r="C65" s="3" t="s">
        <v>19</v>
      </c>
      <c r="D65" s="3" t="s">
        <v>27</v>
      </c>
      <c r="E65" s="3">
        <v>9</v>
      </c>
      <c r="F65" s="5">
        <f t="shared" si="0"/>
        <v>4.5</v>
      </c>
    </row>
    <row r="66" spans="1:6" x14ac:dyDescent="0.25">
      <c r="A66" s="4">
        <v>42021</v>
      </c>
      <c r="B66" s="3" t="s">
        <v>38</v>
      </c>
      <c r="C66" s="3" t="s">
        <v>6</v>
      </c>
      <c r="D66" s="3" t="s">
        <v>30</v>
      </c>
      <c r="E66" s="3">
        <v>21</v>
      </c>
      <c r="F66" s="5">
        <f t="shared" si="0"/>
        <v>2.1</v>
      </c>
    </row>
    <row r="67" spans="1:6" x14ac:dyDescent="0.25">
      <c r="A67" s="4">
        <v>42077</v>
      </c>
      <c r="B67" s="3" t="s">
        <v>39</v>
      </c>
      <c r="C67" s="3" t="s">
        <v>5</v>
      </c>
      <c r="D67" s="3" t="s">
        <v>34</v>
      </c>
      <c r="E67" s="3">
        <v>35</v>
      </c>
      <c r="F67" s="5">
        <f t="shared" si="0"/>
        <v>7</v>
      </c>
    </row>
    <row r="68" spans="1:6" x14ac:dyDescent="0.25">
      <c r="A68" s="4">
        <v>42070</v>
      </c>
      <c r="B68" s="3" t="s">
        <v>37</v>
      </c>
      <c r="C68" s="3" t="s">
        <v>6</v>
      </c>
      <c r="D68" s="3" t="s">
        <v>34</v>
      </c>
      <c r="E68" s="3">
        <v>21</v>
      </c>
      <c r="F68" s="5">
        <f t="shared" si="0"/>
        <v>4.2</v>
      </c>
    </row>
    <row r="69" spans="1:6" x14ac:dyDescent="0.25">
      <c r="A69" s="4">
        <v>42146</v>
      </c>
      <c r="B69" s="3" t="s">
        <v>39</v>
      </c>
      <c r="C69" s="3" t="s">
        <v>2</v>
      </c>
      <c r="D69" s="3" t="s">
        <v>28</v>
      </c>
      <c r="E69" s="3">
        <v>4</v>
      </c>
      <c r="F69" s="5">
        <f t="shared" si="0"/>
        <v>8</v>
      </c>
    </row>
    <row r="70" spans="1:6" x14ac:dyDescent="0.25">
      <c r="A70" s="4">
        <v>42169</v>
      </c>
      <c r="B70" s="3" t="s">
        <v>38</v>
      </c>
      <c r="C70" s="3" t="s">
        <v>2</v>
      </c>
      <c r="D70" s="3" t="s">
        <v>36</v>
      </c>
      <c r="E70" s="3">
        <v>5</v>
      </c>
      <c r="F70" s="5">
        <f t="shared" si="0"/>
        <v>7.5</v>
      </c>
    </row>
    <row r="71" spans="1:6" x14ac:dyDescent="0.25">
      <c r="A71" s="4">
        <v>42098</v>
      </c>
      <c r="B71" s="3" t="s">
        <v>37</v>
      </c>
      <c r="C71" s="3" t="s">
        <v>2</v>
      </c>
      <c r="D71" s="3" t="s">
        <v>30</v>
      </c>
      <c r="E71" s="3">
        <v>17</v>
      </c>
      <c r="F71" s="5">
        <f t="shared" ref="F71:F134" si="1">E71*VLOOKUP(D71,$W$6:$X$13,2,0)</f>
        <v>1.7000000000000002</v>
      </c>
    </row>
    <row r="72" spans="1:6" x14ac:dyDescent="0.25">
      <c r="A72" s="4">
        <v>42080</v>
      </c>
      <c r="B72" s="3" t="s">
        <v>38</v>
      </c>
      <c r="C72" s="3" t="s">
        <v>19</v>
      </c>
      <c r="D72" s="3" t="s">
        <v>27</v>
      </c>
      <c r="E72" s="3">
        <v>2</v>
      </c>
      <c r="F72" s="5">
        <f t="shared" si="1"/>
        <v>1</v>
      </c>
    </row>
    <row r="73" spans="1:6" x14ac:dyDescent="0.25">
      <c r="A73" s="4">
        <v>42132</v>
      </c>
      <c r="B73" s="3" t="s">
        <v>37</v>
      </c>
      <c r="C73" s="3" t="s">
        <v>5</v>
      </c>
      <c r="D73" s="3" t="s">
        <v>30</v>
      </c>
      <c r="E73" s="3">
        <v>11</v>
      </c>
      <c r="F73" s="5">
        <f t="shared" si="1"/>
        <v>1.1000000000000001</v>
      </c>
    </row>
    <row r="74" spans="1:6" x14ac:dyDescent="0.25">
      <c r="A74" s="4">
        <v>42145</v>
      </c>
      <c r="B74" s="3" t="s">
        <v>38</v>
      </c>
      <c r="C74" s="3" t="s">
        <v>10</v>
      </c>
      <c r="D74" s="3" t="s">
        <v>30</v>
      </c>
      <c r="E74" s="3">
        <v>37</v>
      </c>
      <c r="F74" s="5">
        <f t="shared" si="1"/>
        <v>3.7</v>
      </c>
    </row>
    <row r="75" spans="1:6" x14ac:dyDescent="0.25">
      <c r="A75" s="4">
        <v>42179</v>
      </c>
      <c r="B75" s="3" t="s">
        <v>37</v>
      </c>
      <c r="C75" s="3" t="s">
        <v>2</v>
      </c>
      <c r="D75" s="3" t="s">
        <v>34</v>
      </c>
      <c r="E75" s="3">
        <v>26</v>
      </c>
      <c r="F75" s="5">
        <f t="shared" si="1"/>
        <v>5.2</v>
      </c>
    </row>
    <row r="76" spans="1:6" x14ac:dyDescent="0.25">
      <c r="A76" s="4">
        <v>42016</v>
      </c>
      <c r="B76" s="3" t="s">
        <v>32</v>
      </c>
      <c r="C76" s="3" t="s">
        <v>19</v>
      </c>
      <c r="D76" s="3" t="s">
        <v>27</v>
      </c>
      <c r="E76" s="3">
        <v>45</v>
      </c>
      <c r="F76" s="5">
        <f t="shared" si="1"/>
        <v>22.5</v>
      </c>
    </row>
    <row r="77" spans="1:6" x14ac:dyDescent="0.25">
      <c r="A77" s="4">
        <v>42011</v>
      </c>
      <c r="B77" s="3" t="s">
        <v>29</v>
      </c>
      <c r="C77" s="3" t="s">
        <v>6</v>
      </c>
      <c r="D77" s="3" t="s">
        <v>35</v>
      </c>
      <c r="E77" s="3">
        <v>31</v>
      </c>
      <c r="F77" s="5">
        <f t="shared" si="1"/>
        <v>124</v>
      </c>
    </row>
    <row r="78" spans="1:6" x14ac:dyDescent="0.25">
      <c r="A78" s="4">
        <v>42107</v>
      </c>
      <c r="B78" s="3" t="s">
        <v>39</v>
      </c>
      <c r="C78" s="3" t="s">
        <v>6</v>
      </c>
      <c r="D78" s="3" t="s">
        <v>30</v>
      </c>
      <c r="E78" s="3">
        <v>25</v>
      </c>
      <c r="F78" s="5">
        <f t="shared" si="1"/>
        <v>2.5</v>
      </c>
    </row>
    <row r="79" spans="1:6" x14ac:dyDescent="0.25">
      <c r="A79" s="4">
        <v>42152</v>
      </c>
      <c r="B79" s="3" t="s">
        <v>38</v>
      </c>
      <c r="C79" s="3" t="s">
        <v>10</v>
      </c>
      <c r="D79" s="3" t="s">
        <v>28</v>
      </c>
      <c r="E79" s="3">
        <v>12</v>
      </c>
      <c r="F79" s="5">
        <f t="shared" si="1"/>
        <v>24</v>
      </c>
    </row>
    <row r="80" spans="1:6" x14ac:dyDescent="0.25">
      <c r="A80" s="4">
        <v>42161</v>
      </c>
      <c r="B80" s="3" t="s">
        <v>32</v>
      </c>
      <c r="C80" s="3" t="s">
        <v>6</v>
      </c>
      <c r="D80" s="3" t="s">
        <v>28</v>
      </c>
      <c r="E80" s="3">
        <v>25</v>
      </c>
      <c r="F80" s="5">
        <f t="shared" si="1"/>
        <v>50</v>
      </c>
    </row>
    <row r="81" spans="1:6" x14ac:dyDescent="0.25">
      <c r="A81" s="4">
        <v>42118</v>
      </c>
      <c r="B81" s="3" t="s">
        <v>38</v>
      </c>
      <c r="C81" s="3" t="s">
        <v>5</v>
      </c>
      <c r="D81" s="3" t="s">
        <v>35</v>
      </c>
      <c r="E81" s="3">
        <v>48</v>
      </c>
      <c r="F81" s="5">
        <f t="shared" si="1"/>
        <v>192</v>
      </c>
    </row>
    <row r="82" spans="1:6" x14ac:dyDescent="0.25">
      <c r="A82" s="4">
        <v>42141</v>
      </c>
      <c r="B82" s="3" t="s">
        <v>38</v>
      </c>
      <c r="C82" s="3" t="s">
        <v>10</v>
      </c>
      <c r="D82" s="3" t="s">
        <v>35</v>
      </c>
      <c r="E82" s="3">
        <v>32</v>
      </c>
      <c r="F82" s="5">
        <f t="shared" si="1"/>
        <v>128</v>
      </c>
    </row>
    <row r="83" spans="1:6" x14ac:dyDescent="0.25">
      <c r="A83" s="4">
        <v>42064</v>
      </c>
      <c r="B83" s="3" t="s">
        <v>29</v>
      </c>
      <c r="C83" s="3" t="s">
        <v>5</v>
      </c>
      <c r="D83" s="3" t="s">
        <v>33</v>
      </c>
      <c r="E83" s="3">
        <v>4</v>
      </c>
      <c r="F83" s="5">
        <f t="shared" si="1"/>
        <v>20</v>
      </c>
    </row>
    <row r="84" spans="1:6" x14ac:dyDescent="0.25">
      <c r="A84" s="4">
        <v>42141</v>
      </c>
      <c r="B84" s="3" t="s">
        <v>26</v>
      </c>
      <c r="C84" s="3" t="s">
        <v>6</v>
      </c>
      <c r="D84" s="3" t="s">
        <v>33</v>
      </c>
      <c r="E84" s="3">
        <v>35</v>
      </c>
      <c r="F84" s="5">
        <f t="shared" si="1"/>
        <v>175</v>
      </c>
    </row>
    <row r="85" spans="1:6" x14ac:dyDescent="0.25">
      <c r="A85" s="4">
        <v>42090</v>
      </c>
      <c r="B85" s="3" t="s">
        <v>26</v>
      </c>
      <c r="C85" s="3" t="s">
        <v>6</v>
      </c>
      <c r="D85" s="3" t="s">
        <v>35</v>
      </c>
      <c r="E85" s="3">
        <v>50</v>
      </c>
      <c r="F85" s="5">
        <f t="shared" si="1"/>
        <v>200</v>
      </c>
    </row>
    <row r="86" spans="1:6" x14ac:dyDescent="0.25">
      <c r="A86" s="4">
        <v>42052</v>
      </c>
      <c r="B86" s="3" t="s">
        <v>39</v>
      </c>
      <c r="C86" s="3" t="s">
        <v>2</v>
      </c>
      <c r="D86" s="3" t="s">
        <v>30</v>
      </c>
      <c r="E86" s="3">
        <v>27</v>
      </c>
      <c r="F86" s="5">
        <f t="shared" si="1"/>
        <v>2.7</v>
      </c>
    </row>
    <row r="87" spans="1:6" x14ac:dyDescent="0.25">
      <c r="A87" s="4">
        <v>42123</v>
      </c>
      <c r="B87" s="3" t="s">
        <v>29</v>
      </c>
      <c r="C87" s="3" t="s">
        <v>6</v>
      </c>
      <c r="D87" s="3" t="s">
        <v>35</v>
      </c>
      <c r="E87" s="3">
        <v>36</v>
      </c>
      <c r="F87" s="5">
        <f t="shared" si="1"/>
        <v>144</v>
      </c>
    </row>
    <row r="88" spans="1:6" x14ac:dyDescent="0.25">
      <c r="A88" s="4">
        <v>42182</v>
      </c>
      <c r="B88" s="3" t="s">
        <v>38</v>
      </c>
      <c r="C88" s="3" t="s">
        <v>6</v>
      </c>
      <c r="D88" s="3" t="s">
        <v>28</v>
      </c>
      <c r="E88" s="3">
        <v>36</v>
      </c>
      <c r="F88" s="5">
        <f t="shared" si="1"/>
        <v>72</v>
      </c>
    </row>
    <row r="89" spans="1:6" x14ac:dyDescent="0.25">
      <c r="A89" s="4">
        <v>42126</v>
      </c>
      <c r="B89" s="3" t="s">
        <v>29</v>
      </c>
      <c r="C89" s="3" t="s">
        <v>2</v>
      </c>
      <c r="D89" s="3" t="s">
        <v>35</v>
      </c>
      <c r="E89" s="3">
        <v>5</v>
      </c>
      <c r="F89" s="5">
        <f t="shared" si="1"/>
        <v>20</v>
      </c>
    </row>
    <row r="90" spans="1:6" x14ac:dyDescent="0.25">
      <c r="A90" s="4">
        <v>42050</v>
      </c>
      <c r="B90" s="3" t="s">
        <v>38</v>
      </c>
      <c r="C90" s="3" t="s">
        <v>19</v>
      </c>
      <c r="D90" s="3" t="s">
        <v>27</v>
      </c>
      <c r="E90" s="3">
        <v>11</v>
      </c>
      <c r="F90" s="5">
        <f t="shared" si="1"/>
        <v>5.5</v>
      </c>
    </row>
    <row r="91" spans="1:6" x14ac:dyDescent="0.25">
      <c r="A91" s="4">
        <v>42072</v>
      </c>
      <c r="B91" s="3" t="s">
        <v>39</v>
      </c>
      <c r="C91" s="3" t="s">
        <v>10</v>
      </c>
      <c r="D91" s="3" t="s">
        <v>33</v>
      </c>
      <c r="E91" s="3">
        <v>7</v>
      </c>
      <c r="F91" s="5">
        <f t="shared" si="1"/>
        <v>35</v>
      </c>
    </row>
    <row r="92" spans="1:6" x14ac:dyDescent="0.25">
      <c r="A92" s="4">
        <v>42035</v>
      </c>
      <c r="B92" s="3" t="s">
        <v>37</v>
      </c>
      <c r="C92" s="3" t="s">
        <v>5</v>
      </c>
      <c r="D92" s="3" t="s">
        <v>33</v>
      </c>
      <c r="E92" s="3">
        <v>40</v>
      </c>
      <c r="F92" s="5">
        <f t="shared" si="1"/>
        <v>200</v>
      </c>
    </row>
    <row r="93" spans="1:6" x14ac:dyDescent="0.25">
      <c r="A93" s="4">
        <v>42169</v>
      </c>
      <c r="B93" s="3" t="s">
        <v>37</v>
      </c>
      <c r="C93" s="3" t="s">
        <v>5</v>
      </c>
      <c r="D93" s="3" t="s">
        <v>28</v>
      </c>
      <c r="E93" s="3">
        <v>44</v>
      </c>
      <c r="F93" s="5">
        <f t="shared" si="1"/>
        <v>88</v>
      </c>
    </row>
    <row r="94" spans="1:6" x14ac:dyDescent="0.25">
      <c r="A94" s="4">
        <v>42133</v>
      </c>
      <c r="B94" s="3" t="s">
        <v>39</v>
      </c>
      <c r="C94" s="3" t="s">
        <v>2</v>
      </c>
      <c r="D94" s="3" t="s">
        <v>34</v>
      </c>
      <c r="E94" s="3">
        <v>50</v>
      </c>
      <c r="F94" s="5">
        <f t="shared" si="1"/>
        <v>10</v>
      </c>
    </row>
    <row r="95" spans="1:6" x14ac:dyDescent="0.25">
      <c r="A95" s="4">
        <v>42132</v>
      </c>
      <c r="B95" s="3" t="s">
        <v>37</v>
      </c>
      <c r="C95" s="3" t="s">
        <v>2</v>
      </c>
      <c r="D95" s="3" t="s">
        <v>35</v>
      </c>
      <c r="E95" s="3">
        <v>22</v>
      </c>
      <c r="F95" s="5">
        <f t="shared" si="1"/>
        <v>88</v>
      </c>
    </row>
    <row r="96" spans="1:6" x14ac:dyDescent="0.25">
      <c r="A96" s="4">
        <v>42091</v>
      </c>
      <c r="B96" s="3" t="s">
        <v>37</v>
      </c>
      <c r="C96" s="3" t="s">
        <v>10</v>
      </c>
      <c r="D96" s="3" t="s">
        <v>27</v>
      </c>
      <c r="E96" s="3">
        <v>35</v>
      </c>
      <c r="F96" s="5">
        <f t="shared" si="1"/>
        <v>17.5</v>
      </c>
    </row>
    <row r="97" spans="1:6" x14ac:dyDescent="0.25">
      <c r="A97" s="4">
        <v>42180</v>
      </c>
      <c r="B97" s="3" t="s">
        <v>26</v>
      </c>
      <c r="C97" s="3" t="s">
        <v>10</v>
      </c>
      <c r="D97" s="3" t="s">
        <v>35</v>
      </c>
      <c r="E97" s="3">
        <v>22</v>
      </c>
      <c r="F97" s="5">
        <f t="shared" si="1"/>
        <v>88</v>
      </c>
    </row>
    <row r="98" spans="1:6" x14ac:dyDescent="0.25">
      <c r="A98" s="4">
        <v>42172</v>
      </c>
      <c r="B98" s="3" t="s">
        <v>26</v>
      </c>
      <c r="C98" s="3" t="s">
        <v>5</v>
      </c>
      <c r="D98" s="3" t="s">
        <v>30</v>
      </c>
      <c r="E98" s="3">
        <v>6</v>
      </c>
      <c r="F98" s="5">
        <f t="shared" si="1"/>
        <v>0.60000000000000009</v>
      </c>
    </row>
    <row r="99" spans="1:6" x14ac:dyDescent="0.25">
      <c r="A99" s="4">
        <v>42046</v>
      </c>
      <c r="B99" s="3" t="s">
        <v>37</v>
      </c>
      <c r="C99" s="3" t="s">
        <v>6</v>
      </c>
      <c r="D99" s="3" t="s">
        <v>35</v>
      </c>
      <c r="E99" s="3">
        <v>49</v>
      </c>
      <c r="F99" s="5">
        <f t="shared" si="1"/>
        <v>196</v>
      </c>
    </row>
    <row r="100" spans="1:6" x14ac:dyDescent="0.25">
      <c r="A100" s="4">
        <v>42039</v>
      </c>
      <c r="B100" s="3" t="s">
        <v>37</v>
      </c>
      <c r="C100" s="3" t="s">
        <v>19</v>
      </c>
      <c r="D100" s="3" t="s">
        <v>35</v>
      </c>
      <c r="E100" s="3">
        <v>24</v>
      </c>
      <c r="F100" s="5">
        <f t="shared" si="1"/>
        <v>96</v>
      </c>
    </row>
    <row r="101" spans="1:6" x14ac:dyDescent="0.25">
      <c r="A101" s="4">
        <v>42114</v>
      </c>
      <c r="B101" s="3" t="s">
        <v>26</v>
      </c>
      <c r="C101" s="3" t="s">
        <v>10</v>
      </c>
      <c r="D101" s="3" t="s">
        <v>31</v>
      </c>
      <c r="E101" s="3">
        <v>2</v>
      </c>
      <c r="F101" s="5">
        <f t="shared" si="1"/>
        <v>5</v>
      </c>
    </row>
    <row r="102" spans="1:6" x14ac:dyDescent="0.25">
      <c r="A102" s="4">
        <v>42165</v>
      </c>
      <c r="B102" s="3" t="s">
        <v>37</v>
      </c>
      <c r="C102" s="3" t="s">
        <v>2</v>
      </c>
      <c r="D102" s="3" t="s">
        <v>34</v>
      </c>
      <c r="E102" s="3">
        <v>20</v>
      </c>
      <c r="F102" s="5">
        <f t="shared" si="1"/>
        <v>4</v>
      </c>
    </row>
    <row r="103" spans="1:6" x14ac:dyDescent="0.25">
      <c r="A103" s="4">
        <v>42136</v>
      </c>
      <c r="B103" s="3" t="s">
        <v>38</v>
      </c>
      <c r="C103" s="3" t="s">
        <v>10</v>
      </c>
      <c r="D103" s="3" t="s">
        <v>36</v>
      </c>
      <c r="E103" s="3">
        <v>26</v>
      </c>
      <c r="F103" s="5">
        <f t="shared" si="1"/>
        <v>39</v>
      </c>
    </row>
    <row r="104" spans="1:6" x14ac:dyDescent="0.25">
      <c r="A104" s="4">
        <v>42121</v>
      </c>
      <c r="B104" s="3" t="s">
        <v>39</v>
      </c>
      <c r="C104" s="3" t="s">
        <v>19</v>
      </c>
      <c r="D104" s="3" t="s">
        <v>36</v>
      </c>
      <c r="E104" s="3">
        <v>24</v>
      </c>
      <c r="F104" s="5">
        <f t="shared" si="1"/>
        <v>36</v>
      </c>
    </row>
    <row r="105" spans="1:6" x14ac:dyDescent="0.25">
      <c r="A105" s="4">
        <v>42184</v>
      </c>
      <c r="B105" s="3" t="s">
        <v>38</v>
      </c>
      <c r="C105" s="3" t="s">
        <v>2</v>
      </c>
      <c r="D105" s="3" t="s">
        <v>28</v>
      </c>
      <c r="E105" s="3">
        <v>41</v>
      </c>
      <c r="F105" s="5">
        <f t="shared" si="1"/>
        <v>82</v>
      </c>
    </row>
    <row r="106" spans="1:6" x14ac:dyDescent="0.25">
      <c r="A106" s="4">
        <v>42026</v>
      </c>
      <c r="B106" s="3" t="s">
        <v>26</v>
      </c>
      <c r="C106" s="3" t="s">
        <v>2</v>
      </c>
      <c r="D106" s="3" t="s">
        <v>31</v>
      </c>
      <c r="E106" s="3">
        <v>27</v>
      </c>
      <c r="F106" s="5">
        <f t="shared" si="1"/>
        <v>67.5</v>
      </c>
    </row>
    <row r="107" spans="1:6" x14ac:dyDescent="0.25">
      <c r="A107" s="4">
        <v>42039</v>
      </c>
      <c r="B107" s="3" t="s">
        <v>29</v>
      </c>
      <c r="C107" s="3" t="s">
        <v>6</v>
      </c>
      <c r="D107" s="3" t="s">
        <v>31</v>
      </c>
      <c r="E107" s="3">
        <v>29</v>
      </c>
      <c r="F107" s="5">
        <f t="shared" si="1"/>
        <v>72.5</v>
      </c>
    </row>
    <row r="108" spans="1:6" x14ac:dyDescent="0.25">
      <c r="A108" s="4">
        <v>42174</v>
      </c>
      <c r="B108" s="3" t="s">
        <v>29</v>
      </c>
      <c r="C108" s="3" t="s">
        <v>5</v>
      </c>
      <c r="D108" s="3" t="s">
        <v>28</v>
      </c>
      <c r="E108" s="3">
        <v>40</v>
      </c>
      <c r="F108" s="5">
        <f t="shared" si="1"/>
        <v>80</v>
      </c>
    </row>
    <row r="109" spans="1:6" x14ac:dyDescent="0.25">
      <c r="A109" s="4">
        <v>42130</v>
      </c>
      <c r="B109" s="3" t="s">
        <v>37</v>
      </c>
      <c r="C109" s="3" t="s">
        <v>19</v>
      </c>
      <c r="D109" s="3" t="s">
        <v>34</v>
      </c>
      <c r="E109" s="3">
        <v>32</v>
      </c>
      <c r="F109" s="5">
        <f t="shared" si="1"/>
        <v>6.4</v>
      </c>
    </row>
    <row r="110" spans="1:6" x14ac:dyDescent="0.25">
      <c r="A110" s="4">
        <v>42013</v>
      </c>
      <c r="B110" s="3" t="s">
        <v>38</v>
      </c>
      <c r="C110" s="3" t="s">
        <v>2</v>
      </c>
      <c r="D110" s="3" t="s">
        <v>28</v>
      </c>
      <c r="E110" s="3">
        <v>29</v>
      </c>
      <c r="F110" s="5">
        <f t="shared" si="1"/>
        <v>58</v>
      </c>
    </row>
    <row r="111" spans="1:6" x14ac:dyDescent="0.25">
      <c r="A111" s="4">
        <v>42068</v>
      </c>
      <c r="B111" s="3" t="s">
        <v>32</v>
      </c>
      <c r="C111" s="3" t="s">
        <v>6</v>
      </c>
      <c r="D111" s="3" t="s">
        <v>31</v>
      </c>
      <c r="E111" s="3">
        <v>19</v>
      </c>
      <c r="F111" s="5">
        <f t="shared" si="1"/>
        <v>47.5</v>
      </c>
    </row>
    <row r="112" spans="1:6" x14ac:dyDescent="0.25">
      <c r="A112" s="4">
        <v>42093</v>
      </c>
      <c r="B112" s="3" t="s">
        <v>29</v>
      </c>
      <c r="C112" s="3" t="s">
        <v>5</v>
      </c>
      <c r="D112" s="3" t="s">
        <v>28</v>
      </c>
      <c r="E112" s="3">
        <v>15</v>
      </c>
      <c r="F112" s="5">
        <f t="shared" si="1"/>
        <v>30</v>
      </c>
    </row>
    <row r="113" spans="1:6" x14ac:dyDescent="0.25">
      <c r="A113" s="4">
        <v>42178</v>
      </c>
      <c r="B113" s="3" t="s">
        <v>37</v>
      </c>
      <c r="C113" s="3" t="s">
        <v>6</v>
      </c>
      <c r="D113" s="3" t="s">
        <v>30</v>
      </c>
      <c r="E113" s="3">
        <v>24</v>
      </c>
      <c r="F113" s="5">
        <f t="shared" si="1"/>
        <v>2.4000000000000004</v>
      </c>
    </row>
    <row r="114" spans="1:6" x14ac:dyDescent="0.25">
      <c r="A114" s="4">
        <v>42097</v>
      </c>
      <c r="B114" s="3" t="s">
        <v>38</v>
      </c>
      <c r="C114" s="3" t="s">
        <v>5</v>
      </c>
      <c r="D114" s="3" t="s">
        <v>28</v>
      </c>
      <c r="E114" s="3">
        <v>21</v>
      </c>
      <c r="F114" s="5">
        <f t="shared" si="1"/>
        <v>42</v>
      </c>
    </row>
    <row r="115" spans="1:6" x14ac:dyDescent="0.25">
      <c r="A115" s="4">
        <v>42140</v>
      </c>
      <c r="B115" s="3" t="s">
        <v>32</v>
      </c>
      <c r="C115" s="3" t="s">
        <v>10</v>
      </c>
      <c r="D115" s="3" t="s">
        <v>28</v>
      </c>
      <c r="E115" s="3">
        <v>16</v>
      </c>
      <c r="F115" s="5">
        <f t="shared" si="1"/>
        <v>32</v>
      </c>
    </row>
    <row r="116" spans="1:6" x14ac:dyDescent="0.25">
      <c r="A116" s="4">
        <v>42010</v>
      </c>
      <c r="B116" s="3" t="s">
        <v>38</v>
      </c>
      <c r="C116" s="3" t="s">
        <v>19</v>
      </c>
      <c r="D116" s="3" t="s">
        <v>31</v>
      </c>
      <c r="E116" s="3">
        <v>44</v>
      </c>
      <c r="F116" s="5">
        <f t="shared" si="1"/>
        <v>110</v>
      </c>
    </row>
    <row r="117" spans="1:6" x14ac:dyDescent="0.25">
      <c r="A117" s="4">
        <v>42019</v>
      </c>
      <c r="B117" s="3" t="s">
        <v>29</v>
      </c>
      <c r="C117" s="3" t="s">
        <v>5</v>
      </c>
      <c r="D117" s="3" t="s">
        <v>28</v>
      </c>
      <c r="E117" s="3">
        <v>4</v>
      </c>
      <c r="F117" s="5">
        <f t="shared" si="1"/>
        <v>8</v>
      </c>
    </row>
    <row r="118" spans="1:6" x14ac:dyDescent="0.25">
      <c r="A118" s="4">
        <v>42095</v>
      </c>
      <c r="B118" s="3" t="s">
        <v>39</v>
      </c>
      <c r="C118" s="3" t="s">
        <v>19</v>
      </c>
      <c r="D118" s="3" t="s">
        <v>28</v>
      </c>
      <c r="E118" s="3">
        <v>5</v>
      </c>
      <c r="F118" s="5">
        <f t="shared" si="1"/>
        <v>10</v>
      </c>
    </row>
    <row r="119" spans="1:6" x14ac:dyDescent="0.25">
      <c r="A119" s="4">
        <v>42089</v>
      </c>
      <c r="B119" s="3" t="s">
        <v>39</v>
      </c>
      <c r="C119" s="3" t="s">
        <v>19</v>
      </c>
      <c r="D119" s="3" t="s">
        <v>33</v>
      </c>
      <c r="E119" s="3">
        <v>1</v>
      </c>
      <c r="F119" s="5">
        <f t="shared" si="1"/>
        <v>5</v>
      </c>
    </row>
    <row r="120" spans="1:6" x14ac:dyDescent="0.25">
      <c r="A120" s="4">
        <v>42175</v>
      </c>
      <c r="B120" s="3" t="s">
        <v>37</v>
      </c>
      <c r="C120" s="3" t="s">
        <v>19</v>
      </c>
      <c r="D120" s="3" t="s">
        <v>30</v>
      </c>
      <c r="E120" s="3">
        <v>43</v>
      </c>
      <c r="F120" s="5">
        <f t="shared" si="1"/>
        <v>4.3</v>
      </c>
    </row>
    <row r="121" spans="1:6" x14ac:dyDescent="0.25">
      <c r="A121" s="4">
        <v>42138</v>
      </c>
      <c r="B121" s="3" t="s">
        <v>26</v>
      </c>
      <c r="C121" s="3" t="s">
        <v>5</v>
      </c>
      <c r="D121" s="3" t="s">
        <v>33</v>
      </c>
      <c r="E121" s="3">
        <v>34</v>
      </c>
      <c r="F121" s="5">
        <f t="shared" si="1"/>
        <v>170</v>
      </c>
    </row>
    <row r="122" spans="1:6" x14ac:dyDescent="0.25">
      <c r="A122" s="4">
        <v>42143</v>
      </c>
      <c r="B122" s="3" t="s">
        <v>29</v>
      </c>
      <c r="C122" s="3" t="s">
        <v>2</v>
      </c>
      <c r="D122" s="3" t="s">
        <v>31</v>
      </c>
      <c r="E122" s="3">
        <v>20</v>
      </c>
      <c r="F122" s="5">
        <f t="shared" si="1"/>
        <v>50</v>
      </c>
    </row>
    <row r="123" spans="1:6" x14ac:dyDescent="0.25">
      <c r="A123" s="4">
        <v>42011</v>
      </c>
      <c r="B123" s="3" t="s">
        <v>38</v>
      </c>
      <c r="C123" s="3" t="s">
        <v>5</v>
      </c>
      <c r="D123" s="3" t="s">
        <v>36</v>
      </c>
      <c r="E123" s="3">
        <v>17</v>
      </c>
      <c r="F123" s="5">
        <f t="shared" si="1"/>
        <v>25.5</v>
      </c>
    </row>
    <row r="124" spans="1:6" x14ac:dyDescent="0.25">
      <c r="A124" s="4">
        <v>42138</v>
      </c>
      <c r="B124" s="3" t="s">
        <v>39</v>
      </c>
      <c r="C124" s="3" t="s">
        <v>6</v>
      </c>
      <c r="D124" s="3" t="s">
        <v>36</v>
      </c>
      <c r="E124" s="3">
        <v>23</v>
      </c>
      <c r="F124" s="5">
        <f t="shared" si="1"/>
        <v>34.5</v>
      </c>
    </row>
    <row r="125" spans="1:6" x14ac:dyDescent="0.25">
      <c r="A125" s="4">
        <v>42166</v>
      </c>
      <c r="B125" s="3" t="s">
        <v>37</v>
      </c>
      <c r="C125" s="3" t="s">
        <v>19</v>
      </c>
      <c r="D125" s="3" t="s">
        <v>30</v>
      </c>
      <c r="E125" s="3">
        <v>22</v>
      </c>
      <c r="F125" s="5">
        <f t="shared" si="1"/>
        <v>2.2000000000000002</v>
      </c>
    </row>
    <row r="126" spans="1:6" x14ac:dyDescent="0.25">
      <c r="A126" s="4">
        <v>42043</v>
      </c>
      <c r="B126" s="3" t="s">
        <v>39</v>
      </c>
      <c r="C126" s="3" t="s">
        <v>6</v>
      </c>
      <c r="D126" s="3" t="s">
        <v>33</v>
      </c>
      <c r="E126" s="3">
        <v>40</v>
      </c>
      <c r="F126" s="5">
        <f t="shared" si="1"/>
        <v>200</v>
      </c>
    </row>
    <row r="127" spans="1:6" x14ac:dyDescent="0.25">
      <c r="A127" s="4">
        <v>42184</v>
      </c>
      <c r="B127" s="3" t="s">
        <v>29</v>
      </c>
      <c r="C127" s="3" t="s">
        <v>6</v>
      </c>
      <c r="D127" s="3" t="s">
        <v>35</v>
      </c>
      <c r="E127" s="3">
        <v>50</v>
      </c>
      <c r="F127" s="5">
        <f t="shared" si="1"/>
        <v>200</v>
      </c>
    </row>
    <row r="128" spans="1:6" x14ac:dyDescent="0.25">
      <c r="A128" s="4">
        <v>42176</v>
      </c>
      <c r="B128" s="3" t="s">
        <v>39</v>
      </c>
      <c r="C128" s="3" t="s">
        <v>5</v>
      </c>
      <c r="D128" s="3" t="s">
        <v>30</v>
      </c>
      <c r="E128" s="3">
        <v>29</v>
      </c>
      <c r="F128" s="5">
        <f t="shared" si="1"/>
        <v>2.9000000000000004</v>
      </c>
    </row>
    <row r="129" spans="1:6" x14ac:dyDescent="0.25">
      <c r="A129" s="4">
        <v>42062</v>
      </c>
      <c r="B129" s="3" t="s">
        <v>38</v>
      </c>
      <c r="C129" s="3" t="s">
        <v>10</v>
      </c>
      <c r="D129" s="3" t="s">
        <v>34</v>
      </c>
      <c r="E129" s="3">
        <v>17</v>
      </c>
      <c r="F129" s="5">
        <f t="shared" si="1"/>
        <v>3.4000000000000004</v>
      </c>
    </row>
    <row r="130" spans="1:6" x14ac:dyDescent="0.25">
      <c r="A130" s="4">
        <v>42162</v>
      </c>
      <c r="B130" s="3" t="s">
        <v>26</v>
      </c>
      <c r="C130" s="3" t="s">
        <v>19</v>
      </c>
      <c r="D130" s="3" t="s">
        <v>35</v>
      </c>
      <c r="E130" s="3">
        <v>42</v>
      </c>
      <c r="F130" s="5">
        <f t="shared" si="1"/>
        <v>168</v>
      </c>
    </row>
    <row r="131" spans="1:6" x14ac:dyDescent="0.25">
      <c r="A131" s="4">
        <v>42127</v>
      </c>
      <c r="B131" s="3" t="s">
        <v>26</v>
      </c>
      <c r="C131" s="3" t="s">
        <v>10</v>
      </c>
      <c r="D131" s="3" t="s">
        <v>28</v>
      </c>
      <c r="E131" s="3">
        <v>50</v>
      </c>
      <c r="F131" s="5">
        <f t="shared" si="1"/>
        <v>100</v>
      </c>
    </row>
    <row r="132" spans="1:6" x14ac:dyDescent="0.25">
      <c r="A132" s="4">
        <v>42100</v>
      </c>
      <c r="B132" s="3" t="s">
        <v>39</v>
      </c>
      <c r="C132" s="3" t="s">
        <v>19</v>
      </c>
      <c r="D132" s="3" t="s">
        <v>35</v>
      </c>
      <c r="E132" s="3">
        <v>20</v>
      </c>
      <c r="F132" s="5">
        <f t="shared" si="1"/>
        <v>80</v>
      </c>
    </row>
    <row r="133" spans="1:6" x14ac:dyDescent="0.25">
      <c r="A133" s="4">
        <v>42164</v>
      </c>
      <c r="B133" s="3" t="s">
        <v>32</v>
      </c>
      <c r="C133" s="3" t="s">
        <v>2</v>
      </c>
      <c r="D133" s="3" t="s">
        <v>30</v>
      </c>
      <c r="E133" s="3">
        <v>7</v>
      </c>
      <c r="F133" s="5">
        <f t="shared" si="1"/>
        <v>0.70000000000000007</v>
      </c>
    </row>
    <row r="134" spans="1:6" x14ac:dyDescent="0.25">
      <c r="A134" s="4">
        <v>42074</v>
      </c>
      <c r="B134" s="3" t="s">
        <v>26</v>
      </c>
      <c r="C134" s="3" t="s">
        <v>6</v>
      </c>
      <c r="D134" s="3" t="s">
        <v>34</v>
      </c>
      <c r="E134" s="3">
        <v>23</v>
      </c>
      <c r="F134" s="5">
        <f t="shared" si="1"/>
        <v>4.6000000000000005</v>
      </c>
    </row>
    <row r="135" spans="1:6" x14ac:dyDescent="0.25">
      <c r="A135" s="4">
        <v>42168</v>
      </c>
      <c r="B135" s="3" t="s">
        <v>29</v>
      </c>
      <c r="C135" s="3" t="s">
        <v>10</v>
      </c>
      <c r="D135" s="3" t="s">
        <v>30</v>
      </c>
      <c r="E135" s="3">
        <v>41</v>
      </c>
      <c r="F135" s="5">
        <f t="shared" ref="F135:F198" si="2">E135*VLOOKUP(D135,$W$6:$X$13,2,0)</f>
        <v>4.1000000000000005</v>
      </c>
    </row>
    <row r="136" spans="1:6" x14ac:dyDescent="0.25">
      <c r="A136" s="4">
        <v>42067</v>
      </c>
      <c r="B136" s="3" t="s">
        <v>32</v>
      </c>
      <c r="C136" s="3" t="s">
        <v>10</v>
      </c>
      <c r="D136" s="3" t="s">
        <v>33</v>
      </c>
      <c r="E136" s="3">
        <v>10</v>
      </c>
      <c r="F136" s="5">
        <f t="shared" si="2"/>
        <v>50</v>
      </c>
    </row>
    <row r="137" spans="1:6" x14ac:dyDescent="0.25">
      <c r="A137" s="4">
        <v>42133</v>
      </c>
      <c r="B137" s="3" t="s">
        <v>32</v>
      </c>
      <c r="C137" s="3" t="s">
        <v>6</v>
      </c>
      <c r="D137" s="3" t="s">
        <v>27</v>
      </c>
      <c r="E137" s="3">
        <v>50</v>
      </c>
      <c r="F137" s="5">
        <f t="shared" si="2"/>
        <v>25</v>
      </c>
    </row>
    <row r="138" spans="1:6" x14ac:dyDescent="0.25">
      <c r="A138" s="4">
        <v>42161</v>
      </c>
      <c r="B138" s="3" t="s">
        <v>38</v>
      </c>
      <c r="C138" s="3" t="s">
        <v>19</v>
      </c>
      <c r="D138" s="3" t="s">
        <v>34</v>
      </c>
      <c r="E138" s="3">
        <v>6</v>
      </c>
      <c r="F138" s="5">
        <f t="shared" si="2"/>
        <v>1.2000000000000002</v>
      </c>
    </row>
    <row r="139" spans="1:6" x14ac:dyDescent="0.25">
      <c r="A139" s="4">
        <v>42032</v>
      </c>
      <c r="B139" s="3" t="s">
        <v>37</v>
      </c>
      <c r="C139" s="3" t="s">
        <v>2</v>
      </c>
      <c r="D139" s="3" t="s">
        <v>31</v>
      </c>
      <c r="E139" s="3">
        <v>37</v>
      </c>
      <c r="F139" s="5">
        <f t="shared" si="2"/>
        <v>92.5</v>
      </c>
    </row>
    <row r="140" spans="1:6" x14ac:dyDescent="0.25">
      <c r="A140" s="4">
        <v>42117</v>
      </c>
      <c r="B140" s="3" t="s">
        <v>26</v>
      </c>
      <c r="C140" s="3" t="s">
        <v>2</v>
      </c>
      <c r="D140" s="3" t="s">
        <v>30</v>
      </c>
      <c r="E140" s="3">
        <v>2</v>
      </c>
      <c r="F140" s="5">
        <f t="shared" si="2"/>
        <v>0.2</v>
      </c>
    </row>
    <row r="141" spans="1:6" x14ac:dyDescent="0.25">
      <c r="A141" s="4">
        <v>42125</v>
      </c>
      <c r="B141" s="3" t="s">
        <v>37</v>
      </c>
      <c r="C141" s="3" t="s">
        <v>2</v>
      </c>
      <c r="D141" s="3" t="s">
        <v>36</v>
      </c>
      <c r="E141" s="3">
        <v>36</v>
      </c>
      <c r="F141" s="5">
        <f t="shared" si="2"/>
        <v>54</v>
      </c>
    </row>
    <row r="142" spans="1:6" x14ac:dyDescent="0.25">
      <c r="A142" s="4">
        <v>42153</v>
      </c>
      <c r="B142" s="3" t="s">
        <v>38</v>
      </c>
      <c r="C142" s="3" t="s">
        <v>5</v>
      </c>
      <c r="D142" s="3" t="s">
        <v>30</v>
      </c>
      <c r="E142" s="3">
        <v>28</v>
      </c>
      <c r="F142" s="5">
        <f t="shared" si="2"/>
        <v>2.8000000000000003</v>
      </c>
    </row>
    <row r="143" spans="1:6" x14ac:dyDescent="0.25">
      <c r="A143" s="4">
        <v>42149</v>
      </c>
      <c r="B143" s="3" t="s">
        <v>32</v>
      </c>
      <c r="C143" s="3" t="s">
        <v>10</v>
      </c>
      <c r="D143" s="3" t="s">
        <v>33</v>
      </c>
      <c r="E143" s="3">
        <v>10</v>
      </c>
      <c r="F143" s="5">
        <f t="shared" si="2"/>
        <v>50</v>
      </c>
    </row>
    <row r="144" spans="1:6" x14ac:dyDescent="0.25">
      <c r="A144" s="4">
        <v>42107</v>
      </c>
      <c r="B144" s="3" t="s">
        <v>39</v>
      </c>
      <c r="C144" s="3" t="s">
        <v>5</v>
      </c>
      <c r="D144" s="3" t="s">
        <v>36</v>
      </c>
      <c r="E144" s="3">
        <v>47</v>
      </c>
      <c r="F144" s="5">
        <f t="shared" si="2"/>
        <v>70.5</v>
      </c>
    </row>
    <row r="145" spans="1:6" x14ac:dyDescent="0.25">
      <c r="A145" s="4">
        <v>42178</v>
      </c>
      <c r="B145" s="3" t="s">
        <v>39</v>
      </c>
      <c r="C145" s="3" t="s">
        <v>10</v>
      </c>
      <c r="D145" s="3" t="s">
        <v>28</v>
      </c>
      <c r="E145" s="3">
        <v>44</v>
      </c>
      <c r="F145" s="5">
        <f t="shared" si="2"/>
        <v>88</v>
      </c>
    </row>
    <row r="146" spans="1:6" x14ac:dyDescent="0.25">
      <c r="A146" s="4">
        <v>42033</v>
      </c>
      <c r="B146" s="3" t="s">
        <v>37</v>
      </c>
      <c r="C146" s="3" t="s">
        <v>2</v>
      </c>
      <c r="D146" s="3" t="s">
        <v>35</v>
      </c>
      <c r="E146" s="3">
        <v>12</v>
      </c>
      <c r="F146" s="5">
        <f t="shared" si="2"/>
        <v>48</v>
      </c>
    </row>
    <row r="147" spans="1:6" x14ac:dyDescent="0.25">
      <c r="A147" s="4">
        <v>42132</v>
      </c>
      <c r="B147" s="3" t="s">
        <v>29</v>
      </c>
      <c r="C147" s="3" t="s">
        <v>2</v>
      </c>
      <c r="D147" s="3" t="s">
        <v>27</v>
      </c>
      <c r="E147" s="3">
        <v>14</v>
      </c>
      <c r="F147" s="5">
        <f t="shared" si="2"/>
        <v>7</v>
      </c>
    </row>
    <row r="148" spans="1:6" x14ac:dyDescent="0.25">
      <c r="A148" s="4">
        <v>42006</v>
      </c>
      <c r="B148" s="3" t="s">
        <v>32</v>
      </c>
      <c r="C148" s="3" t="s">
        <v>6</v>
      </c>
      <c r="D148" s="3" t="s">
        <v>34</v>
      </c>
      <c r="E148" s="3">
        <v>44</v>
      </c>
      <c r="F148" s="5">
        <f t="shared" si="2"/>
        <v>8.8000000000000007</v>
      </c>
    </row>
    <row r="149" spans="1:6" x14ac:dyDescent="0.25">
      <c r="A149" s="4">
        <v>42173</v>
      </c>
      <c r="B149" s="3" t="s">
        <v>29</v>
      </c>
      <c r="C149" s="3" t="s">
        <v>10</v>
      </c>
      <c r="D149" s="3" t="s">
        <v>31</v>
      </c>
      <c r="E149" s="3">
        <v>12</v>
      </c>
      <c r="F149" s="5">
        <f t="shared" si="2"/>
        <v>30</v>
      </c>
    </row>
    <row r="150" spans="1:6" x14ac:dyDescent="0.25">
      <c r="A150" s="4">
        <v>42093</v>
      </c>
      <c r="B150" s="3" t="s">
        <v>26</v>
      </c>
      <c r="C150" s="3" t="s">
        <v>19</v>
      </c>
      <c r="D150" s="3" t="s">
        <v>31</v>
      </c>
      <c r="E150" s="3">
        <v>35</v>
      </c>
      <c r="F150" s="5">
        <f t="shared" si="2"/>
        <v>87.5</v>
      </c>
    </row>
    <row r="151" spans="1:6" x14ac:dyDescent="0.25">
      <c r="A151" s="4">
        <v>42093</v>
      </c>
      <c r="B151" s="3" t="s">
        <v>32</v>
      </c>
      <c r="C151" s="3" t="s">
        <v>6</v>
      </c>
      <c r="D151" s="3" t="s">
        <v>36</v>
      </c>
      <c r="E151" s="3">
        <v>19</v>
      </c>
      <c r="F151" s="5">
        <f t="shared" si="2"/>
        <v>28.5</v>
      </c>
    </row>
    <row r="152" spans="1:6" x14ac:dyDescent="0.25">
      <c r="A152" s="4">
        <v>42033</v>
      </c>
      <c r="B152" s="3" t="s">
        <v>38</v>
      </c>
      <c r="C152" s="3" t="s">
        <v>10</v>
      </c>
      <c r="D152" s="3" t="s">
        <v>34</v>
      </c>
      <c r="E152" s="3">
        <v>9</v>
      </c>
      <c r="F152" s="5">
        <f t="shared" si="2"/>
        <v>1.8</v>
      </c>
    </row>
    <row r="153" spans="1:6" x14ac:dyDescent="0.25">
      <c r="A153" s="4">
        <v>42184</v>
      </c>
      <c r="B153" s="3" t="s">
        <v>32</v>
      </c>
      <c r="C153" s="3" t="s">
        <v>5</v>
      </c>
      <c r="D153" s="3" t="s">
        <v>36</v>
      </c>
      <c r="E153" s="3">
        <v>16</v>
      </c>
      <c r="F153" s="5">
        <f t="shared" si="2"/>
        <v>24</v>
      </c>
    </row>
    <row r="154" spans="1:6" x14ac:dyDescent="0.25">
      <c r="A154" s="4">
        <v>42072</v>
      </c>
      <c r="B154" s="3" t="s">
        <v>37</v>
      </c>
      <c r="C154" s="3" t="s">
        <v>2</v>
      </c>
      <c r="D154" s="3" t="s">
        <v>31</v>
      </c>
      <c r="E154" s="3">
        <v>39</v>
      </c>
      <c r="F154" s="5">
        <f t="shared" si="2"/>
        <v>97.5</v>
      </c>
    </row>
    <row r="155" spans="1:6" x14ac:dyDescent="0.25">
      <c r="A155" s="4">
        <v>42131</v>
      </c>
      <c r="B155" s="3" t="s">
        <v>39</v>
      </c>
      <c r="C155" s="3" t="s">
        <v>5</v>
      </c>
      <c r="D155" s="3" t="s">
        <v>34</v>
      </c>
      <c r="E155" s="3">
        <v>25</v>
      </c>
      <c r="F155" s="5">
        <f t="shared" si="2"/>
        <v>5</v>
      </c>
    </row>
    <row r="156" spans="1:6" x14ac:dyDescent="0.25">
      <c r="A156" s="4">
        <v>42018</v>
      </c>
      <c r="B156" s="3" t="s">
        <v>39</v>
      </c>
      <c r="C156" s="3" t="s">
        <v>19</v>
      </c>
      <c r="D156" s="3" t="s">
        <v>28</v>
      </c>
      <c r="E156" s="3">
        <v>13</v>
      </c>
      <c r="F156" s="5">
        <f t="shared" si="2"/>
        <v>26</v>
      </c>
    </row>
    <row r="157" spans="1:6" x14ac:dyDescent="0.25">
      <c r="A157" s="4">
        <v>42128</v>
      </c>
      <c r="B157" s="3" t="s">
        <v>39</v>
      </c>
      <c r="C157" s="3" t="s">
        <v>10</v>
      </c>
      <c r="D157" s="3" t="s">
        <v>27</v>
      </c>
      <c r="E157" s="3">
        <v>40</v>
      </c>
      <c r="F157" s="5">
        <f t="shared" si="2"/>
        <v>20</v>
      </c>
    </row>
    <row r="158" spans="1:6" x14ac:dyDescent="0.25">
      <c r="A158" s="4">
        <v>42029</v>
      </c>
      <c r="B158" s="3" t="s">
        <v>37</v>
      </c>
      <c r="C158" s="3" t="s">
        <v>2</v>
      </c>
      <c r="D158" s="3" t="s">
        <v>36</v>
      </c>
      <c r="E158" s="3">
        <v>20</v>
      </c>
      <c r="F158" s="5">
        <f t="shared" si="2"/>
        <v>30</v>
      </c>
    </row>
    <row r="159" spans="1:6" x14ac:dyDescent="0.25">
      <c r="A159" s="4">
        <v>42133</v>
      </c>
      <c r="B159" s="3" t="s">
        <v>38</v>
      </c>
      <c r="C159" s="3" t="s">
        <v>5</v>
      </c>
      <c r="D159" s="3" t="s">
        <v>34</v>
      </c>
      <c r="E159" s="3">
        <v>24</v>
      </c>
      <c r="F159" s="5">
        <f t="shared" si="2"/>
        <v>4.8000000000000007</v>
      </c>
    </row>
    <row r="160" spans="1:6" x14ac:dyDescent="0.25">
      <c r="A160" s="4">
        <v>42079</v>
      </c>
      <c r="B160" s="3" t="s">
        <v>26</v>
      </c>
      <c r="C160" s="3" t="s">
        <v>2</v>
      </c>
      <c r="D160" s="3" t="s">
        <v>30</v>
      </c>
      <c r="E160" s="3">
        <v>47</v>
      </c>
      <c r="F160" s="5">
        <f t="shared" si="2"/>
        <v>4.7</v>
      </c>
    </row>
    <row r="161" spans="1:6" x14ac:dyDescent="0.25">
      <c r="A161" s="4">
        <v>42112</v>
      </c>
      <c r="B161" s="3" t="s">
        <v>32</v>
      </c>
      <c r="C161" s="3" t="s">
        <v>6</v>
      </c>
      <c r="D161" s="3" t="s">
        <v>34</v>
      </c>
      <c r="E161" s="3">
        <v>4</v>
      </c>
      <c r="F161" s="5">
        <f t="shared" si="2"/>
        <v>0.8</v>
      </c>
    </row>
    <row r="162" spans="1:6" x14ac:dyDescent="0.25">
      <c r="A162" s="4">
        <v>42083</v>
      </c>
      <c r="B162" s="3" t="s">
        <v>38</v>
      </c>
      <c r="C162" s="3" t="s">
        <v>5</v>
      </c>
      <c r="D162" s="3" t="s">
        <v>36</v>
      </c>
      <c r="E162" s="3">
        <v>34</v>
      </c>
      <c r="F162" s="5">
        <f t="shared" si="2"/>
        <v>51</v>
      </c>
    </row>
    <row r="163" spans="1:6" x14ac:dyDescent="0.25">
      <c r="A163" s="4">
        <v>42136</v>
      </c>
      <c r="B163" s="3" t="s">
        <v>29</v>
      </c>
      <c r="C163" s="3" t="s">
        <v>5</v>
      </c>
      <c r="D163" s="3" t="s">
        <v>34</v>
      </c>
      <c r="E163" s="3">
        <v>26</v>
      </c>
      <c r="F163" s="5">
        <f t="shared" si="2"/>
        <v>5.2</v>
      </c>
    </row>
    <row r="164" spans="1:6" x14ac:dyDescent="0.25">
      <c r="A164" s="4">
        <v>42016</v>
      </c>
      <c r="B164" s="3" t="s">
        <v>26</v>
      </c>
      <c r="C164" s="3" t="s">
        <v>5</v>
      </c>
      <c r="D164" s="3" t="s">
        <v>30</v>
      </c>
      <c r="E164" s="3">
        <v>8</v>
      </c>
      <c r="F164" s="5">
        <f t="shared" si="2"/>
        <v>0.8</v>
      </c>
    </row>
    <row r="165" spans="1:6" x14ac:dyDescent="0.25">
      <c r="A165" s="4">
        <v>42097</v>
      </c>
      <c r="B165" s="3" t="s">
        <v>29</v>
      </c>
      <c r="C165" s="3" t="s">
        <v>5</v>
      </c>
      <c r="D165" s="3" t="s">
        <v>36</v>
      </c>
      <c r="E165" s="3">
        <v>33</v>
      </c>
      <c r="F165" s="5">
        <f t="shared" si="2"/>
        <v>49.5</v>
      </c>
    </row>
    <row r="166" spans="1:6" x14ac:dyDescent="0.25">
      <c r="A166" s="4">
        <v>42150</v>
      </c>
      <c r="B166" s="3" t="s">
        <v>26</v>
      </c>
      <c r="C166" s="3" t="s">
        <v>19</v>
      </c>
      <c r="D166" s="3" t="s">
        <v>30</v>
      </c>
      <c r="E166" s="3">
        <v>40</v>
      </c>
      <c r="F166" s="5">
        <f t="shared" si="2"/>
        <v>4</v>
      </c>
    </row>
    <row r="167" spans="1:6" x14ac:dyDescent="0.25">
      <c r="A167" s="4">
        <v>42039</v>
      </c>
      <c r="B167" s="3" t="s">
        <v>26</v>
      </c>
      <c r="C167" s="3" t="s">
        <v>10</v>
      </c>
      <c r="D167" s="3" t="s">
        <v>28</v>
      </c>
      <c r="E167" s="3">
        <v>8</v>
      </c>
      <c r="F167" s="5">
        <f t="shared" si="2"/>
        <v>16</v>
      </c>
    </row>
    <row r="168" spans="1:6" x14ac:dyDescent="0.25">
      <c r="A168" s="4">
        <v>42147</v>
      </c>
      <c r="B168" s="3" t="s">
        <v>32</v>
      </c>
      <c r="C168" s="3" t="s">
        <v>10</v>
      </c>
      <c r="D168" s="3" t="s">
        <v>27</v>
      </c>
      <c r="E168" s="3">
        <v>40</v>
      </c>
      <c r="F168" s="5">
        <f t="shared" si="2"/>
        <v>20</v>
      </c>
    </row>
    <row r="169" spans="1:6" x14ac:dyDescent="0.25">
      <c r="A169" s="4">
        <v>42172</v>
      </c>
      <c r="B169" s="3" t="s">
        <v>39</v>
      </c>
      <c r="C169" s="3" t="s">
        <v>10</v>
      </c>
      <c r="D169" s="3" t="s">
        <v>34</v>
      </c>
      <c r="E169" s="3">
        <v>48</v>
      </c>
      <c r="F169" s="5">
        <f t="shared" si="2"/>
        <v>9.6000000000000014</v>
      </c>
    </row>
    <row r="170" spans="1:6" x14ac:dyDescent="0.25">
      <c r="A170" s="4">
        <v>42170</v>
      </c>
      <c r="B170" s="3" t="s">
        <v>26</v>
      </c>
      <c r="C170" s="3" t="s">
        <v>6</v>
      </c>
      <c r="D170" s="3" t="s">
        <v>30</v>
      </c>
      <c r="E170" s="3">
        <v>7</v>
      </c>
      <c r="F170" s="5">
        <f t="shared" si="2"/>
        <v>0.70000000000000007</v>
      </c>
    </row>
    <row r="171" spans="1:6" x14ac:dyDescent="0.25">
      <c r="A171" s="4">
        <v>42139</v>
      </c>
      <c r="B171" s="3" t="s">
        <v>37</v>
      </c>
      <c r="C171" s="3" t="s">
        <v>10</v>
      </c>
      <c r="D171" s="3" t="s">
        <v>27</v>
      </c>
      <c r="E171" s="3">
        <v>47</v>
      </c>
      <c r="F171" s="5">
        <f t="shared" si="2"/>
        <v>23.5</v>
      </c>
    </row>
    <row r="172" spans="1:6" x14ac:dyDescent="0.25">
      <c r="A172" s="4">
        <v>42167</v>
      </c>
      <c r="B172" s="3" t="s">
        <v>26</v>
      </c>
      <c r="C172" s="3" t="s">
        <v>6</v>
      </c>
      <c r="D172" s="3" t="s">
        <v>28</v>
      </c>
      <c r="E172" s="3">
        <v>46</v>
      </c>
      <c r="F172" s="5">
        <f t="shared" si="2"/>
        <v>92</v>
      </c>
    </row>
    <row r="173" spans="1:6" x14ac:dyDescent="0.25">
      <c r="A173" s="4">
        <v>42078</v>
      </c>
      <c r="B173" s="3" t="s">
        <v>37</v>
      </c>
      <c r="C173" s="3" t="s">
        <v>19</v>
      </c>
      <c r="D173" s="3" t="s">
        <v>28</v>
      </c>
      <c r="E173" s="3">
        <v>31</v>
      </c>
      <c r="F173" s="5">
        <f t="shared" si="2"/>
        <v>62</v>
      </c>
    </row>
    <row r="174" spans="1:6" x14ac:dyDescent="0.25">
      <c r="A174" s="4">
        <v>42127</v>
      </c>
      <c r="B174" s="3" t="s">
        <v>29</v>
      </c>
      <c r="C174" s="3" t="s">
        <v>10</v>
      </c>
      <c r="D174" s="3" t="s">
        <v>27</v>
      </c>
      <c r="E174" s="3">
        <v>41</v>
      </c>
      <c r="F174" s="5">
        <f t="shared" si="2"/>
        <v>20.5</v>
      </c>
    </row>
    <row r="175" spans="1:6" x14ac:dyDescent="0.25">
      <c r="A175" s="4">
        <v>42040</v>
      </c>
      <c r="B175" s="3" t="s">
        <v>26</v>
      </c>
      <c r="C175" s="3" t="s">
        <v>5</v>
      </c>
      <c r="D175" s="3" t="s">
        <v>27</v>
      </c>
      <c r="E175" s="3">
        <v>43</v>
      </c>
      <c r="F175" s="5">
        <f t="shared" si="2"/>
        <v>21.5</v>
      </c>
    </row>
    <row r="176" spans="1:6" x14ac:dyDescent="0.25">
      <c r="A176" s="4">
        <v>42157</v>
      </c>
      <c r="B176" s="3" t="s">
        <v>39</v>
      </c>
      <c r="C176" s="3" t="s">
        <v>6</v>
      </c>
      <c r="D176" s="3" t="s">
        <v>35</v>
      </c>
      <c r="E176" s="3">
        <v>3</v>
      </c>
      <c r="F176" s="5">
        <f t="shared" si="2"/>
        <v>12</v>
      </c>
    </row>
    <row r="177" spans="1:6" x14ac:dyDescent="0.25">
      <c r="A177" s="4">
        <v>42112</v>
      </c>
      <c r="B177" s="3" t="s">
        <v>37</v>
      </c>
      <c r="C177" s="3" t="s">
        <v>6</v>
      </c>
      <c r="D177" s="3" t="s">
        <v>33</v>
      </c>
      <c r="E177" s="3">
        <v>18</v>
      </c>
      <c r="F177" s="5">
        <f t="shared" si="2"/>
        <v>90</v>
      </c>
    </row>
    <row r="178" spans="1:6" x14ac:dyDescent="0.25">
      <c r="A178" s="4">
        <v>42014</v>
      </c>
      <c r="B178" s="3" t="s">
        <v>37</v>
      </c>
      <c r="C178" s="3" t="s">
        <v>5</v>
      </c>
      <c r="D178" s="3" t="s">
        <v>34</v>
      </c>
      <c r="E178" s="3">
        <v>12</v>
      </c>
      <c r="F178" s="5">
        <f t="shared" si="2"/>
        <v>2.4000000000000004</v>
      </c>
    </row>
    <row r="179" spans="1:6" x14ac:dyDescent="0.25">
      <c r="A179" s="4">
        <v>42159</v>
      </c>
      <c r="B179" s="3" t="s">
        <v>32</v>
      </c>
      <c r="C179" s="3" t="s">
        <v>2</v>
      </c>
      <c r="D179" s="3" t="s">
        <v>28</v>
      </c>
      <c r="E179" s="3">
        <v>24</v>
      </c>
      <c r="F179" s="5">
        <f t="shared" si="2"/>
        <v>48</v>
      </c>
    </row>
    <row r="180" spans="1:6" x14ac:dyDescent="0.25">
      <c r="A180" s="4">
        <v>42018</v>
      </c>
      <c r="B180" s="3" t="s">
        <v>38</v>
      </c>
      <c r="C180" s="3" t="s">
        <v>2</v>
      </c>
      <c r="D180" s="3" t="s">
        <v>30</v>
      </c>
      <c r="E180" s="3">
        <v>31</v>
      </c>
      <c r="F180" s="5">
        <f t="shared" si="2"/>
        <v>3.1</v>
      </c>
    </row>
    <row r="181" spans="1:6" x14ac:dyDescent="0.25">
      <c r="A181" s="4">
        <v>42122</v>
      </c>
      <c r="B181" s="3" t="s">
        <v>26</v>
      </c>
      <c r="C181" s="3" t="s">
        <v>10</v>
      </c>
      <c r="D181" s="3" t="s">
        <v>36</v>
      </c>
      <c r="E181" s="3">
        <v>32</v>
      </c>
      <c r="F181" s="5">
        <f t="shared" si="2"/>
        <v>48</v>
      </c>
    </row>
    <row r="182" spans="1:6" x14ac:dyDescent="0.25">
      <c r="A182" s="4">
        <v>42158</v>
      </c>
      <c r="B182" s="3" t="s">
        <v>32</v>
      </c>
      <c r="C182" s="3" t="s">
        <v>10</v>
      </c>
      <c r="D182" s="3" t="s">
        <v>35</v>
      </c>
      <c r="E182" s="3">
        <v>17</v>
      </c>
      <c r="F182" s="5">
        <f t="shared" si="2"/>
        <v>68</v>
      </c>
    </row>
    <row r="183" spans="1:6" x14ac:dyDescent="0.25">
      <c r="A183" s="4">
        <v>42007</v>
      </c>
      <c r="B183" s="3" t="s">
        <v>39</v>
      </c>
      <c r="C183" s="3" t="s">
        <v>6</v>
      </c>
      <c r="D183" s="3" t="s">
        <v>34</v>
      </c>
      <c r="E183" s="3">
        <v>5</v>
      </c>
      <c r="F183" s="5">
        <f t="shared" si="2"/>
        <v>1</v>
      </c>
    </row>
    <row r="184" spans="1:6" x14ac:dyDescent="0.25">
      <c r="A184" s="4">
        <v>42152</v>
      </c>
      <c r="B184" s="3" t="s">
        <v>37</v>
      </c>
      <c r="C184" s="3" t="s">
        <v>5</v>
      </c>
      <c r="D184" s="3" t="s">
        <v>36</v>
      </c>
      <c r="E184" s="3">
        <v>6</v>
      </c>
      <c r="F184" s="5">
        <f t="shared" si="2"/>
        <v>9</v>
      </c>
    </row>
    <row r="185" spans="1:6" x14ac:dyDescent="0.25">
      <c r="A185" s="4">
        <v>42124</v>
      </c>
      <c r="B185" s="3" t="s">
        <v>26</v>
      </c>
      <c r="C185" s="3" t="s">
        <v>19</v>
      </c>
      <c r="D185" s="3" t="s">
        <v>36</v>
      </c>
      <c r="E185" s="3">
        <v>28</v>
      </c>
      <c r="F185" s="5">
        <f t="shared" si="2"/>
        <v>42</v>
      </c>
    </row>
    <row r="186" spans="1:6" x14ac:dyDescent="0.25">
      <c r="A186" s="4">
        <v>42084</v>
      </c>
      <c r="B186" s="3" t="s">
        <v>26</v>
      </c>
      <c r="C186" s="3" t="s">
        <v>6</v>
      </c>
      <c r="D186" s="3" t="s">
        <v>31</v>
      </c>
      <c r="E186" s="3">
        <v>36</v>
      </c>
      <c r="F186" s="5">
        <f t="shared" si="2"/>
        <v>90</v>
      </c>
    </row>
    <row r="187" spans="1:6" x14ac:dyDescent="0.25">
      <c r="A187" s="4">
        <v>42116</v>
      </c>
      <c r="B187" s="3" t="s">
        <v>32</v>
      </c>
      <c r="C187" s="3" t="s">
        <v>10</v>
      </c>
      <c r="D187" s="3" t="s">
        <v>30</v>
      </c>
      <c r="E187" s="3">
        <v>30</v>
      </c>
      <c r="F187" s="5">
        <f t="shared" si="2"/>
        <v>3</v>
      </c>
    </row>
    <row r="188" spans="1:6" x14ac:dyDescent="0.25">
      <c r="A188" s="4">
        <v>42153</v>
      </c>
      <c r="B188" s="3" t="s">
        <v>39</v>
      </c>
      <c r="C188" s="3" t="s">
        <v>6</v>
      </c>
      <c r="D188" s="3" t="s">
        <v>35</v>
      </c>
      <c r="E188" s="3">
        <v>26</v>
      </c>
      <c r="F188" s="5">
        <f t="shared" si="2"/>
        <v>104</v>
      </c>
    </row>
    <row r="189" spans="1:6" x14ac:dyDescent="0.25">
      <c r="A189" s="4">
        <v>42006</v>
      </c>
      <c r="B189" s="3" t="s">
        <v>38</v>
      </c>
      <c r="C189" s="3" t="s">
        <v>10</v>
      </c>
      <c r="D189" s="3" t="s">
        <v>34</v>
      </c>
      <c r="E189" s="3">
        <v>33</v>
      </c>
      <c r="F189" s="5">
        <f t="shared" si="2"/>
        <v>6.6000000000000005</v>
      </c>
    </row>
    <row r="190" spans="1:6" x14ac:dyDescent="0.25">
      <c r="A190" s="4">
        <v>42138</v>
      </c>
      <c r="B190" s="3" t="s">
        <v>26</v>
      </c>
      <c r="C190" s="3" t="s">
        <v>6</v>
      </c>
      <c r="D190" s="3" t="s">
        <v>28</v>
      </c>
      <c r="E190" s="3">
        <v>26</v>
      </c>
      <c r="F190" s="5">
        <f t="shared" si="2"/>
        <v>52</v>
      </c>
    </row>
    <row r="191" spans="1:6" x14ac:dyDescent="0.25">
      <c r="A191" s="4">
        <v>42054</v>
      </c>
      <c r="B191" s="3" t="s">
        <v>38</v>
      </c>
      <c r="C191" s="3" t="s">
        <v>6</v>
      </c>
      <c r="D191" s="3" t="s">
        <v>27</v>
      </c>
      <c r="E191" s="3">
        <v>17</v>
      </c>
      <c r="F191" s="5">
        <f t="shared" si="2"/>
        <v>8.5</v>
      </c>
    </row>
    <row r="192" spans="1:6" x14ac:dyDescent="0.25">
      <c r="A192" s="4">
        <v>42030</v>
      </c>
      <c r="B192" s="3" t="s">
        <v>26</v>
      </c>
      <c r="C192" s="3" t="s">
        <v>19</v>
      </c>
      <c r="D192" s="3" t="s">
        <v>31</v>
      </c>
      <c r="E192" s="3">
        <v>7</v>
      </c>
      <c r="F192" s="5">
        <f t="shared" si="2"/>
        <v>17.5</v>
      </c>
    </row>
    <row r="193" spans="1:6" x14ac:dyDescent="0.25">
      <c r="A193" s="4">
        <v>42119</v>
      </c>
      <c r="B193" s="3" t="s">
        <v>38</v>
      </c>
      <c r="C193" s="3" t="s">
        <v>2</v>
      </c>
      <c r="D193" s="3" t="s">
        <v>34</v>
      </c>
      <c r="E193" s="3">
        <v>35</v>
      </c>
      <c r="F193" s="5">
        <f t="shared" si="2"/>
        <v>7</v>
      </c>
    </row>
    <row r="194" spans="1:6" x14ac:dyDescent="0.25">
      <c r="A194" s="4">
        <v>42109</v>
      </c>
      <c r="B194" s="3" t="s">
        <v>29</v>
      </c>
      <c r="C194" s="3" t="s">
        <v>5</v>
      </c>
      <c r="D194" s="3" t="s">
        <v>34</v>
      </c>
      <c r="E194" s="3">
        <v>12</v>
      </c>
      <c r="F194" s="5">
        <f t="shared" si="2"/>
        <v>2.4000000000000004</v>
      </c>
    </row>
    <row r="195" spans="1:6" x14ac:dyDescent="0.25">
      <c r="A195" s="4">
        <v>42122</v>
      </c>
      <c r="B195" s="3" t="s">
        <v>29</v>
      </c>
      <c r="C195" s="3" t="s">
        <v>2</v>
      </c>
      <c r="D195" s="3" t="s">
        <v>35</v>
      </c>
      <c r="E195" s="3">
        <v>22</v>
      </c>
      <c r="F195" s="5">
        <f t="shared" si="2"/>
        <v>88</v>
      </c>
    </row>
    <row r="196" spans="1:6" x14ac:dyDescent="0.25">
      <c r="A196" s="4">
        <v>42014</v>
      </c>
      <c r="B196" s="3" t="s">
        <v>37</v>
      </c>
      <c r="C196" s="3" t="s">
        <v>10</v>
      </c>
      <c r="D196" s="3" t="s">
        <v>35</v>
      </c>
      <c r="E196" s="3">
        <v>11</v>
      </c>
      <c r="F196" s="5">
        <f t="shared" si="2"/>
        <v>44</v>
      </c>
    </row>
    <row r="197" spans="1:6" x14ac:dyDescent="0.25">
      <c r="A197" s="4">
        <v>42173</v>
      </c>
      <c r="B197" s="3" t="s">
        <v>39</v>
      </c>
      <c r="C197" s="3" t="s">
        <v>6</v>
      </c>
      <c r="D197" s="3" t="s">
        <v>33</v>
      </c>
      <c r="E197" s="3">
        <v>18</v>
      </c>
      <c r="F197" s="5">
        <f t="shared" si="2"/>
        <v>90</v>
      </c>
    </row>
    <row r="198" spans="1:6" x14ac:dyDescent="0.25">
      <c r="A198" s="4">
        <v>42147</v>
      </c>
      <c r="B198" s="3" t="s">
        <v>26</v>
      </c>
      <c r="C198" s="3" t="s">
        <v>6</v>
      </c>
      <c r="D198" s="3" t="s">
        <v>36</v>
      </c>
      <c r="E198" s="3">
        <v>49</v>
      </c>
      <c r="F198" s="5">
        <f t="shared" si="2"/>
        <v>73.5</v>
      </c>
    </row>
    <row r="199" spans="1:6" x14ac:dyDescent="0.25">
      <c r="A199" s="4">
        <v>42138</v>
      </c>
      <c r="B199" s="3" t="s">
        <v>37</v>
      </c>
      <c r="C199" s="3" t="s">
        <v>2</v>
      </c>
      <c r="D199" s="3" t="s">
        <v>33</v>
      </c>
      <c r="E199" s="3">
        <v>8</v>
      </c>
      <c r="F199" s="5">
        <f t="shared" ref="F199:F262" si="3">E199*VLOOKUP(D199,$W$6:$X$13,2,0)</f>
        <v>40</v>
      </c>
    </row>
    <row r="200" spans="1:6" x14ac:dyDescent="0.25">
      <c r="A200" s="4">
        <v>42086</v>
      </c>
      <c r="B200" s="3" t="s">
        <v>38</v>
      </c>
      <c r="C200" s="3" t="s">
        <v>6</v>
      </c>
      <c r="D200" s="3" t="s">
        <v>35</v>
      </c>
      <c r="E200" s="3">
        <v>18</v>
      </c>
      <c r="F200" s="5">
        <f t="shared" si="3"/>
        <v>72</v>
      </c>
    </row>
    <row r="201" spans="1:6" x14ac:dyDescent="0.25">
      <c r="A201" s="4">
        <v>42105</v>
      </c>
      <c r="B201" s="3" t="s">
        <v>39</v>
      </c>
      <c r="C201" s="3" t="s">
        <v>6</v>
      </c>
      <c r="D201" s="3" t="s">
        <v>36</v>
      </c>
      <c r="E201" s="3">
        <v>5</v>
      </c>
      <c r="F201" s="5">
        <f t="shared" si="3"/>
        <v>7.5</v>
      </c>
    </row>
    <row r="202" spans="1:6" x14ac:dyDescent="0.25">
      <c r="A202" s="4">
        <v>42096</v>
      </c>
      <c r="B202" s="3" t="s">
        <v>29</v>
      </c>
      <c r="C202" s="3" t="s">
        <v>5</v>
      </c>
      <c r="D202" s="3" t="s">
        <v>28</v>
      </c>
      <c r="E202" s="3">
        <v>43</v>
      </c>
      <c r="F202" s="5">
        <f t="shared" si="3"/>
        <v>86</v>
      </c>
    </row>
    <row r="203" spans="1:6" x14ac:dyDescent="0.25">
      <c r="A203" s="4">
        <v>42130</v>
      </c>
      <c r="B203" s="3" t="s">
        <v>38</v>
      </c>
      <c r="C203" s="3" t="s">
        <v>10</v>
      </c>
      <c r="D203" s="3" t="s">
        <v>36</v>
      </c>
      <c r="E203" s="3">
        <v>45</v>
      </c>
      <c r="F203" s="5">
        <f t="shared" si="3"/>
        <v>67.5</v>
      </c>
    </row>
    <row r="204" spans="1:6" x14ac:dyDescent="0.25">
      <c r="A204" s="4">
        <v>42094</v>
      </c>
      <c r="B204" s="3" t="s">
        <v>32</v>
      </c>
      <c r="C204" s="3" t="s">
        <v>10</v>
      </c>
      <c r="D204" s="3" t="s">
        <v>33</v>
      </c>
      <c r="E204" s="3">
        <v>41</v>
      </c>
      <c r="F204" s="5">
        <f t="shared" si="3"/>
        <v>205</v>
      </c>
    </row>
    <row r="205" spans="1:6" x14ac:dyDescent="0.25">
      <c r="A205" s="4">
        <v>42025</v>
      </c>
      <c r="B205" s="3" t="s">
        <v>32</v>
      </c>
      <c r="C205" s="3" t="s">
        <v>10</v>
      </c>
      <c r="D205" s="3" t="s">
        <v>35</v>
      </c>
      <c r="E205" s="3">
        <v>42</v>
      </c>
      <c r="F205" s="5">
        <f t="shared" si="3"/>
        <v>168</v>
      </c>
    </row>
    <row r="206" spans="1:6" x14ac:dyDescent="0.25">
      <c r="A206" s="4">
        <v>42122</v>
      </c>
      <c r="B206" s="3" t="s">
        <v>39</v>
      </c>
      <c r="C206" s="3" t="s">
        <v>2</v>
      </c>
      <c r="D206" s="3" t="s">
        <v>36</v>
      </c>
      <c r="E206" s="3">
        <v>3</v>
      </c>
      <c r="F206" s="5">
        <f t="shared" si="3"/>
        <v>4.5</v>
      </c>
    </row>
    <row r="207" spans="1:6" x14ac:dyDescent="0.25">
      <c r="A207" s="4">
        <v>42014</v>
      </c>
      <c r="B207" s="3" t="s">
        <v>37</v>
      </c>
      <c r="C207" s="3" t="s">
        <v>5</v>
      </c>
      <c r="D207" s="3" t="s">
        <v>31</v>
      </c>
      <c r="E207" s="3">
        <v>28</v>
      </c>
      <c r="F207" s="5">
        <f t="shared" si="3"/>
        <v>70</v>
      </c>
    </row>
    <row r="208" spans="1:6" x14ac:dyDescent="0.25">
      <c r="A208" s="4">
        <v>42054</v>
      </c>
      <c r="B208" s="3" t="s">
        <v>37</v>
      </c>
      <c r="C208" s="3" t="s">
        <v>19</v>
      </c>
      <c r="D208" s="3" t="s">
        <v>28</v>
      </c>
      <c r="E208" s="3">
        <v>1</v>
      </c>
      <c r="F208" s="5">
        <f t="shared" si="3"/>
        <v>2</v>
      </c>
    </row>
    <row r="209" spans="1:6" x14ac:dyDescent="0.25">
      <c r="A209" s="4">
        <v>42060</v>
      </c>
      <c r="B209" s="3" t="s">
        <v>38</v>
      </c>
      <c r="C209" s="3" t="s">
        <v>6</v>
      </c>
      <c r="D209" s="3" t="s">
        <v>27</v>
      </c>
      <c r="E209" s="3">
        <v>14</v>
      </c>
      <c r="F209" s="5">
        <f t="shared" si="3"/>
        <v>7</v>
      </c>
    </row>
    <row r="210" spans="1:6" x14ac:dyDescent="0.25">
      <c r="A210" s="4">
        <v>42154</v>
      </c>
      <c r="B210" s="3" t="s">
        <v>38</v>
      </c>
      <c r="C210" s="3" t="s">
        <v>5</v>
      </c>
      <c r="D210" s="3" t="s">
        <v>35</v>
      </c>
      <c r="E210" s="3">
        <v>32</v>
      </c>
      <c r="F210" s="5">
        <f t="shared" si="3"/>
        <v>128</v>
      </c>
    </row>
    <row r="211" spans="1:6" x14ac:dyDescent="0.25">
      <c r="A211" s="4">
        <v>42152</v>
      </c>
      <c r="B211" s="3" t="s">
        <v>37</v>
      </c>
      <c r="C211" s="3" t="s">
        <v>10</v>
      </c>
      <c r="D211" s="3" t="s">
        <v>36</v>
      </c>
      <c r="E211" s="3">
        <v>11</v>
      </c>
      <c r="F211" s="5">
        <f t="shared" si="3"/>
        <v>16.5</v>
      </c>
    </row>
    <row r="212" spans="1:6" x14ac:dyDescent="0.25">
      <c r="A212" s="4">
        <v>42009</v>
      </c>
      <c r="B212" s="3" t="s">
        <v>32</v>
      </c>
      <c r="C212" s="3" t="s">
        <v>2</v>
      </c>
      <c r="D212" s="3" t="s">
        <v>35</v>
      </c>
      <c r="E212" s="3">
        <v>19</v>
      </c>
      <c r="F212" s="5">
        <f t="shared" si="3"/>
        <v>76</v>
      </c>
    </row>
    <row r="213" spans="1:6" x14ac:dyDescent="0.25">
      <c r="A213" s="4">
        <v>42176</v>
      </c>
      <c r="B213" s="3" t="s">
        <v>32</v>
      </c>
      <c r="C213" s="3" t="s">
        <v>10</v>
      </c>
      <c r="D213" s="3" t="s">
        <v>28</v>
      </c>
      <c r="E213" s="3">
        <v>4</v>
      </c>
      <c r="F213" s="5">
        <f t="shared" si="3"/>
        <v>8</v>
      </c>
    </row>
    <row r="214" spans="1:6" x14ac:dyDescent="0.25">
      <c r="A214" s="4">
        <v>42111</v>
      </c>
      <c r="B214" s="3" t="s">
        <v>39</v>
      </c>
      <c r="C214" s="3" t="s">
        <v>6</v>
      </c>
      <c r="D214" s="3" t="s">
        <v>34</v>
      </c>
      <c r="E214" s="3">
        <v>32</v>
      </c>
      <c r="F214" s="5">
        <f t="shared" si="3"/>
        <v>6.4</v>
      </c>
    </row>
    <row r="215" spans="1:6" x14ac:dyDescent="0.25">
      <c r="A215" s="4">
        <v>42093</v>
      </c>
      <c r="B215" s="3" t="s">
        <v>39</v>
      </c>
      <c r="C215" s="3" t="s">
        <v>10</v>
      </c>
      <c r="D215" s="3" t="s">
        <v>28</v>
      </c>
      <c r="E215" s="3">
        <v>29</v>
      </c>
      <c r="F215" s="5">
        <f t="shared" si="3"/>
        <v>58</v>
      </c>
    </row>
    <row r="216" spans="1:6" x14ac:dyDescent="0.25">
      <c r="A216" s="4">
        <v>42005</v>
      </c>
      <c r="B216" s="3" t="s">
        <v>37</v>
      </c>
      <c r="C216" s="3" t="s">
        <v>5</v>
      </c>
      <c r="D216" s="3" t="s">
        <v>35</v>
      </c>
      <c r="E216" s="3">
        <v>40</v>
      </c>
      <c r="F216" s="5">
        <f t="shared" si="3"/>
        <v>160</v>
      </c>
    </row>
    <row r="217" spans="1:6" x14ac:dyDescent="0.25">
      <c r="A217" s="4">
        <v>42008</v>
      </c>
      <c r="B217" s="3" t="s">
        <v>37</v>
      </c>
      <c r="C217" s="3" t="s">
        <v>6</v>
      </c>
      <c r="D217" s="3" t="s">
        <v>33</v>
      </c>
      <c r="E217" s="3">
        <v>38</v>
      </c>
      <c r="F217" s="5">
        <f t="shared" si="3"/>
        <v>190</v>
      </c>
    </row>
    <row r="218" spans="1:6" x14ac:dyDescent="0.25">
      <c r="A218" s="4">
        <v>42151</v>
      </c>
      <c r="B218" s="3" t="s">
        <v>32</v>
      </c>
      <c r="C218" s="3" t="s">
        <v>19</v>
      </c>
      <c r="D218" s="3" t="s">
        <v>33</v>
      </c>
      <c r="E218" s="3">
        <v>13</v>
      </c>
      <c r="F218" s="5">
        <f t="shared" si="3"/>
        <v>65</v>
      </c>
    </row>
    <row r="219" spans="1:6" x14ac:dyDescent="0.25">
      <c r="A219" s="4">
        <v>42026</v>
      </c>
      <c r="B219" s="3" t="s">
        <v>32</v>
      </c>
      <c r="C219" s="3" t="s">
        <v>2</v>
      </c>
      <c r="D219" s="3" t="s">
        <v>34</v>
      </c>
      <c r="E219" s="3">
        <v>19</v>
      </c>
      <c r="F219" s="5">
        <f t="shared" si="3"/>
        <v>3.8000000000000003</v>
      </c>
    </row>
    <row r="220" spans="1:6" x14ac:dyDescent="0.25">
      <c r="A220" s="4">
        <v>42028</v>
      </c>
      <c r="B220" s="3" t="s">
        <v>37</v>
      </c>
      <c r="C220" s="3" t="s">
        <v>5</v>
      </c>
      <c r="D220" s="3" t="s">
        <v>28</v>
      </c>
      <c r="E220" s="3">
        <v>2</v>
      </c>
      <c r="F220" s="5">
        <f t="shared" si="3"/>
        <v>4</v>
      </c>
    </row>
    <row r="221" spans="1:6" x14ac:dyDescent="0.25">
      <c r="A221" s="4">
        <v>42105</v>
      </c>
      <c r="B221" s="3" t="s">
        <v>32</v>
      </c>
      <c r="C221" s="3" t="s">
        <v>10</v>
      </c>
      <c r="D221" s="3" t="s">
        <v>27</v>
      </c>
      <c r="E221" s="3">
        <v>46</v>
      </c>
      <c r="F221" s="5">
        <f t="shared" si="3"/>
        <v>23</v>
      </c>
    </row>
    <row r="222" spans="1:6" x14ac:dyDescent="0.25">
      <c r="A222" s="4">
        <v>42038</v>
      </c>
      <c r="B222" s="3" t="s">
        <v>32</v>
      </c>
      <c r="C222" s="3" t="s">
        <v>5</v>
      </c>
      <c r="D222" s="3" t="s">
        <v>35</v>
      </c>
      <c r="E222" s="3">
        <v>41</v>
      </c>
      <c r="F222" s="5">
        <f t="shared" si="3"/>
        <v>164</v>
      </c>
    </row>
    <row r="223" spans="1:6" x14ac:dyDescent="0.25">
      <c r="A223" s="4">
        <v>42014</v>
      </c>
      <c r="B223" s="3" t="s">
        <v>38</v>
      </c>
      <c r="C223" s="3" t="s">
        <v>10</v>
      </c>
      <c r="D223" s="3" t="s">
        <v>36</v>
      </c>
      <c r="E223" s="3">
        <v>11</v>
      </c>
      <c r="F223" s="5">
        <f t="shared" si="3"/>
        <v>16.5</v>
      </c>
    </row>
    <row r="224" spans="1:6" x14ac:dyDescent="0.25">
      <c r="A224" s="4">
        <v>42005</v>
      </c>
      <c r="B224" s="3" t="s">
        <v>38</v>
      </c>
      <c r="C224" s="3" t="s">
        <v>10</v>
      </c>
      <c r="D224" s="3" t="s">
        <v>34</v>
      </c>
      <c r="E224" s="3">
        <v>21</v>
      </c>
      <c r="F224" s="5">
        <f t="shared" si="3"/>
        <v>4.2</v>
      </c>
    </row>
    <row r="225" spans="1:6" x14ac:dyDescent="0.25">
      <c r="A225" s="4">
        <v>42117</v>
      </c>
      <c r="B225" s="3" t="s">
        <v>32</v>
      </c>
      <c r="C225" s="3" t="s">
        <v>6</v>
      </c>
      <c r="D225" s="3" t="s">
        <v>31</v>
      </c>
      <c r="E225" s="3">
        <v>8</v>
      </c>
      <c r="F225" s="5">
        <f t="shared" si="3"/>
        <v>20</v>
      </c>
    </row>
    <row r="226" spans="1:6" x14ac:dyDescent="0.25">
      <c r="A226" s="4">
        <v>42048</v>
      </c>
      <c r="B226" s="3" t="s">
        <v>26</v>
      </c>
      <c r="C226" s="3" t="s">
        <v>19</v>
      </c>
      <c r="D226" s="3" t="s">
        <v>35</v>
      </c>
      <c r="E226" s="3">
        <v>15</v>
      </c>
      <c r="F226" s="5">
        <f t="shared" si="3"/>
        <v>60</v>
      </c>
    </row>
    <row r="227" spans="1:6" x14ac:dyDescent="0.25">
      <c r="A227" s="4">
        <v>42152</v>
      </c>
      <c r="B227" s="3" t="s">
        <v>37</v>
      </c>
      <c r="C227" s="3" t="s">
        <v>2</v>
      </c>
      <c r="D227" s="3" t="s">
        <v>30</v>
      </c>
      <c r="E227" s="3">
        <v>15</v>
      </c>
      <c r="F227" s="5">
        <f t="shared" si="3"/>
        <v>1.5</v>
      </c>
    </row>
    <row r="228" spans="1:6" x14ac:dyDescent="0.25">
      <c r="A228" s="4">
        <v>42055</v>
      </c>
      <c r="B228" s="3" t="s">
        <v>38</v>
      </c>
      <c r="C228" s="3" t="s">
        <v>19</v>
      </c>
      <c r="D228" s="3" t="s">
        <v>28</v>
      </c>
      <c r="E228" s="3">
        <v>14</v>
      </c>
      <c r="F228" s="5">
        <f t="shared" si="3"/>
        <v>28</v>
      </c>
    </row>
    <row r="229" spans="1:6" x14ac:dyDescent="0.25">
      <c r="A229" s="4">
        <v>42016</v>
      </c>
      <c r="B229" s="3" t="s">
        <v>38</v>
      </c>
      <c r="C229" s="3" t="s">
        <v>6</v>
      </c>
      <c r="D229" s="3" t="s">
        <v>35</v>
      </c>
      <c r="E229" s="3">
        <v>49</v>
      </c>
      <c r="F229" s="5">
        <f t="shared" si="3"/>
        <v>196</v>
      </c>
    </row>
    <row r="230" spans="1:6" x14ac:dyDescent="0.25">
      <c r="A230" s="4">
        <v>42075</v>
      </c>
      <c r="B230" s="3" t="s">
        <v>37</v>
      </c>
      <c r="C230" s="3" t="s">
        <v>2</v>
      </c>
      <c r="D230" s="3" t="s">
        <v>31</v>
      </c>
      <c r="E230" s="3">
        <v>5</v>
      </c>
      <c r="F230" s="5">
        <f t="shared" si="3"/>
        <v>12.5</v>
      </c>
    </row>
    <row r="231" spans="1:6" x14ac:dyDescent="0.25">
      <c r="A231" s="4">
        <v>42128</v>
      </c>
      <c r="B231" s="3" t="s">
        <v>39</v>
      </c>
      <c r="C231" s="3" t="s">
        <v>6</v>
      </c>
      <c r="D231" s="3" t="s">
        <v>34</v>
      </c>
      <c r="E231" s="3">
        <v>19</v>
      </c>
      <c r="F231" s="5">
        <f t="shared" si="3"/>
        <v>3.8000000000000003</v>
      </c>
    </row>
    <row r="232" spans="1:6" x14ac:dyDescent="0.25">
      <c r="A232" s="4">
        <v>42122</v>
      </c>
      <c r="B232" s="3" t="s">
        <v>32</v>
      </c>
      <c r="C232" s="3" t="s">
        <v>10</v>
      </c>
      <c r="D232" s="3" t="s">
        <v>34</v>
      </c>
      <c r="E232" s="3">
        <v>22</v>
      </c>
      <c r="F232" s="5">
        <f t="shared" si="3"/>
        <v>4.4000000000000004</v>
      </c>
    </row>
    <row r="233" spans="1:6" x14ac:dyDescent="0.25">
      <c r="A233" s="4">
        <v>42151</v>
      </c>
      <c r="B233" s="3" t="s">
        <v>37</v>
      </c>
      <c r="C233" s="3" t="s">
        <v>19</v>
      </c>
      <c r="D233" s="3" t="s">
        <v>31</v>
      </c>
      <c r="E233" s="3">
        <v>28</v>
      </c>
      <c r="F233" s="5">
        <f t="shared" si="3"/>
        <v>70</v>
      </c>
    </row>
    <row r="234" spans="1:6" x14ac:dyDescent="0.25">
      <c r="A234" s="4">
        <v>42020</v>
      </c>
      <c r="B234" s="3" t="s">
        <v>37</v>
      </c>
      <c r="C234" s="3" t="s">
        <v>2</v>
      </c>
      <c r="D234" s="3" t="s">
        <v>28</v>
      </c>
      <c r="E234" s="3">
        <v>26</v>
      </c>
      <c r="F234" s="5">
        <f t="shared" si="3"/>
        <v>52</v>
      </c>
    </row>
    <row r="235" spans="1:6" x14ac:dyDescent="0.25">
      <c r="A235" s="4">
        <v>42087</v>
      </c>
      <c r="B235" s="3" t="s">
        <v>39</v>
      </c>
      <c r="C235" s="3" t="s">
        <v>6</v>
      </c>
      <c r="D235" s="3" t="s">
        <v>33</v>
      </c>
      <c r="E235" s="3">
        <v>23</v>
      </c>
      <c r="F235" s="5">
        <f t="shared" si="3"/>
        <v>115</v>
      </c>
    </row>
    <row r="236" spans="1:6" x14ac:dyDescent="0.25">
      <c r="A236" s="4">
        <v>42030</v>
      </c>
      <c r="B236" s="3" t="s">
        <v>39</v>
      </c>
      <c r="C236" s="3" t="s">
        <v>10</v>
      </c>
      <c r="D236" s="3" t="s">
        <v>34</v>
      </c>
      <c r="E236" s="3">
        <v>39</v>
      </c>
      <c r="F236" s="5">
        <f t="shared" si="3"/>
        <v>7.8000000000000007</v>
      </c>
    </row>
    <row r="237" spans="1:6" x14ac:dyDescent="0.25">
      <c r="A237" s="4">
        <v>42104</v>
      </c>
      <c r="B237" s="3" t="s">
        <v>29</v>
      </c>
      <c r="C237" s="3" t="s">
        <v>19</v>
      </c>
      <c r="D237" s="3" t="s">
        <v>27</v>
      </c>
      <c r="E237" s="3">
        <v>14</v>
      </c>
      <c r="F237" s="5">
        <f t="shared" si="3"/>
        <v>7</v>
      </c>
    </row>
    <row r="238" spans="1:6" x14ac:dyDescent="0.25">
      <c r="A238" s="4">
        <v>42137</v>
      </c>
      <c r="B238" s="3" t="s">
        <v>26</v>
      </c>
      <c r="C238" s="3" t="s">
        <v>2</v>
      </c>
      <c r="D238" s="3" t="s">
        <v>28</v>
      </c>
      <c r="E238" s="3">
        <v>35</v>
      </c>
      <c r="F238" s="5">
        <f t="shared" si="3"/>
        <v>70</v>
      </c>
    </row>
    <row r="239" spans="1:6" x14ac:dyDescent="0.25">
      <c r="A239" s="4">
        <v>42149</v>
      </c>
      <c r="B239" s="3" t="s">
        <v>37</v>
      </c>
      <c r="C239" s="3" t="s">
        <v>19</v>
      </c>
      <c r="D239" s="3" t="s">
        <v>28</v>
      </c>
      <c r="E239" s="3">
        <v>26</v>
      </c>
      <c r="F239" s="5">
        <f t="shared" si="3"/>
        <v>52</v>
      </c>
    </row>
    <row r="240" spans="1:6" x14ac:dyDescent="0.25">
      <c r="A240" s="4">
        <v>42108</v>
      </c>
      <c r="B240" s="3" t="s">
        <v>37</v>
      </c>
      <c r="C240" s="3" t="s">
        <v>10</v>
      </c>
      <c r="D240" s="3" t="s">
        <v>34</v>
      </c>
      <c r="E240" s="3">
        <v>26</v>
      </c>
      <c r="F240" s="5">
        <f t="shared" si="3"/>
        <v>5.2</v>
      </c>
    </row>
    <row r="241" spans="1:6" x14ac:dyDescent="0.25">
      <c r="A241" s="4">
        <v>42183</v>
      </c>
      <c r="B241" s="3" t="s">
        <v>32</v>
      </c>
      <c r="C241" s="3" t="s">
        <v>6</v>
      </c>
      <c r="D241" s="3" t="s">
        <v>28</v>
      </c>
      <c r="E241" s="3">
        <v>50</v>
      </c>
      <c r="F241" s="5">
        <f t="shared" si="3"/>
        <v>100</v>
      </c>
    </row>
    <row r="242" spans="1:6" x14ac:dyDescent="0.25">
      <c r="A242" s="4">
        <v>42064</v>
      </c>
      <c r="B242" s="3" t="s">
        <v>29</v>
      </c>
      <c r="C242" s="3" t="s">
        <v>6</v>
      </c>
      <c r="D242" s="3" t="s">
        <v>28</v>
      </c>
      <c r="E242" s="3">
        <v>17</v>
      </c>
      <c r="F242" s="5">
        <f t="shared" si="3"/>
        <v>34</v>
      </c>
    </row>
    <row r="243" spans="1:6" x14ac:dyDescent="0.25">
      <c r="A243" s="4">
        <v>42041</v>
      </c>
      <c r="B243" s="3" t="s">
        <v>37</v>
      </c>
      <c r="C243" s="3" t="s">
        <v>5</v>
      </c>
      <c r="D243" s="3" t="s">
        <v>35</v>
      </c>
      <c r="E243" s="3">
        <v>41</v>
      </c>
      <c r="F243" s="5">
        <f t="shared" si="3"/>
        <v>164</v>
      </c>
    </row>
    <row r="244" spans="1:6" x14ac:dyDescent="0.25">
      <c r="A244" s="4">
        <v>42161</v>
      </c>
      <c r="B244" s="3" t="s">
        <v>38</v>
      </c>
      <c r="C244" s="3" t="s">
        <v>19</v>
      </c>
      <c r="D244" s="3" t="s">
        <v>31</v>
      </c>
      <c r="E244" s="3">
        <v>21</v>
      </c>
      <c r="F244" s="5">
        <f t="shared" si="3"/>
        <v>52.5</v>
      </c>
    </row>
    <row r="245" spans="1:6" x14ac:dyDescent="0.25">
      <c r="A245" s="4">
        <v>42079</v>
      </c>
      <c r="B245" s="3" t="s">
        <v>32</v>
      </c>
      <c r="C245" s="3" t="s">
        <v>5</v>
      </c>
      <c r="D245" s="3" t="s">
        <v>30</v>
      </c>
      <c r="E245" s="3">
        <v>45</v>
      </c>
      <c r="F245" s="5">
        <f t="shared" si="3"/>
        <v>4.5</v>
      </c>
    </row>
    <row r="246" spans="1:6" x14ac:dyDescent="0.25">
      <c r="A246" s="4">
        <v>42008</v>
      </c>
      <c r="B246" s="3" t="s">
        <v>39</v>
      </c>
      <c r="C246" s="3" t="s">
        <v>6</v>
      </c>
      <c r="D246" s="3" t="s">
        <v>35</v>
      </c>
      <c r="E246" s="3">
        <v>38</v>
      </c>
      <c r="F246" s="5">
        <f t="shared" si="3"/>
        <v>152</v>
      </c>
    </row>
    <row r="247" spans="1:6" x14ac:dyDescent="0.25">
      <c r="A247" s="4">
        <v>42055</v>
      </c>
      <c r="B247" s="3" t="s">
        <v>29</v>
      </c>
      <c r="C247" s="3" t="s">
        <v>2</v>
      </c>
      <c r="D247" s="3" t="s">
        <v>35</v>
      </c>
      <c r="E247" s="3">
        <v>44</v>
      </c>
      <c r="F247" s="5">
        <f t="shared" si="3"/>
        <v>176</v>
      </c>
    </row>
    <row r="248" spans="1:6" x14ac:dyDescent="0.25">
      <c r="A248" s="4">
        <v>42010</v>
      </c>
      <c r="B248" s="3" t="s">
        <v>26</v>
      </c>
      <c r="C248" s="3" t="s">
        <v>5</v>
      </c>
      <c r="D248" s="3" t="s">
        <v>33</v>
      </c>
      <c r="E248" s="3">
        <v>43</v>
      </c>
      <c r="F248" s="5">
        <f t="shared" si="3"/>
        <v>215</v>
      </c>
    </row>
    <row r="249" spans="1:6" x14ac:dyDescent="0.25">
      <c r="A249" s="4">
        <v>42109</v>
      </c>
      <c r="B249" s="3" t="s">
        <v>38</v>
      </c>
      <c r="C249" s="3" t="s">
        <v>19</v>
      </c>
      <c r="D249" s="3" t="s">
        <v>34</v>
      </c>
      <c r="E249" s="3">
        <v>10</v>
      </c>
      <c r="F249" s="5">
        <f t="shared" si="3"/>
        <v>2</v>
      </c>
    </row>
    <row r="250" spans="1:6" x14ac:dyDescent="0.25">
      <c r="A250" s="4">
        <v>42057</v>
      </c>
      <c r="B250" s="3" t="s">
        <v>39</v>
      </c>
      <c r="C250" s="3" t="s">
        <v>2</v>
      </c>
      <c r="D250" s="3" t="s">
        <v>28</v>
      </c>
      <c r="E250" s="3">
        <v>30</v>
      </c>
      <c r="F250" s="5">
        <f t="shared" si="3"/>
        <v>60</v>
      </c>
    </row>
    <row r="251" spans="1:6" x14ac:dyDescent="0.25">
      <c r="A251" s="4">
        <v>42131</v>
      </c>
      <c r="B251" s="3" t="s">
        <v>39</v>
      </c>
      <c r="C251" s="3" t="s">
        <v>2</v>
      </c>
      <c r="D251" s="3" t="s">
        <v>30</v>
      </c>
      <c r="E251" s="3">
        <v>22</v>
      </c>
      <c r="F251" s="5">
        <f t="shared" si="3"/>
        <v>2.2000000000000002</v>
      </c>
    </row>
    <row r="252" spans="1:6" x14ac:dyDescent="0.25">
      <c r="A252" s="4">
        <v>42025</v>
      </c>
      <c r="B252" s="3" t="s">
        <v>29</v>
      </c>
      <c r="C252" s="3" t="s">
        <v>6</v>
      </c>
      <c r="D252" s="3" t="s">
        <v>36</v>
      </c>
      <c r="E252" s="3">
        <v>39</v>
      </c>
      <c r="F252" s="5">
        <f t="shared" si="3"/>
        <v>58.5</v>
      </c>
    </row>
    <row r="253" spans="1:6" x14ac:dyDescent="0.25">
      <c r="A253" s="4">
        <v>42084</v>
      </c>
      <c r="B253" s="3" t="s">
        <v>29</v>
      </c>
      <c r="C253" s="3" t="s">
        <v>2</v>
      </c>
      <c r="D253" s="3" t="s">
        <v>30</v>
      </c>
      <c r="E253" s="3">
        <v>45</v>
      </c>
      <c r="F253" s="5">
        <f t="shared" si="3"/>
        <v>4.5</v>
      </c>
    </row>
    <row r="254" spans="1:6" x14ac:dyDescent="0.25">
      <c r="A254" s="4">
        <v>42146</v>
      </c>
      <c r="B254" s="3" t="s">
        <v>39</v>
      </c>
      <c r="C254" s="3" t="s">
        <v>2</v>
      </c>
      <c r="D254" s="3" t="s">
        <v>35</v>
      </c>
      <c r="E254" s="3">
        <v>24</v>
      </c>
      <c r="F254" s="5">
        <f t="shared" si="3"/>
        <v>96</v>
      </c>
    </row>
    <row r="255" spans="1:6" x14ac:dyDescent="0.25">
      <c r="A255" s="4">
        <v>42119</v>
      </c>
      <c r="B255" s="3" t="s">
        <v>26</v>
      </c>
      <c r="C255" s="3" t="s">
        <v>10</v>
      </c>
      <c r="D255" s="3" t="s">
        <v>28</v>
      </c>
      <c r="E255" s="3">
        <v>1</v>
      </c>
      <c r="F255" s="5">
        <f t="shared" si="3"/>
        <v>2</v>
      </c>
    </row>
    <row r="256" spans="1:6" x14ac:dyDescent="0.25">
      <c r="A256" s="4">
        <v>42009</v>
      </c>
      <c r="B256" s="3" t="s">
        <v>38</v>
      </c>
      <c r="C256" s="3" t="s">
        <v>6</v>
      </c>
      <c r="D256" s="3" t="s">
        <v>34</v>
      </c>
      <c r="E256" s="3">
        <v>49</v>
      </c>
      <c r="F256" s="5">
        <f t="shared" si="3"/>
        <v>9.8000000000000007</v>
      </c>
    </row>
    <row r="257" spans="1:6" x14ac:dyDescent="0.25">
      <c r="A257" s="4">
        <v>42177</v>
      </c>
      <c r="B257" s="3" t="s">
        <v>26</v>
      </c>
      <c r="C257" s="3" t="s">
        <v>5</v>
      </c>
      <c r="D257" s="3" t="s">
        <v>36</v>
      </c>
      <c r="E257" s="3">
        <v>32</v>
      </c>
      <c r="F257" s="5">
        <f t="shared" si="3"/>
        <v>48</v>
      </c>
    </row>
    <row r="258" spans="1:6" x14ac:dyDescent="0.25">
      <c r="A258" s="4">
        <v>42083</v>
      </c>
      <c r="B258" s="3" t="s">
        <v>32</v>
      </c>
      <c r="C258" s="3" t="s">
        <v>10</v>
      </c>
      <c r="D258" s="3" t="s">
        <v>27</v>
      </c>
      <c r="E258" s="3">
        <v>17</v>
      </c>
      <c r="F258" s="5">
        <f t="shared" si="3"/>
        <v>8.5</v>
      </c>
    </row>
    <row r="259" spans="1:6" x14ac:dyDescent="0.25">
      <c r="A259" s="4">
        <v>42095</v>
      </c>
      <c r="B259" s="3" t="s">
        <v>38</v>
      </c>
      <c r="C259" s="3" t="s">
        <v>10</v>
      </c>
      <c r="D259" s="3" t="s">
        <v>35</v>
      </c>
      <c r="E259" s="3">
        <v>9</v>
      </c>
      <c r="F259" s="5">
        <f t="shared" si="3"/>
        <v>36</v>
      </c>
    </row>
    <row r="260" spans="1:6" x14ac:dyDescent="0.25">
      <c r="A260" s="4">
        <v>42025</v>
      </c>
      <c r="B260" s="3" t="s">
        <v>38</v>
      </c>
      <c r="C260" s="3" t="s">
        <v>19</v>
      </c>
      <c r="D260" s="3" t="s">
        <v>35</v>
      </c>
      <c r="E260" s="3">
        <v>23</v>
      </c>
      <c r="F260" s="5">
        <f t="shared" si="3"/>
        <v>92</v>
      </c>
    </row>
    <row r="261" spans="1:6" x14ac:dyDescent="0.25">
      <c r="A261" s="4">
        <v>42086</v>
      </c>
      <c r="B261" s="3" t="s">
        <v>29</v>
      </c>
      <c r="C261" s="3" t="s">
        <v>2</v>
      </c>
      <c r="D261" s="3" t="s">
        <v>35</v>
      </c>
      <c r="E261" s="3">
        <v>49</v>
      </c>
      <c r="F261" s="5">
        <f t="shared" si="3"/>
        <v>196</v>
      </c>
    </row>
    <row r="262" spans="1:6" x14ac:dyDescent="0.25">
      <c r="A262" s="4">
        <v>42077</v>
      </c>
      <c r="B262" s="3" t="s">
        <v>32</v>
      </c>
      <c r="C262" s="3" t="s">
        <v>19</v>
      </c>
      <c r="D262" s="3" t="s">
        <v>31</v>
      </c>
      <c r="E262" s="3">
        <v>25</v>
      </c>
      <c r="F262" s="5">
        <f t="shared" si="3"/>
        <v>62.5</v>
      </c>
    </row>
    <row r="263" spans="1:6" x14ac:dyDescent="0.25">
      <c r="A263" s="4">
        <v>42059</v>
      </c>
      <c r="B263" s="3" t="s">
        <v>32</v>
      </c>
      <c r="C263" s="3" t="s">
        <v>19</v>
      </c>
      <c r="D263" s="3" t="s">
        <v>31</v>
      </c>
      <c r="E263" s="3">
        <v>11</v>
      </c>
      <c r="F263" s="5">
        <f t="shared" ref="F263:F326" si="4">E263*VLOOKUP(D263,$W$6:$X$13,2,0)</f>
        <v>27.5</v>
      </c>
    </row>
    <row r="264" spans="1:6" x14ac:dyDescent="0.25">
      <c r="A264" s="4">
        <v>42033</v>
      </c>
      <c r="B264" s="3" t="s">
        <v>37</v>
      </c>
      <c r="C264" s="3" t="s">
        <v>2</v>
      </c>
      <c r="D264" s="3" t="s">
        <v>34</v>
      </c>
      <c r="E264" s="3">
        <v>18</v>
      </c>
      <c r="F264" s="5">
        <f t="shared" si="4"/>
        <v>3.6</v>
      </c>
    </row>
    <row r="265" spans="1:6" x14ac:dyDescent="0.25">
      <c r="A265" s="4">
        <v>42063</v>
      </c>
      <c r="B265" s="3" t="s">
        <v>39</v>
      </c>
      <c r="C265" s="3" t="s">
        <v>10</v>
      </c>
      <c r="D265" s="3" t="s">
        <v>33</v>
      </c>
      <c r="E265" s="3">
        <v>40</v>
      </c>
      <c r="F265" s="5">
        <f t="shared" si="4"/>
        <v>200</v>
      </c>
    </row>
    <row r="266" spans="1:6" x14ac:dyDescent="0.25">
      <c r="A266" s="4">
        <v>42063</v>
      </c>
      <c r="B266" s="3" t="s">
        <v>38</v>
      </c>
      <c r="C266" s="3" t="s">
        <v>6</v>
      </c>
      <c r="D266" s="3" t="s">
        <v>30</v>
      </c>
      <c r="E266" s="3">
        <v>3</v>
      </c>
      <c r="F266" s="5">
        <f t="shared" si="4"/>
        <v>0.30000000000000004</v>
      </c>
    </row>
    <row r="267" spans="1:6" x14ac:dyDescent="0.25">
      <c r="A267" s="4">
        <v>42122</v>
      </c>
      <c r="B267" s="3" t="s">
        <v>26</v>
      </c>
      <c r="C267" s="3" t="s">
        <v>2</v>
      </c>
      <c r="D267" s="3" t="s">
        <v>27</v>
      </c>
      <c r="E267" s="3">
        <v>17</v>
      </c>
      <c r="F267" s="5">
        <f t="shared" si="4"/>
        <v>8.5</v>
      </c>
    </row>
    <row r="268" spans="1:6" x14ac:dyDescent="0.25">
      <c r="A268" s="4">
        <v>42118</v>
      </c>
      <c r="B268" s="3" t="s">
        <v>37</v>
      </c>
      <c r="C268" s="3" t="s">
        <v>10</v>
      </c>
      <c r="D268" s="3" t="s">
        <v>31</v>
      </c>
      <c r="E268" s="3">
        <v>9</v>
      </c>
      <c r="F268" s="5">
        <f t="shared" si="4"/>
        <v>22.5</v>
      </c>
    </row>
    <row r="269" spans="1:6" x14ac:dyDescent="0.25">
      <c r="A269" s="4">
        <v>42177</v>
      </c>
      <c r="B269" s="3" t="s">
        <v>29</v>
      </c>
      <c r="C269" s="3" t="s">
        <v>10</v>
      </c>
      <c r="D269" s="3" t="s">
        <v>30</v>
      </c>
      <c r="E269" s="3">
        <v>34</v>
      </c>
      <c r="F269" s="5">
        <f t="shared" si="4"/>
        <v>3.4000000000000004</v>
      </c>
    </row>
    <row r="270" spans="1:6" x14ac:dyDescent="0.25">
      <c r="A270" s="4">
        <v>42053</v>
      </c>
      <c r="B270" s="3" t="s">
        <v>32</v>
      </c>
      <c r="C270" s="3" t="s">
        <v>10</v>
      </c>
      <c r="D270" s="3" t="s">
        <v>28</v>
      </c>
      <c r="E270" s="3">
        <v>22</v>
      </c>
      <c r="F270" s="5">
        <f t="shared" si="4"/>
        <v>44</v>
      </c>
    </row>
    <row r="271" spans="1:6" x14ac:dyDescent="0.25">
      <c r="A271" s="4">
        <v>42030</v>
      </c>
      <c r="B271" s="3" t="s">
        <v>38</v>
      </c>
      <c r="C271" s="3" t="s">
        <v>2</v>
      </c>
      <c r="D271" s="3" t="s">
        <v>31</v>
      </c>
      <c r="E271" s="3">
        <v>28</v>
      </c>
      <c r="F271" s="5">
        <f t="shared" si="4"/>
        <v>70</v>
      </c>
    </row>
    <row r="272" spans="1:6" x14ac:dyDescent="0.25">
      <c r="A272" s="4">
        <v>42090</v>
      </c>
      <c r="B272" s="3" t="s">
        <v>32</v>
      </c>
      <c r="C272" s="3" t="s">
        <v>2</v>
      </c>
      <c r="D272" s="3" t="s">
        <v>31</v>
      </c>
      <c r="E272" s="3">
        <v>21</v>
      </c>
      <c r="F272" s="5">
        <f t="shared" si="4"/>
        <v>52.5</v>
      </c>
    </row>
    <row r="273" spans="1:6" x14ac:dyDescent="0.25">
      <c r="A273" s="4">
        <v>42158</v>
      </c>
      <c r="B273" s="3" t="s">
        <v>29</v>
      </c>
      <c r="C273" s="3" t="s">
        <v>10</v>
      </c>
      <c r="D273" s="3" t="s">
        <v>30</v>
      </c>
      <c r="E273" s="3">
        <v>45</v>
      </c>
      <c r="F273" s="5">
        <f t="shared" si="4"/>
        <v>4.5</v>
      </c>
    </row>
    <row r="274" spans="1:6" x14ac:dyDescent="0.25">
      <c r="A274" s="4">
        <v>42185</v>
      </c>
      <c r="B274" s="3" t="s">
        <v>29</v>
      </c>
      <c r="C274" s="3" t="s">
        <v>2</v>
      </c>
      <c r="D274" s="3" t="s">
        <v>33</v>
      </c>
      <c r="E274" s="3">
        <v>17</v>
      </c>
      <c r="F274" s="5">
        <f t="shared" si="4"/>
        <v>85</v>
      </c>
    </row>
    <row r="275" spans="1:6" x14ac:dyDescent="0.25">
      <c r="A275" s="4">
        <v>42079</v>
      </c>
      <c r="B275" s="3" t="s">
        <v>38</v>
      </c>
      <c r="C275" s="3" t="s">
        <v>5</v>
      </c>
      <c r="D275" s="3" t="s">
        <v>28</v>
      </c>
      <c r="E275" s="3">
        <v>44</v>
      </c>
      <c r="F275" s="5">
        <f t="shared" si="4"/>
        <v>88</v>
      </c>
    </row>
    <row r="276" spans="1:6" x14ac:dyDescent="0.25">
      <c r="A276" s="4">
        <v>42078</v>
      </c>
      <c r="B276" s="3" t="s">
        <v>29</v>
      </c>
      <c r="C276" s="3" t="s">
        <v>19</v>
      </c>
      <c r="D276" s="3" t="s">
        <v>33</v>
      </c>
      <c r="E276" s="3">
        <v>20</v>
      </c>
      <c r="F276" s="5">
        <f t="shared" si="4"/>
        <v>100</v>
      </c>
    </row>
    <row r="277" spans="1:6" x14ac:dyDescent="0.25">
      <c r="A277" s="4">
        <v>42170</v>
      </c>
      <c r="B277" s="3" t="s">
        <v>39</v>
      </c>
      <c r="C277" s="3" t="s">
        <v>10</v>
      </c>
      <c r="D277" s="3" t="s">
        <v>36</v>
      </c>
      <c r="E277" s="3">
        <v>29</v>
      </c>
      <c r="F277" s="5">
        <f t="shared" si="4"/>
        <v>43.5</v>
      </c>
    </row>
    <row r="278" spans="1:6" x14ac:dyDescent="0.25">
      <c r="A278" s="4">
        <v>42027</v>
      </c>
      <c r="B278" s="3" t="s">
        <v>26</v>
      </c>
      <c r="C278" s="3" t="s">
        <v>10</v>
      </c>
      <c r="D278" s="3" t="s">
        <v>36</v>
      </c>
      <c r="E278" s="3">
        <v>13</v>
      </c>
      <c r="F278" s="5">
        <f t="shared" si="4"/>
        <v>19.5</v>
      </c>
    </row>
    <row r="279" spans="1:6" x14ac:dyDescent="0.25">
      <c r="A279" s="4">
        <v>42038</v>
      </c>
      <c r="B279" s="3" t="s">
        <v>37</v>
      </c>
      <c r="C279" s="3" t="s">
        <v>19</v>
      </c>
      <c r="D279" s="3" t="s">
        <v>33</v>
      </c>
      <c r="E279" s="3">
        <v>45</v>
      </c>
      <c r="F279" s="5">
        <f t="shared" si="4"/>
        <v>225</v>
      </c>
    </row>
    <row r="280" spans="1:6" x14ac:dyDescent="0.25">
      <c r="A280" s="4">
        <v>42066</v>
      </c>
      <c r="B280" s="3" t="s">
        <v>29</v>
      </c>
      <c r="C280" s="3" t="s">
        <v>2</v>
      </c>
      <c r="D280" s="3" t="s">
        <v>36</v>
      </c>
      <c r="E280" s="3">
        <v>40</v>
      </c>
      <c r="F280" s="5">
        <f t="shared" si="4"/>
        <v>60</v>
      </c>
    </row>
    <row r="281" spans="1:6" x14ac:dyDescent="0.25">
      <c r="A281" s="4">
        <v>42069</v>
      </c>
      <c r="B281" s="3" t="s">
        <v>29</v>
      </c>
      <c r="C281" s="3" t="s">
        <v>5</v>
      </c>
      <c r="D281" s="3" t="s">
        <v>31</v>
      </c>
      <c r="E281" s="3">
        <v>10</v>
      </c>
      <c r="F281" s="5">
        <f t="shared" si="4"/>
        <v>25</v>
      </c>
    </row>
    <row r="282" spans="1:6" x14ac:dyDescent="0.25">
      <c r="A282" s="4">
        <v>42131</v>
      </c>
      <c r="B282" s="3" t="s">
        <v>29</v>
      </c>
      <c r="C282" s="3" t="s">
        <v>5</v>
      </c>
      <c r="D282" s="3" t="s">
        <v>36</v>
      </c>
      <c r="E282" s="3">
        <v>40</v>
      </c>
      <c r="F282" s="5">
        <f t="shared" si="4"/>
        <v>60</v>
      </c>
    </row>
    <row r="283" spans="1:6" x14ac:dyDescent="0.25">
      <c r="A283" s="4">
        <v>42164</v>
      </c>
      <c r="B283" s="3" t="s">
        <v>26</v>
      </c>
      <c r="C283" s="3" t="s">
        <v>10</v>
      </c>
      <c r="D283" s="3" t="s">
        <v>34</v>
      </c>
      <c r="E283" s="3">
        <v>24</v>
      </c>
      <c r="F283" s="5">
        <f t="shared" si="4"/>
        <v>4.8000000000000007</v>
      </c>
    </row>
    <row r="284" spans="1:6" x14ac:dyDescent="0.25">
      <c r="A284" s="4">
        <v>42013</v>
      </c>
      <c r="B284" s="3" t="s">
        <v>38</v>
      </c>
      <c r="C284" s="3" t="s">
        <v>6</v>
      </c>
      <c r="D284" s="3" t="s">
        <v>35</v>
      </c>
      <c r="E284" s="3">
        <v>5</v>
      </c>
      <c r="F284" s="5">
        <f t="shared" si="4"/>
        <v>20</v>
      </c>
    </row>
    <row r="285" spans="1:6" x14ac:dyDescent="0.25">
      <c r="A285" s="4">
        <v>42106</v>
      </c>
      <c r="B285" s="3" t="s">
        <v>29</v>
      </c>
      <c r="C285" s="3" t="s">
        <v>19</v>
      </c>
      <c r="D285" s="3" t="s">
        <v>35</v>
      </c>
      <c r="E285" s="3">
        <v>47</v>
      </c>
      <c r="F285" s="5">
        <f t="shared" si="4"/>
        <v>188</v>
      </c>
    </row>
    <row r="286" spans="1:6" x14ac:dyDescent="0.25">
      <c r="A286" s="4">
        <v>42126</v>
      </c>
      <c r="B286" s="3" t="s">
        <v>38</v>
      </c>
      <c r="C286" s="3" t="s">
        <v>2</v>
      </c>
      <c r="D286" s="3" t="s">
        <v>31</v>
      </c>
      <c r="E286" s="3">
        <v>47</v>
      </c>
      <c r="F286" s="5">
        <f t="shared" si="4"/>
        <v>117.5</v>
      </c>
    </row>
    <row r="287" spans="1:6" x14ac:dyDescent="0.25">
      <c r="A287" s="4">
        <v>42157</v>
      </c>
      <c r="B287" s="3" t="s">
        <v>32</v>
      </c>
      <c r="C287" s="3" t="s">
        <v>6</v>
      </c>
      <c r="D287" s="3" t="s">
        <v>36</v>
      </c>
      <c r="E287" s="3">
        <v>27</v>
      </c>
      <c r="F287" s="5">
        <f t="shared" si="4"/>
        <v>40.5</v>
      </c>
    </row>
    <row r="288" spans="1:6" x14ac:dyDescent="0.25">
      <c r="A288" s="4">
        <v>42128</v>
      </c>
      <c r="B288" s="3" t="s">
        <v>26</v>
      </c>
      <c r="C288" s="3" t="s">
        <v>5</v>
      </c>
      <c r="D288" s="3" t="s">
        <v>36</v>
      </c>
      <c r="E288" s="3">
        <v>8</v>
      </c>
      <c r="F288" s="5">
        <f t="shared" si="4"/>
        <v>12</v>
      </c>
    </row>
    <row r="289" spans="1:6" x14ac:dyDescent="0.25">
      <c r="A289" s="4">
        <v>42010</v>
      </c>
      <c r="B289" s="3" t="s">
        <v>29</v>
      </c>
      <c r="C289" s="3" t="s">
        <v>19</v>
      </c>
      <c r="D289" s="3" t="s">
        <v>31</v>
      </c>
      <c r="E289" s="3">
        <v>45</v>
      </c>
      <c r="F289" s="5">
        <f t="shared" si="4"/>
        <v>112.5</v>
      </c>
    </row>
    <row r="290" spans="1:6" x14ac:dyDescent="0.25">
      <c r="A290" s="4">
        <v>42046</v>
      </c>
      <c r="B290" s="3" t="s">
        <v>32</v>
      </c>
      <c r="C290" s="3" t="s">
        <v>19</v>
      </c>
      <c r="D290" s="3" t="s">
        <v>28</v>
      </c>
      <c r="E290" s="3">
        <v>8</v>
      </c>
      <c r="F290" s="5">
        <f t="shared" si="4"/>
        <v>16</v>
      </c>
    </row>
    <row r="291" spans="1:6" x14ac:dyDescent="0.25">
      <c r="A291" s="4">
        <v>42128</v>
      </c>
      <c r="B291" s="3" t="s">
        <v>26</v>
      </c>
      <c r="C291" s="3" t="s">
        <v>10</v>
      </c>
      <c r="D291" s="3" t="s">
        <v>36</v>
      </c>
      <c r="E291" s="3">
        <v>41</v>
      </c>
      <c r="F291" s="5">
        <f t="shared" si="4"/>
        <v>61.5</v>
      </c>
    </row>
    <row r="292" spans="1:6" x14ac:dyDescent="0.25">
      <c r="A292" s="4">
        <v>42104</v>
      </c>
      <c r="B292" s="3" t="s">
        <v>32</v>
      </c>
      <c r="C292" s="3" t="s">
        <v>19</v>
      </c>
      <c r="D292" s="3" t="s">
        <v>31</v>
      </c>
      <c r="E292" s="3">
        <v>43</v>
      </c>
      <c r="F292" s="5">
        <f t="shared" si="4"/>
        <v>107.5</v>
      </c>
    </row>
    <row r="293" spans="1:6" x14ac:dyDescent="0.25">
      <c r="A293" s="4">
        <v>42170</v>
      </c>
      <c r="B293" s="3" t="s">
        <v>26</v>
      </c>
      <c r="C293" s="3" t="s">
        <v>19</v>
      </c>
      <c r="D293" s="3" t="s">
        <v>28</v>
      </c>
      <c r="E293" s="3">
        <v>3</v>
      </c>
      <c r="F293" s="5">
        <f t="shared" si="4"/>
        <v>6</v>
      </c>
    </row>
    <row r="294" spans="1:6" x14ac:dyDescent="0.25">
      <c r="A294" s="4">
        <v>42179</v>
      </c>
      <c r="B294" s="3" t="s">
        <v>39</v>
      </c>
      <c r="C294" s="3" t="s">
        <v>6</v>
      </c>
      <c r="D294" s="3" t="s">
        <v>34</v>
      </c>
      <c r="E294" s="3">
        <v>10</v>
      </c>
      <c r="F294" s="5">
        <f t="shared" si="4"/>
        <v>2</v>
      </c>
    </row>
    <row r="295" spans="1:6" x14ac:dyDescent="0.25">
      <c r="A295" s="4">
        <v>42098</v>
      </c>
      <c r="B295" s="3" t="s">
        <v>37</v>
      </c>
      <c r="C295" s="3" t="s">
        <v>19</v>
      </c>
      <c r="D295" s="3" t="s">
        <v>36</v>
      </c>
      <c r="E295" s="3">
        <v>33</v>
      </c>
      <c r="F295" s="5">
        <f t="shared" si="4"/>
        <v>49.5</v>
      </c>
    </row>
    <row r="296" spans="1:6" x14ac:dyDescent="0.25">
      <c r="A296" s="4">
        <v>42011</v>
      </c>
      <c r="B296" s="3" t="s">
        <v>32</v>
      </c>
      <c r="C296" s="3" t="s">
        <v>10</v>
      </c>
      <c r="D296" s="3" t="s">
        <v>36</v>
      </c>
      <c r="E296" s="3">
        <v>30</v>
      </c>
      <c r="F296" s="5">
        <f t="shared" si="4"/>
        <v>45</v>
      </c>
    </row>
    <row r="297" spans="1:6" x14ac:dyDescent="0.25">
      <c r="A297" s="4">
        <v>42153</v>
      </c>
      <c r="B297" s="3" t="s">
        <v>26</v>
      </c>
      <c r="C297" s="3" t="s">
        <v>5</v>
      </c>
      <c r="D297" s="3" t="s">
        <v>31</v>
      </c>
      <c r="E297" s="3">
        <v>50</v>
      </c>
      <c r="F297" s="5">
        <f t="shared" si="4"/>
        <v>125</v>
      </c>
    </row>
    <row r="298" spans="1:6" x14ac:dyDescent="0.25">
      <c r="A298" s="4">
        <v>42040</v>
      </c>
      <c r="B298" s="3" t="s">
        <v>37</v>
      </c>
      <c r="C298" s="3" t="s">
        <v>19</v>
      </c>
      <c r="D298" s="3" t="s">
        <v>28</v>
      </c>
      <c r="E298" s="3">
        <v>24</v>
      </c>
      <c r="F298" s="5">
        <f t="shared" si="4"/>
        <v>48</v>
      </c>
    </row>
    <row r="299" spans="1:6" x14ac:dyDescent="0.25">
      <c r="A299" s="4">
        <v>42089</v>
      </c>
      <c r="B299" s="3" t="s">
        <v>38</v>
      </c>
      <c r="C299" s="3" t="s">
        <v>2</v>
      </c>
      <c r="D299" s="3" t="s">
        <v>27</v>
      </c>
      <c r="E299" s="3">
        <v>19</v>
      </c>
      <c r="F299" s="5">
        <f t="shared" si="4"/>
        <v>9.5</v>
      </c>
    </row>
    <row r="300" spans="1:6" x14ac:dyDescent="0.25">
      <c r="A300" s="4">
        <v>42054</v>
      </c>
      <c r="B300" s="3" t="s">
        <v>37</v>
      </c>
      <c r="C300" s="3" t="s">
        <v>19</v>
      </c>
      <c r="D300" s="3" t="s">
        <v>35</v>
      </c>
      <c r="E300" s="3">
        <v>44</v>
      </c>
      <c r="F300" s="5">
        <f t="shared" si="4"/>
        <v>176</v>
      </c>
    </row>
    <row r="301" spans="1:6" x14ac:dyDescent="0.25">
      <c r="A301" s="4">
        <v>42028</v>
      </c>
      <c r="B301" s="3" t="s">
        <v>29</v>
      </c>
      <c r="C301" s="3" t="s">
        <v>10</v>
      </c>
      <c r="D301" s="3" t="s">
        <v>27</v>
      </c>
      <c r="E301" s="3">
        <v>33</v>
      </c>
      <c r="F301" s="5">
        <f t="shared" si="4"/>
        <v>16.5</v>
      </c>
    </row>
    <row r="302" spans="1:6" x14ac:dyDescent="0.25">
      <c r="A302" s="4">
        <v>42009</v>
      </c>
      <c r="B302" s="3" t="s">
        <v>38</v>
      </c>
      <c r="C302" s="3" t="s">
        <v>2</v>
      </c>
      <c r="D302" s="3" t="s">
        <v>35</v>
      </c>
      <c r="E302" s="3">
        <v>45</v>
      </c>
      <c r="F302" s="5">
        <f t="shared" si="4"/>
        <v>180</v>
      </c>
    </row>
    <row r="303" spans="1:6" x14ac:dyDescent="0.25">
      <c r="A303" s="4">
        <v>42077</v>
      </c>
      <c r="B303" s="3" t="s">
        <v>38</v>
      </c>
      <c r="C303" s="3" t="s">
        <v>10</v>
      </c>
      <c r="D303" s="3" t="s">
        <v>35</v>
      </c>
      <c r="E303" s="3">
        <v>48</v>
      </c>
      <c r="F303" s="5">
        <f t="shared" si="4"/>
        <v>192</v>
      </c>
    </row>
    <row r="304" spans="1:6" x14ac:dyDescent="0.25">
      <c r="A304" s="4">
        <v>42161</v>
      </c>
      <c r="B304" s="3" t="s">
        <v>38</v>
      </c>
      <c r="C304" s="3" t="s">
        <v>6</v>
      </c>
      <c r="D304" s="3" t="s">
        <v>30</v>
      </c>
      <c r="E304" s="3">
        <v>25</v>
      </c>
      <c r="F304" s="5">
        <f t="shared" si="4"/>
        <v>2.5</v>
      </c>
    </row>
    <row r="305" spans="1:6" x14ac:dyDescent="0.25">
      <c r="A305" s="4">
        <v>42168</v>
      </c>
      <c r="B305" s="3" t="s">
        <v>32</v>
      </c>
      <c r="C305" s="3" t="s">
        <v>2</v>
      </c>
      <c r="D305" s="3" t="s">
        <v>28</v>
      </c>
      <c r="E305" s="3">
        <v>39</v>
      </c>
      <c r="F305" s="5">
        <f t="shared" si="4"/>
        <v>78</v>
      </c>
    </row>
    <row r="306" spans="1:6" x14ac:dyDescent="0.25">
      <c r="A306" s="4">
        <v>42053</v>
      </c>
      <c r="B306" s="3" t="s">
        <v>39</v>
      </c>
      <c r="C306" s="3" t="s">
        <v>5</v>
      </c>
      <c r="D306" s="3" t="s">
        <v>30</v>
      </c>
      <c r="E306" s="3">
        <v>38</v>
      </c>
      <c r="F306" s="5">
        <f t="shared" si="4"/>
        <v>3.8000000000000003</v>
      </c>
    </row>
    <row r="307" spans="1:6" x14ac:dyDescent="0.25">
      <c r="A307" s="4">
        <v>42028</v>
      </c>
      <c r="B307" s="3" t="s">
        <v>38</v>
      </c>
      <c r="C307" s="3" t="s">
        <v>5</v>
      </c>
      <c r="D307" s="3" t="s">
        <v>33</v>
      </c>
      <c r="E307" s="3">
        <v>24</v>
      </c>
      <c r="F307" s="5">
        <f t="shared" si="4"/>
        <v>120</v>
      </c>
    </row>
    <row r="308" spans="1:6" x14ac:dyDescent="0.25">
      <c r="A308" s="4">
        <v>42091</v>
      </c>
      <c r="B308" s="3" t="s">
        <v>26</v>
      </c>
      <c r="C308" s="3" t="s">
        <v>6</v>
      </c>
      <c r="D308" s="3" t="s">
        <v>30</v>
      </c>
      <c r="E308" s="3">
        <v>27</v>
      </c>
      <c r="F308" s="5">
        <f t="shared" si="4"/>
        <v>2.7</v>
      </c>
    </row>
    <row r="309" spans="1:6" x14ac:dyDescent="0.25">
      <c r="A309" s="4">
        <v>42102</v>
      </c>
      <c r="B309" s="3" t="s">
        <v>39</v>
      </c>
      <c r="C309" s="3" t="s">
        <v>6</v>
      </c>
      <c r="D309" s="3" t="s">
        <v>28</v>
      </c>
      <c r="E309" s="3">
        <v>27</v>
      </c>
      <c r="F309" s="5">
        <f t="shared" si="4"/>
        <v>54</v>
      </c>
    </row>
    <row r="310" spans="1:6" x14ac:dyDescent="0.25">
      <c r="A310" s="4">
        <v>42032</v>
      </c>
      <c r="B310" s="3" t="s">
        <v>38</v>
      </c>
      <c r="C310" s="3" t="s">
        <v>2</v>
      </c>
      <c r="D310" s="3" t="s">
        <v>33</v>
      </c>
      <c r="E310" s="3">
        <v>5</v>
      </c>
      <c r="F310" s="5">
        <f t="shared" si="4"/>
        <v>25</v>
      </c>
    </row>
    <row r="311" spans="1:6" x14ac:dyDescent="0.25">
      <c r="A311" s="4">
        <v>42096</v>
      </c>
      <c r="B311" s="3" t="s">
        <v>38</v>
      </c>
      <c r="C311" s="3" t="s">
        <v>5</v>
      </c>
      <c r="D311" s="3" t="s">
        <v>33</v>
      </c>
      <c r="E311" s="3">
        <v>10</v>
      </c>
      <c r="F311" s="5">
        <f t="shared" si="4"/>
        <v>50</v>
      </c>
    </row>
    <row r="312" spans="1:6" x14ac:dyDescent="0.25">
      <c r="A312" s="4">
        <v>42005</v>
      </c>
      <c r="B312" s="3" t="s">
        <v>29</v>
      </c>
      <c r="C312" s="3" t="s">
        <v>10</v>
      </c>
      <c r="D312" s="3" t="s">
        <v>33</v>
      </c>
      <c r="E312" s="3">
        <v>12</v>
      </c>
      <c r="F312" s="5">
        <f t="shared" si="4"/>
        <v>60</v>
      </c>
    </row>
    <row r="313" spans="1:6" x14ac:dyDescent="0.25">
      <c r="A313" s="4">
        <v>42071</v>
      </c>
      <c r="B313" s="3" t="s">
        <v>37</v>
      </c>
      <c r="C313" s="3" t="s">
        <v>6</v>
      </c>
      <c r="D313" s="3" t="s">
        <v>36</v>
      </c>
      <c r="E313" s="3">
        <v>10</v>
      </c>
      <c r="F313" s="5">
        <f t="shared" si="4"/>
        <v>15</v>
      </c>
    </row>
    <row r="314" spans="1:6" x14ac:dyDescent="0.25">
      <c r="A314" s="4">
        <v>42086</v>
      </c>
      <c r="B314" s="3" t="s">
        <v>37</v>
      </c>
      <c r="C314" s="3" t="s">
        <v>5</v>
      </c>
      <c r="D314" s="3" t="s">
        <v>36</v>
      </c>
      <c r="E314" s="3">
        <v>34</v>
      </c>
      <c r="F314" s="5">
        <f t="shared" si="4"/>
        <v>51</v>
      </c>
    </row>
    <row r="315" spans="1:6" x14ac:dyDescent="0.25">
      <c r="A315" s="4">
        <v>42175</v>
      </c>
      <c r="B315" s="3" t="s">
        <v>26</v>
      </c>
      <c r="C315" s="3" t="s">
        <v>6</v>
      </c>
      <c r="D315" s="3" t="s">
        <v>31</v>
      </c>
      <c r="E315" s="3">
        <v>1</v>
      </c>
      <c r="F315" s="5">
        <f t="shared" si="4"/>
        <v>2.5</v>
      </c>
    </row>
    <row r="316" spans="1:6" x14ac:dyDescent="0.25">
      <c r="A316" s="4">
        <v>42080</v>
      </c>
      <c r="B316" s="3" t="s">
        <v>29</v>
      </c>
      <c r="C316" s="3" t="s">
        <v>6</v>
      </c>
      <c r="D316" s="3" t="s">
        <v>30</v>
      </c>
      <c r="E316" s="3">
        <v>48</v>
      </c>
      <c r="F316" s="5">
        <f t="shared" si="4"/>
        <v>4.8000000000000007</v>
      </c>
    </row>
    <row r="317" spans="1:6" x14ac:dyDescent="0.25">
      <c r="A317" s="4">
        <v>42166</v>
      </c>
      <c r="B317" s="3" t="s">
        <v>26</v>
      </c>
      <c r="C317" s="3" t="s">
        <v>19</v>
      </c>
      <c r="D317" s="3" t="s">
        <v>33</v>
      </c>
      <c r="E317" s="3">
        <v>26</v>
      </c>
      <c r="F317" s="5">
        <f t="shared" si="4"/>
        <v>130</v>
      </c>
    </row>
    <row r="318" spans="1:6" x14ac:dyDescent="0.25">
      <c r="A318" s="4">
        <v>42151</v>
      </c>
      <c r="B318" s="3" t="s">
        <v>32</v>
      </c>
      <c r="C318" s="3" t="s">
        <v>10</v>
      </c>
      <c r="D318" s="3" t="s">
        <v>28</v>
      </c>
      <c r="E318" s="3">
        <v>48</v>
      </c>
      <c r="F318" s="5">
        <f t="shared" si="4"/>
        <v>96</v>
      </c>
    </row>
    <row r="319" spans="1:6" x14ac:dyDescent="0.25">
      <c r="A319" s="4">
        <v>42157</v>
      </c>
      <c r="B319" s="3" t="s">
        <v>38</v>
      </c>
      <c r="C319" s="3" t="s">
        <v>19</v>
      </c>
      <c r="D319" s="3" t="s">
        <v>35</v>
      </c>
      <c r="E319" s="3">
        <v>6</v>
      </c>
      <c r="F319" s="5">
        <f t="shared" si="4"/>
        <v>24</v>
      </c>
    </row>
    <row r="320" spans="1:6" x14ac:dyDescent="0.25">
      <c r="A320" s="4">
        <v>42107</v>
      </c>
      <c r="B320" s="3" t="s">
        <v>26</v>
      </c>
      <c r="C320" s="3" t="s">
        <v>19</v>
      </c>
      <c r="D320" s="3" t="s">
        <v>35</v>
      </c>
      <c r="E320" s="3">
        <v>50</v>
      </c>
      <c r="F320" s="5">
        <f t="shared" si="4"/>
        <v>200</v>
      </c>
    </row>
    <row r="321" spans="1:6" x14ac:dyDescent="0.25">
      <c r="A321" s="4">
        <v>42149</v>
      </c>
      <c r="B321" s="3" t="s">
        <v>37</v>
      </c>
      <c r="C321" s="3" t="s">
        <v>19</v>
      </c>
      <c r="D321" s="3" t="s">
        <v>30</v>
      </c>
      <c r="E321" s="3">
        <v>14</v>
      </c>
      <c r="F321" s="5">
        <f t="shared" si="4"/>
        <v>1.4000000000000001</v>
      </c>
    </row>
    <row r="322" spans="1:6" x14ac:dyDescent="0.25">
      <c r="A322" s="4">
        <v>42060</v>
      </c>
      <c r="B322" s="3" t="s">
        <v>37</v>
      </c>
      <c r="C322" s="3" t="s">
        <v>10</v>
      </c>
      <c r="D322" s="3" t="s">
        <v>33</v>
      </c>
      <c r="E322" s="3">
        <v>39</v>
      </c>
      <c r="F322" s="5">
        <f t="shared" si="4"/>
        <v>195</v>
      </c>
    </row>
    <row r="323" spans="1:6" x14ac:dyDescent="0.25">
      <c r="A323" s="4">
        <v>42136</v>
      </c>
      <c r="B323" s="3" t="s">
        <v>37</v>
      </c>
      <c r="C323" s="3" t="s">
        <v>5</v>
      </c>
      <c r="D323" s="3" t="s">
        <v>28</v>
      </c>
      <c r="E323" s="3">
        <v>5</v>
      </c>
      <c r="F323" s="5">
        <f t="shared" si="4"/>
        <v>10</v>
      </c>
    </row>
    <row r="324" spans="1:6" x14ac:dyDescent="0.25">
      <c r="A324" s="4">
        <v>42171</v>
      </c>
      <c r="B324" s="3" t="s">
        <v>26</v>
      </c>
      <c r="C324" s="3" t="s">
        <v>2</v>
      </c>
      <c r="D324" s="3" t="s">
        <v>31</v>
      </c>
      <c r="E324" s="3">
        <v>15</v>
      </c>
      <c r="F324" s="5">
        <f t="shared" si="4"/>
        <v>37.5</v>
      </c>
    </row>
    <row r="325" spans="1:6" x14ac:dyDescent="0.25">
      <c r="A325" s="4">
        <v>42101</v>
      </c>
      <c r="B325" s="3" t="s">
        <v>32</v>
      </c>
      <c r="C325" s="3" t="s">
        <v>2</v>
      </c>
      <c r="D325" s="3" t="s">
        <v>36</v>
      </c>
      <c r="E325" s="3">
        <v>26</v>
      </c>
      <c r="F325" s="5">
        <f t="shared" si="4"/>
        <v>39</v>
      </c>
    </row>
    <row r="326" spans="1:6" x14ac:dyDescent="0.25">
      <c r="A326" s="4">
        <v>42150</v>
      </c>
      <c r="B326" s="3" t="s">
        <v>32</v>
      </c>
      <c r="C326" s="3" t="s">
        <v>5</v>
      </c>
      <c r="D326" s="3" t="s">
        <v>30</v>
      </c>
      <c r="E326" s="3">
        <v>43</v>
      </c>
      <c r="F326" s="5">
        <f t="shared" si="4"/>
        <v>4.3</v>
      </c>
    </row>
    <row r="327" spans="1:6" x14ac:dyDescent="0.25">
      <c r="A327" s="4">
        <v>42046</v>
      </c>
      <c r="B327" s="3" t="s">
        <v>37</v>
      </c>
      <c r="C327" s="3" t="s">
        <v>19</v>
      </c>
      <c r="D327" s="3" t="s">
        <v>30</v>
      </c>
      <c r="E327" s="3">
        <v>29</v>
      </c>
      <c r="F327" s="5">
        <f t="shared" ref="F327:F390" si="5">E327*VLOOKUP(D327,$W$6:$X$13,2,0)</f>
        <v>2.9000000000000004</v>
      </c>
    </row>
    <row r="328" spans="1:6" x14ac:dyDescent="0.25">
      <c r="A328" s="4">
        <v>42067</v>
      </c>
      <c r="B328" s="3" t="s">
        <v>39</v>
      </c>
      <c r="C328" s="3" t="s">
        <v>6</v>
      </c>
      <c r="D328" s="3" t="s">
        <v>36</v>
      </c>
      <c r="E328" s="3">
        <v>9</v>
      </c>
      <c r="F328" s="5">
        <f t="shared" si="5"/>
        <v>13.5</v>
      </c>
    </row>
    <row r="329" spans="1:6" x14ac:dyDescent="0.25">
      <c r="A329" s="4">
        <v>42166</v>
      </c>
      <c r="B329" s="3" t="s">
        <v>39</v>
      </c>
      <c r="C329" s="3" t="s">
        <v>6</v>
      </c>
      <c r="D329" s="3" t="s">
        <v>36</v>
      </c>
      <c r="E329" s="3">
        <v>13</v>
      </c>
      <c r="F329" s="5">
        <f t="shared" si="5"/>
        <v>19.5</v>
      </c>
    </row>
    <row r="330" spans="1:6" x14ac:dyDescent="0.25">
      <c r="A330" s="4">
        <v>42039</v>
      </c>
      <c r="B330" s="3" t="s">
        <v>38</v>
      </c>
      <c r="C330" s="3" t="s">
        <v>19</v>
      </c>
      <c r="D330" s="3" t="s">
        <v>30</v>
      </c>
      <c r="E330" s="3">
        <v>48</v>
      </c>
      <c r="F330" s="5">
        <f t="shared" si="5"/>
        <v>4.8000000000000007</v>
      </c>
    </row>
    <row r="331" spans="1:6" x14ac:dyDescent="0.25">
      <c r="A331" s="4">
        <v>42174</v>
      </c>
      <c r="B331" s="3" t="s">
        <v>39</v>
      </c>
      <c r="C331" s="3" t="s">
        <v>5</v>
      </c>
      <c r="D331" s="3" t="s">
        <v>33</v>
      </c>
      <c r="E331" s="3">
        <v>5</v>
      </c>
      <c r="F331" s="5">
        <f t="shared" si="5"/>
        <v>25</v>
      </c>
    </row>
    <row r="332" spans="1:6" x14ac:dyDescent="0.25">
      <c r="A332" s="4">
        <v>42146</v>
      </c>
      <c r="B332" s="3" t="s">
        <v>32</v>
      </c>
      <c r="C332" s="3" t="s">
        <v>2</v>
      </c>
      <c r="D332" s="3" t="s">
        <v>30</v>
      </c>
      <c r="E332" s="3">
        <v>18</v>
      </c>
      <c r="F332" s="5">
        <f t="shared" si="5"/>
        <v>1.8</v>
      </c>
    </row>
    <row r="333" spans="1:6" x14ac:dyDescent="0.25">
      <c r="A333" s="4">
        <v>42182</v>
      </c>
      <c r="B333" s="3" t="s">
        <v>37</v>
      </c>
      <c r="C333" s="3" t="s">
        <v>19</v>
      </c>
      <c r="D333" s="3" t="s">
        <v>35</v>
      </c>
      <c r="E333" s="3">
        <v>9</v>
      </c>
      <c r="F333" s="5">
        <f t="shared" si="5"/>
        <v>36</v>
      </c>
    </row>
    <row r="334" spans="1:6" x14ac:dyDescent="0.25">
      <c r="A334" s="4">
        <v>42025</v>
      </c>
      <c r="B334" s="3" t="s">
        <v>32</v>
      </c>
      <c r="C334" s="3" t="s">
        <v>6</v>
      </c>
      <c r="D334" s="3" t="s">
        <v>35</v>
      </c>
      <c r="E334" s="3">
        <v>22</v>
      </c>
      <c r="F334" s="5">
        <f t="shared" si="5"/>
        <v>88</v>
      </c>
    </row>
    <row r="335" spans="1:6" x14ac:dyDescent="0.25">
      <c r="A335" s="4">
        <v>42019</v>
      </c>
      <c r="B335" s="3" t="s">
        <v>29</v>
      </c>
      <c r="C335" s="3" t="s">
        <v>5</v>
      </c>
      <c r="D335" s="3" t="s">
        <v>36</v>
      </c>
      <c r="E335" s="3">
        <v>23</v>
      </c>
      <c r="F335" s="5">
        <f t="shared" si="5"/>
        <v>34.5</v>
      </c>
    </row>
    <row r="336" spans="1:6" x14ac:dyDescent="0.25">
      <c r="A336" s="4">
        <v>42110</v>
      </c>
      <c r="B336" s="3" t="s">
        <v>32</v>
      </c>
      <c r="C336" s="3" t="s">
        <v>6</v>
      </c>
      <c r="D336" s="3" t="s">
        <v>36</v>
      </c>
      <c r="E336" s="3">
        <v>20</v>
      </c>
      <c r="F336" s="5">
        <f t="shared" si="5"/>
        <v>30</v>
      </c>
    </row>
    <row r="337" spans="1:6" x14ac:dyDescent="0.25">
      <c r="A337" s="4">
        <v>42081</v>
      </c>
      <c r="B337" s="3" t="s">
        <v>38</v>
      </c>
      <c r="C337" s="3" t="s">
        <v>19</v>
      </c>
      <c r="D337" s="3" t="s">
        <v>33</v>
      </c>
      <c r="E337" s="3">
        <v>45</v>
      </c>
      <c r="F337" s="5">
        <f t="shared" si="5"/>
        <v>225</v>
      </c>
    </row>
    <row r="338" spans="1:6" x14ac:dyDescent="0.25">
      <c r="A338" s="4">
        <v>42027</v>
      </c>
      <c r="B338" s="3" t="s">
        <v>37</v>
      </c>
      <c r="C338" s="3" t="s">
        <v>10</v>
      </c>
      <c r="D338" s="3" t="s">
        <v>28</v>
      </c>
      <c r="E338" s="3">
        <v>45</v>
      </c>
      <c r="F338" s="5">
        <f t="shared" si="5"/>
        <v>90</v>
      </c>
    </row>
    <row r="339" spans="1:6" x14ac:dyDescent="0.25">
      <c r="A339" s="4">
        <v>42115</v>
      </c>
      <c r="B339" s="3" t="s">
        <v>38</v>
      </c>
      <c r="C339" s="3" t="s">
        <v>10</v>
      </c>
      <c r="D339" s="3" t="s">
        <v>31</v>
      </c>
      <c r="E339" s="3">
        <v>36</v>
      </c>
      <c r="F339" s="5">
        <f t="shared" si="5"/>
        <v>90</v>
      </c>
    </row>
    <row r="340" spans="1:6" x14ac:dyDescent="0.25">
      <c r="A340" s="4">
        <v>42088</v>
      </c>
      <c r="B340" s="3" t="s">
        <v>38</v>
      </c>
      <c r="C340" s="3" t="s">
        <v>19</v>
      </c>
      <c r="D340" s="3" t="s">
        <v>28</v>
      </c>
      <c r="E340" s="3">
        <v>38</v>
      </c>
      <c r="F340" s="5">
        <f t="shared" si="5"/>
        <v>76</v>
      </c>
    </row>
    <row r="341" spans="1:6" x14ac:dyDescent="0.25">
      <c r="A341" s="4">
        <v>42105</v>
      </c>
      <c r="B341" s="3" t="s">
        <v>29</v>
      </c>
      <c r="C341" s="3" t="s">
        <v>6</v>
      </c>
      <c r="D341" s="3" t="s">
        <v>31</v>
      </c>
      <c r="E341" s="3">
        <v>50</v>
      </c>
      <c r="F341" s="5">
        <f t="shared" si="5"/>
        <v>125</v>
      </c>
    </row>
    <row r="342" spans="1:6" x14ac:dyDescent="0.25">
      <c r="A342" s="4">
        <v>42097</v>
      </c>
      <c r="B342" s="3" t="s">
        <v>32</v>
      </c>
      <c r="C342" s="3" t="s">
        <v>2</v>
      </c>
      <c r="D342" s="3" t="s">
        <v>28</v>
      </c>
      <c r="E342" s="3">
        <v>17</v>
      </c>
      <c r="F342" s="5">
        <f t="shared" si="5"/>
        <v>34</v>
      </c>
    </row>
    <row r="343" spans="1:6" x14ac:dyDescent="0.25">
      <c r="A343" s="4">
        <v>42100</v>
      </c>
      <c r="B343" s="3" t="s">
        <v>26</v>
      </c>
      <c r="C343" s="3" t="s">
        <v>19</v>
      </c>
      <c r="D343" s="3" t="s">
        <v>33</v>
      </c>
      <c r="E343" s="3">
        <v>13</v>
      </c>
      <c r="F343" s="5">
        <f t="shared" si="5"/>
        <v>65</v>
      </c>
    </row>
    <row r="344" spans="1:6" x14ac:dyDescent="0.25">
      <c r="A344" s="4">
        <v>42130</v>
      </c>
      <c r="B344" s="3" t="s">
        <v>37</v>
      </c>
      <c r="C344" s="3" t="s">
        <v>19</v>
      </c>
      <c r="D344" s="3" t="s">
        <v>35</v>
      </c>
      <c r="E344" s="3">
        <v>31</v>
      </c>
      <c r="F344" s="5">
        <f t="shared" si="5"/>
        <v>124</v>
      </c>
    </row>
    <row r="345" spans="1:6" x14ac:dyDescent="0.25">
      <c r="A345" s="4">
        <v>42095</v>
      </c>
      <c r="B345" s="3" t="s">
        <v>37</v>
      </c>
      <c r="C345" s="3" t="s">
        <v>19</v>
      </c>
      <c r="D345" s="3" t="s">
        <v>33</v>
      </c>
      <c r="E345" s="3">
        <v>14</v>
      </c>
      <c r="F345" s="5">
        <f t="shared" si="5"/>
        <v>70</v>
      </c>
    </row>
    <row r="346" spans="1:6" x14ac:dyDescent="0.25">
      <c r="A346" s="4">
        <v>42117</v>
      </c>
      <c r="B346" s="3" t="s">
        <v>39</v>
      </c>
      <c r="C346" s="3" t="s">
        <v>19</v>
      </c>
      <c r="D346" s="3" t="s">
        <v>30</v>
      </c>
      <c r="E346" s="3">
        <v>16</v>
      </c>
      <c r="F346" s="5">
        <f t="shared" si="5"/>
        <v>1.6</v>
      </c>
    </row>
    <row r="347" spans="1:6" x14ac:dyDescent="0.25">
      <c r="A347" s="4">
        <v>42019</v>
      </c>
      <c r="B347" s="3" t="s">
        <v>39</v>
      </c>
      <c r="C347" s="3" t="s">
        <v>19</v>
      </c>
      <c r="D347" s="3" t="s">
        <v>36</v>
      </c>
      <c r="E347" s="3">
        <v>42</v>
      </c>
      <c r="F347" s="5">
        <f t="shared" si="5"/>
        <v>63</v>
      </c>
    </row>
    <row r="348" spans="1:6" x14ac:dyDescent="0.25">
      <c r="A348" s="4">
        <v>42093</v>
      </c>
      <c r="B348" s="3" t="s">
        <v>32</v>
      </c>
      <c r="C348" s="3" t="s">
        <v>6</v>
      </c>
      <c r="D348" s="3" t="s">
        <v>35</v>
      </c>
      <c r="E348" s="3">
        <v>11</v>
      </c>
      <c r="F348" s="5">
        <f t="shared" si="5"/>
        <v>44</v>
      </c>
    </row>
    <row r="349" spans="1:6" x14ac:dyDescent="0.25">
      <c r="A349" s="4">
        <v>42110</v>
      </c>
      <c r="B349" s="3" t="s">
        <v>38</v>
      </c>
      <c r="C349" s="3" t="s">
        <v>2</v>
      </c>
      <c r="D349" s="3" t="s">
        <v>36</v>
      </c>
      <c r="E349" s="3">
        <v>36</v>
      </c>
      <c r="F349" s="5">
        <f t="shared" si="5"/>
        <v>54</v>
      </c>
    </row>
    <row r="350" spans="1:6" x14ac:dyDescent="0.25">
      <c r="A350" s="4">
        <v>42087</v>
      </c>
      <c r="B350" s="3" t="s">
        <v>37</v>
      </c>
      <c r="C350" s="3" t="s">
        <v>2</v>
      </c>
      <c r="D350" s="3" t="s">
        <v>34</v>
      </c>
      <c r="E350" s="3">
        <v>14</v>
      </c>
      <c r="F350" s="5">
        <f t="shared" si="5"/>
        <v>2.8000000000000003</v>
      </c>
    </row>
    <row r="351" spans="1:6" x14ac:dyDescent="0.25">
      <c r="A351" s="4">
        <v>42138</v>
      </c>
      <c r="B351" s="3" t="s">
        <v>37</v>
      </c>
      <c r="C351" s="3" t="s">
        <v>19</v>
      </c>
      <c r="D351" s="3" t="s">
        <v>31</v>
      </c>
      <c r="E351" s="3">
        <v>4</v>
      </c>
      <c r="F351" s="5">
        <f t="shared" si="5"/>
        <v>10</v>
      </c>
    </row>
    <row r="352" spans="1:6" x14ac:dyDescent="0.25">
      <c r="A352" s="4">
        <v>42036</v>
      </c>
      <c r="B352" s="3" t="s">
        <v>26</v>
      </c>
      <c r="C352" s="3" t="s">
        <v>19</v>
      </c>
      <c r="D352" s="3" t="s">
        <v>31</v>
      </c>
      <c r="E352" s="3">
        <v>14</v>
      </c>
      <c r="F352" s="5">
        <f t="shared" si="5"/>
        <v>35</v>
      </c>
    </row>
    <row r="353" spans="1:6" x14ac:dyDescent="0.25">
      <c r="A353" s="4">
        <v>42084</v>
      </c>
      <c r="B353" s="3" t="s">
        <v>37</v>
      </c>
      <c r="C353" s="3" t="s">
        <v>19</v>
      </c>
      <c r="D353" s="3" t="s">
        <v>34</v>
      </c>
      <c r="E353" s="3">
        <v>20</v>
      </c>
      <c r="F353" s="5">
        <f t="shared" si="5"/>
        <v>4</v>
      </c>
    </row>
    <row r="354" spans="1:6" x14ac:dyDescent="0.25">
      <c r="A354" s="4">
        <v>42018</v>
      </c>
      <c r="B354" s="3" t="s">
        <v>39</v>
      </c>
      <c r="C354" s="3" t="s">
        <v>19</v>
      </c>
      <c r="D354" s="3" t="s">
        <v>34</v>
      </c>
      <c r="E354" s="3">
        <v>44</v>
      </c>
      <c r="F354" s="5">
        <f t="shared" si="5"/>
        <v>8.8000000000000007</v>
      </c>
    </row>
    <row r="355" spans="1:6" x14ac:dyDescent="0.25">
      <c r="A355" s="4">
        <v>42117</v>
      </c>
      <c r="B355" s="3" t="s">
        <v>38</v>
      </c>
      <c r="C355" s="3" t="s">
        <v>5</v>
      </c>
      <c r="D355" s="3" t="s">
        <v>33</v>
      </c>
      <c r="E355" s="3">
        <v>50</v>
      </c>
      <c r="F355" s="5">
        <f t="shared" si="5"/>
        <v>250</v>
      </c>
    </row>
    <row r="356" spans="1:6" x14ac:dyDescent="0.25">
      <c r="A356" s="4">
        <v>42125</v>
      </c>
      <c r="B356" s="3" t="s">
        <v>32</v>
      </c>
      <c r="C356" s="3" t="s">
        <v>2</v>
      </c>
      <c r="D356" s="3" t="s">
        <v>34</v>
      </c>
      <c r="E356" s="3">
        <v>26</v>
      </c>
      <c r="F356" s="5">
        <f t="shared" si="5"/>
        <v>5.2</v>
      </c>
    </row>
    <row r="357" spans="1:6" x14ac:dyDescent="0.25">
      <c r="A357" s="4">
        <v>42155</v>
      </c>
      <c r="B357" s="3" t="s">
        <v>37</v>
      </c>
      <c r="C357" s="3" t="s">
        <v>19</v>
      </c>
      <c r="D357" s="3" t="s">
        <v>34</v>
      </c>
      <c r="E357" s="3">
        <v>49</v>
      </c>
      <c r="F357" s="5">
        <f t="shared" si="5"/>
        <v>9.8000000000000007</v>
      </c>
    </row>
    <row r="358" spans="1:6" x14ac:dyDescent="0.25">
      <c r="A358" s="4">
        <v>42083</v>
      </c>
      <c r="B358" s="3" t="s">
        <v>38</v>
      </c>
      <c r="C358" s="3" t="s">
        <v>6</v>
      </c>
      <c r="D358" s="3" t="s">
        <v>27</v>
      </c>
      <c r="E358" s="3">
        <v>28</v>
      </c>
      <c r="F358" s="5">
        <f t="shared" si="5"/>
        <v>14</v>
      </c>
    </row>
    <row r="359" spans="1:6" x14ac:dyDescent="0.25">
      <c r="A359" s="4">
        <v>42185</v>
      </c>
      <c r="B359" s="3" t="s">
        <v>39</v>
      </c>
      <c r="C359" s="3" t="s">
        <v>2</v>
      </c>
      <c r="D359" s="3" t="s">
        <v>34</v>
      </c>
      <c r="E359" s="3">
        <v>28</v>
      </c>
      <c r="F359" s="5">
        <f t="shared" si="5"/>
        <v>5.6000000000000005</v>
      </c>
    </row>
    <row r="360" spans="1:6" x14ac:dyDescent="0.25">
      <c r="A360" s="4">
        <v>42098</v>
      </c>
      <c r="B360" s="3" t="s">
        <v>32</v>
      </c>
      <c r="C360" s="3" t="s">
        <v>19</v>
      </c>
      <c r="D360" s="3" t="s">
        <v>27</v>
      </c>
      <c r="E360" s="3">
        <v>18</v>
      </c>
      <c r="F360" s="5">
        <f t="shared" si="5"/>
        <v>9</v>
      </c>
    </row>
    <row r="361" spans="1:6" x14ac:dyDescent="0.25">
      <c r="A361" s="4">
        <v>42056</v>
      </c>
      <c r="B361" s="3" t="s">
        <v>37</v>
      </c>
      <c r="C361" s="3" t="s">
        <v>19</v>
      </c>
      <c r="D361" s="3" t="s">
        <v>33</v>
      </c>
      <c r="E361" s="3">
        <v>8</v>
      </c>
      <c r="F361" s="5">
        <f t="shared" si="5"/>
        <v>40</v>
      </c>
    </row>
    <row r="362" spans="1:6" x14ac:dyDescent="0.25">
      <c r="A362" s="4">
        <v>42082</v>
      </c>
      <c r="B362" s="3" t="s">
        <v>37</v>
      </c>
      <c r="C362" s="3" t="s">
        <v>10</v>
      </c>
      <c r="D362" s="3" t="s">
        <v>33</v>
      </c>
      <c r="E362" s="3">
        <v>32</v>
      </c>
      <c r="F362" s="5">
        <f t="shared" si="5"/>
        <v>160</v>
      </c>
    </row>
    <row r="363" spans="1:6" x14ac:dyDescent="0.25">
      <c r="A363" s="4">
        <v>42144</v>
      </c>
      <c r="B363" s="3" t="s">
        <v>38</v>
      </c>
      <c r="C363" s="3" t="s">
        <v>19</v>
      </c>
      <c r="D363" s="3" t="s">
        <v>33</v>
      </c>
      <c r="E363" s="3">
        <v>37</v>
      </c>
      <c r="F363" s="5">
        <f t="shared" si="5"/>
        <v>185</v>
      </c>
    </row>
    <row r="364" spans="1:6" x14ac:dyDescent="0.25">
      <c r="A364" s="4">
        <v>42040</v>
      </c>
      <c r="B364" s="3" t="s">
        <v>37</v>
      </c>
      <c r="C364" s="3" t="s">
        <v>10</v>
      </c>
      <c r="D364" s="3" t="s">
        <v>36</v>
      </c>
      <c r="E364" s="3">
        <v>46</v>
      </c>
      <c r="F364" s="5">
        <f t="shared" si="5"/>
        <v>69</v>
      </c>
    </row>
    <row r="365" spans="1:6" x14ac:dyDescent="0.25">
      <c r="A365" s="4">
        <v>42173</v>
      </c>
      <c r="B365" s="3" t="s">
        <v>26</v>
      </c>
      <c r="C365" s="3" t="s">
        <v>19</v>
      </c>
      <c r="D365" s="3" t="s">
        <v>31</v>
      </c>
      <c r="E365" s="3">
        <v>40</v>
      </c>
      <c r="F365" s="5">
        <f t="shared" si="5"/>
        <v>100</v>
      </c>
    </row>
    <row r="366" spans="1:6" x14ac:dyDescent="0.25">
      <c r="A366" s="4">
        <v>42183</v>
      </c>
      <c r="B366" s="3" t="s">
        <v>26</v>
      </c>
      <c r="C366" s="3" t="s">
        <v>2</v>
      </c>
      <c r="D366" s="3" t="s">
        <v>28</v>
      </c>
      <c r="E366" s="3">
        <v>12</v>
      </c>
      <c r="F366" s="5">
        <f t="shared" si="5"/>
        <v>24</v>
      </c>
    </row>
    <row r="367" spans="1:6" x14ac:dyDescent="0.25">
      <c r="A367" s="4">
        <v>42089</v>
      </c>
      <c r="B367" s="3" t="s">
        <v>26</v>
      </c>
      <c r="C367" s="3" t="s">
        <v>5</v>
      </c>
      <c r="D367" s="3" t="s">
        <v>33</v>
      </c>
      <c r="E367" s="3">
        <v>37</v>
      </c>
      <c r="F367" s="5">
        <f t="shared" si="5"/>
        <v>185</v>
      </c>
    </row>
    <row r="368" spans="1:6" x14ac:dyDescent="0.25">
      <c r="A368" s="4">
        <v>42061</v>
      </c>
      <c r="B368" s="3" t="s">
        <v>38</v>
      </c>
      <c r="C368" s="3" t="s">
        <v>6</v>
      </c>
      <c r="D368" s="3" t="s">
        <v>35</v>
      </c>
      <c r="E368" s="3">
        <v>11</v>
      </c>
      <c r="F368" s="5">
        <f t="shared" si="5"/>
        <v>44</v>
      </c>
    </row>
    <row r="369" spans="1:6" x14ac:dyDescent="0.25">
      <c r="A369" s="4">
        <v>42157</v>
      </c>
      <c r="B369" s="3" t="s">
        <v>39</v>
      </c>
      <c r="C369" s="3" t="s">
        <v>10</v>
      </c>
      <c r="D369" s="3" t="s">
        <v>35</v>
      </c>
      <c r="E369" s="3">
        <v>31</v>
      </c>
      <c r="F369" s="5">
        <f t="shared" si="5"/>
        <v>124</v>
      </c>
    </row>
    <row r="370" spans="1:6" x14ac:dyDescent="0.25">
      <c r="A370" s="4">
        <v>42070</v>
      </c>
      <c r="B370" s="3" t="s">
        <v>26</v>
      </c>
      <c r="C370" s="3" t="s">
        <v>5</v>
      </c>
      <c r="D370" s="3" t="s">
        <v>27</v>
      </c>
      <c r="E370" s="3">
        <v>12</v>
      </c>
      <c r="F370" s="5">
        <f t="shared" si="5"/>
        <v>6</v>
      </c>
    </row>
    <row r="371" spans="1:6" x14ac:dyDescent="0.25">
      <c r="A371" s="4">
        <v>42104</v>
      </c>
      <c r="B371" s="3" t="s">
        <v>29</v>
      </c>
      <c r="C371" s="3" t="s">
        <v>19</v>
      </c>
      <c r="D371" s="3" t="s">
        <v>27</v>
      </c>
      <c r="E371" s="3">
        <v>24</v>
      </c>
      <c r="F371" s="5">
        <f t="shared" si="5"/>
        <v>12</v>
      </c>
    </row>
    <row r="372" spans="1:6" x14ac:dyDescent="0.25">
      <c r="A372" s="4">
        <v>42135</v>
      </c>
      <c r="B372" s="3" t="s">
        <v>37</v>
      </c>
      <c r="C372" s="3" t="s">
        <v>10</v>
      </c>
      <c r="D372" s="3" t="s">
        <v>34</v>
      </c>
      <c r="E372" s="3">
        <v>36</v>
      </c>
      <c r="F372" s="5">
        <f t="shared" si="5"/>
        <v>7.2</v>
      </c>
    </row>
    <row r="373" spans="1:6" x14ac:dyDescent="0.25">
      <c r="A373" s="4">
        <v>42174</v>
      </c>
      <c r="B373" s="3" t="s">
        <v>39</v>
      </c>
      <c r="C373" s="3" t="s">
        <v>6</v>
      </c>
      <c r="D373" s="3" t="s">
        <v>30</v>
      </c>
      <c r="E373" s="3">
        <v>40</v>
      </c>
      <c r="F373" s="5">
        <f t="shared" si="5"/>
        <v>4</v>
      </c>
    </row>
    <row r="374" spans="1:6" x14ac:dyDescent="0.25">
      <c r="A374" s="4">
        <v>42013</v>
      </c>
      <c r="B374" s="3" t="s">
        <v>38</v>
      </c>
      <c r="C374" s="3" t="s">
        <v>10</v>
      </c>
      <c r="D374" s="3" t="s">
        <v>33</v>
      </c>
      <c r="E374" s="3">
        <v>12</v>
      </c>
      <c r="F374" s="5">
        <f t="shared" si="5"/>
        <v>60</v>
      </c>
    </row>
    <row r="375" spans="1:6" x14ac:dyDescent="0.25">
      <c r="A375" s="4">
        <v>42079</v>
      </c>
      <c r="B375" s="3" t="s">
        <v>39</v>
      </c>
      <c r="C375" s="3" t="s">
        <v>2</v>
      </c>
      <c r="D375" s="3" t="s">
        <v>27</v>
      </c>
      <c r="E375" s="3">
        <v>16</v>
      </c>
      <c r="F375" s="5">
        <f t="shared" si="5"/>
        <v>8</v>
      </c>
    </row>
    <row r="376" spans="1:6" x14ac:dyDescent="0.25">
      <c r="A376" s="4">
        <v>42092</v>
      </c>
      <c r="B376" s="3" t="s">
        <v>38</v>
      </c>
      <c r="C376" s="3" t="s">
        <v>10</v>
      </c>
      <c r="D376" s="3" t="s">
        <v>34</v>
      </c>
      <c r="E376" s="3">
        <v>27</v>
      </c>
      <c r="F376" s="5">
        <f t="shared" si="5"/>
        <v>5.4</v>
      </c>
    </row>
    <row r="377" spans="1:6" x14ac:dyDescent="0.25">
      <c r="A377" s="4">
        <v>42110</v>
      </c>
      <c r="B377" s="3" t="s">
        <v>29</v>
      </c>
      <c r="C377" s="3" t="s">
        <v>5</v>
      </c>
      <c r="D377" s="3" t="s">
        <v>33</v>
      </c>
      <c r="E377" s="3">
        <v>31</v>
      </c>
      <c r="F377" s="5">
        <f t="shared" si="5"/>
        <v>155</v>
      </c>
    </row>
    <row r="378" spans="1:6" x14ac:dyDescent="0.25">
      <c r="A378" s="4">
        <v>42046</v>
      </c>
      <c r="B378" s="3" t="s">
        <v>37</v>
      </c>
      <c r="C378" s="3" t="s">
        <v>2</v>
      </c>
      <c r="D378" s="3" t="s">
        <v>33</v>
      </c>
      <c r="E378" s="3">
        <v>11</v>
      </c>
      <c r="F378" s="5">
        <f t="shared" si="5"/>
        <v>55</v>
      </c>
    </row>
    <row r="379" spans="1:6" x14ac:dyDescent="0.25">
      <c r="A379" s="4">
        <v>42031</v>
      </c>
      <c r="B379" s="3" t="s">
        <v>39</v>
      </c>
      <c r="C379" s="3" t="s">
        <v>19</v>
      </c>
      <c r="D379" s="3" t="s">
        <v>36</v>
      </c>
      <c r="E379" s="3">
        <v>4</v>
      </c>
      <c r="F379" s="5">
        <f t="shared" si="5"/>
        <v>6</v>
      </c>
    </row>
    <row r="380" spans="1:6" x14ac:dyDescent="0.25">
      <c r="A380" s="4">
        <v>42070</v>
      </c>
      <c r="B380" s="3" t="s">
        <v>39</v>
      </c>
      <c r="C380" s="3" t="s">
        <v>2</v>
      </c>
      <c r="D380" s="3" t="s">
        <v>34</v>
      </c>
      <c r="E380" s="3">
        <v>6</v>
      </c>
      <c r="F380" s="5">
        <f t="shared" si="5"/>
        <v>1.2000000000000002</v>
      </c>
    </row>
    <row r="381" spans="1:6" x14ac:dyDescent="0.25">
      <c r="A381" s="4">
        <v>42111</v>
      </c>
      <c r="B381" s="3" t="s">
        <v>29</v>
      </c>
      <c r="C381" s="3" t="s">
        <v>2</v>
      </c>
      <c r="D381" s="3" t="s">
        <v>36</v>
      </c>
      <c r="E381" s="3">
        <v>28</v>
      </c>
      <c r="F381" s="5">
        <f t="shared" si="5"/>
        <v>42</v>
      </c>
    </row>
    <row r="382" spans="1:6" x14ac:dyDescent="0.25">
      <c r="A382" s="4">
        <v>42107</v>
      </c>
      <c r="B382" s="3" t="s">
        <v>37</v>
      </c>
      <c r="C382" s="3" t="s">
        <v>5</v>
      </c>
      <c r="D382" s="3" t="s">
        <v>27</v>
      </c>
      <c r="E382" s="3">
        <v>22</v>
      </c>
      <c r="F382" s="5">
        <f t="shared" si="5"/>
        <v>11</v>
      </c>
    </row>
    <row r="383" spans="1:6" x14ac:dyDescent="0.25">
      <c r="A383" s="4">
        <v>42053</v>
      </c>
      <c r="B383" s="3" t="s">
        <v>39</v>
      </c>
      <c r="C383" s="3" t="s">
        <v>2</v>
      </c>
      <c r="D383" s="3" t="s">
        <v>28</v>
      </c>
      <c r="E383" s="3">
        <v>46</v>
      </c>
      <c r="F383" s="5">
        <f t="shared" si="5"/>
        <v>92</v>
      </c>
    </row>
    <row r="384" spans="1:6" x14ac:dyDescent="0.25">
      <c r="A384" s="4">
        <v>42047</v>
      </c>
      <c r="B384" s="3" t="s">
        <v>38</v>
      </c>
      <c r="C384" s="3" t="s">
        <v>2</v>
      </c>
      <c r="D384" s="3" t="s">
        <v>27</v>
      </c>
      <c r="E384" s="3">
        <v>48</v>
      </c>
      <c r="F384" s="5">
        <f t="shared" si="5"/>
        <v>24</v>
      </c>
    </row>
    <row r="385" spans="1:6" x14ac:dyDescent="0.25">
      <c r="A385" s="4">
        <v>42132</v>
      </c>
      <c r="B385" s="3" t="s">
        <v>26</v>
      </c>
      <c r="C385" s="3" t="s">
        <v>6</v>
      </c>
      <c r="D385" s="3" t="s">
        <v>27</v>
      </c>
      <c r="E385" s="3">
        <v>28</v>
      </c>
      <c r="F385" s="5">
        <f t="shared" si="5"/>
        <v>14</v>
      </c>
    </row>
    <row r="386" spans="1:6" x14ac:dyDescent="0.25">
      <c r="A386" s="4">
        <v>42011</v>
      </c>
      <c r="B386" s="3" t="s">
        <v>26</v>
      </c>
      <c r="C386" s="3" t="s">
        <v>10</v>
      </c>
      <c r="D386" s="3" t="s">
        <v>27</v>
      </c>
      <c r="E386" s="3">
        <v>3</v>
      </c>
      <c r="F386" s="5">
        <f t="shared" si="5"/>
        <v>1.5</v>
      </c>
    </row>
    <row r="387" spans="1:6" x14ac:dyDescent="0.25">
      <c r="A387" s="4">
        <v>42132</v>
      </c>
      <c r="B387" s="3" t="s">
        <v>38</v>
      </c>
      <c r="C387" s="3" t="s">
        <v>19</v>
      </c>
      <c r="D387" s="3" t="s">
        <v>34</v>
      </c>
      <c r="E387" s="3">
        <v>42</v>
      </c>
      <c r="F387" s="5">
        <f t="shared" si="5"/>
        <v>8.4</v>
      </c>
    </row>
    <row r="388" spans="1:6" x14ac:dyDescent="0.25">
      <c r="A388" s="4">
        <v>42155</v>
      </c>
      <c r="B388" s="3" t="s">
        <v>37</v>
      </c>
      <c r="C388" s="3" t="s">
        <v>5</v>
      </c>
      <c r="D388" s="3" t="s">
        <v>34</v>
      </c>
      <c r="E388" s="3">
        <v>40</v>
      </c>
      <c r="F388" s="5">
        <f t="shared" si="5"/>
        <v>8</v>
      </c>
    </row>
    <row r="389" spans="1:6" x14ac:dyDescent="0.25">
      <c r="A389" s="4">
        <v>42043</v>
      </c>
      <c r="B389" s="3" t="s">
        <v>29</v>
      </c>
      <c r="C389" s="3" t="s">
        <v>2</v>
      </c>
      <c r="D389" s="3" t="s">
        <v>30</v>
      </c>
      <c r="E389" s="3">
        <v>39</v>
      </c>
      <c r="F389" s="5">
        <f t="shared" si="5"/>
        <v>3.9000000000000004</v>
      </c>
    </row>
    <row r="390" spans="1:6" x14ac:dyDescent="0.25">
      <c r="A390" s="4">
        <v>42184</v>
      </c>
      <c r="B390" s="3" t="s">
        <v>39</v>
      </c>
      <c r="C390" s="3" t="s">
        <v>6</v>
      </c>
      <c r="D390" s="3" t="s">
        <v>33</v>
      </c>
      <c r="E390" s="3">
        <v>41</v>
      </c>
      <c r="F390" s="5">
        <f t="shared" si="5"/>
        <v>205</v>
      </c>
    </row>
    <row r="391" spans="1:6" x14ac:dyDescent="0.25">
      <c r="A391" s="4">
        <v>42163</v>
      </c>
      <c r="B391" s="3" t="s">
        <v>39</v>
      </c>
      <c r="C391" s="3" t="s">
        <v>10</v>
      </c>
      <c r="D391" s="3" t="s">
        <v>30</v>
      </c>
      <c r="E391" s="3">
        <v>18</v>
      </c>
      <c r="F391" s="5">
        <f t="shared" ref="F391:F454" si="6">E391*VLOOKUP(D391,$W$6:$X$13,2,0)</f>
        <v>1.8</v>
      </c>
    </row>
    <row r="392" spans="1:6" x14ac:dyDescent="0.25">
      <c r="A392" s="4">
        <v>42023</v>
      </c>
      <c r="B392" s="3" t="s">
        <v>37</v>
      </c>
      <c r="C392" s="3" t="s">
        <v>19</v>
      </c>
      <c r="D392" s="3" t="s">
        <v>35</v>
      </c>
      <c r="E392" s="3">
        <v>45</v>
      </c>
      <c r="F392" s="5">
        <f t="shared" si="6"/>
        <v>180</v>
      </c>
    </row>
    <row r="393" spans="1:6" x14ac:dyDescent="0.25">
      <c r="A393" s="4">
        <v>42157</v>
      </c>
      <c r="B393" s="3" t="s">
        <v>32</v>
      </c>
      <c r="C393" s="3" t="s">
        <v>5</v>
      </c>
      <c r="D393" s="3" t="s">
        <v>31</v>
      </c>
      <c r="E393" s="3">
        <v>10</v>
      </c>
      <c r="F393" s="5">
        <f t="shared" si="6"/>
        <v>25</v>
      </c>
    </row>
    <row r="394" spans="1:6" x14ac:dyDescent="0.25">
      <c r="A394" s="4">
        <v>42013</v>
      </c>
      <c r="B394" s="3" t="s">
        <v>37</v>
      </c>
      <c r="C394" s="3" t="s">
        <v>5</v>
      </c>
      <c r="D394" s="3" t="s">
        <v>34</v>
      </c>
      <c r="E394" s="3">
        <v>23</v>
      </c>
      <c r="F394" s="5">
        <f t="shared" si="6"/>
        <v>4.6000000000000005</v>
      </c>
    </row>
    <row r="395" spans="1:6" x14ac:dyDescent="0.25">
      <c r="A395" s="4">
        <v>42153</v>
      </c>
      <c r="B395" s="3" t="s">
        <v>38</v>
      </c>
      <c r="C395" s="3" t="s">
        <v>6</v>
      </c>
      <c r="D395" s="3" t="s">
        <v>33</v>
      </c>
      <c r="E395" s="3">
        <v>49</v>
      </c>
      <c r="F395" s="5">
        <f t="shared" si="6"/>
        <v>245</v>
      </c>
    </row>
    <row r="396" spans="1:6" x14ac:dyDescent="0.25">
      <c r="A396" s="4">
        <v>42098</v>
      </c>
      <c r="B396" s="3" t="s">
        <v>29</v>
      </c>
      <c r="C396" s="3" t="s">
        <v>6</v>
      </c>
      <c r="D396" s="3" t="s">
        <v>33</v>
      </c>
      <c r="E396" s="3">
        <v>14</v>
      </c>
      <c r="F396" s="5">
        <f t="shared" si="6"/>
        <v>70</v>
      </c>
    </row>
    <row r="397" spans="1:6" x14ac:dyDescent="0.25">
      <c r="A397" s="4">
        <v>42006</v>
      </c>
      <c r="B397" s="3" t="s">
        <v>29</v>
      </c>
      <c r="C397" s="3" t="s">
        <v>19</v>
      </c>
      <c r="D397" s="3" t="s">
        <v>36</v>
      </c>
      <c r="E397" s="3">
        <v>37</v>
      </c>
      <c r="F397" s="5">
        <f t="shared" si="6"/>
        <v>55.5</v>
      </c>
    </row>
    <row r="398" spans="1:6" x14ac:dyDescent="0.25">
      <c r="A398" s="4">
        <v>42181</v>
      </c>
      <c r="B398" s="3" t="s">
        <v>29</v>
      </c>
      <c r="C398" s="3" t="s">
        <v>5</v>
      </c>
      <c r="D398" s="3" t="s">
        <v>31</v>
      </c>
      <c r="E398" s="3">
        <v>50</v>
      </c>
      <c r="F398" s="5">
        <f t="shared" si="6"/>
        <v>125</v>
      </c>
    </row>
    <row r="399" spans="1:6" x14ac:dyDescent="0.25">
      <c r="A399" s="4">
        <v>42006</v>
      </c>
      <c r="B399" s="3" t="s">
        <v>38</v>
      </c>
      <c r="C399" s="3" t="s">
        <v>5</v>
      </c>
      <c r="D399" s="3" t="s">
        <v>33</v>
      </c>
      <c r="E399" s="3">
        <v>27</v>
      </c>
      <c r="F399" s="5">
        <f t="shared" si="6"/>
        <v>135</v>
      </c>
    </row>
    <row r="400" spans="1:6" x14ac:dyDescent="0.25">
      <c r="A400" s="4">
        <v>42036</v>
      </c>
      <c r="B400" s="3" t="s">
        <v>26</v>
      </c>
      <c r="C400" s="3" t="s">
        <v>2</v>
      </c>
      <c r="D400" s="3" t="s">
        <v>33</v>
      </c>
      <c r="E400" s="3">
        <v>41</v>
      </c>
      <c r="F400" s="5">
        <f t="shared" si="6"/>
        <v>205</v>
      </c>
    </row>
    <row r="401" spans="1:6" x14ac:dyDescent="0.25">
      <c r="A401" s="4">
        <v>42161</v>
      </c>
      <c r="B401" s="3" t="s">
        <v>37</v>
      </c>
      <c r="C401" s="3" t="s">
        <v>5</v>
      </c>
      <c r="D401" s="3" t="s">
        <v>33</v>
      </c>
      <c r="E401" s="3">
        <v>27</v>
      </c>
      <c r="F401" s="5">
        <f t="shared" si="6"/>
        <v>135</v>
      </c>
    </row>
    <row r="402" spans="1:6" x14ac:dyDescent="0.25">
      <c r="A402" s="4">
        <v>42059</v>
      </c>
      <c r="B402" s="3" t="s">
        <v>39</v>
      </c>
      <c r="C402" s="3" t="s">
        <v>10</v>
      </c>
      <c r="D402" s="3" t="s">
        <v>27</v>
      </c>
      <c r="E402" s="3">
        <v>4</v>
      </c>
      <c r="F402" s="5">
        <f t="shared" si="6"/>
        <v>2</v>
      </c>
    </row>
    <row r="403" spans="1:6" x14ac:dyDescent="0.25">
      <c r="A403" s="4">
        <v>42132</v>
      </c>
      <c r="B403" s="3" t="s">
        <v>37</v>
      </c>
      <c r="C403" s="3" t="s">
        <v>5</v>
      </c>
      <c r="D403" s="3" t="s">
        <v>36</v>
      </c>
      <c r="E403" s="3">
        <v>31</v>
      </c>
      <c r="F403" s="5">
        <f t="shared" si="6"/>
        <v>46.5</v>
      </c>
    </row>
    <row r="404" spans="1:6" x14ac:dyDescent="0.25">
      <c r="A404" s="4">
        <v>42005</v>
      </c>
      <c r="B404" s="3" t="s">
        <v>38</v>
      </c>
      <c r="C404" s="3" t="s">
        <v>2</v>
      </c>
      <c r="D404" s="3" t="s">
        <v>35</v>
      </c>
      <c r="E404" s="3">
        <v>30</v>
      </c>
      <c r="F404" s="5">
        <f t="shared" si="6"/>
        <v>120</v>
      </c>
    </row>
    <row r="405" spans="1:6" x14ac:dyDescent="0.25">
      <c r="A405" s="4">
        <v>42066</v>
      </c>
      <c r="B405" s="3" t="s">
        <v>39</v>
      </c>
      <c r="C405" s="3" t="s">
        <v>5</v>
      </c>
      <c r="D405" s="3" t="s">
        <v>27</v>
      </c>
      <c r="E405" s="3">
        <v>23</v>
      </c>
      <c r="F405" s="5">
        <f t="shared" si="6"/>
        <v>11.5</v>
      </c>
    </row>
    <row r="406" spans="1:6" x14ac:dyDescent="0.25">
      <c r="A406" s="4">
        <v>42080</v>
      </c>
      <c r="B406" s="3" t="s">
        <v>38</v>
      </c>
      <c r="C406" s="3" t="s">
        <v>5</v>
      </c>
      <c r="D406" s="3" t="s">
        <v>28</v>
      </c>
      <c r="E406" s="3">
        <v>22</v>
      </c>
      <c r="F406" s="5">
        <f t="shared" si="6"/>
        <v>44</v>
      </c>
    </row>
    <row r="407" spans="1:6" x14ac:dyDescent="0.25">
      <c r="A407" s="4">
        <v>42118</v>
      </c>
      <c r="B407" s="3" t="s">
        <v>26</v>
      </c>
      <c r="C407" s="3" t="s">
        <v>2</v>
      </c>
      <c r="D407" s="3" t="s">
        <v>28</v>
      </c>
      <c r="E407" s="3">
        <v>34</v>
      </c>
      <c r="F407" s="5">
        <f t="shared" si="6"/>
        <v>68</v>
      </c>
    </row>
    <row r="408" spans="1:6" x14ac:dyDescent="0.25">
      <c r="A408" s="4">
        <v>42040</v>
      </c>
      <c r="B408" s="3" t="s">
        <v>37</v>
      </c>
      <c r="C408" s="3" t="s">
        <v>2</v>
      </c>
      <c r="D408" s="3" t="s">
        <v>35</v>
      </c>
      <c r="E408" s="3">
        <v>33</v>
      </c>
      <c r="F408" s="5">
        <f t="shared" si="6"/>
        <v>132</v>
      </c>
    </row>
    <row r="409" spans="1:6" x14ac:dyDescent="0.25">
      <c r="A409" s="4">
        <v>42036</v>
      </c>
      <c r="B409" s="3" t="s">
        <v>26</v>
      </c>
      <c r="C409" s="3" t="s">
        <v>10</v>
      </c>
      <c r="D409" s="3" t="s">
        <v>34</v>
      </c>
      <c r="E409" s="3">
        <v>23</v>
      </c>
      <c r="F409" s="5">
        <f t="shared" si="6"/>
        <v>4.6000000000000005</v>
      </c>
    </row>
    <row r="410" spans="1:6" x14ac:dyDescent="0.25">
      <c r="A410" s="4">
        <v>42023</v>
      </c>
      <c r="B410" s="3" t="s">
        <v>29</v>
      </c>
      <c r="C410" s="3" t="s">
        <v>6</v>
      </c>
      <c r="D410" s="3" t="s">
        <v>35</v>
      </c>
      <c r="E410" s="3">
        <v>46</v>
      </c>
      <c r="F410" s="5">
        <f t="shared" si="6"/>
        <v>184</v>
      </c>
    </row>
    <row r="411" spans="1:6" x14ac:dyDescent="0.25">
      <c r="A411" s="4">
        <v>42180</v>
      </c>
      <c r="B411" s="3" t="s">
        <v>26</v>
      </c>
      <c r="C411" s="3" t="s">
        <v>6</v>
      </c>
      <c r="D411" s="3" t="s">
        <v>28</v>
      </c>
      <c r="E411" s="3">
        <v>4</v>
      </c>
      <c r="F411" s="5">
        <f t="shared" si="6"/>
        <v>8</v>
      </c>
    </row>
    <row r="412" spans="1:6" x14ac:dyDescent="0.25">
      <c r="A412" s="4">
        <v>42044</v>
      </c>
      <c r="B412" s="3" t="s">
        <v>38</v>
      </c>
      <c r="C412" s="3" t="s">
        <v>5</v>
      </c>
      <c r="D412" s="3" t="s">
        <v>35</v>
      </c>
      <c r="E412" s="3">
        <v>23</v>
      </c>
      <c r="F412" s="5">
        <f t="shared" si="6"/>
        <v>92</v>
      </c>
    </row>
    <row r="413" spans="1:6" x14ac:dyDescent="0.25">
      <c r="A413" s="4">
        <v>42029</v>
      </c>
      <c r="B413" s="3" t="s">
        <v>29</v>
      </c>
      <c r="C413" s="3" t="s">
        <v>10</v>
      </c>
      <c r="D413" s="3" t="s">
        <v>27</v>
      </c>
      <c r="E413" s="3">
        <v>10</v>
      </c>
      <c r="F413" s="5">
        <f t="shared" si="6"/>
        <v>5</v>
      </c>
    </row>
    <row r="414" spans="1:6" x14ac:dyDescent="0.25">
      <c r="A414" s="4">
        <v>42126</v>
      </c>
      <c r="B414" s="3" t="s">
        <v>26</v>
      </c>
      <c r="C414" s="3" t="s">
        <v>2</v>
      </c>
      <c r="D414" s="3" t="s">
        <v>31</v>
      </c>
      <c r="E414" s="3">
        <v>4</v>
      </c>
      <c r="F414" s="5">
        <f t="shared" si="6"/>
        <v>10</v>
      </c>
    </row>
    <row r="415" spans="1:6" x14ac:dyDescent="0.25">
      <c r="A415" s="4">
        <v>42013</v>
      </c>
      <c r="B415" s="3" t="s">
        <v>26</v>
      </c>
      <c r="C415" s="3" t="s">
        <v>5</v>
      </c>
      <c r="D415" s="3" t="s">
        <v>27</v>
      </c>
      <c r="E415" s="3">
        <v>10</v>
      </c>
      <c r="F415" s="5">
        <f t="shared" si="6"/>
        <v>5</v>
      </c>
    </row>
    <row r="416" spans="1:6" x14ac:dyDescent="0.25">
      <c r="A416" s="4">
        <v>42092</v>
      </c>
      <c r="B416" s="3" t="s">
        <v>32</v>
      </c>
      <c r="C416" s="3" t="s">
        <v>10</v>
      </c>
      <c r="D416" s="3" t="s">
        <v>27</v>
      </c>
      <c r="E416" s="3">
        <v>38</v>
      </c>
      <c r="F416" s="5">
        <f t="shared" si="6"/>
        <v>19</v>
      </c>
    </row>
    <row r="417" spans="1:6" x14ac:dyDescent="0.25">
      <c r="A417" s="4">
        <v>42109</v>
      </c>
      <c r="B417" s="3" t="s">
        <v>32</v>
      </c>
      <c r="C417" s="3" t="s">
        <v>19</v>
      </c>
      <c r="D417" s="3" t="s">
        <v>31</v>
      </c>
      <c r="E417" s="3">
        <v>47</v>
      </c>
      <c r="F417" s="5">
        <f t="shared" si="6"/>
        <v>117.5</v>
      </c>
    </row>
    <row r="418" spans="1:6" x14ac:dyDescent="0.25">
      <c r="A418" s="4">
        <v>42138</v>
      </c>
      <c r="B418" s="3" t="s">
        <v>26</v>
      </c>
      <c r="C418" s="3" t="s">
        <v>5</v>
      </c>
      <c r="D418" s="3" t="s">
        <v>33</v>
      </c>
      <c r="E418" s="3">
        <v>29</v>
      </c>
      <c r="F418" s="5">
        <f t="shared" si="6"/>
        <v>145</v>
      </c>
    </row>
    <row r="419" spans="1:6" x14ac:dyDescent="0.25">
      <c r="A419" s="4">
        <v>42044</v>
      </c>
      <c r="B419" s="3" t="s">
        <v>37</v>
      </c>
      <c r="C419" s="3" t="s">
        <v>10</v>
      </c>
      <c r="D419" s="3" t="s">
        <v>27</v>
      </c>
      <c r="E419" s="3">
        <v>46</v>
      </c>
      <c r="F419" s="5">
        <f t="shared" si="6"/>
        <v>23</v>
      </c>
    </row>
    <row r="420" spans="1:6" x14ac:dyDescent="0.25">
      <c r="A420" s="4">
        <v>42010</v>
      </c>
      <c r="B420" s="3" t="s">
        <v>26</v>
      </c>
      <c r="C420" s="3" t="s">
        <v>19</v>
      </c>
      <c r="D420" s="3" t="s">
        <v>31</v>
      </c>
      <c r="E420" s="3">
        <v>37</v>
      </c>
      <c r="F420" s="5">
        <f t="shared" si="6"/>
        <v>92.5</v>
      </c>
    </row>
    <row r="421" spans="1:6" x14ac:dyDescent="0.25">
      <c r="A421" s="4">
        <v>42032</v>
      </c>
      <c r="B421" s="3" t="s">
        <v>29</v>
      </c>
      <c r="C421" s="3" t="s">
        <v>10</v>
      </c>
      <c r="D421" s="3" t="s">
        <v>36</v>
      </c>
      <c r="E421" s="3">
        <v>10</v>
      </c>
      <c r="F421" s="5">
        <f t="shared" si="6"/>
        <v>15</v>
      </c>
    </row>
    <row r="422" spans="1:6" x14ac:dyDescent="0.25">
      <c r="A422" s="4">
        <v>42067</v>
      </c>
      <c r="B422" s="3" t="s">
        <v>37</v>
      </c>
      <c r="C422" s="3" t="s">
        <v>2</v>
      </c>
      <c r="D422" s="3" t="s">
        <v>28</v>
      </c>
      <c r="E422" s="3">
        <v>41</v>
      </c>
      <c r="F422" s="5">
        <f t="shared" si="6"/>
        <v>82</v>
      </c>
    </row>
    <row r="423" spans="1:6" x14ac:dyDescent="0.25">
      <c r="A423" s="4">
        <v>42165</v>
      </c>
      <c r="B423" s="3" t="s">
        <v>26</v>
      </c>
      <c r="C423" s="3" t="s">
        <v>6</v>
      </c>
      <c r="D423" s="3" t="s">
        <v>34</v>
      </c>
      <c r="E423" s="3">
        <v>46</v>
      </c>
      <c r="F423" s="5">
        <f t="shared" si="6"/>
        <v>9.2000000000000011</v>
      </c>
    </row>
    <row r="424" spans="1:6" x14ac:dyDescent="0.25">
      <c r="A424" s="4">
        <v>42128</v>
      </c>
      <c r="B424" s="3" t="s">
        <v>32</v>
      </c>
      <c r="C424" s="3" t="s">
        <v>19</v>
      </c>
      <c r="D424" s="3" t="s">
        <v>36</v>
      </c>
      <c r="E424" s="3">
        <v>41</v>
      </c>
      <c r="F424" s="5">
        <f t="shared" si="6"/>
        <v>61.5</v>
      </c>
    </row>
    <row r="425" spans="1:6" x14ac:dyDescent="0.25">
      <c r="A425" s="4">
        <v>42139</v>
      </c>
      <c r="B425" s="3" t="s">
        <v>29</v>
      </c>
      <c r="C425" s="3" t="s">
        <v>5</v>
      </c>
      <c r="D425" s="3" t="s">
        <v>31</v>
      </c>
      <c r="E425" s="3">
        <v>37</v>
      </c>
      <c r="F425" s="5">
        <f t="shared" si="6"/>
        <v>92.5</v>
      </c>
    </row>
    <row r="426" spans="1:6" x14ac:dyDescent="0.25">
      <c r="A426" s="4">
        <v>42047</v>
      </c>
      <c r="B426" s="3" t="s">
        <v>32</v>
      </c>
      <c r="C426" s="3" t="s">
        <v>19</v>
      </c>
      <c r="D426" s="3" t="s">
        <v>33</v>
      </c>
      <c r="E426" s="3">
        <v>34</v>
      </c>
      <c r="F426" s="5">
        <f t="shared" si="6"/>
        <v>170</v>
      </c>
    </row>
    <row r="427" spans="1:6" x14ac:dyDescent="0.25">
      <c r="A427" s="4">
        <v>42087</v>
      </c>
      <c r="B427" s="3" t="s">
        <v>38</v>
      </c>
      <c r="C427" s="3" t="s">
        <v>2</v>
      </c>
      <c r="D427" s="3" t="s">
        <v>30</v>
      </c>
      <c r="E427" s="3">
        <v>39</v>
      </c>
      <c r="F427" s="5">
        <f t="shared" si="6"/>
        <v>3.9000000000000004</v>
      </c>
    </row>
    <row r="428" spans="1:6" x14ac:dyDescent="0.25">
      <c r="A428" s="4">
        <v>42162</v>
      </c>
      <c r="B428" s="3" t="s">
        <v>37</v>
      </c>
      <c r="C428" s="3" t="s">
        <v>5</v>
      </c>
      <c r="D428" s="3" t="s">
        <v>35</v>
      </c>
      <c r="E428" s="3">
        <v>3</v>
      </c>
      <c r="F428" s="5">
        <f t="shared" si="6"/>
        <v>12</v>
      </c>
    </row>
    <row r="429" spans="1:6" x14ac:dyDescent="0.25">
      <c r="A429" s="4">
        <v>42057</v>
      </c>
      <c r="B429" s="3" t="s">
        <v>29</v>
      </c>
      <c r="C429" s="3" t="s">
        <v>2</v>
      </c>
      <c r="D429" s="3" t="s">
        <v>28</v>
      </c>
      <c r="E429" s="3">
        <v>28</v>
      </c>
      <c r="F429" s="5">
        <f t="shared" si="6"/>
        <v>56</v>
      </c>
    </row>
    <row r="430" spans="1:6" x14ac:dyDescent="0.25">
      <c r="A430" s="4">
        <v>42130</v>
      </c>
      <c r="B430" s="3" t="s">
        <v>37</v>
      </c>
      <c r="C430" s="3" t="s">
        <v>10</v>
      </c>
      <c r="D430" s="3" t="s">
        <v>34</v>
      </c>
      <c r="E430" s="3">
        <v>6</v>
      </c>
      <c r="F430" s="5">
        <f t="shared" si="6"/>
        <v>1.2000000000000002</v>
      </c>
    </row>
    <row r="431" spans="1:6" x14ac:dyDescent="0.25">
      <c r="A431" s="4">
        <v>42152</v>
      </c>
      <c r="B431" s="3" t="s">
        <v>32</v>
      </c>
      <c r="C431" s="3" t="s">
        <v>2</v>
      </c>
      <c r="D431" s="3" t="s">
        <v>31</v>
      </c>
      <c r="E431" s="3">
        <v>11</v>
      </c>
      <c r="F431" s="5">
        <f t="shared" si="6"/>
        <v>27.5</v>
      </c>
    </row>
    <row r="432" spans="1:6" x14ac:dyDescent="0.25">
      <c r="A432" s="4">
        <v>42014</v>
      </c>
      <c r="B432" s="3" t="s">
        <v>26</v>
      </c>
      <c r="C432" s="3" t="s">
        <v>2</v>
      </c>
      <c r="D432" s="3" t="s">
        <v>34</v>
      </c>
      <c r="E432" s="3">
        <v>14</v>
      </c>
      <c r="F432" s="5">
        <f t="shared" si="6"/>
        <v>2.8000000000000003</v>
      </c>
    </row>
    <row r="433" spans="1:6" x14ac:dyDescent="0.25">
      <c r="A433" s="4">
        <v>42140</v>
      </c>
      <c r="B433" s="3" t="s">
        <v>37</v>
      </c>
      <c r="C433" s="3" t="s">
        <v>19</v>
      </c>
      <c r="D433" s="3" t="s">
        <v>30</v>
      </c>
      <c r="E433" s="3">
        <v>9</v>
      </c>
      <c r="F433" s="5">
        <f t="shared" si="6"/>
        <v>0.9</v>
      </c>
    </row>
    <row r="434" spans="1:6" x14ac:dyDescent="0.25">
      <c r="A434" s="4">
        <v>42021</v>
      </c>
      <c r="B434" s="3" t="s">
        <v>38</v>
      </c>
      <c r="C434" s="3" t="s">
        <v>6</v>
      </c>
      <c r="D434" s="3" t="s">
        <v>27</v>
      </c>
      <c r="E434" s="3">
        <v>2</v>
      </c>
      <c r="F434" s="5">
        <f t="shared" si="6"/>
        <v>1</v>
      </c>
    </row>
    <row r="435" spans="1:6" x14ac:dyDescent="0.25">
      <c r="A435" s="4">
        <v>42149</v>
      </c>
      <c r="B435" s="3" t="s">
        <v>39</v>
      </c>
      <c r="C435" s="3" t="s">
        <v>10</v>
      </c>
      <c r="D435" s="3" t="s">
        <v>36</v>
      </c>
      <c r="E435" s="3">
        <v>19</v>
      </c>
      <c r="F435" s="5">
        <f t="shared" si="6"/>
        <v>28.5</v>
      </c>
    </row>
    <row r="436" spans="1:6" x14ac:dyDescent="0.25">
      <c r="A436" s="4">
        <v>42015</v>
      </c>
      <c r="B436" s="3" t="s">
        <v>32</v>
      </c>
      <c r="C436" s="3" t="s">
        <v>10</v>
      </c>
      <c r="D436" s="3" t="s">
        <v>36</v>
      </c>
      <c r="E436" s="3">
        <v>15</v>
      </c>
      <c r="F436" s="5">
        <f t="shared" si="6"/>
        <v>22.5</v>
      </c>
    </row>
    <row r="437" spans="1:6" x14ac:dyDescent="0.25">
      <c r="A437" s="4">
        <v>42087</v>
      </c>
      <c r="B437" s="3" t="s">
        <v>32</v>
      </c>
      <c r="C437" s="3" t="s">
        <v>6</v>
      </c>
      <c r="D437" s="3" t="s">
        <v>33</v>
      </c>
      <c r="E437" s="3">
        <v>44</v>
      </c>
      <c r="F437" s="5">
        <f t="shared" si="6"/>
        <v>220</v>
      </c>
    </row>
    <row r="438" spans="1:6" x14ac:dyDescent="0.25">
      <c r="A438" s="4">
        <v>42034</v>
      </c>
      <c r="B438" s="3" t="s">
        <v>39</v>
      </c>
      <c r="C438" s="3" t="s">
        <v>10</v>
      </c>
      <c r="D438" s="3" t="s">
        <v>27</v>
      </c>
      <c r="E438" s="3">
        <v>24</v>
      </c>
      <c r="F438" s="5">
        <f t="shared" si="6"/>
        <v>12</v>
      </c>
    </row>
    <row r="439" spans="1:6" x14ac:dyDescent="0.25">
      <c r="A439" s="4">
        <v>42110</v>
      </c>
      <c r="B439" s="3" t="s">
        <v>39</v>
      </c>
      <c r="C439" s="3" t="s">
        <v>10</v>
      </c>
      <c r="D439" s="3" t="s">
        <v>28</v>
      </c>
      <c r="E439" s="3">
        <v>46</v>
      </c>
      <c r="F439" s="5">
        <f t="shared" si="6"/>
        <v>92</v>
      </c>
    </row>
    <row r="440" spans="1:6" x14ac:dyDescent="0.25">
      <c r="A440" s="4">
        <v>42107</v>
      </c>
      <c r="B440" s="3" t="s">
        <v>39</v>
      </c>
      <c r="C440" s="3" t="s">
        <v>19</v>
      </c>
      <c r="D440" s="3" t="s">
        <v>34</v>
      </c>
      <c r="E440" s="3">
        <v>11</v>
      </c>
      <c r="F440" s="5">
        <f t="shared" si="6"/>
        <v>2.2000000000000002</v>
      </c>
    </row>
    <row r="441" spans="1:6" x14ac:dyDescent="0.25">
      <c r="A441" s="4">
        <v>42130</v>
      </c>
      <c r="B441" s="3" t="s">
        <v>32</v>
      </c>
      <c r="C441" s="3" t="s">
        <v>6</v>
      </c>
      <c r="D441" s="3" t="s">
        <v>33</v>
      </c>
      <c r="E441" s="3">
        <v>20</v>
      </c>
      <c r="F441" s="5">
        <f t="shared" si="6"/>
        <v>100</v>
      </c>
    </row>
    <row r="442" spans="1:6" x14ac:dyDescent="0.25">
      <c r="A442" s="4">
        <v>42076</v>
      </c>
      <c r="B442" s="3" t="s">
        <v>38</v>
      </c>
      <c r="C442" s="3" t="s">
        <v>5</v>
      </c>
      <c r="D442" s="3" t="s">
        <v>30</v>
      </c>
      <c r="E442" s="3">
        <v>10</v>
      </c>
      <c r="F442" s="5">
        <f t="shared" si="6"/>
        <v>1</v>
      </c>
    </row>
    <row r="443" spans="1:6" x14ac:dyDescent="0.25">
      <c r="A443" s="4">
        <v>42023</v>
      </c>
      <c r="B443" s="3" t="s">
        <v>32</v>
      </c>
      <c r="C443" s="3" t="s">
        <v>10</v>
      </c>
      <c r="D443" s="3" t="s">
        <v>27</v>
      </c>
      <c r="E443" s="3">
        <v>25</v>
      </c>
      <c r="F443" s="5">
        <f t="shared" si="6"/>
        <v>12.5</v>
      </c>
    </row>
    <row r="444" spans="1:6" x14ac:dyDescent="0.25">
      <c r="A444" s="4">
        <v>42093</v>
      </c>
      <c r="B444" s="3" t="s">
        <v>29</v>
      </c>
      <c r="C444" s="3" t="s">
        <v>2</v>
      </c>
      <c r="D444" s="3" t="s">
        <v>34</v>
      </c>
      <c r="E444" s="3">
        <v>47</v>
      </c>
      <c r="F444" s="5">
        <f t="shared" si="6"/>
        <v>9.4</v>
      </c>
    </row>
    <row r="445" spans="1:6" x14ac:dyDescent="0.25">
      <c r="A445" s="4">
        <v>42035</v>
      </c>
      <c r="B445" s="3" t="s">
        <v>29</v>
      </c>
      <c r="C445" s="3" t="s">
        <v>6</v>
      </c>
      <c r="D445" s="3" t="s">
        <v>33</v>
      </c>
      <c r="E445" s="3">
        <v>17</v>
      </c>
      <c r="F445" s="5">
        <f t="shared" si="6"/>
        <v>85</v>
      </c>
    </row>
    <row r="446" spans="1:6" x14ac:dyDescent="0.25">
      <c r="A446" s="4">
        <v>42099</v>
      </c>
      <c r="B446" s="3" t="s">
        <v>38</v>
      </c>
      <c r="C446" s="3" t="s">
        <v>5</v>
      </c>
      <c r="D446" s="3" t="s">
        <v>30</v>
      </c>
      <c r="E446" s="3">
        <v>10</v>
      </c>
      <c r="F446" s="5">
        <f t="shared" si="6"/>
        <v>1</v>
      </c>
    </row>
    <row r="447" spans="1:6" x14ac:dyDescent="0.25">
      <c r="A447" s="4">
        <v>42080</v>
      </c>
      <c r="B447" s="3" t="s">
        <v>32</v>
      </c>
      <c r="C447" s="3" t="s">
        <v>6</v>
      </c>
      <c r="D447" s="3" t="s">
        <v>30</v>
      </c>
      <c r="E447" s="3">
        <v>30</v>
      </c>
      <c r="F447" s="5">
        <f t="shared" si="6"/>
        <v>3</v>
      </c>
    </row>
    <row r="448" spans="1:6" x14ac:dyDescent="0.25">
      <c r="A448" s="4">
        <v>42006</v>
      </c>
      <c r="B448" s="3" t="s">
        <v>29</v>
      </c>
      <c r="C448" s="3" t="s">
        <v>19</v>
      </c>
      <c r="D448" s="3" t="s">
        <v>27</v>
      </c>
      <c r="E448" s="3">
        <v>13</v>
      </c>
      <c r="F448" s="5">
        <f t="shared" si="6"/>
        <v>6.5</v>
      </c>
    </row>
    <row r="449" spans="1:6" x14ac:dyDescent="0.25">
      <c r="A449" s="4">
        <v>42179</v>
      </c>
      <c r="B449" s="3" t="s">
        <v>38</v>
      </c>
      <c r="C449" s="3" t="s">
        <v>2</v>
      </c>
      <c r="D449" s="3" t="s">
        <v>28</v>
      </c>
      <c r="E449" s="3">
        <v>17</v>
      </c>
      <c r="F449" s="5">
        <f t="shared" si="6"/>
        <v>34</v>
      </c>
    </row>
    <row r="450" spans="1:6" x14ac:dyDescent="0.25">
      <c r="A450" s="4">
        <v>42170</v>
      </c>
      <c r="B450" s="3" t="s">
        <v>39</v>
      </c>
      <c r="C450" s="3" t="s">
        <v>5</v>
      </c>
      <c r="D450" s="3" t="s">
        <v>27</v>
      </c>
      <c r="E450" s="3">
        <v>32</v>
      </c>
      <c r="F450" s="5">
        <f t="shared" si="6"/>
        <v>16</v>
      </c>
    </row>
    <row r="451" spans="1:6" x14ac:dyDescent="0.25">
      <c r="A451" s="4">
        <v>42068</v>
      </c>
      <c r="B451" s="3" t="s">
        <v>26</v>
      </c>
      <c r="C451" s="3" t="s">
        <v>10</v>
      </c>
      <c r="D451" s="3" t="s">
        <v>36</v>
      </c>
      <c r="E451" s="3">
        <v>34</v>
      </c>
      <c r="F451" s="5">
        <f t="shared" si="6"/>
        <v>51</v>
      </c>
    </row>
    <row r="452" spans="1:6" x14ac:dyDescent="0.25">
      <c r="A452" s="4">
        <v>42118</v>
      </c>
      <c r="B452" s="3" t="s">
        <v>29</v>
      </c>
      <c r="C452" s="3" t="s">
        <v>19</v>
      </c>
      <c r="D452" s="3" t="s">
        <v>31</v>
      </c>
      <c r="E452" s="3">
        <v>14</v>
      </c>
      <c r="F452" s="5">
        <f t="shared" si="6"/>
        <v>35</v>
      </c>
    </row>
    <row r="453" spans="1:6" x14ac:dyDescent="0.25">
      <c r="A453" s="4">
        <v>42042</v>
      </c>
      <c r="B453" s="3" t="s">
        <v>39</v>
      </c>
      <c r="C453" s="3" t="s">
        <v>10</v>
      </c>
      <c r="D453" s="3" t="s">
        <v>28</v>
      </c>
      <c r="E453" s="3">
        <v>37</v>
      </c>
      <c r="F453" s="5">
        <f t="shared" si="6"/>
        <v>74</v>
      </c>
    </row>
    <row r="454" spans="1:6" x14ac:dyDescent="0.25">
      <c r="A454" s="4">
        <v>42016</v>
      </c>
      <c r="B454" s="3" t="s">
        <v>32</v>
      </c>
      <c r="C454" s="3" t="s">
        <v>10</v>
      </c>
      <c r="D454" s="3" t="s">
        <v>36</v>
      </c>
      <c r="E454" s="3">
        <v>31</v>
      </c>
      <c r="F454" s="5">
        <f t="shared" si="6"/>
        <v>46.5</v>
      </c>
    </row>
    <row r="455" spans="1:6" x14ac:dyDescent="0.25">
      <c r="A455" s="4">
        <v>42126</v>
      </c>
      <c r="B455" s="3" t="s">
        <v>26</v>
      </c>
      <c r="C455" s="3" t="s">
        <v>10</v>
      </c>
      <c r="D455" s="3" t="s">
        <v>36</v>
      </c>
      <c r="E455" s="3">
        <v>32</v>
      </c>
      <c r="F455" s="5">
        <f t="shared" ref="F455:F499" si="7">E455*VLOOKUP(D455,$W$6:$X$13,2,0)</f>
        <v>48</v>
      </c>
    </row>
    <row r="456" spans="1:6" x14ac:dyDescent="0.25">
      <c r="A456" s="4">
        <v>42162</v>
      </c>
      <c r="B456" s="3" t="s">
        <v>37</v>
      </c>
      <c r="C456" s="3" t="s">
        <v>5</v>
      </c>
      <c r="D456" s="3" t="s">
        <v>30</v>
      </c>
      <c r="E456" s="3">
        <v>27</v>
      </c>
      <c r="F456" s="5">
        <f t="shared" si="7"/>
        <v>2.7</v>
      </c>
    </row>
    <row r="457" spans="1:6" x14ac:dyDescent="0.25">
      <c r="A457" s="4">
        <v>42157</v>
      </c>
      <c r="B457" s="3" t="s">
        <v>32</v>
      </c>
      <c r="C457" s="3" t="s">
        <v>5</v>
      </c>
      <c r="D457" s="3" t="s">
        <v>33</v>
      </c>
      <c r="E457" s="3">
        <v>27</v>
      </c>
      <c r="F457" s="5">
        <f t="shared" si="7"/>
        <v>135</v>
      </c>
    </row>
    <row r="458" spans="1:6" x14ac:dyDescent="0.25">
      <c r="A458" s="4">
        <v>42070</v>
      </c>
      <c r="B458" s="3" t="s">
        <v>29</v>
      </c>
      <c r="C458" s="3" t="s">
        <v>2</v>
      </c>
      <c r="D458" s="3" t="s">
        <v>27</v>
      </c>
      <c r="E458" s="3">
        <v>12</v>
      </c>
      <c r="F458" s="5">
        <f t="shared" si="7"/>
        <v>6</v>
      </c>
    </row>
    <row r="459" spans="1:6" x14ac:dyDescent="0.25">
      <c r="A459" s="4">
        <v>42035</v>
      </c>
      <c r="B459" s="3" t="s">
        <v>29</v>
      </c>
      <c r="C459" s="3" t="s">
        <v>19</v>
      </c>
      <c r="D459" s="3" t="s">
        <v>34</v>
      </c>
      <c r="E459" s="3">
        <v>11</v>
      </c>
      <c r="F459" s="5">
        <f t="shared" si="7"/>
        <v>2.2000000000000002</v>
      </c>
    </row>
    <row r="460" spans="1:6" x14ac:dyDescent="0.25">
      <c r="A460" s="4">
        <v>42026</v>
      </c>
      <c r="B460" s="3" t="s">
        <v>29</v>
      </c>
      <c r="C460" s="3" t="s">
        <v>2</v>
      </c>
      <c r="D460" s="3" t="s">
        <v>36</v>
      </c>
      <c r="E460" s="3">
        <v>32</v>
      </c>
      <c r="F460" s="5">
        <f t="shared" si="7"/>
        <v>48</v>
      </c>
    </row>
    <row r="461" spans="1:6" x14ac:dyDescent="0.25">
      <c r="A461" s="4">
        <v>42159</v>
      </c>
      <c r="B461" s="3" t="s">
        <v>39</v>
      </c>
      <c r="C461" s="3" t="s">
        <v>10</v>
      </c>
      <c r="D461" s="3" t="s">
        <v>31</v>
      </c>
      <c r="E461" s="3">
        <v>23</v>
      </c>
      <c r="F461" s="5">
        <f t="shared" si="7"/>
        <v>57.5</v>
      </c>
    </row>
    <row r="462" spans="1:6" x14ac:dyDescent="0.25">
      <c r="A462" s="4">
        <v>42050</v>
      </c>
      <c r="B462" s="3" t="s">
        <v>26</v>
      </c>
      <c r="C462" s="3" t="s">
        <v>6</v>
      </c>
      <c r="D462" s="3" t="s">
        <v>27</v>
      </c>
      <c r="E462" s="3">
        <v>45</v>
      </c>
      <c r="F462" s="5">
        <f t="shared" si="7"/>
        <v>22.5</v>
      </c>
    </row>
    <row r="463" spans="1:6" x14ac:dyDescent="0.25">
      <c r="A463" s="4">
        <v>42118</v>
      </c>
      <c r="B463" s="3" t="s">
        <v>39</v>
      </c>
      <c r="C463" s="3" t="s">
        <v>5</v>
      </c>
      <c r="D463" s="3" t="s">
        <v>31</v>
      </c>
      <c r="E463" s="3">
        <v>11</v>
      </c>
      <c r="F463" s="5">
        <f t="shared" si="7"/>
        <v>27.5</v>
      </c>
    </row>
    <row r="464" spans="1:6" x14ac:dyDescent="0.25">
      <c r="A464" s="4">
        <v>42013</v>
      </c>
      <c r="B464" s="3" t="s">
        <v>39</v>
      </c>
      <c r="C464" s="3" t="s">
        <v>6</v>
      </c>
      <c r="D464" s="3" t="s">
        <v>30</v>
      </c>
      <c r="E464" s="3">
        <v>33</v>
      </c>
      <c r="F464" s="5">
        <f t="shared" si="7"/>
        <v>3.3000000000000003</v>
      </c>
    </row>
    <row r="465" spans="1:6" x14ac:dyDescent="0.25">
      <c r="A465" s="4">
        <v>42090</v>
      </c>
      <c r="B465" s="3" t="s">
        <v>29</v>
      </c>
      <c r="C465" s="3" t="s">
        <v>2</v>
      </c>
      <c r="D465" s="3" t="s">
        <v>31</v>
      </c>
      <c r="E465" s="3">
        <v>34</v>
      </c>
      <c r="F465" s="5">
        <f t="shared" si="7"/>
        <v>85</v>
      </c>
    </row>
    <row r="466" spans="1:6" x14ac:dyDescent="0.25">
      <c r="A466" s="4">
        <v>42140</v>
      </c>
      <c r="B466" s="3" t="s">
        <v>37</v>
      </c>
      <c r="C466" s="3" t="s">
        <v>19</v>
      </c>
      <c r="D466" s="3" t="s">
        <v>36</v>
      </c>
      <c r="E466" s="3">
        <v>42</v>
      </c>
      <c r="F466" s="5">
        <f t="shared" si="7"/>
        <v>63</v>
      </c>
    </row>
    <row r="467" spans="1:6" x14ac:dyDescent="0.25">
      <c r="A467" s="4">
        <v>42073</v>
      </c>
      <c r="B467" s="3" t="s">
        <v>29</v>
      </c>
      <c r="C467" s="3" t="s">
        <v>2</v>
      </c>
      <c r="D467" s="3" t="s">
        <v>31</v>
      </c>
      <c r="E467" s="3">
        <v>8</v>
      </c>
      <c r="F467" s="5">
        <f t="shared" si="7"/>
        <v>20</v>
      </c>
    </row>
    <row r="468" spans="1:6" x14ac:dyDescent="0.25">
      <c r="A468" s="4">
        <v>42093</v>
      </c>
      <c r="B468" s="3" t="s">
        <v>37</v>
      </c>
      <c r="C468" s="3" t="s">
        <v>19</v>
      </c>
      <c r="D468" s="3" t="s">
        <v>33</v>
      </c>
      <c r="E468" s="3">
        <v>11</v>
      </c>
      <c r="F468" s="5">
        <f t="shared" si="7"/>
        <v>55</v>
      </c>
    </row>
    <row r="469" spans="1:6" x14ac:dyDescent="0.25">
      <c r="A469" s="4">
        <v>42094</v>
      </c>
      <c r="B469" s="3" t="s">
        <v>29</v>
      </c>
      <c r="C469" s="3" t="s">
        <v>2</v>
      </c>
      <c r="D469" s="3" t="s">
        <v>27</v>
      </c>
      <c r="E469" s="3">
        <v>18</v>
      </c>
      <c r="F469" s="5">
        <f t="shared" si="7"/>
        <v>9</v>
      </c>
    </row>
    <row r="470" spans="1:6" x14ac:dyDescent="0.25">
      <c r="A470" s="4">
        <v>42056</v>
      </c>
      <c r="B470" s="3" t="s">
        <v>38</v>
      </c>
      <c r="C470" s="3" t="s">
        <v>6</v>
      </c>
      <c r="D470" s="3" t="s">
        <v>30</v>
      </c>
      <c r="E470" s="3">
        <v>44</v>
      </c>
      <c r="F470" s="5">
        <f t="shared" si="7"/>
        <v>4.4000000000000004</v>
      </c>
    </row>
    <row r="471" spans="1:6" x14ac:dyDescent="0.25">
      <c r="A471" s="4">
        <v>42143</v>
      </c>
      <c r="B471" s="3" t="s">
        <v>38</v>
      </c>
      <c r="C471" s="3" t="s">
        <v>5</v>
      </c>
      <c r="D471" s="3" t="s">
        <v>30</v>
      </c>
      <c r="E471" s="3">
        <v>47</v>
      </c>
      <c r="F471" s="5">
        <f t="shared" si="7"/>
        <v>4.7</v>
      </c>
    </row>
    <row r="472" spans="1:6" x14ac:dyDescent="0.25">
      <c r="A472" s="4">
        <v>42032</v>
      </c>
      <c r="B472" s="3" t="s">
        <v>39</v>
      </c>
      <c r="C472" s="3" t="s">
        <v>2</v>
      </c>
      <c r="D472" s="3" t="s">
        <v>31</v>
      </c>
      <c r="E472" s="3">
        <v>35</v>
      </c>
      <c r="F472" s="5">
        <f t="shared" si="7"/>
        <v>87.5</v>
      </c>
    </row>
    <row r="473" spans="1:6" x14ac:dyDescent="0.25">
      <c r="A473" s="4">
        <v>42041</v>
      </c>
      <c r="B473" s="3" t="s">
        <v>39</v>
      </c>
      <c r="C473" s="3" t="s">
        <v>6</v>
      </c>
      <c r="D473" s="3" t="s">
        <v>36</v>
      </c>
      <c r="E473" s="3">
        <v>13</v>
      </c>
      <c r="F473" s="5">
        <f t="shared" si="7"/>
        <v>19.5</v>
      </c>
    </row>
    <row r="474" spans="1:6" x14ac:dyDescent="0.25">
      <c r="A474" s="4">
        <v>42062</v>
      </c>
      <c r="B474" s="3" t="s">
        <v>37</v>
      </c>
      <c r="C474" s="3" t="s">
        <v>10</v>
      </c>
      <c r="D474" s="3" t="s">
        <v>34</v>
      </c>
      <c r="E474" s="3">
        <v>30</v>
      </c>
      <c r="F474" s="5">
        <f t="shared" si="7"/>
        <v>6</v>
      </c>
    </row>
    <row r="475" spans="1:6" x14ac:dyDescent="0.25">
      <c r="A475" s="4">
        <v>42145</v>
      </c>
      <c r="B475" s="3" t="s">
        <v>37</v>
      </c>
      <c r="C475" s="3" t="s">
        <v>19</v>
      </c>
      <c r="D475" s="3" t="s">
        <v>31</v>
      </c>
      <c r="E475" s="3">
        <v>14</v>
      </c>
      <c r="F475" s="5">
        <f t="shared" si="7"/>
        <v>35</v>
      </c>
    </row>
    <row r="476" spans="1:6" x14ac:dyDescent="0.25">
      <c r="A476" s="4">
        <v>42144</v>
      </c>
      <c r="B476" s="3" t="s">
        <v>32</v>
      </c>
      <c r="C476" s="3" t="s">
        <v>5</v>
      </c>
      <c r="D476" s="3" t="s">
        <v>27</v>
      </c>
      <c r="E476" s="3">
        <v>27</v>
      </c>
      <c r="F476" s="5">
        <f t="shared" si="7"/>
        <v>13.5</v>
      </c>
    </row>
    <row r="477" spans="1:6" x14ac:dyDescent="0.25">
      <c r="A477" s="4">
        <v>42079</v>
      </c>
      <c r="B477" s="3" t="s">
        <v>29</v>
      </c>
      <c r="C477" s="3" t="s">
        <v>10</v>
      </c>
      <c r="D477" s="3" t="s">
        <v>30</v>
      </c>
      <c r="E477" s="3">
        <v>4</v>
      </c>
      <c r="F477" s="5">
        <f t="shared" si="7"/>
        <v>0.4</v>
      </c>
    </row>
    <row r="478" spans="1:6" x14ac:dyDescent="0.25">
      <c r="A478" s="4">
        <v>42138</v>
      </c>
      <c r="B478" s="3" t="s">
        <v>39</v>
      </c>
      <c r="C478" s="3" t="s">
        <v>5</v>
      </c>
      <c r="D478" s="3" t="s">
        <v>36</v>
      </c>
      <c r="E478" s="3">
        <v>6</v>
      </c>
      <c r="F478" s="5">
        <f t="shared" si="7"/>
        <v>9</v>
      </c>
    </row>
    <row r="479" spans="1:6" x14ac:dyDescent="0.25">
      <c r="A479" s="4">
        <v>42078</v>
      </c>
      <c r="B479" s="3" t="s">
        <v>38</v>
      </c>
      <c r="C479" s="3" t="s">
        <v>5</v>
      </c>
      <c r="D479" s="3" t="s">
        <v>31</v>
      </c>
      <c r="E479" s="3">
        <v>35</v>
      </c>
      <c r="F479" s="5">
        <f t="shared" si="7"/>
        <v>87.5</v>
      </c>
    </row>
    <row r="480" spans="1:6" x14ac:dyDescent="0.25">
      <c r="A480" s="4">
        <v>42161</v>
      </c>
      <c r="B480" s="3" t="s">
        <v>39</v>
      </c>
      <c r="C480" s="3" t="s">
        <v>2</v>
      </c>
      <c r="D480" s="3" t="s">
        <v>33</v>
      </c>
      <c r="E480" s="3">
        <v>12</v>
      </c>
      <c r="F480" s="5">
        <f t="shared" si="7"/>
        <v>60</v>
      </c>
    </row>
    <row r="481" spans="1:6" x14ac:dyDescent="0.25">
      <c r="A481" s="4">
        <v>42101</v>
      </c>
      <c r="B481" s="3" t="s">
        <v>37</v>
      </c>
      <c r="C481" s="3" t="s">
        <v>2</v>
      </c>
      <c r="D481" s="3" t="s">
        <v>31</v>
      </c>
      <c r="E481" s="3">
        <v>32</v>
      </c>
      <c r="F481" s="5">
        <f t="shared" si="7"/>
        <v>80</v>
      </c>
    </row>
    <row r="482" spans="1:6" x14ac:dyDescent="0.25">
      <c r="A482" s="4">
        <v>42181</v>
      </c>
      <c r="B482" s="3" t="s">
        <v>37</v>
      </c>
      <c r="C482" s="3" t="s">
        <v>10</v>
      </c>
      <c r="D482" s="3" t="s">
        <v>28</v>
      </c>
      <c r="E482" s="3">
        <v>41</v>
      </c>
      <c r="F482" s="5">
        <f t="shared" si="7"/>
        <v>82</v>
      </c>
    </row>
    <row r="483" spans="1:6" x14ac:dyDescent="0.25">
      <c r="A483" s="4">
        <v>42053</v>
      </c>
      <c r="B483" s="3" t="s">
        <v>38</v>
      </c>
      <c r="C483" s="3" t="s">
        <v>10</v>
      </c>
      <c r="D483" s="3" t="s">
        <v>34</v>
      </c>
      <c r="E483" s="3">
        <v>49</v>
      </c>
      <c r="F483" s="5">
        <f t="shared" si="7"/>
        <v>9.8000000000000007</v>
      </c>
    </row>
    <row r="484" spans="1:6" x14ac:dyDescent="0.25">
      <c r="A484" s="4">
        <v>42073</v>
      </c>
      <c r="B484" s="3" t="s">
        <v>38</v>
      </c>
      <c r="C484" s="3" t="s">
        <v>19</v>
      </c>
      <c r="D484" s="3" t="s">
        <v>31</v>
      </c>
      <c r="E484" s="3">
        <v>14</v>
      </c>
      <c r="F484" s="5">
        <f t="shared" si="7"/>
        <v>35</v>
      </c>
    </row>
    <row r="485" spans="1:6" x14ac:dyDescent="0.25">
      <c r="A485" s="4">
        <v>42095</v>
      </c>
      <c r="B485" s="3" t="s">
        <v>38</v>
      </c>
      <c r="C485" s="3" t="s">
        <v>6</v>
      </c>
      <c r="D485" s="3" t="s">
        <v>27</v>
      </c>
      <c r="E485" s="3">
        <v>50</v>
      </c>
      <c r="F485" s="5">
        <f t="shared" si="7"/>
        <v>25</v>
      </c>
    </row>
    <row r="486" spans="1:6" x14ac:dyDescent="0.25">
      <c r="A486" s="4">
        <v>42028</v>
      </c>
      <c r="B486" s="3" t="s">
        <v>29</v>
      </c>
      <c r="C486" s="3" t="s">
        <v>6</v>
      </c>
      <c r="D486" s="3" t="s">
        <v>36</v>
      </c>
      <c r="E486" s="3">
        <v>22</v>
      </c>
      <c r="F486" s="5">
        <f t="shared" si="7"/>
        <v>33</v>
      </c>
    </row>
    <row r="487" spans="1:6" x14ac:dyDescent="0.25">
      <c r="A487" s="4">
        <v>42091</v>
      </c>
      <c r="B487" s="3" t="s">
        <v>38</v>
      </c>
      <c r="C487" s="3" t="s">
        <v>19</v>
      </c>
      <c r="D487" s="3" t="s">
        <v>33</v>
      </c>
      <c r="E487" s="3">
        <v>46</v>
      </c>
      <c r="F487" s="5">
        <f t="shared" si="7"/>
        <v>230</v>
      </c>
    </row>
    <row r="488" spans="1:6" x14ac:dyDescent="0.25">
      <c r="A488" s="4">
        <v>42063</v>
      </c>
      <c r="B488" s="3" t="s">
        <v>37</v>
      </c>
      <c r="C488" s="3" t="s">
        <v>10</v>
      </c>
      <c r="D488" s="3" t="s">
        <v>30</v>
      </c>
      <c r="E488" s="3">
        <v>19</v>
      </c>
      <c r="F488" s="5">
        <f t="shared" si="7"/>
        <v>1.9000000000000001</v>
      </c>
    </row>
    <row r="489" spans="1:6" x14ac:dyDescent="0.25">
      <c r="A489" s="4">
        <v>42093</v>
      </c>
      <c r="B489" s="3" t="s">
        <v>37</v>
      </c>
      <c r="C489" s="3" t="s">
        <v>6</v>
      </c>
      <c r="D489" s="3" t="s">
        <v>36</v>
      </c>
      <c r="E489" s="3">
        <v>23</v>
      </c>
      <c r="F489" s="5">
        <f t="shared" si="7"/>
        <v>34.5</v>
      </c>
    </row>
    <row r="490" spans="1:6" x14ac:dyDescent="0.25">
      <c r="A490" s="4">
        <v>42060</v>
      </c>
      <c r="B490" s="3" t="s">
        <v>29</v>
      </c>
      <c r="C490" s="3" t="s">
        <v>5</v>
      </c>
      <c r="D490" s="3" t="s">
        <v>30</v>
      </c>
      <c r="E490" s="3">
        <v>49</v>
      </c>
      <c r="F490" s="5">
        <f t="shared" si="7"/>
        <v>4.9000000000000004</v>
      </c>
    </row>
    <row r="491" spans="1:6" x14ac:dyDescent="0.25">
      <c r="A491" s="4">
        <v>42030</v>
      </c>
      <c r="B491" s="3" t="s">
        <v>37</v>
      </c>
      <c r="C491" s="3" t="s">
        <v>10</v>
      </c>
      <c r="D491" s="3" t="s">
        <v>27</v>
      </c>
      <c r="E491" s="3">
        <v>9</v>
      </c>
      <c r="F491" s="5">
        <f t="shared" si="7"/>
        <v>4.5</v>
      </c>
    </row>
    <row r="492" spans="1:6" x14ac:dyDescent="0.25">
      <c r="A492" s="4">
        <v>42076</v>
      </c>
      <c r="B492" s="3" t="s">
        <v>32</v>
      </c>
      <c r="C492" s="3" t="s">
        <v>6</v>
      </c>
      <c r="D492" s="3" t="s">
        <v>27</v>
      </c>
      <c r="E492" s="3">
        <v>49</v>
      </c>
      <c r="F492" s="5">
        <f t="shared" si="7"/>
        <v>24.5</v>
      </c>
    </row>
    <row r="493" spans="1:6" x14ac:dyDescent="0.25">
      <c r="A493" s="4">
        <v>42108</v>
      </c>
      <c r="B493" s="3" t="s">
        <v>38</v>
      </c>
      <c r="C493" s="3" t="s">
        <v>2</v>
      </c>
      <c r="D493" s="3" t="s">
        <v>27</v>
      </c>
      <c r="E493" s="3">
        <v>50</v>
      </c>
      <c r="F493" s="5">
        <f t="shared" si="7"/>
        <v>25</v>
      </c>
    </row>
    <row r="494" spans="1:6" x14ac:dyDescent="0.25">
      <c r="A494" s="4">
        <v>42075</v>
      </c>
      <c r="B494" s="3" t="s">
        <v>39</v>
      </c>
      <c r="C494" s="3" t="s">
        <v>6</v>
      </c>
      <c r="D494" s="3" t="s">
        <v>31</v>
      </c>
      <c r="E494" s="3">
        <v>7</v>
      </c>
      <c r="F494" s="5">
        <f t="shared" si="7"/>
        <v>17.5</v>
      </c>
    </row>
    <row r="495" spans="1:6" x14ac:dyDescent="0.25">
      <c r="A495" s="4">
        <v>42115</v>
      </c>
      <c r="B495" s="3" t="s">
        <v>26</v>
      </c>
      <c r="C495" s="3" t="s">
        <v>10</v>
      </c>
      <c r="D495" s="3" t="s">
        <v>28</v>
      </c>
      <c r="E495" s="3">
        <v>48</v>
      </c>
      <c r="F495" s="5">
        <f t="shared" si="7"/>
        <v>96</v>
      </c>
    </row>
    <row r="496" spans="1:6" x14ac:dyDescent="0.25">
      <c r="A496" s="4">
        <v>42135</v>
      </c>
      <c r="B496" s="3" t="s">
        <v>38</v>
      </c>
      <c r="C496" s="3" t="s">
        <v>6</v>
      </c>
      <c r="D496" s="3" t="s">
        <v>36</v>
      </c>
      <c r="E496" s="3">
        <v>18</v>
      </c>
      <c r="F496" s="5">
        <f t="shared" si="7"/>
        <v>27</v>
      </c>
    </row>
    <row r="497" spans="1:6" x14ac:dyDescent="0.25">
      <c r="A497" s="4">
        <v>42051</v>
      </c>
      <c r="B497" s="3" t="s">
        <v>26</v>
      </c>
      <c r="C497" s="3" t="s">
        <v>10</v>
      </c>
      <c r="D497" s="3" t="s">
        <v>27</v>
      </c>
      <c r="E497" s="3">
        <v>35</v>
      </c>
      <c r="F497" s="5">
        <f t="shared" si="7"/>
        <v>17.5</v>
      </c>
    </row>
    <row r="498" spans="1:6" x14ac:dyDescent="0.25">
      <c r="A498" s="4">
        <v>42057</v>
      </c>
      <c r="B498" s="3" t="s">
        <v>38</v>
      </c>
      <c r="C498" s="3" t="s">
        <v>6</v>
      </c>
      <c r="D498" s="3" t="s">
        <v>28</v>
      </c>
      <c r="E498" s="3">
        <v>41</v>
      </c>
      <c r="F498" s="5">
        <f t="shared" si="7"/>
        <v>82</v>
      </c>
    </row>
    <row r="499" spans="1:6" x14ac:dyDescent="0.25">
      <c r="A499" s="4">
        <v>42024</v>
      </c>
      <c r="B499" s="3" t="s">
        <v>32</v>
      </c>
      <c r="C499" s="3" t="s">
        <v>5</v>
      </c>
      <c r="D499" s="3" t="s">
        <v>33</v>
      </c>
      <c r="E499" s="3">
        <v>38</v>
      </c>
      <c r="F499" s="5">
        <f t="shared" si="7"/>
        <v>190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>
    <tabColor rgb="FF2EA3F2"/>
  </sheetPr>
  <dimension ref="A1:X499"/>
  <sheetViews>
    <sheetView zoomScale="115" zoomScaleNormal="115" workbookViewId="0">
      <selection activeCell="F9" sqref="F9"/>
    </sheetView>
  </sheetViews>
  <sheetFormatPr defaultColWidth="8.85546875" defaultRowHeight="14.25" x14ac:dyDescent="0.25"/>
  <cols>
    <col min="1" max="1" width="10.42578125" style="2" bestFit="1" customWidth="1"/>
    <col min="2" max="2" width="12" style="2" customWidth="1"/>
    <col min="3" max="3" width="14.28515625" style="2" bestFit="1" customWidth="1"/>
    <col min="4" max="4" width="10.7109375" style="2" bestFit="1" customWidth="1"/>
    <col min="5" max="5" width="8.85546875" style="2"/>
    <col min="6" max="6" width="10.28515625" style="2" customWidth="1"/>
    <col min="7" max="7" width="8.85546875" style="2"/>
    <col min="8" max="8" width="10.42578125" style="2" bestFit="1" customWidth="1"/>
    <col min="9" max="22" width="8.85546875" style="2"/>
    <col min="23" max="23" width="10.7109375" style="2" bestFit="1" customWidth="1"/>
    <col min="24" max="16384" width="8.85546875" style="2"/>
  </cols>
  <sheetData>
    <row r="1" spans="1:24" x14ac:dyDescent="0.25">
      <c r="A1" s="1" t="s">
        <v>41</v>
      </c>
      <c r="B1" s="1"/>
      <c r="C1" s="1"/>
      <c r="D1" s="1"/>
      <c r="E1" s="1"/>
      <c r="F1" s="1"/>
      <c r="G1" s="1"/>
    </row>
    <row r="2" spans="1:24" x14ac:dyDescent="0.25">
      <c r="A2" s="11" t="s">
        <v>0</v>
      </c>
      <c r="B2" s="11" t="s">
        <v>3</v>
      </c>
      <c r="C2" s="11" t="s">
        <v>1</v>
      </c>
      <c r="D2" s="11" t="s">
        <v>7</v>
      </c>
      <c r="E2" s="11" t="s">
        <v>49</v>
      </c>
      <c r="F2" s="11" t="s">
        <v>4</v>
      </c>
      <c r="G2" s="11" t="s">
        <v>4</v>
      </c>
    </row>
    <row r="3" spans="1:24" x14ac:dyDescent="0.25">
      <c r="A3" s="3"/>
      <c r="B3" s="3"/>
      <c r="C3" s="3" t="s">
        <v>19</v>
      </c>
      <c r="D3" s="3"/>
      <c r="E3" s="3"/>
      <c r="F3" s="3" t="s">
        <v>73</v>
      </c>
      <c r="G3" s="3" t="s">
        <v>74</v>
      </c>
    </row>
    <row r="5" spans="1:24" x14ac:dyDescent="0.25">
      <c r="A5" s="11" t="s">
        <v>0</v>
      </c>
      <c r="B5" s="11" t="s">
        <v>3</v>
      </c>
      <c r="C5" s="11" t="s">
        <v>1</v>
      </c>
      <c r="D5" s="11" t="s">
        <v>7</v>
      </c>
      <c r="E5" s="11" t="s">
        <v>49</v>
      </c>
      <c r="F5" s="11" t="s">
        <v>4</v>
      </c>
    </row>
    <row r="6" spans="1:24" x14ac:dyDescent="0.25">
      <c r="A6" s="4">
        <v>42067</v>
      </c>
      <c r="B6" s="3" t="s">
        <v>29</v>
      </c>
      <c r="C6" s="3" t="s">
        <v>5</v>
      </c>
      <c r="D6" s="3" t="s">
        <v>27</v>
      </c>
      <c r="E6" s="3">
        <v>13</v>
      </c>
      <c r="F6" s="5">
        <f>E6*VLOOKUP(D6,$W$6:$X$13,2,0)</f>
        <v>6.5</v>
      </c>
      <c r="W6" s="2" t="s">
        <v>28</v>
      </c>
      <c r="X6" s="2">
        <v>2</v>
      </c>
    </row>
    <row r="7" spans="1:24" x14ac:dyDescent="0.25">
      <c r="A7" s="4">
        <v>42074</v>
      </c>
      <c r="B7" s="3" t="s">
        <v>32</v>
      </c>
      <c r="C7" s="3" t="s">
        <v>5</v>
      </c>
      <c r="D7" s="3" t="s">
        <v>34</v>
      </c>
      <c r="E7" s="3">
        <v>12</v>
      </c>
      <c r="F7" s="5">
        <f t="shared" ref="F7:F70" si="0">E7*VLOOKUP(D7,$W$6:$X$13,2,0)</f>
        <v>2.4000000000000004</v>
      </c>
      <c r="W7" s="2" t="s">
        <v>27</v>
      </c>
      <c r="X7" s="2">
        <v>0.5</v>
      </c>
    </row>
    <row r="8" spans="1:24" x14ac:dyDescent="0.25">
      <c r="A8" s="4">
        <v>42177</v>
      </c>
      <c r="B8" s="3" t="s">
        <v>26</v>
      </c>
      <c r="C8" s="3" t="s">
        <v>10</v>
      </c>
      <c r="D8" s="3" t="s">
        <v>27</v>
      </c>
      <c r="E8" s="3">
        <v>29</v>
      </c>
      <c r="F8" s="5">
        <f t="shared" si="0"/>
        <v>14.5</v>
      </c>
      <c r="W8" s="2" t="s">
        <v>31</v>
      </c>
      <c r="X8" s="2">
        <v>2.5</v>
      </c>
    </row>
    <row r="9" spans="1:24" x14ac:dyDescent="0.25">
      <c r="A9" s="4">
        <v>42103</v>
      </c>
      <c r="B9" s="3" t="s">
        <v>38</v>
      </c>
      <c r="C9" s="3" t="s">
        <v>2</v>
      </c>
      <c r="D9" s="3" t="s">
        <v>27</v>
      </c>
      <c r="E9" s="3">
        <v>33</v>
      </c>
      <c r="F9" s="5">
        <f t="shared" si="0"/>
        <v>16.5</v>
      </c>
      <c r="W9" s="2" t="s">
        <v>33</v>
      </c>
      <c r="X9" s="2">
        <v>5</v>
      </c>
    </row>
    <row r="10" spans="1:24" x14ac:dyDescent="0.25">
      <c r="A10" s="4">
        <v>42007</v>
      </c>
      <c r="B10" s="3" t="s">
        <v>37</v>
      </c>
      <c r="C10" s="3" t="s">
        <v>19</v>
      </c>
      <c r="D10" s="3" t="s">
        <v>30</v>
      </c>
      <c r="E10" s="3">
        <v>41</v>
      </c>
      <c r="F10" s="5">
        <f t="shared" si="0"/>
        <v>4.1000000000000005</v>
      </c>
      <c r="L10" s="11" t="s">
        <v>0</v>
      </c>
      <c r="M10" s="11" t="s">
        <v>3</v>
      </c>
      <c r="N10" s="11" t="s">
        <v>1</v>
      </c>
      <c r="O10" s="11" t="s">
        <v>7</v>
      </c>
      <c r="P10" s="11" t="s">
        <v>49</v>
      </c>
      <c r="Q10" s="11" t="s">
        <v>4</v>
      </c>
      <c r="W10" s="2" t="s">
        <v>34</v>
      </c>
      <c r="X10" s="2">
        <v>0.2</v>
      </c>
    </row>
    <row r="11" spans="1:24" x14ac:dyDescent="0.25">
      <c r="A11" s="4">
        <v>42012</v>
      </c>
      <c r="B11" s="3" t="s">
        <v>29</v>
      </c>
      <c r="C11" s="3" t="s">
        <v>2</v>
      </c>
      <c r="D11" s="3" t="s">
        <v>35</v>
      </c>
      <c r="E11" s="3">
        <v>32</v>
      </c>
      <c r="F11" s="5">
        <f t="shared" si="0"/>
        <v>128</v>
      </c>
      <c r="L11" s="4">
        <v>42016</v>
      </c>
      <c r="M11" s="3" t="s">
        <v>32</v>
      </c>
      <c r="N11" s="3" t="s">
        <v>19</v>
      </c>
      <c r="O11" s="3" t="s">
        <v>27</v>
      </c>
      <c r="P11" s="3">
        <v>45</v>
      </c>
      <c r="Q11" s="5">
        <v>22.5</v>
      </c>
      <c r="W11" s="2" t="s">
        <v>30</v>
      </c>
      <c r="X11" s="2">
        <v>0.1</v>
      </c>
    </row>
    <row r="12" spans="1:24" x14ac:dyDescent="0.25">
      <c r="A12" s="4">
        <v>42051</v>
      </c>
      <c r="B12" s="3" t="s">
        <v>38</v>
      </c>
      <c r="C12" s="3" t="s">
        <v>10</v>
      </c>
      <c r="D12" s="3" t="s">
        <v>33</v>
      </c>
      <c r="E12" s="3">
        <v>34</v>
      </c>
      <c r="F12" s="5">
        <f t="shared" si="0"/>
        <v>170</v>
      </c>
      <c r="L12" s="4">
        <v>42121</v>
      </c>
      <c r="M12" s="3" t="s">
        <v>39</v>
      </c>
      <c r="N12" s="3" t="s">
        <v>19</v>
      </c>
      <c r="O12" s="3" t="s">
        <v>36</v>
      </c>
      <c r="P12" s="3">
        <v>24</v>
      </c>
      <c r="Q12" s="5">
        <v>36</v>
      </c>
      <c r="W12" s="2" t="s">
        <v>36</v>
      </c>
      <c r="X12" s="2">
        <v>1.5</v>
      </c>
    </row>
    <row r="13" spans="1:24" x14ac:dyDescent="0.25">
      <c r="A13" s="4">
        <v>42163</v>
      </c>
      <c r="B13" s="3" t="s">
        <v>26</v>
      </c>
      <c r="C13" s="3" t="s">
        <v>6</v>
      </c>
      <c r="D13" s="3" t="s">
        <v>35</v>
      </c>
      <c r="E13" s="3">
        <v>12</v>
      </c>
      <c r="F13" s="5">
        <f t="shared" si="0"/>
        <v>48</v>
      </c>
      <c r="L13" s="4">
        <v>42018</v>
      </c>
      <c r="M13" s="3" t="s">
        <v>39</v>
      </c>
      <c r="N13" s="3" t="s">
        <v>19</v>
      </c>
      <c r="O13" s="3" t="s">
        <v>28</v>
      </c>
      <c r="P13" s="3">
        <v>13</v>
      </c>
      <c r="Q13" s="5">
        <v>26</v>
      </c>
      <c r="W13" s="2" t="s">
        <v>35</v>
      </c>
      <c r="X13" s="2">
        <v>4</v>
      </c>
    </row>
    <row r="14" spans="1:24" x14ac:dyDescent="0.25">
      <c r="A14" s="4">
        <v>42118</v>
      </c>
      <c r="B14" s="3" t="s">
        <v>38</v>
      </c>
      <c r="C14" s="3" t="s">
        <v>19</v>
      </c>
      <c r="D14" s="3" t="s">
        <v>27</v>
      </c>
      <c r="E14" s="3">
        <v>20</v>
      </c>
      <c r="F14" s="5">
        <f t="shared" si="0"/>
        <v>10</v>
      </c>
      <c r="L14" s="4">
        <v>42124</v>
      </c>
      <c r="M14" s="3" t="s">
        <v>26</v>
      </c>
      <c r="N14" s="3" t="s">
        <v>19</v>
      </c>
      <c r="O14" s="3" t="s">
        <v>36</v>
      </c>
      <c r="P14" s="3">
        <v>28</v>
      </c>
      <c r="Q14" s="5">
        <v>42</v>
      </c>
    </row>
    <row r="15" spans="1:24" x14ac:dyDescent="0.25">
      <c r="A15" s="4">
        <v>42071</v>
      </c>
      <c r="B15" s="3" t="s">
        <v>38</v>
      </c>
      <c r="C15" s="3" t="s">
        <v>2</v>
      </c>
      <c r="D15" s="3" t="s">
        <v>27</v>
      </c>
      <c r="E15" s="3">
        <v>15</v>
      </c>
      <c r="F15" s="5">
        <f t="shared" si="0"/>
        <v>7.5</v>
      </c>
      <c r="L15" s="4">
        <v>42055</v>
      </c>
      <c r="M15" s="3" t="s">
        <v>38</v>
      </c>
      <c r="N15" s="3" t="s">
        <v>19</v>
      </c>
      <c r="O15" s="3" t="s">
        <v>28</v>
      </c>
      <c r="P15" s="3">
        <v>14</v>
      </c>
      <c r="Q15" s="5">
        <v>28</v>
      </c>
    </row>
    <row r="16" spans="1:24" x14ac:dyDescent="0.25">
      <c r="A16" s="4">
        <v>42134</v>
      </c>
      <c r="B16" s="3" t="s">
        <v>39</v>
      </c>
      <c r="C16" s="3" t="s">
        <v>5</v>
      </c>
      <c r="D16" s="3" t="s">
        <v>27</v>
      </c>
      <c r="E16" s="3">
        <v>35</v>
      </c>
      <c r="F16" s="5">
        <f t="shared" si="0"/>
        <v>17.5</v>
      </c>
      <c r="L16" s="4">
        <v>42059</v>
      </c>
      <c r="M16" s="3" t="s">
        <v>32</v>
      </c>
      <c r="N16" s="3" t="s">
        <v>19</v>
      </c>
      <c r="O16" s="3" t="s">
        <v>31</v>
      </c>
      <c r="P16" s="3">
        <v>11</v>
      </c>
      <c r="Q16" s="5">
        <v>27.5</v>
      </c>
    </row>
    <row r="17" spans="1:17" x14ac:dyDescent="0.25">
      <c r="A17" s="4">
        <v>42063</v>
      </c>
      <c r="B17" s="3" t="s">
        <v>32</v>
      </c>
      <c r="C17" s="3" t="s">
        <v>5</v>
      </c>
      <c r="D17" s="3" t="s">
        <v>33</v>
      </c>
      <c r="E17" s="3">
        <v>21</v>
      </c>
      <c r="F17" s="5">
        <f t="shared" si="0"/>
        <v>105</v>
      </c>
      <c r="L17" s="4">
        <v>42098</v>
      </c>
      <c r="M17" s="3" t="s">
        <v>37</v>
      </c>
      <c r="N17" s="3" t="s">
        <v>19</v>
      </c>
      <c r="O17" s="3" t="s">
        <v>36</v>
      </c>
      <c r="P17" s="3">
        <v>33</v>
      </c>
      <c r="Q17" s="5">
        <v>49.5</v>
      </c>
    </row>
    <row r="18" spans="1:17" x14ac:dyDescent="0.25">
      <c r="A18" s="4">
        <v>42012</v>
      </c>
      <c r="B18" s="3" t="s">
        <v>38</v>
      </c>
      <c r="C18" s="3" t="s">
        <v>5</v>
      </c>
      <c r="D18" s="3" t="s">
        <v>31</v>
      </c>
      <c r="E18" s="3">
        <v>40</v>
      </c>
      <c r="F18" s="5">
        <f t="shared" si="0"/>
        <v>100</v>
      </c>
      <c r="L18" s="4">
        <v>42040</v>
      </c>
      <c r="M18" s="3" t="s">
        <v>37</v>
      </c>
      <c r="N18" s="3" t="s">
        <v>19</v>
      </c>
      <c r="O18" s="3" t="s">
        <v>28</v>
      </c>
      <c r="P18" s="3">
        <v>24</v>
      </c>
      <c r="Q18" s="5">
        <v>48</v>
      </c>
    </row>
    <row r="19" spans="1:17" x14ac:dyDescent="0.25">
      <c r="A19" s="4">
        <v>42097</v>
      </c>
      <c r="B19" s="3" t="s">
        <v>26</v>
      </c>
      <c r="C19" s="3" t="s">
        <v>10</v>
      </c>
      <c r="D19" s="3" t="s">
        <v>28</v>
      </c>
      <c r="E19" s="3">
        <v>3</v>
      </c>
      <c r="F19" s="5">
        <f t="shared" si="0"/>
        <v>6</v>
      </c>
      <c r="L19" s="4">
        <v>42157</v>
      </c>
      <c r="M19" s="3" t="s">
        <v>38</v>
      </c>
      <c r="N19" s="3" t="s">
        <v>19</v>
      </c>
      <c r="O19" s="3" t="s">
        <v>35</v>
      </c>
      <c r="P19" s="3">
        <v>6</v>
      </c>
      <c r="Q19" s="5">
        <v>24</v>
      </c>
    </row>
    <row r="20" spans="1:17" x14ac:dyDescent="0.25">
      <c r="A20" s="4">
        <v>42058</v>
      </c>
      <c r="B20" s="3" t="s">
        <v>39</v>
      </c>
      <c r="C20" s="3" t="s">
        <v>2</v>
      </c>
      <c r="D20" s="3" t="s">
        <v>27</v>
      </c>
      <c r="E20" s="3">
        <v>25</v>
      </c>
      <c r="F20" s="5">
        <f t="shared" si="0"/>
        <v>12.5</v>
      </c>
      <c r="L20" s="4">
        <v>42182</v>
      </c>
      <c r="M20" s="3" t="s">
        <v>37</v>
      </c>
      <c r="N20" s="3" t="s">
        <v>19</v>
      </c>
      <c r="O20" s="3" t="s">
        <v>35</v>
      </c>
      <c r="P20" s="3">
        <v>9</v>
      </c>
      <c r="Q20" s="5">
        <v>36</v>
      </c>
    </row>
    <row r="21" spans="1:17" x14ac:dyDescent="0.25">
      <c r="A21" s="4">
        <v>42018</v>
      </c>
      <c r="B21" s="3" t="s">
        <v>38</v>
      </c>
      <c r="C21" s="3" t="s">
        <v>2</v>
      </c>
      <c r="D21" s="3" t="s">
        <v>34</v>
      </c>
      <c r="E21" s="3">
        <v>11</v>
      </c>
      <c r="F21" s="5">
        <f t="shared" si="0"/>
        <v>2.2000000000000002</v>
      </c>
      <c r="L21" s="4">
        <v>42036</v>
      </c>
      <c r="M21" s="3" t="s">
        <v>26</v>
      </c>
      <c r="N21" s="3" t="s">
        <v>19</v>
      </c>
      <c r="O21" s="3" t="s">
        <v>31</v>
      </c>
      <c r="P21" s="3">
        <v>14</v>
      </c>
      <c r="Q21" s="5">
        <v>35</v>
      </c>
    </row>
    <row r="22" spans="1:17" x14ac:dyDescent="0.25">
      <c r="A22" s="4">
        <v>42085</v>
      </c>
      <c r="B22" s="3" t="s">
        <v>37</v>
      </c>
      <c r="C22" s="3" t="s">
        <v>6</v>
      </c>
      <c r="D22" s="3" t="s">
        <v>33</v>
      </c>
      <c r="E22" s="3">
        <v>9</v>
      </c>
      <c r="F22" s="5">
        <f t="shared" si="0"/>
        <v>45</v>
      </c>
      <c r="L22" s="4">
        <v>42056</v>
      </c>
      <c r="M22" s="3" t="s">
        <v>37</v>
      </c>
      <c r="N22" s="3" t="s">
        <v>19</v>
      </c>
      <c r="O22" s="3" t="s">
        <v>33</v>
      </c>
      <c r="P22" s="3">
        <v>8</v>
      </c>
      <c r="Q22" s="5">
        <v>40</v>
      </c>
    </row>
    <row r="23" spans="1:17" x14ac:dyDescent="0.25">
      <c r="A23" s="4">
        <v>42150</v>
      </c>
      <c r="B23" s="3" t="s">
        <v>37</v>
      </c>
      <c r="C23" s="3" t="s">
        <v>6</v>
      </c>
      <c r="D23" s="3" t="s">
        <v>33</v>
      </c>
      <c r="E23" s="3">
        <v>48</v>
      </c>
      <c r="F23" s="5">
        <f t="shared" si="0"/>
        <v>240</v>
      </c>
      <c r="L23" s="4">
        <v>42118</v>
      </c>
      <c r="M23" s="3" t="s">
        <v>29</v>
      </c>
      <c r="N23" s="3" t="s">
        <v>19</v>
      </c>
      <c r="O23" s="3" t="s">
        <v>31</v>
      </c>
      <c r="P23" s="3">
        <v>14</v>
      </c>
      <c r="Q23" s="5">
        <v>35</v>
      </c>
    </row>
    <row r="24" spans="1:17" x14ac:dyDescent="0.25">
      <c r="A24" s="4">
        <v>42015</v>
      </c>
      <c r="B24" s="3" t="s">
        <v>38</v>
      </c>
      <c r="C24" s="3" t="s">
        <v>5</v>
      </c>
      <c r="D24" s="3" t="s">
        <v>36</v>
      </c>
      <c r="E24" s="3">
        <v>19</v>
      </c>
      <c r="F24" s="5">
        <f t="shared" si="0"/>
        <v>28.5</v>
      </c>
      <c r="L24" s="4">
        <v>42145</v>
      </c>
      <c r="M24" s="3" t="s">
        <v>37</v>
      </c>
      <c r="N24" s="3" t="s">
        <v>19</v>
      </c>
      <c r="O24" s="3" t="s">
        <v>31</v>
      </c>
      <c r="P24" s="3">
        <v>14</v>
      </c>
      <c r="Q24" s="5">
        <v>35</v>
      </c>
    </row>
    <row r="25" spans="1:17" x14ac:dyDescent="0.25">
      <c r="A25" s="4">
        <v>42013</v>
      </c>
      <c r="B25" s="3" t="s">
        <v>39</v>
      </c>
      <c r="C25" s="3" t="s">
        <v>6</v>
      </c>
      <c r="D25" s="3" t="s">
        <v>31</v>
      </c>
      <c r="E25" s="3">
        <v>50</v>
      </c>
      <c r="F25" s="5">
        <f t="shared" si="0"/>
        <v>125</v>
      </c>
      <c r="L25" s="4">
        <v>42073</v>
      </c>
      <c r="M25" s="3" t="s">
        <v>38</v>
      </c>
      <c r="N25" s="3" t="s">
        <v>19</v>
      </c>
      <c r="O25" s="3" t="s">
        <v>31</v>
      </c>
      <c r="P25" s="3">
        <v>14</v>
      </c>
      <c r="Q25" s="5">
        <v>35</v>
      </c>
    </row>
    <row r="26" spans="1:17" x14ac:dyDescent="0.25">
      <c r="A26" s="4">
        <v>42015</v>
      </c>
      <c r="B26" s="3" t="s">
        <v>39</v>
      </c>
      <c r="C26" s="3" t="s">
        <v>2</v>
      </c>
      <c r="D26" s="3" t="s">
        <v>33</v>
      </c>
      <c r="E26" s="3">
        <v>24</v>
      </c>
      <c r="F26" s="5">
        <f t="shared" si="0"/>
        <v>120</v>
      </c>
    </row>
    <row r="27" spans="1:17" x14ac:dyDescent="0.25">
      <c r="A27" s="4">
        <v>42075</v>
      </c>
      <c r="B27" s="3" t="s">
        <v>38</v>
      </c>
      <c r="C27" s="3" t="s">
        <v>19</v>
      </c>
      <c r="D27" s="3" t="s">
        <v>27</v>
      </c>
      <c r="E27" s="3">
        <v>26</v>
      </c>
      <c r="F27" s="5">
        <f t="shared" si="0"/>
        <v>13</v>
      </c>
    </row>
    <row r="28" spans="1:17" x14ac:dyDescent="0.25">
      <c r="A28" s="4">
        <v>42080</v>
      </c>
      <c r="B28" s="3" t="s">
        <v>38</v>
      </c>
      <c r="C28" s="3" t="s">
        <v>6</v>
      </c>
      <c r="D28" s="3" t="s">
        <v>27</v>
      </c>
      <c r="E28" s="3">
        <v>11</v>
      </c>
      <c r="F28" s="5">
        <f t="shared" si="0"/>
        <v>5.5</v>
      </c>
    </row>
    <row r="29" spans="1:17" x14ac:dyDescent="0.25">
      <c r="A29" s="4">
        <v>42119</v>
      </c>
      <c r="B29" s="3" t="s">
        <v>38</v>
      </c>
      <c r="C29" s="3" t="s">
        <v>5</v>
      </c>
      <c r="D29" s="3" t="s">
        <v>35</v>
      </c>
      <c r="E29" s="3">
        <v>4</v>
      </c>
      <c r="F29" s="5">
        <f t="shared" si="0"/>
        <v>16</v>
      </c>
    </row>
    <row r="30" spans="1:17" x14ac:dyDescent="0.25">
      <c r="A30" s="4">
        <v>42043</v>
      </c>
      <c r="B30" s="3" t="s">
        <v>38</v>
      </c>
      <c r="C30" s="3" t="s">
        <v>2</v>
      </c>
      <c r="D30" s="3" t="s">
        <v>36</v>
      </c>
      <c r="E30" s="3">
        <v>20</v>
      </c>
      <c r="F30" s="5">
        <f t="shared" si="0"/>
        <v>30</v>
      </c>
    </row>
    <row r="31" spans="1:17" x14ac:dyDescent="0.25">
      <c r="A31" s="4">
        <v>42057</v>
      </c>
      <c r="B31" s="3" t="s">
        <v>38</v>
      </c>
      <c r="C31" s="3" t="s">
        <v>6</v>
      </c>
      <c r="D31" s="3" t="s">
        <v>30</v>
      </c>
      <c r="E31" s="3">
        <v>24</v>
      </c>
      <c r="F31" s="5">
        <f t="shared" si="0"/>
        <v>2.4000000000000004</v>
      </c>
    </row>
    <row r="32" spans="1:17" x14ac:dyDescent="0.25">
      <c r="A32" s="4">
        <v>42053</v>
      </c>
      <c r="B32" s="3" t="s">
        <v>26</v>
      </c>
      <c r="C32" s="3" t="s">
        <v>5</v>
      </c>
      <c r="D32" s="3" t="s">
        <v>31</v>
      </c>
      <c r="E32" s="3">
        <v>31</v>
      </c>
      <c r="F32" s="5">
        <f t="shared" si="0"/>
        <v>77.5</v>
      </c>
    </row>
    <row r="33" spans="1:6" x14ac:dyDescent="0.25">
      <c r="A33" s="4">
        <v>42059</v>
      </c>
      <c r="B33" s="3" t="s">
        <v>26</v>
      </c>
      <c r="C33" s="3" t="s">
        <v>6</v>
      </c>
      <c r="D33" s="3" t="s">
        <v>35</v>
      </c>
      <c r="E33" s="3">
        <v>49</v>
      </c>
      <c r="F33" s="5">
        <f t="shared" si="0"/>
        <v>196</v>
      </c>
    </row>
    <row r="34" spans="1:6" x14ac:dyDescent="0.25">
      <c r="A34" s="4">
        <v>42120</v>
      </c>
      <c r="B34" s="3" t="s">
        <v>39</v>
      </c>
      <c r="C34" s="3" t="s">
        <v>10</v>
      </c>
      <c r="D34" s="3" t="s">
        <v>27</v>
      </c>
      <c r="E34" s="3">
        <v>38</v>
      </c>
      <c r="F34" s="5">
        <f t="shared" si="0"/>
        <v>19</v>
      </c>
    </row>
    <row r="35" spans="1:6" x14ac:dyDescent="0.25">
      <c r="A35" s="4">
        <v>42026</v>
      </c>
      <c r="B35" s="3" t="s">
        <v>32</v>
      </c>
      <c r="C35" s="3" t="s">
        <v>6</v>
      </c>
      <c r="D35" s="3" t="s">
        <v>27</v>
      </c>
      <c r="E35" s="3">
        <v>31</v>
      </c>
      <c r="F35" s="5">
        <f t="shared" si="0"/>
        <v>15.5</v>
      </c>
    </row>
    <row r="36" spans="1:6" x14ac:dyDescent="0.25">
      <c r="A36" s="4">
        <v>42117</v>
      </c>
      <c r="B36" s="3" t="s">
        <v>39</v>
      </c>
      <c r="C36" s="3" t="s">
        <v>10</v>
      </c>
      <c r="D36" s="3" t="s">
        <v>28</v>
      </c>
      <c r="E36" s="3">
        <v>16</v>
      </c>
      <c r="F36" s="5">
        <f t="shared" si="0"/>
        <v>32</v>
      </c>
    </row>
    <row r="37" spans="1:6" x14ac:dyDescent="0.25">
      <c r="A37" s="4">
        <v>42135</v>
      </c>
      <c r="B37" s="3" t="s">
        <v>26</v>
      </c>
      <c r="C37" s="3" t="s">
        <v>5</v>
      </c>
      <c r="D37" s="3" t="s">
        <v>33</v>
      </c>
      <c r="E37" s="3">
        <v>47</v>
      </c>
      <c r="F37" s="5">
        <f t="shared" si="0"/>
        <v>235</v>
      </c>
    </row>
    <row r="38" spans="1:6" x14ac:dyDescent="0.25">
      <c r="A38" s="4">
        <v>42056</v>
      </c>
      <c r="B38" s="3" t="s">
        <v>39</v>
      </c>
      <c r="C38" s="3" t="s">
        <v>5</v>
      </c>
      <c r="D38" s="3" t="s">
        <v>34</v>
      </c>
      <c r="E38" s="3">
        <v>5</v>
      </c>
      <c r="F38" s="5">
        <f t="shared" si="0"/>
        <v>1</v>
      </c>
    </row>
    <row r="39" spans="1:6" x14ac:dyDescent="0.25">
      <c r="A39" s="4">
        <v>42171</v>
      </c>
      <c r="B39" s="3" t="s">
        <v>39</v>
      </c>
      <c r="C39" s="3" t="s">
        <v>6</v>
      </c>
      <c r="D39" s="3" t="s">
        <v>35</v>
      </c>
      <c r="E39" s="3">
        <v>11</v>
      </c>
      <c r="F39" s="5">
        <f t="shared" si="0"/>
        <v>44</v>
      </c>
    </row>
    <row r="40" spans="1:6" x14ac:dyDescent="0.25">
      <c r="A40" s="4">
        <v>42174</v>
      </c>
      <c r="B40" s="3" t="s">
        <v>29</v>
      </c>
      <c r="C40" s="3" t="s">
        <v>6</v>
      </c>
      <c r="D40" s="3" t="s">
        <v>33</v>
      </c>
      <c r="E40" s="3">
        <v>21</v>
      </c>
      <c r="F40" s="5">
        <f t="shared" si="0"/>
        <v>105</v>
      </c>
    </row>
    <row r="41" spans="1:6" x14ac:dyDescent="0.25">
      <c r="A41" s="4">
        <v>42167</v>
      </c>
      <c r="B41" s="3" t="s">
        <v>26</v>
      </c>
      <c r="C41" s="3" t="s">
        <v>2</v>
      </c>
      <c r="D41" s="3" t="s">
        <v>35</v>
      </c>
      <c r="E41" s="3">
        <v>49</v>
      </c>
      <c r="F41" s="5">
        <f t="shared" si="0"/>
        <v>196</v>
      </c>
    </row>
    <row r="42" spans="1:6" x14ac:dyDescent="0.25">
      <c r="A42" s="4">
        <v>42066</v>
      </c>
      <c r="B42" s="3" t="s">
        <v>26</v>
      </c>
      <c r="C42" s="3" t="s">
        <v>5</v>
      </c>
      <c r="D42" s="3" t="s">
        <v>28</v>
      </c>
      <c r="E42" s="3">
        <v>44</v>
      </c>
      <c r="F42" s="5">
        <f t="shared" si="0"/>
        <v>88</v>
      </c>
    </row>
    <row r="43" spans="1:6" x14ac:dyDescent="0.25">
      <c r="A43" s="4">
        <v>42040</v>
      </c>
      <c r="B43" s="3" t="s">
        <v>37</v>
      </c>
      <c r="C43" s="3" t="s">
        <v>6</v>
      </c>
      <c r="D43" s="3" t="s">
        <v>36</v>
      </c>
      <c r="E43" s="3">
        <v>27</v>
      </c>
      <c r="F43" s="5">
        <f t="shared" si="0"/>
        <v>40.5</v>
      </c>
    </row>
    <row r="44" spans="1:6" x14ac:dyDescent="0.25">
      <c r="A44" s="4">
        <v>42142</v>
      </c>
      <c r="B44" s="3" t="s">
        <v>32</v>
      </c>
      <c r="C44" s="3" t="s">
        <v>6</v>
      </c>
      <c r="D44" s="3" t="s">
        <v>36</v>
      </c>
      <c r="E44" s="3">
        <v>30</v>
      </c>
      <c r="F44" s="5">
        <f t="shared" si="0"/>
        <v>45</v>
      </c>
    </row>
    <row r="45" spans="1:6" x14ac:dyDescent="0.25">
      <c r="A45" s="4">
        <v>42172</v>
      </c>
      <c r="B45" s="3" t="s">
        <v>26</v>
      </c>
      <c r="C45" s="3" t="s">
        <v>10</v>
      </c>
      <c r="D45" s="3" t="s">
        <v>36</v>
      </c>
      <c r="E45" s="3">
        <v>31</v>
      </c>
      <c r="F45" s="5">
        <f t="shared" si="0"/>
        <v>46.5</v>
      </c>
    </row>
    <row r="46" spans="1:6" x14ac:dyDescent="0.25">
      <c r="A46" s="4">
        <v>42118</v>
      </c>
      <c r="B46" s="3" t="s">
        <v>39</v>
      </c>
      <c r="C46" s="3" t="s">
        <v>6</v>
      </c>
      <c r="D46" s="3" t="s">
        <v>27</v>
      </c>
      <c r="E46" s="3">
        <v>3</v>
      </c>
      <c r="F46" s="5">
        <f t="shared" si="0"/>
        <v>1.5</v>
      </c>
    </row>
    <row r="47" spans="1:6" x14ac:dyDescent="0.25">
      <c r="A47" s="4">
        <v>42180</v>
      </c>
      <c r="B47" s="3" t="s">
        <v>38</v>
      </c>
      <c r="C47" s="3" t="s">
        <v>19</v>
      </c>
      <c r="D47" s="3" t="s">
        <v>28</v>
      </c>
      <c r="E47" s="3">
        <v>9</v>
      </c>
      <c r="F47" s="5">
        <f t="shared" si="0"/>
        <v>18</v>
      </c>
    </row>
    <row r="48" spans="1:6" x14ac:dyDescent="0.25">
      <c r="A48" s="4">
        <v>42114</v>
      </c>
      <c r="B48" s="3" t="s">
        <v>26</v>
      </c>
      <c r="C48" s="3" t="s">
        <v>19</v>
      </c>
      <c r="D48" s="3" t="s">
        <v>36</v>
      </c>
      <c r="E48" s="3">
        <v>50</v>
      </c>
      <c r="F48" s="5">
        <f t="shared" si="0"/>
        <v>75</v>
      </c>
    </row>
    <row r="49" spans="1:6" x14ac:dyDescent="0.25">
      <c r="A49" s="4">
        <v>42026</v>
      </c>
      <c r="B49" s="3" t="s">
        <v>32</v>
      </c>
      <c r="C49" s="3" t="s">
        <v>2</v>
      </c>
      <c r="D49" s="3" t="s">
        <v>33</v>
      </c>
      <c r="E49" s="3">
        <v>24</v>
      </c>
      <c r="F49" s="5">
        <f t="shared" si="0"/>
        <v>120</v>
      </c>
    </row>
    <row r="50" spans="1:6" x14ac:dyDescent="0.25">
      <c r="A50" s="4">
        <v>42087</v>
      </c>
      <c r="B50" s="3" t="s">
        <v>39</v>
      </c>
      <c r="C50" s="3" t="s">
        <v>2</v>
      </c>
      <c r="D50" s="3" t="s">
        <v>36</v>
      </c>
      <c r="E50" s="3">
        <v>29</v>
      </c>
      <c r="F50" s="5">
        <f t="shared" si="0"/>
        <v>43.5</v>
      </c>
    </row>
    <row r="51" spans="1:6" x14ac:dyDescent="0.25">
      <c r="A51" s="4">
        <v>42102</v>
      </c>
      <c r="B51" s="3" t="s">
        <v>26</v>
      </c>
      <c r="C51" s="3" t="s">
        <v>2</v>
      </c>
      <c r="D51" s="3" t="s">
        <v>35</v>
      </c>
      <c r="E51" s="3">
        <v>5</v>
      </c>
      <c r="F51" s="5">
        <f t="shared" si="0"/>
        <v>20</v>
      </c>
    </row>
    <row r="52" spans="1:6" x14ac:dyDescent="0.25">
      <c r="A52" s="4">
        <v>42127</v>
      </c>
      <c r="B52" s="3" t="s">
        <v>37</v>
      </c>
      <c r="C52" s="3" t="s">
        <v>10</v>
      </c>
      <c r="D52" s="3" t="s">
        <v>28</v>
      </c>
      <c r="E52" s="3">
        <v>29</v>
      </c>
      <c r="F52" s="5">
        <f t="shared" si="0"/>
        <v>58</v>
      </c>
    </row>
    <row r="53" spans="1:6" x14ac:dyDescent="0.25">
      <c r="A53" s="4">
        <v>42150</v>
      </c>
      <c r="B53" s="3" t="s">
        <v>32</v>
      </c>
      <c r="C53" s="3" t="s">
        <v>5</v>
      </c>
      <c r="D53" s="3" t="s">
        <v>30</v>
      </c>
      <c r="E53" s="3">
        <v>37</v>
      </c>
      <c r="F53" s="5">
        <f t="shared" si="0"/>
        <v>3.7</v>
      </c>
    </row>
    <row r="54" spans="1:6" x14ac:dyDescent="0.25">
      <c r="A54" s="4">
        <v>42070</v>
      </c>
      <c r="B54" s="3" t="s">
        <v>26</v>
      </c>
      <c r="C54" s="3" t="s">
        <v>6</v>
      </c>
      <c r="D54" s="3" t="s">
        <v>27</v>
      </c>
      <c r="E54" s="3">
        <v>44</v>
      </c>
      <c r="F54" s="5">
        <f t="shared" si="0"/>
        <v>22</v>
      </c>
    </row>
    <row r="55" spans="1:6" x14ac:dyDescent="0.25">
      <c r="A55" s="4">
        <v>42138</v>
      </c>
      <c r="B55" s="3" t="s">
        <v>29</v>
      </c>
      <c r="C55" s="3" t="s">
        <v>10</v>
      </c>
      <c r="D55" s="3" t="s">
        <v>36</v>
      </c>
      <c r="E55" s="3">
        <v>18</v>
      </c>
      <c r="F55" s="5">
        <f t="shared" si="0"/>
        <v>27</v>
      </c>
    </row>
    <row r="56" spans="1:6" x14ac:dyDescent="0.25">
      <c r="A56" s="4">
        <v>42032</v>
      </c>
      <c r="B56" s="3" t="s">
        <v>39</v>
      </c>
      <c r="C56" s="3" t="s">
        <v>2</v>
      </c>
      <c r="D56" s="3" t="s">
        <v>35</v>
      </c>
      <c r="E56" s="3">
        <v>13</v>
      </c>
      <c r="F56" s="5">
        <f t="shared" si="0"/>
        <v>52</v>
      </c>
    </row>
    <row r="57" spans="1:6" x14ac:dyDescent="0.25">
      <c r="A57" s="4">
        <v>42173</v>
      </c>
      <c r="B57" s="3" t="s">
        <v>29</v>
      </c>
      <c r="C57" s="3" t="s">
        <v>10</v>
      </c>
      <c r="D57" s="3" t="s">
        <v>36</v>
      </c>
      <c r="E57" s="3">
        <v>17</v>
      </c>
      <c r="F57" s="5">
        <f t="shared" si="0"/>
        <v>25.5</v>
      </c>
    </row>
    <row r="58" spans="1:6" x14ac:dyDescent="0.25">
      <c r="A58" s="4">
        <v>42019</v>
      </c>
      <c r="B58" s="3" t="s">
        <v>39</v>
      </c>
      <c r="C58" s="3" t="s">
        <v>2</v>
      </c>
      <c r="D58" s="3" t="s">
        <v>36</v>
      </c>
      <c r="E58" s="3">
        <v>45</v>
      </c>
      <c r="F58" s="5">
        <f t="shared" si="0"/>
        <v>67.5</v>
      </c>
    </row>
    <row r="59" spans="1:6" x14ac:dyDescent="0.25">
      <c r="A59" s="4">
        <v>42047</v>
      </c>
      <c r="B59" s="3" t="s">
        <v>37</v>
      </c>
      <c r="C59" s="3" t="s">
        <v>2</v>
      </c>
      <c r="D59" s="3" t="s">
        <v>33</v>
      </c>
      <c r="E59" s="3">
        <v>29</v>
      </c>
      <c r="F59" s="5">
        <f t="shared" si="0"/>
        <v>145</v>
      </c>
    </row>
    <row r="60" spans="1:6" x14ac:dyDescent="0.25">
      <c r="A60" s="4">
        <v>42017</v>
      </c>
      <c r="B60" s="3" t="s">
        <v>38</v>
      </c>
      <c r="C60" s="3" t="s">
        <v>2</v>
      </c>
      <c r="D60" s="3" t="s">
        <v>36</v>
      </c>
      <c r="E60" s="3">
        <v>11</v>
      </c>
      <c r="F60" s="5">
        <f t="shared" si="0"/>
        <v>16.5</v>
      </c>
    </row>
    <row r="61" spans="1:6" x14ac:dyDescent="0.25">
      <c r="A61" s="4">
        <v>42043</v>
      </c>
      <c r="B61" s="3" t="s">
        <v>38</v>
      </c>
      <c r="C61" s="3" t="s">
        <v>10</v>
      </c>
      <c r="D61" s="3" t="s">
        <v>36</v>
      </c>
      <c r="E61" s="3">
        <v>4</v>
      </c>
      <c r="F61" s="5">
        <f t="shared" si="0"/>
        <v>6</v>
      </c>
    </row>
    <row r="62" spans="1:6" x14ac:dyDescent="0.25">
      <c r="A62" s="4">
        <v>42160</v>
      </c>
      <c r="B62" s="3" t="s">
        <v>32</v>
      </c>
      <c r="C62" s="3" t="s">
        <v>6</v>
      </c>
      <c r="D62" s="3" t="s">
        <v>31</v>
      </c>
      <c r="E62" s="3">
        <v>10</v>
      </c>
      <c r="F62" s="5">
        <f t="shared" si="0"/>
        <v>25</v>
      </c>
    </row>
    <row r="63" spans="1:6" x14ac:dyDescent="0.25">
      <c r="A63" s="4">
        <v>42018</v>
      </c>
      <c r="B63" s="3" t="s">
        <v>29</v>
      </c>
      <c r="C63" s="3" t="s">
        <v>10</v>
      </c>
      <c r="D63" s="3" t="s">
        <v>33</v>
      </c>
      <c r="E63" s="3">
        <v>15</v>
      </c>
      <c r="F63" s="5">
        <f t="shared" si="0"/>
        <v>75</v>
      </c>
    </row>
    <row r="64" spans="1:6" x14ac:dyDescent="0.25">
      <c r="A64" s="4">
        <v>42076</v>
      </c>
      <c r="B64" s="3" t="s">
        <v>32</v>
      </c>
      <c r="C64" s="3" t="s">
        <v>2</v>
      </c>
      <c r="D64" s="3" t="s">
        <v>28</v>
      </c>
      <c r="E64" s="3">
        <v>29</v>
      </c>
      <c r="F64" s="5">
        <f t="shared" si="0"/>
        <v>58</v>
      </c>
    </row>
    <row r="65" spans="1:6" x14ac:dyDescent="0.25">
      <c r="A65" s="4">
        <v>42032</v>
      </c>
      <c r="B65" s="3" t="s">
        <v>32</v>
      </c>
      <c r="C65" s="3" t="s">
        <v>19</v>
      </c>
      <c r="D65" s="3" t="s">
        <v>27</v>
      </c>
      <c r="E65" s="3">
        <v>9</v>
      </c>
      <c r="F65" s="5">
        <f t="shared" si="0"/>
        <v>4.5</v>
      </c>
    </row>
    <row r="66" spans="1:6" x14ac:dyDescent="0.25">
      <c r="A66" s="4">
        <v>42021</v>
      </c>
      <c r="B66" s="3" t="s">
        <v>38</v>
      </c>
      <c r="C66" s="3" t="s">
        <v>6</v>
      </c>
      <c r="D66" s="3" t="s">
        <v>30</v>
      </c>
      <c r="E66" s="3">
        <v>21</v>
      </c>
      <c r="F66" s="5">
        <f t="shared" si="0"/>
        <v>2.1</v>
      </c>
    </row>
    <row r="67" spans="1:6" x14ac:dyDescent="0.25">
      <c r="A67" s="4">
        <v>42077</v>
      </c>
      <c r="B67" s="3" t="s">
        <v>39</v>
      </c>
      <c r="C67" s="3" t="s">
        <v>5</v>
      </c>
      <c r="D67" s="3" t="s">
        <v>34</v>
      </c>
      <c r="E67" s="3">
        <v>35</v>
      </c>
      <c r="F67" s="5">
        <f t="shared" si="0"/>
        <v>7</v>
      </c>
    </row>
    <row r="68" spans="1:6" x14ac:dyDescent="0.25">
      <c r="A68" s="4">
        <v>42070</v>
      </c>
      <c r="B68" s="3" t="s">
        <v>37</v>
      </c>
      <c r="C68" s="3" t="s">
        <v>6</v>
      </c>
      <c r="D68" s="3" t="s">
        <v>34</v>
      </c>
      <c r="E68" s="3">
        <v>21</v>
      </c>
      <c r="F68" s="5">
        <f t="shared" si="0"/>
        <v>4.2</v>
      </c>
    </row>
    <row r="69" spans="1:6" x14ac:dyDescent="0.25">
      <c r="A69" s="4">
        <v>42146</v>
      </c>
      <c r="B69" s="3" t="s">
        <v>39</v>
      </c>
      <c r="C69" s="3" t="s">
        <v>2</v>
      </c>
      <c r="D69" s="3" t="s">
        <v>28</v>
      </c>
      <c r="E69" s="3">
        <v>4</v>
      </c>
      <c r="F69" s="5">
        <f t="shared" si="0"/>
        <v>8</v>
      </c>
    </row>
    <row r="70" spans="1:6" x14ac:dyDescent="0.25">
      <c r="A70" s="4">
        <v>42169</v>
      </c>
      <c r="B70" s="3" t="s">
        <v>38</v>
      </c>
      <c r="C70" s="3" t="s">
        <v>2</v>
      </c>
      <c r="D70" s="3" t="s">
        <v>36</v>
      </c>
      <c r="E70" s="3">
        <v>5</v>
      </c>
      <c r="F70" s="5">
        <f t="shared" si="0"/>
        <v>7.5</v>
      </c>
    </row>
    <row r="71" spans="1:6" x14ac:dyDescent="0.25">
      <c r="A71" s="4">
        <v>42098</v>
      </c>
      <c r="B71" s="3" t="s">
        <v>37</v>
      </c>
      <c r="C71" s="3" t="s">
        <v>2</v>
      </c>
      <c r="D71" s="3" t="s">
        <v>30</v>
      </c>
      <c r="E71" s="3">
        <v>17</v>
      </c>
      <c r="F71" s="5">
        <f t="shared" ref="F71:F134" si="1">E71*VLOOKUP(D71,$W$6:$X$13,2,0)</f>
        <v>1.7000000000000002</v>
      </c>
    </row>
    <row r="72" spans="1:6" x14ac:dyDescent="0.25">
      <c r="A72" s="4">
        <v>42080</v>
      </c>
      <c r="B72" s="3" t="s">
        <v>38</v>
      </c>
      <c r="C72" s="3" t="s">
        <v>19</v>
      </c>
      <c r="D72" s="3" t="s">
        <v>27</v>
      </c>
      <c r="E72" s="3">
        <v>2</v>
      </c>
      <c r="F72" s="5">
        <f t="shared" si="1"/>
        <v>1</v>
      </c>
    </row>
    <row r="73" spans="1:6" x14ac:dyDescent="0.25">
      <c r="A73" s="4">
        <v>42132</v>
      </c>
      <c r="B73" s="3" t="s">
        <v>37</v>
      </c>
      <c r="C73" s="3" t="s">
        <v>5</v>
      </c>
      <c r="D73" s="3" t="s">
        <v>30</v>
      </c>
      <c r="E73" s="3">
        <v>11</v>
      </c>
      <c r="F73" s="5">
        <f t="shared" si="1"/>
        <v>1.1000000000000001</v>
      </c>
    </row>
    <row r="74" spans="1:6" x14ac:dyDescent="0.25">
      <c r="A74" s="4">
        <v>42145</v>
      </c>
      <c r="B74" s="3" t="s">
        <v>38</v>
      </c>
      <c r="C74" s="3" t="s">
        <v>10</v>
      </c>
      <c r="D74" s="3" t="s">
        <v>30</v>
      </c>
      <c r="E74" s="3">
        <v>37</v>
      </c>
      <c r="F74" s="5">
        <f t="shared" si="1"/>
        <v>3.7</v>
      </c>
    </row>
    <row r="75" spans="1:6" x14ac:dyDescent="0.25">
      <c r="A75" s="4">
        <v>42179</v>
      </c>
      <c r="B75" s="3" t="s">
        <v>37</v>
      </c>
      <c r="C75" s="3" t="s">
        <v>2</v>
      </c>
      <c r="D75" s="3" t="s">
        <v>34</v>
      </c>
      <c r="E75" s="3">
        <v>26</v>
      </c>
      <c r="F75" s="5">
        <f t="shared" si="1"/>
        <v>5.2</v>
      </c>
    </row>
    <row r="76" spans="1:6" x14ac:dyDescent="0.25">
      <c r="A76" s="4">
        <v>42016</v>
      </c>
      <c r="B76" s="3" t="s">
        <v>32</v>
      </c>
      <c r="C76" s="3" t="s">
        <v>19</v>
      </c>
      <c r="D76" s="3" t="s">
        <v>27</v>
      </c>
      <c r="E76" s="3">
        <v>45</v>
      </c>
      <c r="F76" s="5">
        <f t="shared" si="1"/>
        <v>22.5</v>
      </c>
    </row>
    <row r="77" spans="1:6" x14ac:dyDescent="0.25">
      <c r="A77" s="4">
        <v>42011</v>
      </c>
      <c r="B77" s="3" t="s">
        <v>29</v>
      </c>
      <c r="C77" s="3" t="s">
        <v>6</v>
      </c>
      <c r="D77" s="3" t="s">
        <v>35</v>
      </c>
      <c r="E77" s="3">
        <v>31</v>
      </c>
      <c r="F77" s="5">
        <f t="shared" si="1"/>
        <v>124</v>
      </c>
    </row>
    <row r="78" spans="1:6" x14ac:dyDescent="0.25">
      <c r="A78" s="4">
        <v>42107</v>
      </c>
      <c r="B78" s="3" t="s">
        <v>39</v>
      </c>
      <c r="C78" s="3" t="s">
        <v>6</v>
      </c>
      <c r="D78" s="3" t="s">
        <v>30</v>
      </c>
      <c r="E78" s="3">
        <v>25</v>
      </c>
      <c r="F78" s="5">
        <f t="shared" si="1"/>
        <v>2.5</v>
      </c>
    </row>
    <row r="79" spans="1:6" x14ac:dyDescent="0.25">
      <c r="A79" s="4">
        <v>42152</v>
      </c>
      <c r="B79" s="3" t="s">
        <v>38</v>
      </c>
      <c r="C79" s="3" t="s">
        <v>10</v>
      </c>
      <c r="D79" s="3" t="s">
        <v>28</v>
      </c>
      <c r="E79" s="3">
        <v>12</v>
      </c>
      <c r="F79" s="5">
        <f t="shared" si="1"/>
        <v>24</v>
      </c>
    </row>
    <row r="80" spans="1:6" x14ac:dyDescent="0.25">
      <c r="A80" s="4">
        <v>42161</v>
      </c>
      <c r="B80" s="3" t="s">
        <v>32</v>
      </c>
      <c r="C80" s="3" t="s">
        <v>6</v>
      </c>
      <c r="D80" s="3" t="s">
        <v>28</v>
      </c>
      <c r="E80" s="3">
        <v>25</v>
      </c>
      <c r="F80" s="5">
        <f t="shared" si="1"/>
        <v>50</v>
      </c>
    </row>
    <row r="81" spans="1:6" x14ac:dyDescent="0.25">
      <c r="A81" s="4">
        <v>42118</v>
      </c>
      <c r="B81" s="3" t="s">
        <v>38</v>
      </c>
      <c r="C81" s="3" t="s">
        <v>5</v>
      </c>
      <c r="D81" s="3" t="s">
        <v>35</v>
      </c>
      <c r="E81" s="3">
        <v>48</v>
      </c>
      <c r="F81" s="5">
        <f t="shared" si="1"/>
        <v>192</v>
      </c>
    </row>
    <row r="82" spans="1:6" x14ac:dyDescent="0.25">
      <c r="A82" s="4">
        <v>42141</v>
      </c>
      <c r="B82" s="3" t="s">
        <v>38</v>
      </c>
      <c r="C82" s="3" t="s">
        <v>10</v>
      </c>
      <c r="D82" s="3" t="s">
        <v>35</v>
      </c>
      <c r="E82" s="3">
        <v>32</v>
      </c>
      <c r="F82" s="5">
        <f t="shared" si="1"/>
        <v>128</v>
      </c>
    </row>
    <row r="83" spans="1:6" x14ac:dyDescent="0.25">
      <c r="A83" s="4">
        <v>42064</v>
      </c>
      <c r="B83" s="3" t="s">
        <v>29</v>
      </c>
      <c r="C83" s="3" t="s">
        <v>5</v>
      </c>
      <c r="D83" s="3" t="s">
        <v>33</v>
      </c>
      <c r="E83" s="3">
        <v>4</v>
      </c>
      <c r="F83" s="5">
        <f t="shared" si="1"/>
        <v>20</v>
      </c>
    </row>
    <row r="84" spans="1:6" x14ac:dyDescent="0.25">
      <c r="A84" s="4">
        <v>42141</v>
      </c>
      <c r="B84" s="3" t="s">
        <v>26</v>
      </c>
      <c r="C84" s="3" t="s">
        <v>6</v>
      </c>
      <c r="D84" s="3" t="s">
        <v>33</v>
      </c>
      <c r="E84" s="3">
        <v>35</v>
      </c>
      <c r="F84" s="5">
        <f t="shared" si="1"/>
        <v>175</v>
      </c>
    </row>
    <row r="85" spans="1:6" x14ac:dyDescent="0.25">
      <c r="A85" s="4">
        <v>42090</v>
      </c>
      <c r="B85" s="3" t="s">
        <v>26</v>
      </c>
      <c r="C85" s="3" t="s">
        <v>6</v>
      </c>
      <c r="D85" s="3" t="s">
        <v>35</v>
      </c>
      <c r="E85" s="3">
        <v>50</v>
      </c>
      <c r="F85" s="5">
        <f t="shared" si="1"/>
        <v>200</v>
      </c>
    </row>
    <row r="86" spans="1:6" x14ac:dyDescent="0.25">
      <c r="A86" s="4">
        <v>42052</v>
      </c>
      <c r="B86" s="3" t="s">
        <v>39</v>
      </c>
      <c r="C86" s="3" t="s">
        <v>2</v>
      </c>
      <c r="D86" s="3" t="s">
        <v>30</v>
      </c>
      <c r="E86" s="3">
        <v>27</v>
      </c>
      <c r="F86" s="5">
        <f t="shared" si="1"/>
        <v>2.7</v>
      </c>
    </row>
    <row r="87" spans="1:6" x14ac:dyDescent="0.25">
      <c r="A87" s="4">
        <v>42123</v>
      </c>
      <c r="B87" s="3" t="s">
        <v>29</v>
      </c>
      <c r="C87" s="3" t="s">
        <v>6</v>
      </c>
      <c r="D87" s="3" t="s">
        <v>35</v>
      </c>
      <c r="E87" s="3">
        <v>36</v>
      </c>
      <c r="F87" s="5">
        <f t="shared" si="1"/>
        <v>144</v>
      </c>
    </row>
    <row r="88" spans="1:6" x14ac:dyDescent="0.25">
      <c r="A88" s="4">
        <v>42182</v>
      </c>
      <c r="B88" s="3" t="s">
        <v>38</v>
      </c>
      <c r="C88" s="3" t="s">
        <v>6</v>
      </c>
      <c r="D88" s="3" t="s">
        <v>28</v>
      </c>
      <c r="E88" s="3">
        <v>36</v>
      </c>
      <c r="F88" s="5">
        <f t="shared" si="1"/>
        <v>72</v>
      </c>
    </row>
    <row r="89" spans="1:6" x14ac:dyDescent="0.25">
      <c r="A89" s="4">
        <v>42126</v>
      </c>
      <c r="B89" s="3" t="s">
        <v>29</v>
      </c>
      <c r="C89" s="3" t="s">
        <v>2</v>
      </c>
      <c r="D89" s="3" t="s">
        <v>35</v>
      </c>
      <c r="E89" s="3">
        <v>5</v>
      </c>
      <c r="F89" s="5">
        <f t="shared" si="1"/>
        <v>20</v>
      </c>
    </row>
    <row r="90" spans="1:6" x14ac:dyDescent="0.25">
      <c r="A90" s="4">
        <v>42050</v>
      </c>
      <c r="B90" s="3" t="s">
        <v>38</v>
      </c>
      <c r="C90" s="3" t="s">
        <v>19</v>
      </c>
      <c r="D90" s="3" t="s">
        <v>27</v>
      </c>
      <c r="E90" s="3">
        <v>11</v>
      </c>
      <c r="F90" s="5">
        <f t="shared" si="1"/>
        <v>5.5</v>
      </c>
    </row>
    <row r="91" spans="1:6" x14ac:dyDescent="0.25">
      <c r="A91" s="4">
        <v>42072</v>
      </c>
      <c r="B91" s="3" t="s">
        <v>39</v>
      </c>
      <c r="C91" s="3" t="s">
        <v>10</v>
      </c>
      <c r="D91" s="3" t="s">
        <v>33</v>
      </c>
      <c r="E91" s="3">
        <v>7</v>
      </c>
      <c r="F91" s="5">
        <f t="shared" si="1"/>
        <v>35</v>
      </c>
    </row>
    <row r="92" spans="1:6" x14ac:dyDescent="0.25">
      <c r="A92" s="4">
        <v>42035</v>
      </c>
      <c r="B92" s="3" t="s">
        <v>37</v>
      </c>
      <c r="C92" s="3" t="s">
        <v>5</v>
      </c>
      <c r="D92" s="3" t="s">
        <v>33</v>
      </c>
      <c r="E92" s="3">
        <v>40</v>
      </c>
      <c r="F92" s="5">
        <f t="shared" si="1"/>
        <v>200</v>
      </c>
    </row>
    <row r="93" spans="1:6" x14ac:dyDescent="0.25">
      <c r="A93" s="4">
        <v>42169</v>
      </c>
      <c r="B93" s="3" t="s">
        <v>37</v>
      </c>
      <c r="C93" s="3" t="s">
        <v>5</v>
      </c>
      <c r="D93" s="3" t="s">
        <v>28</v>
      </c>
      <c r="E93" s="3">
        <v>44</v>
      </c>
      <c r="F93" s="5">
        <f t="shared" si="1"/>
        <v>88</v>
      </c>
    </row>
    <row r="94" spans="1:6" x14ac:dyDescent="0.25">
      <c r="A94" s="4">
        <v>42133</v>
      </c>
      <c r="B94" s="3" t="s">
        <v>39</v>
      </c>
      <c r="C94" s="3" t="s">
        <v>2</v>
      </c>
      <c r="D94" s="3" t="s">
        <v>34</v>
      </c>
      <c r="E94" s="3">
        <v>50</v>
      </c>
      <c r="F94" s="5">
        <f t="shared" si="1"/>
        <v>10</v>
      </c>
    </row>
    <row r="95" spans="1:6" x14ac:dyDescent="0.25">
      <c r="A95" s="4">
        <v>42132</v>
      </c>
      <c r="B95" s="3" t="s">
        <v>37</v>
      </c>
      <c r="C95" s="3" t="s">
        <v>2</v>
      </c>
      <c r="D95" s="3" t="s">
        <v>35</v>
      </c>
      <c r="E95" s="3">
        <v>22</v>
      </c>
      <c r="F95" s="5">
        <f t="shared" si="1"/>
        <v>88</v>
      </c>
    </row>
    <row r="96" spans="1:6" x14ac:dyDescent="0.25">
      <c r="A96" s="4">
        <v>42091</v>
      </c>
      <c r="B96" s="3" t="s">
        <v>37</v>
      </c>
      <c r="C96" s="3" t="s">
        <v>10</v>
      </c>
      <c r="D96" s="3" t="s">
        <v>27</v>
      </c>
      <c r="E96" s="3">
        <v>35</v>
      </c>
      <c r="F96" s="5">
        <f t="shared" si="1"/>
        <v>17.5</v>
      </c>
    </row>
    <row r="97" spans="1:6" x14ac:dyDescent="0.25">
      <c r="A97" s="4">
        <v>42180</v>
      </c>
      <c r="B97" s="3" t="s">
        <v>26</v>
      </c>
      <c r="C97" s="3" t="s">
        <v>10</v>
      </c>
      <c r="D97" s="3" t="s">
        <v>35</v>
      </c>
      <c r="E97" s="3">
        <v>22</v>
      </c>
      <c r="F97" s="5">
        <f t="shared" si="1"/>
        <v>88</v>
      </c>
    </row>
    <row r="98" spans="1:6" x14ac:dyDescent="0.25">
      <c r="A98" s="4">
        <v>42172</v>
      </c>
      <c r="B98" s="3" t="s">
        <v>26</v>
      </c>
      <c r="C98" s="3" t="s">
        <v>5</v>
      </c>
      <c r="D98" s="3" t="s">
        <v>30</v>
      </c>
      <c r="E98" s="3">
        <v>6</v>
      </c>
      <c r="F98" s="5">
        <f t="shared" si="1"/>
        <v>0.60000000000000009</v>
      </c>
    </row>
    <row r="99" spans="1:6" x14ac:dyDescent="0.25">
      <c r="A99" s="4">
        <v>42046</v>
      </c>
      <c r="B99" s="3" t="s">
        <v>37</v>
      </c>
      <c r="C99" s="3" t="s">
        <v>6</v>
      </c>
      <c r="D99" s="3" t="s">
        <v>35</v>
      </c>
      <c r="E99" s="3">
        <v>49</v>
      </c>
      <c r="F99" s="5">
        <f t="shared" si="1"/>
        <v>196</v>
      </c>
    </row>
    <row r="100" spans="1:6" x14ac:dyDescent="0.25">
      <c r="A100" s="4">
        <v>42039</v>
      </c>
      <c r="B100" s="3" t="s">
        <v>37</v>
      </c>
      <c r="C100" s="3" t="s">
        <v>19</v>
      </c>
      <c r="D100" s="3" t="s">
        <v>35</v>
      </c>
      <c r="E100" s="3">
        <v>24</v>
      </c>
      <c r="F100" s="5">
        <f t="shared" si="1"/>
        <v>96</v>
      </c>
    </row>
    <row r="101" spans="1:6" x14ac:dyDescent="0.25">
      <c r="A101" s="4">
        <v>42114</v>
      </c>
      <c r="B101" s="3" t="s">
        <v>26</v>
      </c>
      <c r="C101" s="3" t="s">
        <v>10</v>
      </c>
      <c r="D101" s="3" t="s">
        <v>31</v>
      </c>
      <c r="E101" s="3">
        <v>2</v>
      </c>
      <c r="F101" s="5">
        <f t="shared" si="1"/>
        <v>5</v>
      </c>
    </row>
    <row r="102" spans="1:6" x14ac:dyDescent="0.25">
      <c r="A102" s="4">
        <v>42165</v>
      </c>
      <c r="B102" s="3" t="s">
        <v>37</v>
      </c>
      <c r="C102" s="3" t="s">
        <v>2</v>
      </c>
      <c r="D102" s="3" t="s">
        <v>34</v>
      </c>
      <c r="E102" s="3">
        <v>20</v>
      </c>
      <c r="F102" s="5">
        <f t="shared" si="1"/>
        <v>4</v>
      </c>
    </row>
    <row r="103" spans="1:6" x14ac:dyDescent="0.25">
      <c r="A103" s="4">
        <v>42136</v>
      </c>
      <c r="B103" s="3" t="s">
        <v>38</v>
      </c>
      <c r="C103" s="3" t="s">
        <v>10</v>
      </c>
      <c r="D103" s="3" t="s">
        <v>36</v>
      </c>
      <c r="E103" s="3">
        <v>26</v>
      </c>
      <c r="F103" s="5">
        <f t="shared" si="1"/>
        <v>39</v>
      </c>
    </row>
    <row r="104" spans="1:6" x14ac:dyDescent="0.25">
      <c r="A104" s="4">
        <v>42121</v>
      </c>
      <c r="B104" s="3" t="s">
        <v>39</v>
      </c>
      <c r="C104" s="3" t="s">
        <v>19</v>
      </c>
      <c r="D104" s="3" t="s">
        <v>36</v>
      </c>
      <c r="E104" s="3">
        <v>24</v>
      </c>
      <c r="F104" s="5">
        <f t="shared" si="1"/>
        <v>36</v>
      </c>
    </row>
    <row r="105" spans="1:6" x14ac:dyDescent="0.25">
      <c r="A105" s="4">
        <v>42184</v>
      </c>
      <c r="B105" s="3" t="s">
        <v>38</v>
      </c>
      <c r="C105" s="3" t="s">
        <v>2</v>
      </c>
      <c r="D105" s="3" t="s">
        <v>28</v>
      </c>
      <c r="E105" s="3">
        <v>41</v>
      </c>
      <c r="F105" s="5">
        <f t="shared" si="1"/>
        <v>82</v>
      </c>
    </row>
    <row r="106" spans="1:6" x14ac:dyDescent="0.25">
      <c r="A106" s="4">
        <v>42026</v>
      </c>
      <c r="B106" s="3" t="s">
        <v>26</v>
      </c>
      <c r="C106" s="3" t="s">
        <v>2</v>
      </c>
      <c r="D106" s="3" t="s">
        <v>31</v>
      </c>
      <c r="E106" s="3">
        <v>27</v>
      </c>
      <c r="F106" s="5">
        <f t="shared" si="1"/>
        <v>67.5</v>
      </c>
    </row>
    <row r="107" spans="1:6" x14ac:dyDescent="0.25">
      <c r="A107" s="4">
        <v>42039</v>
      </c>
      <c r="B107" s="3" t="s">
        <v>29</v>
      </c>
      <c r="C107" s="3" t="s">
        <v>6</v>
      </c>
      <c r="D107" s="3" t="s">
        <v>31</v>
      </c>
      <c r="E107" s="3">
        <v>29</v>
      </c>
      <c r="F107" s="5">
        <f t="shared" si="1"/>
        <v>72.5</v>
      </c>
    </row>
    <row r="108" spans="1:6" x14ac:dyDescent="0.25">
      <c r="A108" s="4">
        <v>42174</v>
      </c>
      <c r="B108" s="3" t="s">
        <v>29</v>
      </c>
      <c r="C108" s="3" t="s">
        <v>5</v>
      </c>
      <c r="D108" s="3" t="s">
        <v>28</v>
      </c>
      <c r="E108" s="3">
        <v>40</v>
      </c>
      <c r="F108" s="5">
        <f t="shared" si="1"/>
        <v>80</v>
      </c>
    </row>
    <row r="109" spans="1:6" x14ac:dyDescent="0.25">
      <c r="A109" s="4">
        <v>42130</v>
      </c>
      <c r="B109" s="3" t="s">
        <v>37</v>
      </c>
      <c r="C109" s="3" t="s">
        <v>19</v>
      </c>
      <c r="D109" s="3" t="s">
        <v>34</v>
      </c>
      <c r="E109" s="3">
        <v>32</v>
      </c>
      <c r="F109" s="5">
        <f t="shared" si="1"/>
        <v>6.4</v>
      </c>
    </row>
    <row r="110" spans="1:6" x14ac:dyDescent="0.25">
      <c r="A110" s="4">
        <v>42013</v>
      </c>
      <c r="B110" s="3" t="s">
        <v>38</v>
      </c>
      <c r="C110" s="3" t="s">
        <v>2</v>
      </c>
      <c r="D110" s="3" t="s">
        <v>28</v>
      </c>
      <c r="E110" s="3">
        <v>29</v>
      </c>
      <c r="F110" s="5">
        <f t="shared" si="1"/>
        <v>58</v>
      </c>
    </row>
    <row r="111" spans="1:6" x14ac:dyDescent="0.25">
      <c r="A111" s="4">
        <v>42068</v>
      </c>
      <c r="B111" s="3" t="s">
        <v>32</v>
      </c>
      <c r="C111" s="3" t="s">
        <v>6</v>
      </c>
      <c r="D111" s="3" t="s">
        <v>31</v>
      </c>
      <c r="E111" s="3">
        <v>19</v>
      </c>
      <c r="F111" s="5">
        <f t="shared" si="1"/>
        <v>47.5</v>
      </c>
    </row>
    <row r="112" spans="1:6" x14ac:dyDescent="0.25">
      <c r="A112" s="4">
        <v>42093</v>
      </c>
      <c r="B112" s="3" t="s">
        <v>29</v>
      </c>
      <c r="C112" s="3" t="s">
        <v>5</v>
      </c>
      <c r="D112" s="3" t="s">
        <v>28</v>
      </c>
      <c r="E112" s="3">
        <v>15</v>
      </c>
      <c r="F112" s="5">
        <f t="shared" si="1"/>
        <v>30</v>
      </c>
    </row>
    <row r="113" spans="1:6" x14ac:dyDescent="0.25">
      <c r="A113" s="4">
        <v>42178</v>
      </c>
      <c r="B113" s="3" t="s">
        <v>37</v>
      </c>
      <c r="C113" s="3" t="s">
        <v>6</v>
      </c>
      <c r="D113" s="3" t="s">
        <v>30</v>
      </c>
      <c r="E113" s="3">
        <v>24</v>
      </c>
      <c r="F113" s="5">
        <f t="shared" si="1"/>
        <v>2.4000000000000004</v>
      </c>
    </row>
    <row r="114" spans="1:6" x14ac:dyDescent="0.25">
      <c r="A114" s="4">
        <v>42097</v>
      </c>
      <c r="B114" s="3" t="s">
        <v>38</v>
      </c>
      <c r="C114" s="3" t="s">
        <v>5</v>
      </c>
      <c r="D114" s="3" t="s">
        <v>28</v>
      </c>
      <c r="E114" s="3">
        <v>21</v>
      </c>
      <c r="F114" s="5">
        <f t="shared" si="1"/>
        <v>42</v>
      </c>
    </row>
    <row r="115" spans="1:6" x14ac:dyDescent="0.25">
      <c r="A115" s="4">
        <v>42140</v>
      </c>
      <c r="B115" s="3" t="s">
        <v>32</v>
      </c>
      <c r="C115" s="3" t="s">
        <v>10</v>
      </c>
      <c r="D115" s="3" t="s">
        <v>28</v>
      </c>
      <c r="E115" s="3">
        <v>16</v>
      </c>
      <c r="F115" s="5">
        <f t="shared" si="1"/>
        <v>32</v>
      </c>
    </row>
    <row r="116" spans="1:6" x14ac:dyDescent="0.25">
      <c r="A116" s="4">
        <v>42010</v>
      </c>
      <c r="B116" s="3" t="s">
        <v>38</v>
      </c>
      <c r="C116" s="3" t="s">
        <v>19</v>
      </c>
      <c r="D116" s="3" t="s">
        <v>31</v>
      </c>
      <c r="E116" s="3">
        <v>44</v>
      </c>
      <c r="F116" s="5">
        <f t="shared" si="1"/>
        <v>110</v>
      </c>
    </row>
    <row r="117" spans="1:6" x14ac:dyDescent="0.25">
      <c r="A117" s="4">
        <v>42019</v>
      </c>
      <c r="B117" s="3" t="s">
        <v>29</v>
      </c>
      <c r="C117" s="3" t="s">
        <v>5</v>
      </c>
      <c r="D117" s="3" t="s">
        <v>28</v>
      </c>
      <c r="E117" s="3">
        <v>4</v>
      </c>
      <c r="F117" s="5">
        <f t="shared" si="1"/>
        <v>8</v>
      </c>
    </row>
    <row r="118" spans="1:6" x14ac:dyDescent="0.25">
      <c r="A118" s="4">
        <v>42095</v>
      </c>
      <c r="B118" s="3" t="s">
        <v>39</v>
      </c>
      <c r="C118" s="3" t="s">
        <v>19</v>
      </c>
      <c r="D118" s="3" t="s">
        <v>28</v>
      </c>
      <c r="E118" s="3">
        <v>5</v>
      </c>
      <c r="F118" s="5">
        <f t="shared" si="1"/>
        <v>10</v>
      </c>
    </row>
    <row r="119" spans="1:6" x14ac:dyDescent="0.25">
      <c r="A119" s="4">
        <v>42089</v>
      </c>
      <c r="B119" s="3" t="s">
        <v>39</v>
      </c>
      <c r="C119" s="3" t="s">
        <v>19</v>
      </c>
      <c r="D119" s="3" t="s">
        <v>33</v>
      </c>
      <c r="E119" s="3">
        <v>1</v>
      </c>
      <c r="F119" s="5">
        <f t="shared" si="1"/>
        <v>5</v>
      </c>
    </row>
    <row r="120" spans="1:6" x14ac:dyDescent="0.25">
      <c r="A120" s="4">
        <v>42175</v>
      </c>
      <c r="B120" s="3" t="s">
        <v>37</v>
      </c>
      <c r="C120" s="3" t="s">
        <v>19</v>
      </c>
      <c r="D120" s="3" t="s">
        <v>30</v>
      </c>
      <c r="E120" s="3">
        <v>43</v>
      </c>
      <c r="F120" s="5">
        <f t="shared" si="1"/>
        <v>4.3</v>
      </c>
    </row>
    <row r="121" spans="1:6" x14ac:dyDescent="0.25">
      <c r="A121" s="4">
        <v>42138</v>
      </c>
      <c r="B121" s="3" t="s">
        <v>26</v>
      </c>
      <c r="C121" s="3" t="s">
        <v>5</v>
      </c>
      <c r="D121" s="3" t="s">
        <v>33</v>
      </c>
      <c r="E121" s="3">
        <v>34</v>
      </c>
      <c r="F121" s="5">
        <f t="shared" si="1"/>
        <v>170</v>
      </c>
    </row>
    <row r="122" spans="1:6" x14ac:dyDescent="0.25">
      <c r="A122" s="4">
        <v>42143</v>
      </c>
      <c r="B122" s="3" t="s">
        <v>29</v>
      </c>
      <c r="C122" s="3" t="s">
        <v>2</v>
      </c>
      <c r="D122" s="3" t="s">
        <v>31</v>
      </c>
      <c r="E122" s="3">
        <v>20</v>
      </c>
      <c r="F122" s="5">
        <f t="shared" si="1"/>
        <v>50</v>
      </c>
    </row>
    <row r="123" spans="1:6" x14ac:dyDescent="0.25">
      <c r="A123" s="4">
        <v>42011</v>
      </c>
      <c r="B123" s="3" t="s">
        <v>38</v>
      </c>
      <c r="C123" s="3" t="s">
        <v>5</v>
      </c>
      <c r="D123" s="3" t="s">
        <v>36</v>
      </c>
      <c r="E123" s="3">
        <v>17</v>
      </c>
      <c r="F123" s="5">
        <f t="shared" si="1"/>
        <v>25.5</v>
      </c>
    </row>
    <row r="124" spans="1:6" x14ac:dyDescent="0.25">
      <c r="A124" s="4">
        <v>42138</v>
      </c>
      <c r="B124" s="3" t="s">
        <v>39</v>
      </c>
      <c r="C124" s="3" t="s">
        <v>6</v>
      </c>
      <c r="D124" s="3" t="s">
        <v>36</v>
      </c>
      <c r="E124" s="3">
        <v>23</v>
      </c>
      <c r="F124" s="5">
        <f t="shared" si="1"/>
        <v>34.5</v>
      </c>
    </row>
    <row r="125" spans="1:6" x14ac:dyDescent="0.25">
      <c r="A125" s="4">
        <v>42166</v>
      </c>
      <c r="B125" s="3" t="s">
        <v>37</v>
      </c>
      <c r="C125" s="3" t="s">
        <v>19</v>
      </c>
      <c r="D125" s="3" t="s">
        <v>30</v>
      </c>
      <c r="E125" s="3">
        <v>22</v>
      </c>
      <c r="F125" s="5">
        <f t="shared" si="1"/>
        <v>2.2000000000000002</v>
      </c>
    </row>
    <row r="126" spans="1:6" x14ac:dyDescent="0.25">
      <c r="A126" s="4">
        <v>42043</v>
      </c>
      <c r="B126" s="3" t="s">
        <v>39</v>
      </c>
      <c r="C126" s="3" t="s">
        <v>6</v>
      </c>
      <c r="D126" s="3" t="s">
        <v>33</v>
      </c>
      <c r="E126" s="3">
        <v>40</v>
      </c>
      <c r="F126" s="5">
        <f t="shared" si="1"/>
        <v>200</v>
      </c>
    </row>
    <row r="127" spans="1:6" x14ac:dyDescent="0.25">
      <c r="A127" s="4">
        <v>42184</v>
      </c>
      <c r="B127" s="3" t="s">
        <v>29</v>
      </c>
      <c r="C127" s="3" t="s">
        <v>6</v>
      </c>
      <c r="D127" s="3" t="s">
        <v>35</v>
      </c>
      <c r="E127" s="3">
        <v>50</v>
      </c>
      <c r="F127" s="5">
        <f t="shared" si="1"/>
        <v>200</v>
      </c>
    </row>
    <row r="128" spans="1:6" x14ac:dyDescent="0.25">
      <c r="A128" s="4">
        <v>42176</v>
      </c>
      <c r="B128" s="3" t="s">
        <v>39</v>
      </c>
      <c r="C128" s="3" t="s">
        <v>5</v>
      </c>
      <c r="D128" s="3" t="s">
        <v>30</v>
      </c>
      <c r="E128" s="3">
        <v>29</v>
      </c>
      <c r="F128" s="5">
        <f t="shared" si="1"/>
        <v>2.9000000000000004</v>
      </c>
    </row>
    <row r="129" spans="1:6" x14ac:dyDescent="0.25">
      <c r="A129" s="4">
        <v>42062</v>
      </c>
      <c r="B129" s="3" t="s">
        <v>38</v>
      </c>
      <c r="C129" s="3" t="s">
        <v>10</v>
      </c>
      <c r="D129" s="3" t="s">
        <v>34</v>
      </c>
      <c r="E129" s="3">
        <v>17</v>
      </c>
      <c r="F129" s="5">
        <f t="shared" si="1"/>
        <v>3.4000000000000004</v>
      </c>
    </row>
    <row r="130" spans="1:6" x14ac:dyDescent="0.25">
      <c r="A130" s="4">
        <v>42162</v>
      </c>
      <c r="B130" s="3" t="s">
        <v>26</v>
      </c>
      <c r="C130" s="3" t="s">
        <v>19</v>
      </c>
      <c r="D130" s="3" t="s">
        <v>35</v>
      </c>
      <c r="E130" s="3">
        <v>42</v>
      </c>
      <c r="F130" s="5">
        <f t="shared" si="1"/>
        <v>168</v>
      </c>
    </row>
    <row r="131" spans="1:6" x14ac:dyDescent="0.25">
      <c r="A131" s="4">
        <v>42127</v>
      </c>
      <c r="B131" s="3" t="s">
        <v>26</v>
      </c>
      <c r="C131" s="3" t="s">
        <v>10</v>
      </c>
      <c r="D131" s="3" t="s">
        <v>28</v>
      </c>
      <c r="E131" s="3">
        <v>50</v>
      </c>
      <c r="F131" s="5">
        <f t="shared" si="1"/>
        <v>100</v>
      </c>
    </row>
    <row r="132" spans="1:6" x14ac:dyDescent="0.25">
      <c r="A132" s="4">
        <v>42100</v>
      </c>
      <c r="B132" s="3" t="s">
        <v>39</v>
      </c>
      <c r="C132" s="3" t="s">
        <v>19</v>
      </c>
      <c r="D132" s="3" t="s">
        <v>35</v>
      </c>
      <c r="E132" s="3">
        <v>20</v>
      </c>
      <c r="F132" s="5">
        <f t="shared" si="1"/>
        <v>80</v>
      </c>
    </row>
    <row r="133" spans="1:6" x14ac:dyDescent="0.25">
      <c r="A133" s="4">
        <v>42164</v>
      </c>
      <c r="B133" s="3" t="s">
        <v>32</v>
      </c>
      <c r="C133" s="3" t="s">
        <v>2</v>
      </c>
      <c r="D133" s="3" t="s">
        <v>30</v>
      </c>
      <c r="E133" s="3">
        <v>7</v>
      </c>
      <c r="F133" s="5">
        <f t="shared" si="1"/>
        <v>0.70000000000000007</v>
      </c>
    </row>
    <row r="134" spans="1:6" x14ac:dyDescent="0.25">
      <c r="A134" s="4">
        <v>42074</v>
      </c>
      <c r="B134" s="3" t="s">
        <v>26</v>
      </c>
      <c r="C134" s="3" t="s">
        <v>6</v>
      </c>
      <c r="D134" s="3" t="s">
        <v>34</v>
      </c>
      <c r="E134" s="3">
        <v>23</v>
      </c>
      <c r="F134" s="5">
        <f t="shared" si="1"/>
        <v>4.6000000000000005</v>
      </c>
    </row>
    <row r="135" spans="1:6" x14ac:dyDescent="0.25">
      <c r="A135" s="4">
        <v>42168</v>
      </c>
      <c r="B135" s="3" t="s">
        <v>29</v>
      </c>
      <c r="C135" s="3" t="s">
        <v>10</v>
      </c>
      <c r="D135" s="3" t="s">
        <v>30</v>
      </c>
      <c r="E135" s="3">
        <v>41</v>
      </c>
      <c r="F135" s="5">
        <f t="shared" ref="F135:F198" si="2">E135*VLOOKUP(D135,$W$6:$X$13,2,0)</f>
        <v>4.1000000000000005</v>
      </c>
    </row>
    <row r="136" spans="1:6" x14ac:dyDescent="0.25">
      <c r="A136" s="4">
        <v>42067</v>
      </c>
      <c r="B136" s="3" t="s">
        <v>32</v>
      </c>
      <c r="C136" s="3" t="s">
        <v>10</v>
      </c>
      <c r="D136" s="3" t="s">
        <v>33</v>
      </c>
      <c r="E136" s="3">
        <v>10</v>
      </c>
      <c r="F136" s="5">
        <f t="shared" si="2"/>
        <v>50</v>
      </c>
    </row>
    <row r="137" spans="1:6" x14ac:dyDescent="0.25">
      <c r="A137" s="4">
        <v>42133</v>
      </c>
      <c r="B137" s="3" t="s">
        <v>32</v>
      </c>
      <c r="C137" s="3" t="s">
        <v>6</v>
      </c>
      <c r="D137" s="3" t="s">
        <v>27</v>
      </c>
      <c r="E137" s="3">
        <v>50</v>
      </c>
      <c r="F137" s="5">
        <f t="shared" si="2"/>
        <v>25</v>
      </c>
    </row>
    <row r="138" spans="1:6" x14ac:dyDescent="0.25">
      <c r="A138" s="4">
        <v>42161</v>
      </c>
      <c r="B138" s="3" t="s">
        <v>38</v>
      </c>
      <c r="C138" s="3" t="s">
        <v>19</v>
      </c>
      <c r="D138" s="3" t="s">
        <v>34</v>
      </c>
      <c r="E138" s="3">
        <v>6</v>
      </c>
      <c r="F138" s="5">
        <f t="shared" si="2"/>
        <v>1.2000000000000002</v>
      </c>
    </row>
    <row r="139" spans="1:6" x14ac:dyDescent="0.25">
      <c r="A139" s="4">
        <v>42032</v>
      </c>
      <c r="B139" s="3" t="s">
        <v>37</v>
      </c>
      <c r="C139" s="3" t="s">
        <v>2</v>
      </c>
      <c r="D139" s="3" t="s">
        <v>31</v>
      </c>
      <c r="E139" s="3">
        <v>37</v>
      </c>
      <c r="F139" s="5">
        <f t="shared" si="2"/>
        <v>92.5</v>
      </c>
    </row>
    <row r="140" spans="1:6" x14ac:dyDescent="0.25">
      <c r="A140" s="4">
        <v>42117</v>
      </c>
      <c r="B140" s="3" t="s">
        <v>26</v>
      </c>
      <c r="C140" s="3" t="s">
        <v>2</v>
      </c>
      <c r="D140" s="3" t="s">
        <v>30</v>
      </c>
      <c r="E140" s="3">
        <v>2</v>
      </c>
      <c r="F140" s="5">
        <f t="shared" si="2"/>
        <v>0.2</v>
      </c>
    </row>
    <row r="141" spans="1:6" x14ac:dyDescent="0.25">
      <c r="A141" s="4">
        <v>42125</v>
      </c>
      <c r="B141" s="3" t="s">
        <v>37</v>
      </c>
      <c r="C141" s="3" t="s">
        <v>2</v>
      </c>
      <c r="D141" s="3" t="s">
        <v>36</v>
      </c>
      <c r="E141" s="3">
        <v>36</v>
      </c>
      <c r="F141" s="5">
        <f t="shared" si="2"/>
        <v>54</v>
      </c>
    </row>
    <row r="142" spans="1:6" x14ac:dyDescent="0.25">
      <c r="A142" s="4">
        <v>42153</v>
      </c>
      <c r="B142" s="3" t="s">
        <v>38</v>
      </c>
      <c r="C142" s="3" t="s">
        <v>5</v>
      </c>
      <c r="D142" s="3" t="s">
        <v>30</v>
      </c>
      <c r="E142" s="3">
        <v>28</v>
      </c>
      <c r="F142" s="5">
        <f t="shared" si="2"/>
        <v>2.8000000000000003</v>
      </c>
    </row>
    <row r="143" spans="1:6" x14ac:dyDescent="0.25">
      <c r="A143" s="4">
        <v>42149</v>
      </c>
      <c r="B143" s="3" t="s">
        <v>32</v>
      </c>
      <c r="C143" s="3" t="s">
        <v>10</v>
      </c>
      <c r="D143" s="3" t="s">
        <v>33</v>
      </c>
      <c r="E143" s="3">
        <v>10</v>
      </c>
      <c r="F143" s="5">
        <f t="shared" si="2"/>
        <v>50</v>
      </c>
    </row>
    <row r="144" spans="1:6" x14ac:dyDescent="0.25">
      <c r="A144" s="4">
        <v>42107</v>
      </c>
      <c r="B144" s="3" t="s">
        <v>39</v>
      </c>
      <c r="C144" s="3" t="s">
        <v>5</v>
      </c>
      <c r="D144" s="3" t="s">
        <v>36</v>
      </c>
      <c r="E144" s="3">
        <v>47</v>
      </c>
      <c r="F144" s="5">
        <f t="shared" si="2"/>
        <v>70.5</v>
      </c>
    </row>
    <row r="145" spans="1:6" x14ac:dyDescent="0.25">
      <c r="A145" s="4">
        <v>42178</v>
      </c>
      <c r="B145" s="3" t="s">
        <v>39</v>
      </c>
      <c r="C145" s="3" t="s">
        <v>10</v>
      </c>
      <c r="D145" s="3" t="s">
        <v>28</v>
      </c>
      <c r="E145" s="3">
        <v>44</v>
      </c>
      <c r="F145" s="5">
        <f t="shared" si="2"/>
        <v>88</v>
      </c>
    </row>
    <row r="146" spans="1:6" x14ac:dyDescent="0.25">
      <c r="A146" s="4">
        <v>42033</v>
      </c>
      <c r="B146" s="3" t="s">
        <v>37</v>
      </c>
      <c r="C146" s="3" t="s">
        <v>2</v>
      </c>
      <c r="D146" s="3" t="s">
        <v>35</v>
      </c>
      <c r="E146" s="3">
        <v>12</v>
      </c>
      <c r="F146" s="5">
        <f t="shared" si="2"/>
        <v>48</v>
      </c>
    </row>
    <row r="147" spans="1:6" x14ac:dyDescent="0.25">
      <c r="A147" s="4">
        <v>42132</v>
      </c>
      <c r="B147" s="3" t="s">
        <v>29</v>
      </c>
      <c r="C147" s="3" t="s">
        <v>2</v>
      </c>
      <c r="D147" s="3" t="s">
        <v>27</v>
      </c>
      <c r="E147" s="3">
        <v>14</v>
      </c>
      <c r="F147" s="5">
        <f t="shared" si="2"/>
        <v>7</v>
      </c>
    </row>
    <row r="148" spans="1:6" x14ac:dyDescent="0.25">
      <c r="A148" s="4">
        <v>42006</v>
      </c>
      <c r="B148" s="3" t="s">
        <v>32</v>
      </c>
      <c r="C148" s="3" t="s">
        <v>6</v>
      </c>
      <c r="D148" s="3" t="s">
        <v>34</v>
      </c>
      <c r="E148" s="3">
        <v>44</v>
      </c>
      <c r="F148" s="5">
        <f t="shared" si="2"/>
        <v>8.8000000000000007</v>
      </c>
    </row>
    <row r="149" spans="1:6" x14ac:dyDescent="0.25">
      <c r="A149" s="4">
        <v>42173</v>
      </c>
      <c r="B149" s="3" t="s">
        <v>29</v>
      </c>
      <c r="C149" s="3" t="s">
        <v>10</v>
      </c>
      <c r="D149" s="3" t="s">
        <v>31</v>
      </c>
      <c r="E149" s="3">
        <v>12</v>
      </c>
      <c r="F149" s="5">
        <f t="shared" si="2"/>
        <v>30</v>
      </c>
    </row>
    <row r="150" spans="1:6" x14ac:dyDescent="0.25">
      <c r="A150" s="4">
        <v>42093</v>
      </c>
      <c r="B150" s="3" t="s">
        <v>26</v>
      </c>
      <c r="C150" s="3" t="s">
        <v>19</v>
      </c>
      <c r="D150" s="3" t="s">
        <v>31</v>
      </c>
      <c r="E150" s="3">
        <v>35</v>
      </c>
      <c r="F150" s="5">
        <f t="shared" si="2"/>
        <v>87.5</v>
      </c>
    </row>
    <row r="151" spans="1:6" x14ac:dyDescent="0.25">
      <c r="A151" s="4">
        <v>42093</v>
      </c>
      <c r="B151" s="3" t="s">
        <v>32</v>
      </c>
      <c r="C151" s="3" t="s">
        <v>6</v>
      </c>
      <c r="D151" s="3" t="s">
        <v>36</v>
      </c>
      <c r="E151" s="3">
        <v>19</v>
      </c>
      <c r="F151" s="5">
        <f t="shared" si="2"/>
        <v>28.5</v>
      </c>
    </row>
    <row r="152" spans="1:6" x14ac:dyDescent="0.25">
      <c r="A152" s="4">
        <v>42033</v>
      </c>
      <c r="B152" s="3" t="s">
        <v>38</v>
      </c>
      <c r="C152" s="3" t="s">
        <v>10</v>
      </c>
      <c r="D152" s="3" t="s">
        <v>34</v>
      </c>
      <c r="E152" s="3">
        <v>9</v>
      </c>
      <c r="F152" s="5">
        <f t="shared" si="2"/>
        <v>1.8</v>
      </c>
    </row>
    <row r="153" spans="1:6" x14ac:dyDescent="0.25">
      <c r="A153" s="4">
        <v>42184</v>
      </c>
      <c r="B153" s="3" t="s">
        <v>32</v>
      </c>
      <c r="C153" s="3" t="s">
        <v>5</v>
      </c>
      <c r="D153" s="3" t="s">
        <v>36</v>
      </c>
      <c r="E153" s="3">
        <v>16</v>
      </c>
      <c r="F153" s="5">
        <f t="shared" si="2"/>
        <v>24</v>
      </c>
    </row>
    <row r="154" spans="1:6" x14ac:dyDescent="0.25">
      <c r="A154" s="4">
        <v>42072</v>
      </c>
      <c r="B154" s="3" t="s">
        <v>37</v>
      </c>
      <c r="C154" s="3" t="s">
        <v>2</v>
      </c>
      <c r="D154" s="3" t="s">
        <v>31</v>
      </c>
      <c r="E154" s="3">
        <v>39</v>
      </c>
      <c r="F154" s="5">
        <f t="shared" si="2"/>
        <v>97.5</v>
      </c>
    </row>
    <row r="155" spans="1:6" x14ac:dyDescent="0.25">
      <c r="A155" s="4">
        <v>42131</v>
      </c>
      <c r="B155" s="3" t="s">
        <v>39</v>
      </c>
      <c r="C155" s="3" t="s">
        <v>5</v>
      </c>
      <c r="D155" s="3" t="s">
        <v>34</v>
      </c>
      <c r="E155" s="3">
        <v>25</v>
      </c>
      <c r="F155" s="5">
        <f t="shared" si="2"/>
        <v>5</v>
      </c>
    </row>
    <row r="156" spans="1:6" x14ac:dyDescent="0.25">
      <c r="A156" s="4">
        <v>42018</v>
      </c>
      <c r="B156" s="3" t="s">
        <v>39</v>
      </c>
      <c r="C156" s="3" t="s">
        <v>19</v>
      </c>
      <c r="D156" s="3" t="s">
        <v>28</v>
      </c>
      <c r="E156" s="3">
        <v>13</v>
      </c>
      <c r="F156" s="5">
        <f t="shared" si="2"/>
        <v>26</v>
      </c>
    </row>
    <row r="157" spans="1:6" x14ac:dyDescent="0.25">
      <c r="A157" s="4">
        <v>42128</v>
      </c>
      <c r="B157" s="3" t="s">
        <v>39</v>
      </c>
      <c r="C157" s="3" t="s">
        <v>10</v>
      </c>
      <c r="D157" s="3" t="s">
        <v>27</v>
      </c>
      <c r="E157" s="3">
        <v>40</v>
      </c>
      <c r="F157" s="5">
        <f t="shared" si="2"/>
        <v>20</v>
      </c>
    </row>
    <row r="158" spans="1:6" x14ac:dyDescent="0.25">
      <c r="A158" s="4">
        <v>42029</v>
      </c>
      <c r="B158" s="3" t="s">
        <v>37</v>
      </c>
      <c r="C158" s="3" t="s">
        <v>2</v>
      </c>
      <c r="D158" s="3" t="s">
        <v>36</v>
      </c>
      <c r="E158" s="3">
        <v>20</v>
      </c>
      <c r="F158" s="5">
        <f t="shared" si="2"/>
        <v>30</v>
      </c>
    </row>
    <row r="159" spans="1:6" x14ac:dyDescent="0.25">
      <c r="A159" s="4">
        <v>42133</v>
      </c>
      <c r="B159" s="3" t="s">
        <v>38</v>
      </c>
      <c r="C159" s="3" t="s">
        <v>5</v>
      </c>
      <c r="D159" s="3" t="s">
        <v>34</v>
      </c>
      <c r="E159" s="3">
        <v>24</v>
      </c>
      <c r="F159" s="5">
        <f t="shared" si="2"/>
        <v>4.8000000000000007</v>
      </c>
    </row>
    <row r="160" spans="1:6" x14ac:dyDescent="0.25">
      <c r="A160" s="4">
        <v>42079</v>
      </c>
      <c r="B160" s="3" t="s">
        <v>26</v>
      </c>
      <c r="C160" s="3" t="s">
        <v>2</v>
      </c>
      <c r="D160" s="3" t="s">
        <v>30</v>
      </c>
      <c r="E160" s="3">
        <v>47</v>
      </c>
      <c r="F160" s="5">
        <f t="shared" si="2"/>
        <v>4.7</v>
      </c>
    </row>
    <row r="161" spans="1:6" x14ac:dyDescent="0.25">
      <c r="A161" s="4">
        <v>42112</v>
      </c>
      <c r="B161" s="3" t="s">
        <v>32</v>
      </c>
      <c r="C161" s="3" t="s">
        <v>6</v>
      </c>
      <c r="D161" s="3" t="s">
        <v>34</v>
      </c>
      <c r="E161" s="3">
        <v>4</v>
      </c>
      <c r="F161" s="5">
        <f t="shared" si="2"/>
        <v>0.8</v>
      </c>
    </row>
    <row r="162" spans="1:6" x14ac:dyDescent="0.25">
      <c r="A162" s="4">
        <v>42083</v>
      </c>
      <c r="B162" s="3" t="s">
        <v>38</v>
      </c>
      <c r="C162" s="3" t="s">
        <v>5</v>
      </c>
      <c r="D162" s="3" t="s">
        <v>36</v>
      </c>
      <c r="E162" s="3">
        <v>34</v>
      </c>
      <c r="F162" s="5">
        <f t="shared" si="2"/>
        <v>51</v>
      </c>
    </row>
    <row r="163" spans="1:6" x14ac:dyDescent="0.25">
      <c r="A163" s="4">
        <v>42136</v>
      </c>
      <c r="B163" s="3" t="s">
        <v>29</v>
      </c>
      <c r="C163" s="3" t="s">
        <v>5</v>
      </c>
      <c r="D163" s="3" t="s">
        <v>34</v>
      </c>
      <c r="E163" s="3">
        <v>26</v>
      </c>
      <c r="F163" s="5">
        <f t="shared" si="2"/>
        <v>5.2</v>
      </c>
    </row>
    <row r="164" spans="1:6" x14ac:dyDescent="0.25">
      <c r="A164" s="4">
        <v>42016</v>
      </c>
      <c r="B164" s="3" t="s">
        <v>26</v>
      </c>
      <c r="C164" s="3" t="s">
        <v>5</v>
      </c>
      <c r="D164" s="3" t="s">
        <v>30</v>
      </c>
      <c r="E164" s="3">
        <v>8</v>
      </c>
      <c r="F164" s="5">
        <f t="shared" si="2"/>
        <v>0.8</v>
      </c>
    </row>
    <row r="165" spans="1:6" x14ac:dyDescent="0.25">
      <c r="A165" s="4">
        <v>42097</v>
      </c>
      <c r="B165" s="3" t="s">
        <v>29</v>
      </c>
      <c r="C165" s="3" t="s">
        <v>5</v>
      </c>
      <c r="D165" s="3" t="s">
        <v>36</v>
      </c>
      <c r="E165" s="3">
        <v>33</v>
      </c>
      <c r="F165" s="5">
        <f t="shared" si="2"/>
        <v>49.5</v>
      </c>
    </row>
    <row r="166" spans="1:6" x14ac:dyDescent="0.25">
      <c r="A166" s="4">
        <v>42150</v>
      </c>
      <c r="B166" s="3" t="s">
        <v>26</v>
      </c>
      <c r="C166" s="3" t="s">
        <v>19</v>
      </c>
      <c r="D166" s="3" t="s">
        <v>30</v>
      </c>
      <c r="E166" s="3">
        <v>40</v>
      </c>
      <c r="F166" s="5">
        <f t="shared" si="2"/>
        <v>4</v>
      </c>
    </row>
    <row r="167" spans="1:6" x14ac:dyDescent="0.25">
      <c r="A167" s="4">
        <v>42039</v>
      </c>
      <c r="B167" s="3" t="s">
        <v>26</v>
      </c>
      <c r="C167" s="3" t="s">
        <v>10</v>
      </c>
      <c r="D167" s="3" t="s">
        <v>28</v>
      </c>
      <c r="E167" s="3">
        <v>8</v>
      </c>
      <c r="F167" s="5">
        <f t="shared" si="2"/>
        <v>16</v>
      </c>
    </row>
    <row r="168" spans="1:6" x14ac:dyDescent="0.25">
      <c r="A168" s="4">
        <v>42147</v>
      </c>
      <c r="B168" s="3" t="s">
        <v>32</v>
      </c>
      <c r="C168" s="3" t="s">
        <v>10</v>
      </c>
      <c r="D168" s="3" t="s">
        <v>27</v>
      </c>
      <c r="E168" s="3">
        <v>40</v>
      </c>
      <c r="F168" s="5">
        <f t="shared" si="2"/>
        <v>20</v>
      </c>
    </row>
    <row r="169" spans="1:6" x14ac:dyDescent="0.25">
      <c r="A169" s="4">
        <v>42172</v>
      </c>
      <c r="B169" s="3" t="s">
        <v>39</v>
      </c>
      <c r="C169" s="3" t="s">
        <v>10</v>
      </c>
      <c r="D169" s="3" t="s">
        <v>34</v>
      </c>
      <c r="E169" s="3">
        <v>48</v>
      </c>
      <c r="F169" s="5">
        <f t="shared" si="2"/>
        <v>9.6000000000000014</v>
      </c>
    </row>
    <row r="170" spans="1:6" x14ac:dyDescent="0.25">
      <c r="A170" s="4">
        <v>42170</v>
      </c>
      <c r="B170" s="3" t="s">
        <v>26</v>
      </c>
      <c r="C170" s="3" t="s">
        <v>6</v>
      </c>
      <c r="D170" s="3" t="s">
        <v>30</v>
      </c>
      <c r="E170" s="3">
        <v>7</v>
      </c>
      <c r="F170" s="5">
        <f t="shared" si="2"/>
        <v>0.70000000000000007</v>
      </c>
    </row>
    <row r="171" spans="1:6" x14ac:dyDescent="0.25">
      <c r="A171" s="4">
        <v>42139</v>
      </c>
      <c r="B171" s="3" t="s">
        <v>37</v>
      </c>
      <c r="C171" s="3" t="s">
        <v>10</v>
      </c>
      <c r="D171" s="3" t="s">
        <v>27</v>
      </c>
      <c r="E171" s="3">
        <v>47</v>
      </c>
      <c r="F171" s="5">
        <f t="shared" si="2"/>
        <v>23.5</v>
      </c>
    </row>
    <row r="172" spans="1:6" x14ac:dyDescent="0.25">
      <c r="A172" s="4">
        <v>42167</v>
      </c>
      <c r="B172" s="3" t="s">
        <v>26</v>
      </c>
      <c r="C172" s="3" t="s">
        <v>6</v>
      </c>
      <c r="D172" s="3" t="s">
        <v>28</v>
      </c>
      <c r="E172" s="3">
        <v>46</v>
      </c>
      <c r="F172" s="5">
        <f t="shared" si="2"/>
        <v>92</v>
      </c>
    </row>
    <row r="173" spans="1:6" x14ac:dyDescent="0.25">
      <c r="A173" s="4">
        <v>42078</v>
      </c>
      <c r="B173" s="3" t="s">
        <v>37</v>
      </c>
      <c r="C173" s="3" t="s">
        <v>19</v>
      </c>
      <c r="D173" s="3" t="s">
        <v>28</v>
      </c>
      <c r="E173" s="3">
        <v>31</v>
      </c>
      <c r="F173" s="5">
        <f t="shared" si="2"/>
        <v>62</v>
      </c>
    </row>
    <row r="174" spans="1:6" x14ac:dyDescent="0.25">
      <c r="A174" s="4">
        <v>42127</v>
      </c>
      <c r="B174" s="3" t="s">
        <v>29</v>
      </c>
      <c r="C174" s="3" t="s">
        <v>10</v>
      </c>
      <c r="D174" s="3" t="s">
        <v>27</v>
      </c>
      <c r="E174" s="3">
        <v>41</v>
      </c>
      <c r="F174" s="5">
        <f t="shared" si="2"/>
        <v>20.5</v>
      </c>
    </row>
    <row r="175" spans="1:6" x14ac:dyDescent="0.25">
      <c r="A175" s="4">
        <v>42040</v>
      </c>
      <c r="B175" s="3" t="s">
        <v>26</v>
      </c>
      <c r="C175" s="3" t="s">
        <v>5</v>
      </c>
      <c r="D175" s="3" t="s">
        <v>27</v>
      </c>
      <c r="E175" s="3">
        <v>43</v>
      </c>
      <c r="F175" s="5">
        <f t="shared" si="2"/>
        <v>21.5</v>
      </c>
    </row>
    <row r="176" spans="1:6" x14ac:dyDescent="0.25">
      <c r="A176" s="4">
        <v>42157</v>
      </c>
      <c r="B176" s="3" t="s">
        <v>39</v>
      </c>
      <c r="C176" s="3" t="s">
        <v>6</v>
      </c>
      <c r="D176" s="3" t="s">
        <v>35</v>
      </c>
      <c r="E176" s="3">
        <v>3</v>
      </c>
      <c r="F176" s="5">
        <f t="shared" si="2"/>
        <v>12</v>
      </c>
    </row>
    <row r="177" spans="1:6" x14ac:dyDescent="0.25">
      <c r="A177" s="4">
        <v>42112</v>
      </c>
      <c r="B177" s="3" t="s">
        <v>37</v>
      </c>
      <c r="C177" s="3" t="s">
        <v>6</v>
      </c>
      <c r="D177" s="3" t="s">
        <v>33</v>
      </c>
      <c r="E177" s="3">
        <v>18</v>
      </c>
      <c r="F177" s="5">
        <f t="shared" si="2"/>
        <v>90</v>
      </c>
    </row>
    <row r="178" spans="1:6" x14ac:dyDescent="0.25">
      <c r="A178" s="4">
        <v>42014</v>
      </c>
      <c r="B178" s="3" t="s">
        <v>37</v>
      </c>
      <c r="C178" s="3" t="s">
        <v>5</v>
      </c>
      <c r="D178" s="3" t="s">
        <v>34</v>
      </c>
      <c r="E178" s="3">
        <v>12</v>
      </c>
      <c r="F178" s="5">
        <f t="shared" si="2"/>
        <v>2.4000000000000004</v>
      </c>
    </row>
    <row r="179" spans="1:6" x14ac:dyDescent="0.25">
      <c r="A179" s="4">
        <v>42159</v>
      </c>
      <c r="B179" s="3" t="s">
        <v>32</v>
      </c>
      <c r="C179" s="3" t="s">
        <v>2</v>
      </c>
      <c r="D179" s="3" t="s">
        <v>28</v>
      </c>
      <c r="E179" s="3">
        <v>24</v>
      </c>
      <c r="F179" s="5">
        <f t="shared" si="2"/>
        <v>48</v>
      </c>
    </row>
    <row r="180" spans="1:6" x14ac:dyDescent="0.25">
      <c r="A180" s="4">
        <v>42018</v>
      </c>
      <c r="B180" s="3" t="s">
        <v>38</v>
      </c>
      <c r="C180" s="3" t="s">
        <v>2</v>
      </c>
      <c r="D180" s="3" t="s">
        <v>30</v>
      </c>
      <c r="E180" s="3">
        <v>31</v>
      </c>
      <c r="F180" s="5">
        <f t="shared" si="2"/>
        <v>3.1</v>
      </c>
    </row>
    <row r="181" spans="1:6" x14ac:dyDescent="0.25">
      <c r="A181" s="4">
        <v>42122</v>
      </c>
      <c r="B181" s="3" t="s">
        <v>26</v>
      </c>
      <c r="C181" s="3" t="s">
        <v>10</v>
      </c>
      <c r="D181" s="3" t="s">
        <v>36</v>
      </c>
      <c r="E181" s="3">
        <v>32</v>
      </c>
      <c r="F181" s="5">
        <f t="shared" si="2"/>
        <v>48</v>
      </c>
    </row>
    <row r="182" spans="1:6" x14ac:dyDescent="0.25">
      <c r="A182" s="4">
        <v>42158</v>
      </c>
      <c r="B182" s="3" t="s">
        <v>32</v>
      </c>
      <c r="C182" s="3" t="s">
        <v>10</v>
      </c>
      <c r="D182" s="3" t="s">
        <v>35</v>
      </c>
      <c r="E182" s="3">
        <v>17</v>
      </c>
      <c r="F182" s="5">
        <f t="shared" si="2"/>
        <v>68</v>
      </c>
    </row>
    <row r="183" spans="1:6" x14ac:dyDescent="0.25">
      <c r="A183" s="4">
        <v>42007</v>
      </c>
      <c r="B183" s="3" t="s">
        <v>39</v>
      </c>
      <c r="C183" s="3" t="s">
        <v>6</v>
      </c>
      <c r="D183" s="3" t="s">
        <v>34</v>
      </c>
      <c r="E183" s="3">
        <v>5</v>
      </c>
      <c r="F183" s="5">
        <f t="shared" si="2"/>
        <v>1</v>
      </c>
    </row>
    <row r="184" spans="1:6" x14ac:dyDescent="0.25">
      <c r="A184" s="4">
        <v>42152</v>
      </c>
      <c r="B184" s="3" t="s">
        <v>37</v>
      </c>
      <c r="C184" s="3" t="s">
        <v>5</v>
      </c>
      <c r="D184" s="3" t="s">
        <v>36</v>
      </c>
      <c r="E184" s="3">
        <v>6</v>
      </c>
      <c r="F184" s="5">
        <f t="shared" si="2"/>
        <v>9</v>
      </c>
    </row>
    <row r="185" spans="1:6" x14ac:dyDescent="0.25">
      <c r="A185" s="4">
        <v>42124</v>
      </c>
      <c r="B185" s="3" t="s">
        <v>26</v>
      </c>
      <c r="C185" s="3" t="s">
        <v>19</v>
      </c>
      <c r="D185" s="3" t="s">
        <v>36</v>
      </c>
      <c r="E185" s="3">
        <v>28</v>
      </c>
      <c r="F185" s="5">
        <f t="shared" si="2"/>
        <v>42</v>
      </c>
    </row>
    <row r="186" spans="1:6" x14ac:dyDescent="0.25">
      <c r="A186" s="4">
        <v>42084</v>
      </c>
      <c r="B186" s="3" t="s">
        <v>26</v>
      </c>
      <c r="C186" s="3" t="s">
        <v>6</v>
      </c>
      <c r="D186" s="3" t="s">
        <v>31</v>
      </c>
      <c r="E186" s="3">
        <v>36</v>
      </c>
      <c r="F186" s="5">
        <f t="shared" si="2"/>
        <v>90</v>
      </c>
    </row>
    <row r="187" spans="1:6" x14ac:dyDescent="0.25">
      <c r="A187" s="4">
        <v>42116</v>
      </c>
      <c r="B187" s="3" t="s">
        <v>32</v>
      </c>
      <c r="C187" s="3" t="s">
        <v>10</v>
      </c>
      <c r="D187" s="3" t="s">
        <v>30</v>
      </c>
      <c r="E187" s="3">
        <v>30</v>
      </c>
      <c r="F187" s="5">
        <f t="shared" si="2"/>
        <v>3</v>
      </c>
    </row>
    <row r="188" spans="1:6" x14ac:dyDescent="0.25">
      <c r="A188" s="4">
        <v>42153</v>
      </c>
      <c r="B188" s="3" t="s">
        <v>39</v>
      </c>
      <c r="C188" s="3" t="s">
        <v>6</v>
      </c>
      <c r="D188" s="3" t="s">
        <v>35</v>
      </c>
      <c r="E188" s="3">
        <v>26</v>
      </c>
      <c r="F188" s="5">
        <f t="shared" si="2"/>
        <v>104</v>
      </c>
    </row>
    <row r="189" spans="1:6" x14ac:dyDescent="0.25">
      <c r="A189" s="4">
        <v>42006</v>
      </c>
      <c r="B189" s="3" t="s">
        <v>38</v>
      </c>
      <c r="C189" s="3" t="s">
        <v>10</v>
      </c>
      <c r="D189" s="3" t="s">
        <v>34</v>
      </c>
      <c r="E189" s="3">
        <v>33</v>
      </c>
      <c r="F189" s="5">
        <f t="shared" si="2"/>
        <v>6.6000000000000005</v>
      </c>
    </row>
    <row r="190" spans="1:6" x14ac:dyDescent="0.25">
      <c r="A190" s="4">
        <v>42138</v>
      </c>
      <c r="B190" s="3" t="s">
        <v>26</v>
      </c>
      <c r="C190" s="3" t="s">
        <v>6</v>
      </c>
      <c r="D190" s="3" t="s">
        <v>28</v>
      </c>
      <c r="E190" s="3">
        <v>26</v>
      </c>
      <c r="F190" s="5">
        <f t="shared" si="2"/>
        <v>52</v>
      </c>
    </row>
    <row r="191" spans="1:6" x14ac:dyDescent="0.25">
      <c r="A191" s="4">
        <v>42054</v>
      </c>
      <c r="B191" s="3" t="s">
        <v>38</v>
      </c>
      <c r="C191" s="3" t="s">
        <v>6</v>
      </c>
      <c r="D191" s="3" t="s">
        <v>27</v>
      </c>
      <c r="E191" s="3">
        <v>17</v>
      </c>
      <c r="F191" s="5">
        <f t="shared" si="2"/>
        <v>8.5</v>
      </c>
    </row>
    <row r="192" spans="1:6" x14ac:dyDescent="0.25">
      <c r="A192" s="4">
        <v>42030</v>
      </c>
      <c r="B192" s="3" t="s">
        <v>26</v>
      </c>
      <c r="C192" s="3" t="s">
        <v>19</v>
      </c>
      <c r="D192" s="3" t="s">
        <v>31</v>
      </c>
      <c r="E192" s="3">
        <v>7</v>
      </c>
      <c r="F192" s="5">
        <f t="shared" si="2"/>
        <v>17.5</v>
      </c>
    </row>
    <row r="193" spans="1:6" x14ac:dyDescent="0.25">
      <c r="A193" s="4">
        <v>42119</v>
      </c>
      <c r="B193" s="3" t="s">
        <v>38</v>
      </c>
      <c r="C193" s="3" t="s">
        <v>2</v>
      </c>
      <c r="D193" s="3" t="s">
        <v>34</v>
      </c>
      <c r="E193" s="3">
        <v>35</v>
      </c>
      <c r="F193" s="5">
        <f t="shared" si="2"/>
        <v>7</v>
      </c>
    </row>
    <row r="194" spans="1:6" x14ac:dyDescent="0.25">
      <c r="A194" s="4">
        <v>42109</v>
      </c>
      <c r="B194" s="3" t="s">
        <v>29</v>
      </c>
      <c r="C194" s="3" t="s">
        <v>5</v>
      </c>
      <c r="D194" s="3" t="s">
        <v>34</v>
      </c>
      <c r="E194" s="3">
        <v>12</v>
      </c>
      <c r="F194" s="5">
        <f t="shared" si="2"/>
        <v>2.4000000000000004</v>
      </c>
    </row>
    <row r="195" spans="1:6" x14ac:dyDescent="0.25">
      <c r="A195" s="4">
        <v>42122</v>
      </c>
      <c r="B195" s="3" t="s">
        <v>29</v>
      </c>
      <c r="C195" s="3" t="s">
        <v>2</v>
      </c>
      <c r="D195" s="3" t="s">
        <v>35</v>
      </c>
      <c r="E195" s="3">
        <v>22</v>
      </c>
      <c r="F195" s="5">
        <f t="shared" si="2"/>
        <v>88</v>
      </c>
    </row>
    <row r="196" spans="1:6" x14ac:dyDescent="0.25">
      <c r="A196" s="4">
        <v>42014</v>
      </c>
      <c r="B196" s="3" t="s">
        <v>37</v>
      </c>
      <c r="C196" s="3" t="s">
        <v>10</v>
      </c>
      <c r="D196" s="3" t="s">
        <v>35</v>
      </c>
      <c r="E196" s="3">
        <v>11</v>
      </c>
      <c r="F196" s="5">
        <f t="shared" si="2"/>
        <v>44</v>
      </c>
    </row>
    <row r="197" spans="1:6" x14ac:dyDescent="0.25">
      <c r="A197" s="4">
        <v>42173</v>
      </c>
      <c r="B197" s="3" t="s">
        <v>39</v>
      </c>
      <c r="C197" s="3" t="s">
        <v>6</v>
      </c>
      <c r="D197" s="3" t="s">
        <v>33</v>
      </c>
      <c r="E197" s="3">
        <v>18</v>
      </c>
      <c r="F197" s="5">
        <f t="shared" si="2"/>
        <v>90</v>
      </c>
    </row>
    <row r="198" spans="1:6" x14ac:dyDescent="0.25">
      <c r="A198" s="4">
        <v>42147</v>
      </c>
      <c r="B198" s="3" t="s">
        <v>26</v>
      </c>
      <c r="C198" s="3" t="s">
        <v>6</v>
      </c>
      <c r="D198" s="3" t="s">
        <v>36</v>
      </c>
      <c r="E198" s="3">
        <v>49</v>
      </c>
      <c r="F198" s="5">
        <f t="shared" si="2"/>
        <v>73.5</v>
      </c>
    </row>
    <row r="199" spans="1:6" x14ac:dyDescent="0.25">
      <c r="A199" s="4">
        <v>42138</v>
      </c>
      <c r="B199" s="3" t="s">
        <v>37</v>
      </c>
      <c r="C199" s="3" t="s">
        <v>2</v>
      </c>
      <c r="D199" s="3" t="s">
        <v>33</v>
      </c>
      <c r="E199" s="3">
        <v>8</v>
      </c>
      <c r="F199" s="5">
        <f t="shared" ref="F199:F262" si="3">E199*VLOOKUP(D199,$W$6:$X$13,2,0)</f>
        <v>40</v>
      </c>
    </row>
    <row r="200" spans="1:6" x14ac:dyDescent="0.25">
      <c r="A200" s="4">
        <v>42086</v>
      </c>
      <c r="B200" s="3" t="s">
        <v>38</v>
      </c>
      <c r="C200" s="3" t="s">
        <v>6</v>
      </c>
      <c r="D200" s="3" t="s">
        <v>35</v>
      </c>
      <c r="E200" s="3">
        <v>18</v>
      </c>
      <c r="F200" s="5">
        <f t="shared" si="3"/>
        <v>72</v>
      </c>
    </row>
    <row r="201" spans="1:6" x14ac:dyDescent="0.25">
      <c r="A201" s="4">
        <v>42105</v>
      </c>
      <c r="B201" s="3" t="s">
        <v>39</v>
      </c>
      <c r="C201" s="3" t="s">
        <v>6</v>
      </c>
      <c r="D201" s="3" t="s">
        <v>36</v>
      </c>
      <c r="E201" s="3">
        <v>5</v>
      </c>
      <c r="F201" s="5">
        <f t="shared" si="3"/>
        <v>7.5</v>
      </c>
    </row>
    <row r="202" spans="1:6" x14ac:dyDescent="0.25">
      <c r="A202" s="4">
        <v>42096</v>
      </c>
      <c r="B202" s="3" t="s">
        <v>29</v>
      </c>
      <c r="C202" s="3" t="s">
        <v>5</v>
      </c>
      <c r="D202" s="3" t="s">
        <v>28</v>
      </c>
      <c r="E202" s="3">
        <v>43</v>
      </c>
      <c r="F202" s="5">
        <f t="shared" si="3"/>
        <v>86</v>
      </c>
    </row>
    <row r="203" spans="1:6" x14ac:dyDescent="0.25">
      <c r="A203" s="4">
        <v>42130</v>
      </c>
      <c r="B203" s="3" t="s">
        <v>38</v>
      </c>
      <c r="C203" s="3" t="s">
        <v>10</v>
      </c>
      <c r="D203" s="3" t="s">
        <v>36</v>
      </c>
      <c r="E203" s="3">
        <v>45</v>
      </c>
      <c r="F203" s="5">
        <f t="shared" si="3"/>
        <v>67.5</v>
      </c>
    </row>
    <row r="204" spans="1:6" x14ac:dyDescent="0.25">
      <c r="A204" s="4">
        <v>42094</v>
      </c>
      <c r="B204" s="3" t="s">
        <v>32</v>
      </c>
      <c r="C204" s="3" t="s">
        <v>10</v>
      </c>
      <c r="D204" s="3" t="s">
        <v>33</v>
      </c>
      <c r="E204" s="3">
        <v>41</v>
      </c>
      <c r="F204" s="5">
        <f t="shared" si="3"/>
        <v>205</v>
      </c>
    </row>
    <row r="205" spans="1:6" x14ac:dyDescent="0.25">
      <c r="A205" s="4">
        <v>42025</v>
      </c>
      <c r="B205" s="3" t="s">
        <v>32</v>
      </c>
      <c r="C205" s="3" t="s">
        <v>10</v>
      </c>
      <c r="D205" s="3" t="s">
        <v>35</v>
      </c>
      <c r="E205" s="3">
        <v>42</v>
      </c>
      <c r="F205" s="5">
        <f t="shared" si="3"/>
        <v>168</v>
      </c>
    </row>
    <row r="206" spans="1:6" x14ac:dyDescent="0.25">
      <c r="A206" s="4">
        <v>42122</v>
      </c>
      <c r="B206" s="3" t="s">
        <v>39</v>
      </c>
      <c r="C206" s="3" t="s">
        <v>2</v>
      </c>
      <c r="D206" s="3" t="s">
        <v>36</v>
      </c>
      <c r="E206" s="3">
        <v>3</v>
      </c>
      <c r="F206" s="5">
        <f t="shared" si="3"/>
        <v>4.5</v>
      </c>
    </row>
    <row r="207" spans="1:6" x14ac:dyDescent="0.25">
      <c r="A207" s="4">
        <v>42014</v>
      </c>
      <c r="B207" s="3" t="s">
        <v>37</v>
      </c>
      <c r="C207" s="3" t="s">
        <v>5</v>
      </c>
      <c r="D207" s="3" t="s">
        <v>31</v>
      </c>
      <c r="E207" s="3">
        <v>28</v>
      </c>
      <c r="F207" s="5">
        <f t="shared" si="3"/>
        <v>70</v>
      </c>
    </row>
    <row r="208" spans="1:6" x14ac:dyDescent="0.25">
      <c r="A208" s="4">
        <v>42054</v>
      </c>
      <c r="B208" s="3" t="s">
        <v>37</v>
      </c>
      <c r="C208" s="3" t="s">
        <v>19</v>
      </c>
      <c r="D208" s="3" t="s">
        <v>28</v>
      </c>
      <c r="E208" s="3">
        <v>1</v>
      </c>
      <c r="F208" s="5">
        <f t="shared" si="3"/>
        <v>2</v>
      </c>
    </row>
    <row r="209" spans="1:6" x14ac:dyDescent="0.25">
      <c r="A209" s="4">
        <v>42060</v>
      </c>
      <c r="B209" s="3" t="s">
        <v>38</v>
      </c>
      <c r="C209" s="3" t="s">
        <v>6</v>
      </c>
      <c r="D209" s="3" t="s">
        <v>27</v>
      </c>
      <c r="E209" s="3">
        <v>14</v>
      </c>
      <c r="F209" s="5">
        <f t="shared" si="3"/>
        <v>7</v>
      </c>
    </row>
    <row r="210" spans="1:6" x14ac:dyDescent="0.25">
      <c r="A210" s="4">
        <v>42154</v>
      </c>
      <c r="B210" s="3" t="s">
        <v>38</v>
      </c>
      <c r="C210" s="3" t="s">
        <v>5</v>
      </c>
      <c r="D210" s="3" t="s">
        <v>35</v>
      </c>
      <c r="E210" s="3">
        <v>32</v>
      </c>
      <c r="F210" s="5">
        <f t="shared" si="3"/>
        <v>128</v>
      </c>
    </row>
    <row r="211" spans="1:6" x14ac:dyDescent="0.25">
      <c r="A211" s="4">
        <v>42152</v>
      </c>
      <c r="B211" s="3" t="s">
        <v>37</v>
      </c>
      <c r="C211" s="3" t="s">
        <v>10</v>
      </c>
      <c r="D211" s="3" t="s">
        <v>36</v>
      </c>
      <c r="E211" s="3">
        <v>11</v>
      </c>
      <c r="F211" s="5">
        <f t="shared" si="3"/>
        <v>16.5</v>
      </c>
    </row>
    <row r="212" spans="1:6" x14ac:dyDescent="0.25">
      <c r="A212" s="4">
        <v>42009</v>
      </c>
      <c r="B212" s="3" t="s">
        <v>32</v>
      </c>
      <c r="C212" s="3" t="s">
        <v>2</v>
      </c>
      <c r="D212" s="3" t="s">
        <v>35</v>
      </c>
      <c r="E212" s="3">
        <v>19</v>
      </c>
      <c r="F212" s="5">
        <f t="shared" si="3"/>
        <v>76</v>
      </c>
    </row>
    <row r="213" spans="1:6" x14ac:dyDescent="0.25">
      <c r="A213" s="4">
        <v>42176</v>
      </c>
      <c r="B213" s="3" t="s">
        <v>32</v>
      </c>
      <c r="C213" s="3" t="s">
        <v>10</v>
      </c>
      <c r="D213" s="3" t="s">
        <v>28</v>
      </c>
      <c r="E213" s="3">
        <v>4</v>
      </c>
      <c r="F213" s="5">
        <f t="shared" si="3"/>
        <v>8</v>
      </c>
    </row>
    <row r="214" spans="1:6" x14ac:dyDescent="0.25">
      <c r="A214" s="4">
        <v>42111</v>
      </c>
      <c r="B214" s="3" t="s">
        <v>39</v>
      </c>
      <c r="C214" s="3" t="s">
        <v>6</v>
      </c>
      <c r="D214" s="3" t="s">
        <v>34</v>
      </c>
      <c r="E214" s="3">
        <v>32</v>
      </c>
      <c r="F214" s="5">
        <f t="shared" si="3"/>
        <v>6.4</v>
      </c>
    </row>
    <row r="215" spans="1:6" x14ac:dyDescent="0.25">
      <c r="A215" s="4">
        <v>42093</v>
      </c>
      <c r="B215" s="3" t="s">
        <v>39</v>
      </c>
      <c r="C215" s="3" t="s">
        <v>10</v>
      </c>
      <c r="D215" s="3" t="s">
        <v>28</v>
      </c>
      <c r="E215" s="3">
        <v>29</v>
      </c>
      <c r="F215" s="5">
        <f t="shared" si="3"/>
        <v>58</v>
      </c>
    </row>
    <row r="216" spans="1:6" x14ac:dyDescent="0.25">
      <c r="A216" s="4">
        <v>42005</v>
      </c>
      <c r="B216" s="3" t="s">
        <v>37</v>
      </c>
      <c r="C216" s="3" t="s">
        <v>5</v>
      </c>
      <c r="D216" s="3" t="s">
        <v>35</v>
      </c>
      <c r="E216" s="3">
        <v>40</v>
      </c>
      <c r="F216" s="5">
        <f t="shared" si="3"/>
        <v>160</v>
      </c>
    </row>
    <row r="217" spans="1:6" x14ac:dyDescent="0.25">
      <c r="A217" s="4">
        <v>42008</v>
      </c>
      <c r="B217" s="3" t="s">
        <v>37</v>
      </c>
      <c r="C217" s="3" t="s">
        <v>6</v>
      </c>
      <c r="D217" s="3" t="s">
        <v>33</v>
      </c>
      <c r="E217" s="3">
        <v>38</v>
      </c>
      <c r="F217" s="5">
        <f t="shared" si="3"/>
        <v>190</v>
      </c>
    </row>
    <row r="218" spans="1:6" x14ac:dyDescent="0.25">
      <c r="A218" s="4">
        <v>42151</v>
      </c>
      <c r="B218" s="3" t="s">
        <v>32</v>
      </c>
      <c r="C218" s="3" t="s">
        <v>19</v>
      </c>
      <c r="D218" s="3" t="s">
        <v>33</v>
      </c>
      <c r="E218" s="3">
        <v>13</v>
      </c>
      <c r="F218" s="5">
        <f t="shared" si="3"/>
        <v>65</v>
      </c>
    </row>
    <row r="219" spans="1:6" x14ac:dyDescent="0.25">
      <c r="A219" s="4">
        <v>42026</v>
      </c>
      <c r="B219" s="3" t="s">
        <v>32</v>
      </c>
      <c r="C219" s="3" t="s">
        <v>2</v>
      </c>
      <c r="D219" s="3" t="s">
        <v>34</v>
      </c>
      <c r="E219" s="3">
        <v>19</v>
      </c>
      <c r="F219" s="5">
        <f t="shared" si="3"/>
        <v>3.8000000000000003</v>
      </c>
    </row>
    <row r="220" spans="1:6" x14ac:dyDescent="0.25">
      <c r="A220" s="4">
        <v>42028</v>
      </c>
      <c r="B220" s="3" t="s">
        <v>37</v>
      </c>
      <c r="C220" s="3" t="s">
        <v>5</v>
      </c>
      <c r="D220" s="3" t="s">
        <v>28</v>
      </c>
      <c r="E220" s="3">
        <v>2</v>
      </c>
      <c r="F220" s="5">
        <f t="shared" si="3"/>
        <v>4</v>
      </c>
    </row>
    <row r="221" spans="1:6" x14ac:dyDescent="0.25">
      <c r="A221" s="4">
        <v>42105</v>
      </c>
      <c r="B221" s="3" t="s">
        <v>32</v>
      </c>
      <c r="C221" s="3" t="s">
        <v>10</v>
      </c>
      <c r="D221" s="3" t="s">
        <v>27</v>
      </c>
      <c r="E221" s="3">
        <v>46</v>
      </c>
      <c r="F221" s="5">
        <f t="shared" si="3"/>
        <v>23</v>
      </c>
    </row>
    <row r="222" spans="1:6" x14ac:dyDescent="0.25">
      <c r="A222" s="4">
        <v>42038</v>
      </c>
      <c r="B222" s="3" t="s">
        <v>32</v>
      </c>
      <c r="C222" s="3" t="s">
        <v>5</v>
      </c>
      <c r="D222" s="3" t="s">
        <v>35</v>
      </c>
      <c r="E222" s="3">
        <v>41</v>
      </c>
      <c r="F222" s="5">
        <f t="shared" si="3"/>
        <v>164</v>
      </c>
    </row>
    <row r="223" spans="1:6" x14ac:dyDescent="0.25">
      <c r="A223" s="4">
        <v>42014</v>
      </c>
      <c r="B223" s="3" t="s">
        <v>38</v>
      </c>
      <c r="C223" s="3" t="s">
        <v>10</v>
      </c>
      <c r="D223" s="3" t="s">
        <v>36</v>
      </c>
      <c r="E223" s="3">
        <v>11</v>
      </c>
      <c r="F223" s="5">
        <f t="shared" si="3"/>
        <v>16.5</v>
      </c>
    </row>
    <row r="224" spans="1:6" x14ac:dyDescent="0.25">
      <c r="A224" s="4">
        <v>42005</v>
      </c>
      <c r="B224" s="3" t="s">
        <v>38</v>
      </c>
      <c r="C224" s="3" t="s">
        <v>10</v>
      </c>
      <c r="D224" s="3" t="s">
        <v>34</v>
      </c>
      <c r="E224" s="3">
        <v>21</v>
      </c>
      <c r="F224" s="5">
        <f t="shared" si="3"/>
        <v>4.2</v>
      </c>
    </row>
    <row r="225" spans="1:6" x14ac:dyDescent="0.25">
      <c r="A225" s="4">
        <v>42117</v>
      </c>
      <c r="B225" s="3" t="s">
        <v>32</v>
      </c>
      <c r="C225" s="3" t="s">
        <v>6</v>
      </c>
      <c r="D225" s="3" t="s">
        <v>31</v>
      </c>
      <c r="E225" s="3">
        <v>8</v>
      </c>
      <c r="F225" s="5">
        <f t="shared" si="3"/>
        <v>20</v>
      </c>
    </row>
    <row r="226" spans="1:6" x14ac:dyDescent="0.25">
      <c r="A226" s="4">
        <v>42048</v>
      </c>
      <c r="B226" s="3" t="s">
        <v>26</v>
      </c>
      <c r="C226" s="3" t="s">
        <v>19</v>
      </c>
      <c r="D226" s="3" t="s">
        <v>35</v>
      </c>
      <c r="E226" s="3">
        <v>15</v>
      </c>
      <c r="F226" s="5">
        <f t="shared" si="3"/>
        <v>60</v>
      </c>
    </row>
    <row r="227" spans="1:6" x14ac:dyDescent="0.25">
      <c r="A227" s="4">
        <v>42152</v>
      </c>
      <c r="B227" s="3" t="s">
        <v>37</v>
      </c>
      <c r="C227" s="3" t="s">
        <v>2</v>
      </c>
      <c r="D227" s="3" t="s">
        <v>30</v>
      </c>
      <c r="E227" s="3">
        <v>15</v>
      </c>
      <c r="F227" s="5">
        <f t="shared" si="3"/>
        <v>1.5</v>
      </c>
    </row>
    <row r="228" spans="1:6" x14ac:dyDescent="0.25">
      <c r="A228" s="4">
        <v>42055</v>
      </c>
      <c r="B228" s="3" t="s">
        <v>38</v>
      </c>
      <c r="C228" s="3" t="s">
        <v>19</v>
      </c>
      <c r="D228" s="3" t="s">
        <v>28</v>
      </c>
      <c r="E228" s="3">
        <v>14</v>
      </c>
      <c r="F228" s="5">
        <f t="shared" si="3"/>
        <v>28</v>
      </c>
    </row>
    <row r="229" spans="1:6" x14ac:dyDescent="0.25">
      <c r="A229" s="4">
        <v>42016</v>
      </c>
      <c r="B229" s="3" t="s">
        <v>38</v>
      </c>
      <c r="C229" s="3" t="s">
        <v>6</v>
      </c>
      <c r="D229" s="3" t="s">
        <v>35</v>
      </c>
      <c r="E229" s="3">
        <v>49</v>
      </c>
      <c r="F229" s="5">
        <f t="shared" si="3"/>
        <v>196</v>
      </c>
    </row>
    <row r="230" spans="1:6" x14ac:dyDescent="0.25">
      <c r="A230" s="4">
        <v>42075</v>
      </c>
      <c r="B230" s="3" t="s">
        <v>37</v>
      </c>
      <c r="C230" s="3" t="s">
        <v>2</v>
      </c>
      <c r="D230" s="3" t="s">
        <v>31</v>
      </c>
      <c r="E230" s="3">
        <v>5</v>
      </c>
      <c r="F230" s="5">
        <f t="shared" si="3"/>
        <v>12.5</v>
      </c>
    </row>
    <row r="231" spans="1:6" x14ac:dyDescent="0.25">
      <c r="A231" s="4">
        <v>42128</v>
      </c>
      <c r="B231" s="3" t="s">
        <v>39</v>
      </c>
      <c r="C231" s="3" t="s">
        <v>6</v>
      </c>
      <c r="D231" s="3" t="s">
        <v>34</v>
      </c>
      <c r="E231" s="3">
        <v>19</v>
      </c>
      <c r="F231" s="5">
        <f t="shared" si="3"/>
        <v>3.8000000000000003</v>
      </c>
    </row>
    <row r="232" spans="1:6" x14ac:dyDescent="0.25">
      <c r="A232" s="4">
        <v>42122</v>
      </c>
      <c r="B232" s="3" t="s">
        <v>32</v>
      </c>
      <c r="C232" s="3" t="s">
        <v>10</v>
      </c>
      <c r="D232" s="3" t="s">
        <v>34</v>
      </c>
      <c r="E232" s="3">
        <v>22</v>
      </c>
      <c r="F232" s="5">
        <f t="shared" si="3"/>
        <v>4.4000000000000004</v>
      </c>
    </row>
    <row r="233" spans="1:6" x14ac:dyDescent="0.25">
      <c r="A233" s="4">
        <v>42151</v>
      </c>
      <c r="B233" s="3" t="s">
        <v>37</v>
      </c>
      <c r="C233" s="3" t="s">
        <v>19</v>
      </c>
      <c r="D233" s="3" t="s">
        <v>31</v>
      </c>
      <c r="E233" s="3">
        <v>28</v>
      </c>
      <c r="F233" s="5">
        <f t="shared" si="3"/>
        <v>70</v>
      </c>
    </row>
    <row r="234" spans="1:6" x14ac:dyDescent="0.25">
      <c r="A234" s="4">
        <v>42020</v>
      </c>
      <c r="B234" s="3" t="s">
        <v>37</v>
      </c>
      <c r="C234" s="3" t="s">
        <v>2</v>
      </c>
      <c r="D234" s="3" t="s">
        <v>28</v>
      </c>
      <c r="E234" s="3">
        <v>26</v>
      </c>
      <c r="F234" s="5">
        <f t="shared" si="3"/>
        <v>52</v>
      </c>
    </row>
    <row r="235" spans="1:6" x14ac:dyDescent="0.25">
      <c r="A235" s="4">
        <v>42087</v>
      </c>
      <c r="B235" s="3" t="s">
        <v>39</v>
      </c>
      <c r="C235" s="3" t="s">
        <v>6</v>
      </c>
      <c r="D235" s="3" t="s">
        <v>33</v>
      </c>
      <c r="E235" s="3">
        <v>23</v>
      </c>
      <c r="F235" s="5">
        <f t="shared" si="3"/>
        <v>115</v>
      </c>
    </row>
    <row r="236" spans="1:6" x14ac:dyDescent="0.25">
      <c r="A236" s="4">
        <v>42030</v>
      </c>
      <c r="B236" s="3" t="s">
        <v>39</v>
      </c>
      <c r="C236" s="3" t="s">
        <v>10</v>
      </c>
      <c r="D236" s="3" t="s">
        <v>34</v>
      </c>
      <c r="E236" s="3">
        <v>39</v>
      </c>
      <c r="F236" s="5">
        <f t="shared" si="3"/>
        <v>7.8000000000000007</v>
      </c>
    </row>
    <row r="237" spans="1:6" x14ac:dyDescent="0.25">
      <c r="A237" s="4">
        <v>42104</v>
      </c>
      <c r="B237" s="3" t="s">
        <v>29</v>
      </c>
      <c r="C237" s="3" t="s">
        <v>19</v>
      </c>
      <c r="D237" s="3" t="s">
        <v>27</v>
      </c>
      <c r="E237" s="3">
        <v>14</v>
      </c>
      <c r="F237" s="5">
        <f t="shared" si="3"/>
        <v>7</v>
      </c>
    </row>
    <row r="238" spans="1:6" x14ac:dyDescent="0.25">
      <c r="A238" s="4">
        <v>42137</v>
      </c>
      <c r="B238" s="3" t="s">
        <v>26</v>
      </c>
      <c r="C238" s="3" t="s">
        <v>2</v>
      </c>
      <c r="D238" s="3" t="s">
        <v>28</v>
      </c>
      <c r="E238" s="3">
        <v>35</v>
      </c>
      <c r="F238" s="5">
        <f t="shared" si="3"/>
        <v>70</v>
      </c>
    </row>
    <row r="239" spans="1:6" x14ac:dyDescent="0.25">
      <c r="A239" s="4">
        <v>42149</v>
      </c>
      <c r="B239" s="3" t="s">
        <v>37</v>
      </c>
      <c r="C239" s="3" t="s">
        <v>19</v>
      </c>
      <c r="D239" s="3" t="s">
        <v>28</v>
      </c>
      <c r="E239" s="3">
        <v>26</v>
      </c>
      <c r="F239" s="5">
        <f t="shared" si="3"/>
        <v>52</v>
      </c>
    </row>
    <row r="240" spans="1:6" x14ac:dyDescent="0.25">
      <c r="A240" s="4">
        <v>42108</v>
      </c>
      <c r="B240" s="3" t="s">
        <v>37</v>
      </c>
      <c r="C240" s="3" t="s">
        <v>10</v>
      </c>
      <c r="D240" s="3" t="s">
        <v>34</v>
      </c>
      <c r="E240" s="3">
        <v>26</v>
      </c>
      <c r="F240" s="5">
        <f t="shared" si="3"/>
        <v>5.2</v>
      </c>
    </row>
    <row r="241" spans="1:6" x14ac:dyDescent="0.25">
      <c r="A241" s="4">
        <v>42183</v>
      </c>
      <c r="B241" s="3" t="s">
        <v>32</v>
      </c>
      <c r="C241" s="3" t="s">
        <v>6</v>
      </c>
      <c r="D241" s="3" t="s">
        <v>28</v>
      </c>
      <c r="E241" s="3">
        <v>50</v>
      </c>
      <c r="F241" s="5">
        <f t="shared" si="3"/>
        <v>100</v>
      </c>
    </row>
    <row r="242" spans="1:6" x14ac:dyDescent="0.25">
      <c r="A242" s="4">
        <v>42064</v>
      </c>
      <c r="B242" s="3" t="s">
        <v>29</v>
      </c>
      <c r="C242" s="3" t="s">
        <v>6</v>
      </c>
      <c r="D242" s="3" t="s">
        <v>28</v>
      </c>
      <c r="E242" s="3">
        <v>17</v>
      </c>
      <c r="F242" s="5">
        <f t="shared" si="3"/>
        <v>34</v>
      </c>
    </row>
    <row r="243" spans="1:6" x14ac:dyDescent="0.25">
      <c r="A243" s="4">
        <v>42041</v>
      </c>
      <c r="B243" s="3" t="s">
        <v>37</v>
      </c>
      <c r="C243" s="3" t="s">
        <v>5</v>
      </c>
      <c r="D243" s="3" t="s">
        <v>35</v>
      </c>
      <c r="E243" s="3">
        <v>41</v>
      </c>
      <c r="F243" s="5">
        <f t="shared" si="3"/>
        <v>164</v>
      </c>
    </row>
    <row r="244" spans="1:6" x14ac:dyDescent="0.25">
      <c r="A244" s="4">
        <v>42161</v>
      </c>
      <c r="B244" s="3" t="s">
        <v>38</v>
      </c>
      <c r="C244" s="3" t="s">
        <v>19</v>
      </c>
      <c r="D244" s="3" t="s">
        <v>31</v>
      </c>
      <c r="E244" s="3">
        <v>21</v>
      </c>
      <c r="F244" s="5">
        <f t="shared" si="3"/>
        <v>52.5</v>
      </c>
    </row>
    <row r="245" spans="1:6" x14ac:dyDescent="0.25">
      <c r="A245" s="4">
        <v>42079</v>
      </c>
      <c r="B245" s="3" t="s">
        <v>32</v>
      </c>
      <c r="C245" s="3" t="s">
        <v>5</v>
      </c>
      <c r="D245" s="3" t="s">
        <v>30</v>
      </c>
      <c r="E245" s="3">
        <v>45</v>
      </c>
      <c r="F245" s="5">
        <f t="shared" si="3"/>
        <v>4.5</v>
      </c>
    </row>
    <row r="246" spans="1:6" x14ac:dyDescent="0.25">
      <c r="A246" s="4">
        <v>42008</v>
      </c>
      <c r="B246" s="3" t="s">
        <v>39</v>
      </c>
      <c r="C246" s="3" t="s">
        <v>6</v>
      </c>
      <c r="D246" s="3" t="s">
        <v>35</v>
      </c>
      <c r="E246" s="3">
        <v>38</v>
      </c>
      <c r="F246" s="5">
        <f t="shared" si="3"/>
        <v>152</v>
      </c>
    </row>
    <row r="247" spans="1:6" x14ac:dyDescent="0.25">
      <c r="A247" s="4">
        <v>42055</v>
      </c>
      <c r="B247" s="3" t="s">
        <v>29</v>
      </c>
      <c r="C247" s="3" t="s">
        <v>2</v>
      </c>
      <c r="D247" s="3" t="s">
        <v>35</v>
      </c>
      <c r="E247" s="3">
        <v>44</v>
      </c>
      <c r="F247" s="5">
        <f t="shared" si="3"/>
        <v>176</v>
      </c>
    </row>
    <row r="248" spans="1:6" x14ac:dyDescent="0.25">
      <c r="A248" s="4">
        <v>42010</v>
      </c>
      <c r="B248" s="3" t="s">
        <v>26</v>
      </c>
      <c r="C248" s="3" t="s">
        <v>5</v>
      </c>
      <c r="D248" s="3" t="s">
        <v>33</v>
      </c>
      <c r="E248" s="3">
        <v>43</v>
      </c>
      <c r="F248" s="5">
        <f t="shared" si="3"/>
        <v>215</v>
      </c>
    </row>
    <row r="249" spans="1:6" x14ac:dyDescent="0.25">
      <c r="A249" s="4">
        <v>42109</v>
      </c>
      <c r="B249" s="3" t="s">
        <v>38</v>
      </c>
      <c r="C249" s="3" t="s">
        <v>19</v>
      </c>
      <c r="D249" s="3" t="s">
        <v>34</v>
      </c>
      <c r="E249" s="3">
        <v>10</v>
      </c>
      <c r="F249" s="5">
        <f t="shared" si="3"/>
        <v>2</v>
      </c>
    </row>
    <row r="250" spans="1:6" x14ac:dyDescent="0.25">
      <c r="A250" s="4">
        <v>42057</v>
      </c>
      <c r="B250" s="3" t="s">
        <v>39</v>
      </c>
      <c r="C250" s="3" t="s">
        <v>2</v>
      </c>
      <c r="D250" s="3" t="s">
        <v>28</v>
      </c>
      <c r="E250" s="3">
        <v>30</v>
      </c>
      <c r="F250" s="5">
        <f t="shared" si="3"/>
        <v>60</v>
      </c>
    </row>
    <row r="251" spans="1:6" x14ac:dyDescent="0.25">
      <c r="A251" s="4">
        <v>42131</v>
      </c>
      <c r="B251" s="3" t="s">
        <v>39</v>
      </c>
      <c r="C251" s="3" t="s">
        <v>2</v>
      </c>
      <c r="D251" s="3" t="s">
        <v>30</v>
      </c>
      <c r="E251" s="3">
        <v>22</v>
      </c>
      <c r="F251" s="5">
        <f t="shared" si="3"/>
        <v>2.2000000000000002</v>
      </c>
    </row>
    <row r="252" spans="1:6" x14ac:dyDescent="0.25">
      <c r="A252" s="4">
        <v>42025</v>
      </c>
      <c r="B252" s="3" t="s">
        <v>29</v>
      </c>
      <c r="C252" s="3" t="s">
        <v>6</v>
      </c>
      <c r="D252" s="3" t="s">
        <v>36</v>
      </c>
      <c r="E252" s="3">
        <v>39</v>
      </c>
      <c r="F252" s="5">
        <f t="shared" si="3"/>
        <v>58.5</v>
      </c>
    </row>
    <row r="253" spans="1:6" x14ac:dyDescent="0.25">
      <c r="A253" s="4">
        <v>42084</v>
      </c>
      <c r="B253" s="3" t="s">
        <v>29</v>
      </c>
      <c r="C253" s="3" t="s">
        <v>2</v>
      </c>
      <c r="D253" s="3" t="s">
        <v>30</v>
      </c>
      <c r="E253" s="3">
        <v>45</v>
      </c>
      <c r="F253" s="5">
        <f t="shared" si="3"/>
        <v>4.5</v>
      </c>
    </row>
    <row r="254" spans="1:6" x14ac:dyDescent="0.25">
      <c r="A254" s="4">
        <v>42146</v>
      </c>
      <c r="B254" s="3" t="s">
        <v>39</v>
      </c>
      <c r="C254" s="3" t="s">
        <v>2</v>
      </c>
      <c r="D254" s="3" t="s">
        <v>35</v>
      </c>
      <c r="E254" s="3">
        <v>24</v>
      </c>
      <c r="F254" s="5">
        <f t="shared" si="3"/>
        <v>96</v>
      </c>
    </row>
    <row r="255" spans="1:6" x14ac:dyDescent="0.25">
      <c r="A255" s="4">
        <v>42119</v>
      </c>
      <c r="B255" s="3" t="s">
        <v>26</v>
      </c>
      <c r="C255" s="3" t="s">
        <v>10</v>
      </c>
      <c r="D255" s="3" t="s">
        <v>28</v>
      </c>
      <c r="E255" s="3">
        <v>1</v>
      </c>
      <c r="F255" s="5">
        <f t="shared" si="3"/>
        <v>2</v>
      </c>
    </row>
    <row r="256" spans="1:6" x14ac:dyDescent="0.25">
      <c r="A256" s="4">
        <v>42009</v>
      </c>
      <c r="B256" s="3" t="s">
        <v>38</v>
      </c>
      <c r="C256" s="3" t="s">
        <v>6</v>
      </c>
      <c r="D256" s="3" t="s">
        <v>34</v>
      </c>
      <c r="E256" s="3">
        <v>49</v>
      </c>
      <c r="F256" s="5">
        <f t="shared" si="3"/>
        <v>9.8000000000000007</v>
      </c>
    </row>
    <row r="257" spans="1:6" x14ac:dyDescent="0.25">
      <c r="A257" s="4">
        <v>42177</v>
      </c>
      <c r="B257" s="3" t="s">
        <v>26</v>
      </c>
      <c r="C257" s="3" t="s">
        <v>5</v>
      </c>
      <c r="D257" s="3" t="s">
        <v>36</v>
      </c>
      <c r="E257" s="3">
        <v>32</v>
      </c>
      <c r="F257" s="5">
        <f t="shared" si="3"/>
        <v>48</v>
      </c>
    </row>
    <row r="258" spans="1:6" x14ac:dyDescent="0.25">
      <c r="A258" s="4">
        <v>42083</v>
      </c>
      <c r="B258" s="3" t="s">
        <v>32</v>
      </c>
      <c r="C258" s="3" t="s">
        <v>10</v>
      </c>
      <c r="D258" s="3" t="s">
        <v>27</v>
      </c>
      <c r="E258" s="3">
        <v>17</v>
      </c>
      <c r="F258" s="5">
        <f t="shared" si="3"/>
        <v>8.5</v>
      </c>
    </row>
    <row r="259" spans="1:6" x14ac:dyDescent="0.25">
      <c r="A259" s="4">
        <v>42095</v>
      </c>
      <c r="B259" s="3" t="s">
        <v>38</v>
      </c>
      <c r="C259" s="3" t="s">
        <v>10</v>
      </c>
      <c r="D259" s="3" t="s">
        <v>35</v>
      </c>
      <c r="E259" s="3">
        <v>9</v>
      </c>
      <c r="F259" s="5">
        <f t="shared" si="3"/>
        <v>36</v>
      </c>
    </row>
    <row r="260" spans="1:6" x14ac:dyDescent="0.25">
      <c r="A260" s="4">
        <v>42025</v>
      </c>
      <c r="B260" s="3" t="s">
        <v>38</v>
      </c>
      <c r="C260" s="3" t="s">
        <v>19</v>
      </c>
      <c r="D260" s="3" t="s">
        <v>35</v>
      </c>
      <c r="E260" s="3">
        <v>23</v>
      </c>
      <c r="F260" s="5">
        <f t="shared" si="3"/>
        <v>92</v>
      </c>
    </row>
    <row r="261" spans="1:6" x14ac:dyDescent="0.25">
      <c r="A261" s="4">
        <v>42086</v>
      </c>
      <c r="B261" s="3" t="s">
        <v>29</v>
      </c>
      <c r="C261" s="3" t="s">
        <v>2</v>
      </c>
      <c r="D261" s="3" t="s">
        <v>35</v>
      </c>
      <c r="E261" s="3">
        <v>49</v>
      </c>
      <c r="F261" s="5">
        <f t="shared" si="3"/>
        <v>196</v>
      </c>
    </row>
    <row r="262" spans="1:6" x14ac:dyDescent="0.25">
      <c r="A262" s="4">
        <v>42077</v>
      </c>
      <c r="B262" s="3" t="s">
        <v>32</v>
      </c>
      <c r="C262" s="3" t="s">
        <v>19</v>
      </c>
      <c r="D262" s="3" t="s">
        <v>31</v>
      </c>
      <c r="E262" s="3">
        <v>25</v>
      </c>
      <c r="F262" s="5">
        <f t="shared" si="3"/>
        <v>62.5</v>
      </c>
    </row>
    <row r="263" spans="1:6" x14ac:dyDescent="0.25">
      <c r="A263" s="4">
        <v>42059</v>
      </c>
      <c r="B263" s="3" t="s">
        <v>32</v>
      </c>
      <c r="C263" s="3" t="s">
        <v>19</v>
      </c>
      <c r="D263" s="3" t="s">
        <v>31</v>
      </c>
      <c r="E263" s="3">
        <v>11</v>
      </c>
      <c r="F263" s="5">
        <f t="shared" ref="F263:F326" si="4">E263*VLOOKUP(D263,$W$6:$X$13,2,0)</f>
        <v>27.5</v>
      </c>
    </row>
    <row r="264" spans="1:6" x14ac:dyDescent="0.25">
      <c r="A264" s="4">
        <v>42033</v>
      </c>
      <c r="B264" s="3" t="s">
        <v>37</v>
      </c>
      <c r="C264" s="3" t="s">
        <v>2</v>
      </c>
      <c r="D264" s="3" t="s">
        <v>34</v>
      </c>
      <c r="E264" s="3">
        <v>18</v>
      </c>
      <c r="F264" s="5">
        <f t="shared" si="4"/>
        <v>3.6</v>
      </c>
    </row>
    <row r="265" spans="1:6" x14ac:dyDescent="0.25">
      <c r="A265" s="4">
        <v>42063</v>
      </c>
      <c r="B265" s="3" t="s">
        <v>39</v>
      </c>
      <c r="C265" s="3" t="s">
        <v>10</v>
      </c>
      <c r="D265" s="3" t="s">
        <v>33</v>
      </c>
      <c r="E265" s="3">
        <v>40</v>
      </c>
      <c r="F265" s="5">
        <f t="shared" si="4"/>
        <v>200</v>
      </c>
    </row>
    <row r="266" spans="1:6" x14ac:dyDescent="0.25">
      <c r="A266" s="4">
        <v>42063</v>
      </c>
      <c r="B266" s="3" t="s">
        <v>38</v>
      </c>
      <c r="C266" s="3" t="s">
        <v>6</v>
      </c>
      <c r="D266" s="3" t="s">
        <v>30</v>
      </c>
      <c r="E266" s="3">
        <v>3</v>
      </c>
      <c r="F266" s="5">
        <f t="shared" si="4"/>
        <v>0.30000000000000004</v>
      </c>
    </row>
    <row r="267" spans="1:6" x14ac:dyDescent="0.25">
      <c r="A267" s="4">
        <v>42122</v>
      </c>
      <c r="B267" s="3" t="s">
        <v>26</v>
      </c>
      <c r="C267" s="3" t="s">
        <v>2</v>
      </c>
      <c r="D267" s="3" t="s">
        <v>27</v>
      </c>
      <c r="E267" s="3">
        <v>17</v>
      </c>
      <c r="F267" s="5">
        <f t="shared" si="4"/>
        <v>8.5</v>
      </c>
    </row>
    <row r="268" spans="1:6" x14ac:dyDescent="0.25">
      <c r="A268" s="4">
        <v>42118</v>
      </c>
      <c r="B268" s="3" t="s">
        <v>37</v>
      </c>
      <c r="C268" s="3" t="s">
        <v>10</v>
      </c>
      <c r="D268" s="3" t="s">
        <v>31</v>
      </c>
      <c r="E268" s="3">
        <v>9</v>
      </c>
      <c r="F268" s="5">
        <f t="shared" si="4"/>
        <v>22.5</v>
      </c>
    </row>
    <row r="269" spans="1:6" x14ac:dyDescent="0.25">
      <c r="A269" s="4">
        <v>42177</v>
      </c>
      <c r="B269" s="3" t="s">
        <v>29</v>
      </c>
      <c r="C269" s="3" t="s">
        <v>10</v>
      </c>
      <c r="D269" s="3" t="s">
        <v>30</v>
      </c>
      <c r="E269" s="3">
        <v>34</v>
      </c>
      <c r="F269" s="5">
        <f t="shared" si="4"/>
        <v>3.4000000000000004</v>
      </c>
    </row>
    <row r="270" spans="1:6" x14ac:dyDescent="0.25">
      <c r="A270" s="4">
        <v>42053</v>
      </c>
      <c r="B270" s="3" t="s">
        <v>32</v>
      </c>
      <c r="C270" s="3" t="s">
        <v>10</v>
      </c>
      <c r="D270" s="3" t="s">
        <v>28</v>
      </c>
      <c r="E270" s="3">
        <v>22</v>
      </c>
      <c r="F270" s="5">
        <f t="shared" si="4"/>
        <v>44</v>
      </c>
    </row>
    <row r="271" spans="1:6" x14ac:dyDescent="0.25">
      <c r="A271" s="4">
        <v>42030</v>
      </c>
      <c r="B271" s="3" t="s">
        <v>38</v>
      </c>
      <c r="C271" s="3" t="s">
        <v>2</v>
      </c>
      <c r="D271" s="3" t="s">
        <v>31</v>
      </c>
      <c r="E271" s="3">
        <v>28</v>
      </c>
      <c r="F271" s="5">
        <f t="shared" si="4"/>
        <v>70</v>
      </c>
    </row>
    <row r="272" spans="1:6" x14ac:dyDescent="0.25">
      <c r="A272" s="4">
        <v>42090</v>
      </c>
      <c r="B272" s="3" t="s">
        <v>32</v>
      </c>
      <c r="C272" s="3" t="s">
        <v>2</v>
      </c>
      <c r="D272" s="3" t="s">
        <v>31</v>
      </c>
      <c r="E272" s="3">
        <v>21</v>
      </c>
      <c r="F272" s="5">
        <f t="shared" si="4"/>
        <v>52.5</v>
      </c>
    </row>
    <row r="273" spans="1:6" x14ac:dyDescent="0.25">
      <c r="A273" s="4">
        <v>42158</v>
      </c>
      <c r="B273" s="3" t="s">
        <v>29</v>
      </c>
      <c r="C273" s="3" t="s">
        <v>10</v>
      </c>
      <c r="D273" s="3" t="s">
        <v>30</v>
      </c>
      <c r="E273" s="3">
        <v>45</v>
      </c>
      <c r="F273" s="5">
        <f t="shared" si="4"/>
        <v>4.5</v>
      </c>
    </row>
    <row r="274" spans="1:6" x14ac:dyDescent="0.25">
      <c r="A274" s="4">
        <v>42185</v>
      </c>
      <c r="B274" s="3" t="s">
        <v>29</v>
      </c>
      <c r="C274" s="3" t="s">
        <v>2</v>
      </c>
      <c r="D274" s="3" t="s">
        <v>33</v>
      </c>
      <c r="E274" s="3">
        <v>17</v>
      </c>
      <c r="F274" s="5">
        <f t="shared" si="4"/>
        <v>85</v>
      </c>
    </row>
    <row r="275" spans="1:6" x14ac:dyDescent="0.25">
      <c r="A275" s="4">
        <v>42079</v>
      </c>
      <c r="B275" s="3" t="s">
        <v>38</v>
      </c>
      <c r="C275" s="3" t="s">
        <v>5</v>
      </c>
      <c r="D275" s="3" t="s">
        <v>28</v>
      </c>
      <c r="E275" s="3">
        <v>44</v>
      </c>
      <c r="F275" s="5">
        <f t="shared" si="4"/>
        <v>88</v>
      </c>
    </row>
    <row r="276" spans="1:6" x14ac:dyDescent="0.25">
      <c r="A276" s="4">
        <v>42078</v>
      </c>
      <c r="B276" s="3" t="s">
        <v>29</v>
      </c>
      <c r="C276" s="3" t="s">
        <v>19</v>
      </c>
      <c r="D276" s="3" t="s">
        <v>33</v>
      </c>
      <c r="E276" s="3">
        <v>20</v>
      </c>
      <c r="F276" s="5">
        <f t="shared" si="4"/>
        <v>100</v>
      </c>
    </row>
    <row r="277" spans="1:6" x14ac:dyDescent="0.25">
      <c r="A277" s="4">
        <v>42170</v>
      </c>
      <c r="B277" s="3" t="s">
        <v>39</v>
      </c>
      <c r="C277" s="3" t="s">
        <v>10</v>
      </c>
      <c r="D277" s="3" t="s">
        <v>36</v>
      </c>
      <c r="E277" s="3">
        <v>29</v>
      </c>
      <c r="F277" s="5">
        <f t="shared" si="4"/>
        <v>43.5</v>
      </c>
    </row>
    <row r="278" spans="1:6" x14ac:dyDescent="0.25">
      <c r="A278" s="4">
        <v>42027</v>
      </c>
      <c r="B278" s="3" t="s">
        <v>26</v>
      </c>
      <c r="C278" s="3" t="s">
        <v>10</v>
      </c>
      <c r="D278" s="3" t="s">
        <v>36</v>
      </c>
      <c r="E278" s="3">
        <v>13</v>
      </c>
      <c r="F278" s="5">
        <f t="shared" si="4"/>
        <v>19.5</v>
      </c>
    </row>
    <row r="279" spans="1:6" x14ac:dyDescent="0.25">
      <c r="A279" s="4">
        <v>42038</v>
      </c>
      <c r="B279" s="3" t="s">
        <v>37</v>
      </c>
      <c r="C279" s="3" t="s">
        <v>19</v>
      </c>
      <c r="D279" s="3" t="s">
        <v>33</v>
      </c>
      <c r="E279" s="3">
        <v>45</v>
      </c>
      <c r="F279" s="5">
        <f t="shared" si="4"/>
        <v>225</v>
      </c>
    </row>
    <row r="280" spans="1:6" x14ac:dyDescent="0.25">
      <c r="A280" s="4">
        <v>42066</v>
      </c>
      <c r="B280" s="3" t="s">
        <v>29</v>
      </c>
      <c r="C280" s="3" t="s">
        <v>2</v>
      </c>
      <c r="D280" s="3" t="s">
        <v>36</v>
      </c>
      <c r="E280" s="3">
        <v>40</v>
      </c>
      <c r="F280" s="5">
        <f t="shared" si="4"/>
        <v>60</v>
      </c>
    </row>
    <row r="281" spans="1:6" x14ac:dyDescent="0.25">
      <c r="A281" s="4">
        <v>42069</v>
      </c>
      <c r="B281" s="3" t="s">
        <v>29</v>
      </c>
      <c r="C281" s="3" t="s">
        <v>5</v>
      </c>
      <c r="D281" s="3" t="s">
        <v>31</v>
      </c>
      <c r="E281" s="3">
        <v>10</v>
      </c>
      <c r="F281" s="5">
        <f t="shared" si="4"/>
        <v>25</v>
      </c>
    </row>
    <row r="282" spans="1:6" x14ac:dyDescent="0.25">
      <c r="A282" s="4">
        <v>42131</v>
      </c>
      <c r="B282" s="3" t="s">
        <v>29</v>
      </c>
      <c r="C282" s="3" t="s">
        <v>5</v>
      </c>
      <c r="D282" s="3" t="s">
        <v>36</v>
      </c>
      <c r="E282" s="3">
        <v>40</v>
      </c>
      <c r="F282" s="5">
        <f t="shared" si="4"/>
        <v>60</v>
      </c>
    </row>
    <row r="283" spans="1:6" x14ac:dyDescent="0.25">
      <c r="A283" s="4">
        <v>42164</v>
      </c>
      <c r="B283" s="3" t="s">
        <v>26</v>
      </c>
      <c r="C283" s="3" t="s">
        <v>10</v>
      </c>
      <c r="D283" s="3" t="s">
        <v>34</v>
      </c>
      <c r="E283" s="3">
        <v>24</v>
      </c>
      <c r="F283" s="5">
        <f t="shared" si="4"/>
        <v>4.8000000000000007</v>
      </c>
    </row>
    <row r="284" spans="1:6" x14ac:dyDescent="0.25">
      <c r="A284" s="4">
        <v>42013</v>
      </c>
      <c r="B284" s="3" t="s">
        <v>38</v>
      </c>
      <c r="C284" s="3" t="s">
        <v>6</v>
      </c>
      <c r="D284" s="3" t="s">
        <v>35</v>
      </c>
      <c r="E284" s="3">
        <v>5</v>
      </c>
      <c r="F284" s="5">
        <f t="shared" si="4"/>
        <v>20</v>
      </c>
    </row>
    <row r="285" spans="1:6" x14ac:dyDescent="0.25">
      <c r="A285" s="4">
        <v>42106</v>
      </c>
      <c r="B285" s="3" t="s">
        <v>29</v>
      </c>
      <c r="C285" s="3" t="s">
        <v>19</v>
      </c>
      <c r="D285" s="3" t="s">
        <v>35</v>
      </c>
      <c r="E285" s="3">
        <v>47</v>
      </c>
      <c r="F285" s="5">
        <f t="shared" si="4"/>
        <v>188</v>
      </c>
    </row>
    <row r="286" spans="1:6" x14ac:dyDescent="0.25">
      <c r="A286" s="4">
        <v>42126</v>
      </c>
      <c r="B286" s="3" t="s">
        <v>38</v>
      </c>
      <c r="C286" s="3" t="s">
        <v>2</v>
      </c>
      <c r="D286" s="3" t="s">
        <v>31</v>
      </c>
      <c r="E286" s="3">
        <v>47</v>
      </c>
      <c r="F286" s="5">
        <f t="shared" si="4"/>
        <v>117.5</v>
      </c>
    </row>
    <row r="287" spans="1:6" x14ac:dyDescent="0.25">
      <c r="A287" s="4">
        <v>42157</v>
      </c>
      <c r="B287" s="3" t="s">
        <v>32</v>
      </c>
      <c r="C287" s="3" t="s">
        <v>6</v>
      </c>
      <c r="D287" s="3" t="s">
        <v>36</v>
      </c>
      <c r="E287" s="3">
        <v>27</v>
      </c>
      <c r="F287" s="5">
        <f t="shared" si="4"/>
        <v>40.5</v>
      </c>
    </row>
    <row r="288" spans="1:6" x14ac:dyDescent="0.25">
      <c r="A288" s="4">
        <v>42128</v>
      </c>
      <c r="B288" s="3" t="s">
        <v>26</v>
      </c>
      <c r="C288" s="3" t="s">
        <v>5</v>
      </c>
      <c r="D288" s="3" t="s">
        <v>36</v>
      </c>
      <c r="E288" s="3">
        <v>8</v>
      </c>
      <c r="F288" s="5">
        <f t="shared" si="4"/>
        <v>12</v>
      </c>
    </row>
    <row r="289" spans="1:6" x14ac:dyDescent="0.25">
      <c r="A289" s="4">
        <v>42010</v>
      </c>
      <c r="B289" s="3" t="s">
        <v>29</v>
      </c>
      <c r="C289" s="3" t="s">
        <v>19</v>
      </c>
      <c r="D289" s="3" t="s">
        <v>31</v>
      </c>
      <c r="E289" s="3">
        <v>45</v>
      </c>
      <c r="F289" s="5">
        <f t="shared" si="4"/>
        <v>112.5</v>
      </c>
    </row>
    <row r="290" spans="1:6" x14ac:dyDescent="0.25">
      <c r="A290" s="4">
        <v>42046</v>
      </c>
      <c r="B290" s="3" t="s">
        <v>32</v>
      </c>
      <c r="C290" s="3" t="s">
        <v>19</v>
      </c>
      <c r="D290" s="3" t="s">
        <v>28</v>
      </c>
      <c r="E290" s="3">
        <v>8</v>
      </c>
      <c r="F290" s="5">
        <f t="shared" si="4"/>
        <v>16</v>
      </c>
    </row>
    <row r="291" spans="1:6" x14ac:dyDescent="0.25">
      <c r="A291" s="4">
        <v>42128</v>
      </c>
      <c r="B291" s="3" t="s">
        <v>26</v>
      </c>
      <c r="C291" s="3" t="s">
        <v>10</v>
      </c>
      <c r="D291" s="3" t="s">
        <v>36</v>
      </c>
      <c r="E291" s="3">
        <v>41</v>
      </c>
      <c r="F291" s="5">
        <f t="shared" si="4"/>
        <v>61.5</v>
      </c>
    </row>
    <row r="292" spans="1:6" x14ac:dyDescent="0.25">
      <c r="A292" s="4">
        <v>42104</v>
      </c>
      <c r="B292" s="3" t="s">
        <v>32</v>
      </c>
      <c r="C292" s="3" t="s">
        <v>19</v>
      </c>
      <c r="D292" s="3" t="s">
        <v>31</v>
      </c>
      <c r="E292" s="3">
        <v>43</v>
      </c>
      <c r="F292" s="5">
        <f t="shared" si="4"/>
        <v>107.5</v>
      </c>
    </row>
    <row r="293" spans="1:6" x14ac:dyDescent="0.25">
      <c r="A293" s="4">
        <v>42170</v>
      </c>
      <c r="B293" s="3" t="s">
        <v>26</v>
      </c>
      <c r="C293" s="3" t="s">
        <v>19</v>
      </c>
      <c r="D293" s="3" t="s">
        <v>28</v>
      </c>
      <c r="E293" s="3">
        <v>3</v>
      </c>
      <c r="F293" s="5">
        <f t="shared" si="4"/>
        <v>6</v>
      </c>
    </row>
    <row r="294" spans="1:6" x14ac:dyDescent="0.25">
      <c r="A294" s="4">
        <v>42179</v>
      </c>
      <c r="B294" s="3" t="s">
        <v>39</v>
      </c>
      <c r="C294" s="3" t="s">
        <v>6</v>
      </c>
      <c r="D294" s="3" t="s">
        <v>34</v>
      </c>
      <c r="E294" s="3">
        <v>10</v>
      </c>
      <c r="F294" s="5">
        <f t="shared" si="4"/>
        <v>2</v>
      </c>
    </row>
    <row r="295" spans="1:6" x14ac:dyDescent="0.25">
      <c r="A295" s="4">
        <v>42098</v>
      </c>
      <c r="B295" s="3" t="s">
        <v>37</v>
      </c>
      <c r="C295" s="3" t="s">
        <v>19</v>
      </c>
      <c r="D295" s="3" t="s">
        <v>36</v>
      </c>
      <c r="E295" s="3">
        <v>33</v>
      </c>
      <c r="F295" s="5">
        <f t="shared" si="4"/>
        <v>49.5</v>
      </c>
    </row>
    <row r="296" spans="1:6" x14ac:dyDescent="0.25">
      <c r="A296" s="4">
        <v>42011</v>
      </c>
      <c r="B296" s="3" t="s">
        <v>32</v>
      </c>
      <c r="C296" s="3" t="s">
        <v>10</v>
      </c>
      <c r="D296" s="3" t="s">
        <v>36</v>
      </c>
      <c r="E296" s="3">
        <v>30</v>
      </c>
      <c r="F296" s="5">
        <f t="shared" si="4"/>
        <v>45</v>
      </c>
    </row>
    <row r="297" spans="1:6" x14ac:dyDescent="0.25">
      <c r="A297" s="4">
        <v>42153</v>
      </c>
      <c r="B297" s="3" t="s">
        <v>26</v>
      </c>
      <c r="C297" s="3" t="s">
        <v>5</v>
      </c>
      <c r="D297" s="3" t="s">
        <v>31</v>
      </c>
      <c r="E297" s="3">
        <v>50</v>
      </c>
      <c r="F297" s="5">
        <f t="shared" si="4"/>
        <v>125</v>
      </c>
    </row>
    <row r="298" spans="1:6" x14ac:dyDescent="0.25">
      <c r="A298" s="4">
        <v>42040</v>
      </c>
      <c r="B298" s="3" t="s">
        <v>37</v>
      </c>
      <c r="C298" s="3" t="s">
        <v>19</v>
      </c>
      <c r="D298" s="3" t="s">
        <v>28</v>
      </c>
      <c r="E298" s="3">
        <v>24</v>
      </c>
      <c r="F298" s="5">
        <f t="shared" si="4"/>
        <v>48</v>
      </c>
    </row>
    <row r="299" spans="1:6" x14ac:dyDescent="0.25">
      <c r="A299" s="4">
        <v>42089</v>
      </c>
      <c r="B299" s="3" t="s">
        <v>38</v>
      </c>
      <c r="C299" s="3" t="s">
        <v>2</v>
      </c>
      <c r="D299" s="3" t="s">
        <v>27</v>
      </c>
      <c r="E299" s="3">
        <v>19</v>
      </c>
      <c r="F299" s="5">
        <f t="shared" si="4"/>
        <v>9.5</v>
      </c>
    </row>
    <row r="300" spans="1:6" x14ac:dyDescent="0.25">
      <c r="A300" s="4">
        <v>42054</v>
      </c>
      <c r="B300" s="3" t="s">
        <v>37</v>
      </c>
      <c r="C300" s="3" t="s">
        <v>19</v>
      </c>
      <c r="D300" s="3" t="s">
        <v>35</v>
      </c>
      <c r="E300" s="3">
        <v>44</v>
      </c>
      <c r="F300" s="5">
        <f t="shared" si="4"/>
        <v>176</v>
      </c>
    </row>
    <row r="301" spans="1:6" x14ac:dyDescent="0.25">
      <c r="A301" s="4">
        <v>42028</v>
      </c>
      <c r="B301" s="3" t="s">
        <v>29</v>
      </c>
      <c r="C301" s="3" t="s">
        <v>10</v>
      </c>
      <c r="D301" s="3" t="s">
        <v>27</v>
      </c>
      <c r="E301" s="3">
        <v>33</v>
      </c>
      <c r="F301" s="5">
        <f t="shared" si="4"/>
        <v>16.5</v>
      </c>
    </row>
    <row r="302" spans="1:6" x14ac:dyDescent="0.25">
      <c r="A302" s="4">
        <v>42009</v>
      </c>
      <c r="B302" s="3" t="s">
        <v>38</v>
      </c>
      <c r="C302" s="3" t="s">
        <v>2</v>
      </c>
      <c r="D302" s="3" t="s">
        <v>35</v>
      </c>
      <c r="E302" s="3">
        <v>45</v>
      </c>
      <c r="F302" s="5">
        <f t="shared" si="4"/>
        <v>180</v>
      </c>
    </row>
    <row r="303" spans="1:6" x14ac:dyDescent="0.25">
      <c r="A303" s="4">
        <v>42077</v>
      </c>
      <c r="B303" s="3" t="s">
        <v>38</v>
      </c>
      <c r="C303" s="3" t="s">
        <v>10</v>
      </c>
      <c r="D303" s="3" t="s">
        <v>35</v>
      </c>
      <c r="E303" s="3">
        <v>48</v>
      </c>
      <c r="F303" s="5">
        <f t="shared" si="4"/>
        <v>192</v>
      </c>
    </row>
    <row r="304" spans="1:6" x14ac:dyDescent="0.25">
      <c r="A304" s="4">
        <v>42161</v>
      </c>
      <c r="B304" s="3" t="s">
        <v>38</v>
      </c>
      <c r="C304" s="3" t="s">
        <v>6</v>
      </c>
      <c r="D304" s="3" t="s">
        <v>30</v>
      </c>
      <c r="E304" s="3">
        <v>25</v>
      </c>
      <c r="F304" s="5">
        <f t="shared" si="4"/>
        <v>2.5</v>
      </c>
    </row>
    <row r="305" spans="1:6" x14ac:dyDescent="0.25">
      <c r="A305" s="4">
        <v>42168</v>
      </c>
      <c r="B305" s="3" t="s">
        <v>32</v>
      </c>
      <c r="C305" s="3" t="s">
        <v>2</v>
      </c>
      <c r="D305" s="3" t="s">
        <v>28</v>
      </c>
      <c r="E305" s="3">
        <v>39</v>
      </c>
      <c r="F305" s="5">
        <f t="shared" si="4"/>
        <v>78</v>
      </c>
    </row>
    <row r="306" spans="1:6" x14ac:dyDescent="0.25">
      <c r="A306" s="4">
        <v>42053</v>
      </c>
      <c r="B306" s="3" t="s">
        <v>39</v>
      </c>
      <c r="C306" s="3" t="s">
        <v>5</v>
      </c>
      <c r="D306" s="3" t="s">
        <v>30</v>
      </c>
      <c r="E306" s="3">
        <v>38</v>
      </c>
      <c r="F306" s="5">
        <f t="shared" si="4"/>
        <v>3.8000000000000003</v>
      </c>
    </row>
    <row r="307" spans="1:6" x14ac:dyDescent="0.25">
      <c r="A307" s="4">
        <v>42028</v>
      </c>
      <c r="B307" s="3" t="s">
        <v>38</v>
      </c>
      <c r="C307" s="3" t="s">
        <v>5</v>
      </c>
      <c r="D307" s="3" t="s">
        <v>33</v>
      </c>
      <c r="E307" s="3">
        <v>24</v>
      </c>
      <c r="F307" s="5">
        <f t="shared" si="4"/>
        <v>120</v>
      </c>
    </row>
    <row r="308" spans="1:6" x14ac:dyDescent="0.25">
      <c r="A308" s="4">
        <v>42091</v>
      </c>
      <c r="B308" s="3" t="s">
        <v>26</v>
      </c>
      <c r="C308" s="3" t="s">
        <v>6</v>
      </c>
      <c r="D308" s="3" t="s">
        <v>30</v>
      </c>
      <c r="E308" s="3">
        <v>27</v>
      </c>
      <c r="F308" s="5">
        <f t="shared" si="4"/>
        <v>2.7</v>
      </c>
    </row>
    <row r="309" spans="1:6" x14ac:dyDescent="0.25">
      <c r="A309" s="4">
        <v>42102</v>
      </c>
      <c r="B309" s="3" t="s">
        <v>39</v>
      </c>
      <c r="C309" s="3" t="s">
        <v>6</v>
      </c>
      <c r="D309" s="3" t="s">
        <v>28</v>
      </c>
      <c r="E309" s="3">
        <v>27</v>
      </c>
      <c r="F309" s="5">
        <f t="shared" si="4"/>
        <v>54</v>
      </c>
    </row>
    <row r="310" spans="1:6" x14ac:dyDescent="0.25">
      <c r="A310" s="4">
        <v>42032</v>
      </c>
      <c r="B310" s="3" t="s">
        <v>38</v>
      </c>
      <c r="C310" s="3" t="s">
        <v>2</v>
      </c>
      <c r="D310" s="3" t="s">
        <v>33</v>
      </c>
      <c r="E310" s="3">
        <v>5</v>
      </c>
      <c r="F310" s="5">
        <f t="shared" si="4"/>
        <v>25</v>
      </c>
    </row>
    <row r="311" spans="1:6" x14ac:dyDescent="0.25">
      <c r="A311" s="4">
        <v>42096</v>
      </c>
      <c r="B311" s="3" t="s">
        <v>38</v>
      </c>
      <c r="C311" s="3" t="s">
        <v>5</v>
      </c>
      <c r="D311" s="3" t="s">
        <v>33</v>
      </c>
      <c r="E311" s="3">
        <v>10</v>
      </c>
      <c r="F311" s="5">
        <f t="shared" si="4"/>
        <v>50</v>
      </c>
    </row>
    <row r="312" spans="1:6" x14ac:dyDescent="0.25">
      <c r="A312" s="4">
        <v>42005</v>
      </c>
      <c r="B312" s="3" t="s">
        <v>29</v>
      </c>
      <c r="C312" s="3" t="s">
        <v>10</v>
      </c>
      <c r="D312" s="3" t="s">
        <v>33</v>
      </c>
      <c r="E312" s="3">
        <v>12</v>
      </c>
      <c r="F312" s="5">
        <f t="shared" si="4"/>
        <v>60</v>
      </c>
    </row>
    <row r="313" spans="1:6" x14ac:dyDescent="0.25">
      <c r="A313" s="4">
        <v>42071</v>
      </c>
      <c r="B313" s="3" t="s">
        <v>37</v>
      </c>
      <c r="C313" s="3" t="s">
        <v>6</v>
      </c>
      <c r="D313" s="3" t="s">
        <v>36</v>
      </c>
      <c r="E313" s="3">
        <v>10</v>
      </c>
      <c r="F313" s="5">
        <f t="shared" si="4"/>
        <v>15</v>
      </c>
    </row>
    <row r="314" spans="1:6" x14ac:dyDescent="0.25">
      <c r="A314" s="4">
        <v>42086</v>
      </c>
      <c r="B314" s="3" t="s">
        <v>37</v>
      </c>
      <c r="C314" s="3" t="s">
        <v>5</v>
      </c>
      <c r="D314" s="3" t="s">
        <v>36</v>
      </c>
      <c r="E314" s="3">
        <v>34</v>
      </c>
      <c r="F314" s="5">
        <f t="shared" si="4"/>
        <v>51</v>
      </c>
    </row>
    <row r="315" spans="1:6" x14ac:dyDescent="0.25">
      <c r="A315" s="4">
        <v>42175</v>
      </c>
      <c r="B315" s="3" t="s">
        <v>26</v>
      </c>
      <c r="C315" s="3" t="s">
        <v>6</v>
      </c>
      <c r="D315" s="3" t="s">
        <v>31</v>
      </c>
      <c r="E315" s="3">
        <v>1</v>
      </c>
      <c r="F315" s="5">
        <f t="shared" si="4"/>
        <v>2.5</v>
      </c>
    </row>
    <row r="316" spans="1:6" x14ac:dyDescent="0.25">
      <c r="A316" s="4">
        <v>42080</v>
      </c>
      <c r="B316" s="3" t="s">
        <v>29</v>
      </c>
      <c r="C316" s="3" t="s">
        <v>6</v>
      </c>
      <c r="D316" s="3" t="s">
        <v>30</v>
      </c>
      <c r="E316" s="3">
        <v>48</v>
      </c>
      <c r="F316" s="5">
        <f t="shared" si="4"/>
        <v>4.8000000000000007</v>
      </c>
    </row>
    <row r="317" spans="1:6" x14ac:dyDescent="0.25">
      <c r="A317" s="4">
        <v>42166</v>
      </c>
      <c r="B317" s="3" t="s">
        <v>26</v>
      </c>
      <c r="C317" s="3" t="s">
        <v>19</v>
      </c>
      <c r="D317" s="3" t="s">
        <v>33</v>
      </c>
      <c r="E317" s="3">
        <v>26</v>
      </c>
      <c r="F317" s="5">
        <f t="shared" si="4"/>
        <v>130</v>
      </c>
    </row>
    <row r="318" spans="1:6" x14ac:dyDescent="0.25">
      <c r="A318" s="4">
        <v>42151</v>
      </c>
      <c r="B318" s="3" t="s">
        <v>32</v>
      </c>
      <c r="C318" s="3" t="s">
        <v>10</v>
      </c>
      <c r="D318" s="3" t="s">
        <v>28</v>
      </c>
      <c r="E318" s="3">
        <v>48</v>
      </c>
      <c r="F318" s="5">
        <f t="shared" si="4"/>
        <v>96</v>
      </c>
    </row>
    <row r="319" spans="1:6" x14ac:dyDescent="0.25">
      <c r="A319" s="4">
        <v>42157</v>
      </c>
      <c r="B319" s="3" t="s">
        <v>38</v>
      </c>
      <c r="C319" s="3" t="s">
        <v>19</v>
      </c>
      <c r="D319" s="3" t="s">
        <v>35</v>
      </c>
      <c r="E319" s="3">
        <v>6</v>
      </c>
      <c r="F319" s="5">
        <f t="shared" si="4"/>
        <v>24</v>
      </c>
    </row>
    <row r="320" spans="1:6" x14ac:dyDescent="0.25">
      <c r="A320" s="4">
        <v>42107</v>
      </c>
      <c r="B320" s="3" t="s">
        <v>26</v>
      </c>
      <c r="C320" s="3" t="s">
        <v>19</v>
      </c>
      <c r="D320" s="3" t="s">
        <v>35</v>
      </c>
      <c r="E320" s="3">
        <v>50</v>
      </c>
      <c r="F320" s="5">
        <f t="shared" si="4"/>
        <v>200</v>
      </c>
    </row>
    <row r="321" spans="1:6" x14ac:dyDescent="0.25">
      <c r="A321" s="4">
        <v>42149</v>
      </c>
      <c r="B321" s="3" t="s">
        <v>37</v>
      </c>
      <c r="C321" s="3" t="s">
        <v>19</v>
      </c>
      <c r="D321" s="3" t="s">
        <v>30</v>
      </c>
      <c r="E321" s="3">
        <v>14</v>
      </c>
      <c r="F321" s="5">
        <f t="shared" si="4"/>
        <v>1.4000000000000001</v>
      </c>
    </row>
    <row r="322" spans="1:6" x14ac:dyDescent="0.25">
      <c r="A322" s="4">
        <v>42060</v>
      </c>
      <c r="B322" s="3" t="s">
        <v>37</v>
      </c>
      <c r="C322" s="3" t="s">
        <v>10</v>
      </c>
      <c r="D322" s="3" t="s">
        <v>33</v>
      </c>
      <c r="E322" s="3">
        <v>39</v>
      </c>
      <c r="F322" s="5">
        <f t="shared" si="4"/>
        <v>195</v>
      </c>
    </row>
    <row r="323" spans="1:6" x14ac:dyDescent="0.25">
      <c r="A323" s="4">
        <v>42136</v>
      </c>
      <c r="B323" s="3" t="s">
        <v>37</v>
      </c>
      <c r="C323" s="3" t="s">
        <v>5</v>
      </c>
      <c r="D323" s="3" t="s">
        <v>28</v>
      </c>
      <c r="E323" s="3">
        <v>5</v>
      </c>
      <c r="F323" s="5">
        <f t="shared" si="4"/>
        <v>10</v>
      </c>
    </row>
    <row r="324" spans="1:6" x14ac:dyDescent="0.25">
      <c r="A324" s="4">
        <v>42171</v>
      </c>
      <c r="B324" s="3" t="s">
        <v>26</v>
      </c>
      <c r="C324" s="3" t="s">
        <v>2</v>
      </c>
      <c r="D324" s="3" t="s">
        <v>31</v>
      </c>
      <c r="E324" s="3">
        <v>15</v>
      </c>
      <c r="F324" s="5">
        <f t="shared" si="4"/>
        <v>37.5</v>
      </c>
    </row>
    <row r="325" spans="1:6" x14ac:dyDescent="0.25">
      <c r="A325" s="4">
        <v>42101</v>
      </c>
      <c r="B325" s="3" t="s">
        <v>32</v>
      </c>
      <c r="C325" s="3" t="s">
        <v>2</v>
      </c>
      <c r="D325" s="3" t="s">
        <v>36</v>
      </c>
      <c r="E325" s="3">
        <v>26</v>
      </c>
      <c r="F325" s="5">
        <f t="shared" si="4"/>
        <v>39</v>
      </c>
    </row>
    <row r="326" spans="1:6" x14ac:dyDescent="0.25">
      <c r="A326" s="4">
        <v>42150</v>
      </c>
      <c r="B326" s="3" t="s">
        <v>32</v>
      </c>
      <c r="C326" s="3" t="s">
        <v>5</v>
      </c>
      <c r="D326" s="3" t="s">
        <v>30</v>
      </c>
      <c r="E326" s="3">
        <v>43</v>
      </c>
      <c r="F326" s="5">
        <f t="shared" si="4"/>
        <v>4.3</v>
      </c>
    </row>
    <row r="327" spans="1:6" x14ac:dyDescent="0.25">
      <c r="A327" s="4">
        <v>42046</v>
      </c>
      <c r="B327" s="3" t="s">
        <v>37</v>
      </c>
      <c r="C327" s="3" t="s">
        <v>19</v>
      </c>
      <c r="D327" s="3" t="s">
        <v>30</v>
      </c>
      <c r="E327" s="3">
        <v>29</v>
      </c>
      <c r="F327" s="5">
        <f t="shared" ref="F327:F390" si="5">E327*VLOOKUP(D327,$W$6:$X$13,2,0)</f>
        <v>2.9000000000000004</v>
      </c>
    </row>
    <row r="328" spans="1:6" x14ac:dyDescent="0.25">
      <c r="A328" s="4">
        <v>42067</v>
      </c>
      <c r="B328" s="3" t="s">
        <v>39</v>
      </c>
      <c r="C328" s="3" t="s">
        <v>6</v>
      </c>
      <c r="D328" s="3" t="s">
        <v>36</v>
      </c>
      <c r="E328" s="3">
        <v>9</v>
      </c>
      <c r="F328" s="5">
        <f t="shared" si="5"/>
        <v>13.5</v>
      </c>
    </row>
    <row r="329" spans="1:6" x14ac:dyDescent="0.25">
      <c r="A329" s="4">
        <v>42166</v>
      </c>
      <c r="B329" s="3" t="s">
        <v>39</v>
      </c>
      <c r="C329" s="3" t="s">
        <v>6</v>
      </c>
      <c r="D329" s="3" t="s">
        <v>36</v>
      </c>
      <c r="E329" s="3">
        <v>13</v>
      </c>
      <c r="F329" s="5">
        <f t="shared" si="5"/>
        <v>19.5</v>
      </c>
    </row>
    <row r="330" spans="1:6" x14ac:dyDescent="0.25">
      <c r="A330" s="4">
        <v>42039</v>
      </c>
      <c r="B330" s="3" t="s">
        <v>38</v>
      </c>
      <c r="C330" s="3" t="s">
        <v>19</v>
      </c>
      <c r="D330" s="3" t="s">
        <v>30</v>
      </c>
      <c r="E330" s="3">
        <v>48</v>
      </c>
      <c r="F330" s="5">
        <f t="shared" si="5"/>
        <v>4.8000000000000007</v>
      </c>
    </row>
    <row r="331" spans="1:6" x14ac:dyDescent="0.25">
      <c r="A331" s="4">
        <v>42174</v>
      </c>
      <c r="B331" s="3" t="s">
        <v>39</v>
      </c>
      <c r="C331" s="3" t="s">
        <v>5</v>
      </c>
      <c r="D331" s="3" t="s">
        <v>33</v>
      </c>
      <c r="E331" s="3">
        <v>5</v>
      </c>
      <c r="F331" s="5">
        <f t="shared" si="5"/>
        <v>25</v>
      </c>
    </row>
    <row r="332" spans="1:6" x14ac:dyDescent="0.25">
      <c r="A332" s="4">
        <v>42146</v>
      </c>
      <c r="B332" s="3" t="s">
        <v>32</v>
      </c>
      <c r="C332" s="3" t="s">
        <v>2</v>
      </c>
      <c r="D332" s="3" t="s">
        <v>30</v>
      </c>
      <c r="E332" s="3">
        <v>18</v>
      </c>
      <c r="F332" s="5">
        <f t="shared" si="5"/>
        <v>1.8</v>
      </c>
    </row>
    <row r="333" spans="1:6" x14ac:dyDescent="0.25">
      <c r="A333" s="4">
        <v>42182</v>
      </c>
      <c r="B333" s="3" t="s">
        <v>37</v>
      </c>
      <c r="C333" s="3" t="s">
        <v>19</v>
      </c>
      <c r="D333" s="3" t="s">
        <v>35</v>
      </c>
      <c r="E333" s="3">
        <v>9</v>
      </c>
      <c r="F333" s="5">
        <f t="shared" si="5"/>
        <v>36</v>
      </c>
    </row>
    <row r="334" spans="1:6" x14ac:dyDescent="0.25">
      <c r="A334" s="4">
        <v>42025</v>
      </c>
      <c r="B334" s="3" t="s">
        <v>32</v>
      </c>
      <c r="C334" s="3" t="s">
        <v>6</v>
      </c>
      <c r="D334" s="3" t="s">
        <v>35</v>
      </c>
      <c r="E334" s="3">
        <v>22</v>
      </c>
      <c r="F334" s="5">
        <f t="shared" si="5"/>
        <v>88</v>
      </c>
    </row>
    <row r="335" spans="1:6" x14ac:dyDescent="0.25">
      <c r="A335" s="4">
        <v>42019</v>
      </c>
      <c r="B335" s="3" t="s">
        <v>29</v>
      </c>
      <c r="C335" s="3" t="s">
        <v>5</v>
      </c>
      <c r="D335" s="3" t="s">
        <v>36</v>
      </c>
      <c r="E335" s="3">
        <v>23</v>
      </c>
      <c r="F335" s="5">
        <f t="shared" si="5"/>
        <v>34.5</v>
      </c>
    </row>
    <row r="336" spans="1:6" x14ac:dyDescent="0.25">
      <c r="A336" s="4">
        <v>42110</v>
      </c>
      <c r="B336" s="3" t="s">
        <v>32</v>
      </c>
      <c r="C336" s="3" t="s">
        <v>6</v>
      </c>
      <c r="D336" s="3" t="s">
        <v>36</v>
      </c>
      <c r="E336" s="3">
        <v>20</v>
      </c>
      <c r="F336" s="5">
        <f t="shared" si="5"/>
        <v>30</v>
      </c>
    </row>
    <row r="337" spans="1:6" x14ac:dyDescent="0.25">
      <c r="A337" s="4">
        <v>42081</v>
      </c>
      <c r="B337" s="3" t="s">
        <v>38</v>
      </c>
      <c r="C337" s="3" t="s">
        <v>19</v>
      </c>
      <c r="D337" s="3" t="s">
        <v>33</v>
      </c>
      <c r="E337" s="3">
        <v>45</v>
      </c>
      <c r="F337" s="5">
        <f t="shared" si="5"/>
        <v>225</v>
      </c>
    </row>
    <row r="338" spans="1:6" x14ac:dyDescent="0.25">
      <c r="A338" s="4">
        <v>42027</v>
      </c>
      <c r="B338" s="3" t="s">
        <v>37</v>
      </c>
      <c r="C338" s="3" t="s">
        <v>10</v>
      </c>
      <c r="D338" s="3" t="s">
        <v>28</v>
      </c>
      <c r="E338" s="3">
        <v>45</v>
      </c>
      <c r="F338" s="5">
        <f t="shared" si="5"/>
        <v>90</v>
      </c>
    </row>
    <row r="339" spans="1:6" x14ac:dyDescent="0.25">
      <c r="A339" s="4">
        <v>42115</v>
      </c>
      <c r="B339" s="3" t="s">
        <v>38</v>
      </c>
      <c r="C339" s="3" t="s">
        <v>10</v>
      </c>
      <c r="D339" s="3" t="s">
        <v>31</v>
      </c>
      <c r="E339" s="3">
        <v>36</v>
      </c>
      <c r="F339" s="5">
        <f t="shared" si="5"/>
        <v>90</v>
      </c>
    </row>
    <row r="340" spans="1:6" x14ac:dyDescent="0.25">
      <c r="A340" s="4">
        <v>42088</v>
      </c>
      <c r="B340" s="3" t="s">
        <v>38</v>
      </c>
      <c r="C340" s="3" t="s">
        <v>19</v>
      </c>
      <c r="D340" s="3" t="s">
        <v>28</v>
      </c>
      <c r="E340" s="3">
        <v>38</v>
      </c>
      <c r="F340" s="5">
        <f t="shared" si="5"/>
        <v>76</v>
      </c>
    </row>
    <row r="341" spans="1:6" x14ac:dyDescent="0.25">
      <c r="A341" s="4">
        <v>42105</v>
      </c>
      <c r="B341" s="3" t="s">
        <v>29</v>
      </c>
      <c r="C341" s="3" t="s">
        <v>6</v>
      </c>
      <c r="D341" s="3" t="s">
        <v>31</v>
      </c>
      <c r="E341" s="3">
        <v>50</v>
      </c>
      <c r="F341" s="5">
        <f t="shared" si="5"/>
        <v>125</v>
      </c>
    </row>
    <row r="342" spans="1:6" x14ac:dyDescent="0.25">
      <c r="A342" s="4">
        <v>42097</v>
      </c>
      <c r="B342" s="3" t="s">
        <v>32</v>
      </c>
      <c r="C342" s="3" t="s">
        <v>2</v>
      </c>
      <c r="D342" s="3" t="s">
        <v>28</v>
      </c>
      <c r="E342" s="3">
        <v>17</v>
      </c>
      <c r="F342" s="5">
        <f t="shared" si="5"/>
        <v>34</v>
      </c>
    </row>
    <row r="343" spans="1:6" x14ac:dyDescent="0.25">
      <c r="A343" s="4">
        <v>42100</v>
      </c>
      <c r="B343" s="3" t="s">
        <v>26</v>
      </c>
      <c r="C343" s="3" t="s">
        <v>19</v>
      </c>
      <c r="D343" s="3" t="s">
        <v>33</v>
      </c>
      <c r="E343" s="3">
        <v>13</v>
      </c>
      <c r="F343" s="5">
        <f t="shared" si="5"/>
        <v>65</v>
      </c>
    </row>
    <row r="344" spans="1:6" x14ac:dyDescent="0.25">
      <c r="A344" s="4">
        <v>42130</v>
      </c>
      <c r="B344" s="3" t="s">
        <v>37</v>
      </c>
      <c r="C344" s="3" t="s">
        <v>19</v>
      </c>
      <c r="D344" s="3" t="s">
        <v>35</v>
      </c>
      <c r="E344" s="3">
        <v>31</v>
      </c>
      <c r="F344" s="5">
        <f t="shared" si="5"/>
        <v>124</v>
      </c>
    </row>
    <row r="345" spans="1:6" x14ac:dyDescent="0.25">
      <c r="A345" s="4">
        <v>42095</v>
      </c>
      <c r="B345" s="3" t="s">
        <v>37</v>
      </c>
      <c r="C345" s="3" t="s">
        <v>19</v>
      </c>
      <c r="D345" s="3" t="s">
        <v>33</v>
      </c>
      <c r="E345" s="3">
        <v>14</v>
      </c>
      <c r="F345" s="5">
        <f t="shared" si="5"/>
        <v>70</v>
      </c>
    </row>
    <row r="346" spans="1:6" x14ac:dyDescent="0.25">
      <c r="A346" s="4">
        <v>42117</v>
      </c>
      <c r="B346" s="3" t="s">
        <v>39</v>
      </c>
      <c r="C346" s="3" t="s">
        <v>19</v>
      </c>
      <c r="D346" s="3" t="s">
        <v>30</v>
      </c>
      <c r="E346" s="3">
        <v>16</v>
      </c>
      <c r="F346" s="5">
        <f t="shared" si="5"/>
        <v>1.6</v>
      </c>
    </row>
    <row r="347" spans="1:6" x14ac:dyDescent="0.25">
      <c r="A347" s="4">
        <v>42019</v>
      </c>
      <c r="B347" s="3" t="s">
        <v>39</v>
      </c>
      <c r="C347" s="3" t="s">
        <v>19</v>
      </c>
      <c r="D347" s="3" t="s">
        <v>36</v>
      </c>
      <c r="E347" s="3">
        <v>42</v>
      </c>
      <c r="F347" s="5">
        <f t="shared" si="5"/>
        <v>63</v>
      </c>
    </row>
    <row r="348" spans="1:6" x14ac:dyDescent="0.25">
      <c r="A348" s="4">
        <v>42093</v>
      </c>
      <c r="B348" s="3" t="s">
        <v>32</v>
      </c>
      <c r="C348" s="3" t="s">
        <v>6</v>
      </c>
      <c r="D348" s="3" t="s">
        <v>35</v>
      </c>
      <c r="E348" s="3">
        <v>11</v>
      </c>
      <c r="F348" s="5">
        <f t="shared" si="5"/>
        <v>44</v>
      </c>
    </row>
    <row r="349" spans="1:6" x14ac:dyDescent="0.25">
      <c r="A349" s="4">
        <v>42110</v>
      </c>
      <c r="B349" s="3" t="s">
        <v>38</v>
      </c>
      <c r="C349" s="3" t="s">
        <v>2</v>
      </c>
      <c r="D349" s="3" t="s">
        <v>36</v>
      </c>
      <c r="E349" s="3">
        <v>36</v>
      </c>
      <c r="F349" s="5">
        <f t="shared" si="5"/>
        <v>54</v>
      </c>
    </row>
    <row r="350" spans="1:6" x14ac:dyDescent="0.25">
      <c r="A350" s="4">
        <v>42087</v>
      </c>
      <c r="B350" s="3" t="s">
        <v>37</v>
      </c>
      <c r="C350" s="3" t="s">
        <v>2</v>
      </c>
      <c r="D350" s="3" t="s">
        <v>34</v>
      </c>
      <c r="E350" s="3">
        <v>14</v>
      </c>
      <c r="F350" s="5">
        <f t="shared" si="5"/>
        <v>2.8000000000000003</v>
      </c>
    </row>
    <row r="351" spans="1:6" x14ac:dyDescent="0.25">
      <c r="A351" s="4">
        <v>42138</v>
      </c>
      <c r="B351" s="3" t="s">
        <v>37</v>
      </c>
      <c r="C351" s="3" t="s">
        <v>19</v>
      </c>
      <c r="D351" s="3" t="s">
        <v>31</v>
      </c>
      <c r="E351" s="3">
        <v>4</v>
      </c>
      <c r="F351" s="5">
        <f t="shared" si="5"/>
        <v>10</v>
      </c>
    </row>
    <row r="352" spans="1:6" x14ac:dyDescent="0.25">
      <c r="A352" s="4">
        <v>42036</v>
      </c>
      <c r="B352" s="3" t="s">
        <v>26</v>
      </c>
      <c r="C352" s="3" t="s">
        <v>19</v>
      </c>
      <c r="D352" s="3" t="s">
        <v>31</v>
      </c>
      <c r="E352" s="3">
        <v>14</v>
      </c>
      <c r="F352" s="5">
        <f t="shared" si="5"/>
        <v>35</v>
      </c>
    </row>
    <row r="353" spans="1:6" x14ac:dyDescent="0.25">
      <c r="A353" s="4">
        <v>42084</v>
      </c>
      <c r="B353" s="3" t="s">
        <v>37</v>
      </c>
      <c r="C353" s="3" t="s">
        <v>19</v>
      </c>
      <c r="D353" s="3" t="s">
        <v>34</v>
      </c>
      <c r="E353" s="3">
        <v>20</v>
      </c>
      <c r="F353" s="5">
        <f t="shared" si="5"/>
        <v>4</v>
      </c>
    </row>
    <row r="354" spans="1:6" x14ac:dyDescent="0.25">
      <c r="A354" s="4">
        <v>42018</v>
      </c>
      <c r="B354" s="3" t="s">
        <v>39</v>
      </c>
      <c r="C354" s="3" t="s">
        <v>19</v>
      </c>
      <c r="D354" s="3" t="s">
        <v>34</v>
      </c>
      <c r="E354" s="3">
        <v>44</v>
      </c>
      <c r="F354" s="5">
        <f t="shared" si="5"/>
        <v>8.8000000000000007</v>
      </c>
    </row>
    <row r="355" spans="1:6" x14ac:dyDescent="0.25">
      <c r="A355" s="4">
        <v>42117</v>
      </c>
      <c r="B355" s="3" t="s">
        <v>38</v>
      </c>
      <c r="C355" s="3" t="s">
        <v>5</v>
      </c>
      <c r="D355" s="3" t="s">
        <v>33</v>
      </c>
      <c r="E355" s="3">
        <v>50</v>
      </c>
      <c r="F355" s="5">
        <f t="shared" si="5"/>
        <v>250</v>
      </c>
    </row>
    <row r="356" spans="1:6" x14ac:dyDescent="0.25">
      <c r="A356" s="4">
        <v>42125</v>
      </c>
      <c r="B356" s="3" t="s">
        <v>32</v>
      </c>
      <c r="C356" s="3" t="s">
        <v>2</v>
      </c>
      <c r="D356" s="3" t="s">
        <v>34</v>
      </c>
      <c r="E356" s="3">
        <v>26</v>
      </c>
      <c r="F356" s="5">
        <f t="shared" si="5"/>
        <v>5.2</v>
      </c>
    </row>
    <row r="357" spans="1:6" x14ac:dyDescent="0.25">
      <c r="A357" s="4">
        <v>42155</v>
      </c>
      <c r="B357" s="3" t="s">
        <v>37</v>
      </c>
      <c r="C357" s="3" t="s">
        <v>19</v>
      </c>
      <c r="D357" s="3" t="s">
        <v>34</v>
      </c>
      <c r="E357" s="3">
        <v>49</v>
      </c>
      <c r="F357" s="5">
        <f t="shared" si="5"/>
        <v>9.8000000000000007</v>
      </c>
    </row>
    <row r="358" spans="1:6" x14ac:dyDescent="0.25">
      <c r="A358" s="4">
        <v>42083</v>
      </c>
      <c r="B358" s="3" t="s">
        <v>38</v>
      </c>
      <c r="C358" s="3" t="s">
        <v>6</v>
      </c>
      <c r="D358" s="3" t="s">
        <v>27</v>
      </c>
      <c r="E358" s="3">
        <v>28</v>
      </c>
      <c r="F358" s="5">
        <f t="shared" si="5"/>
        <v>14</v>
      </c>
    </row>
    <row r="359" spans="1:6" x14ac:dyDescent="0.25">
      <c r="A359" s="4">
        <v>42185</v>
      </c>
      <c r="B359" s="3" t="s">
        <v>39</v>
      </c>
      <c r="C359" s="3" t="s">
        <v>2</v>
      </c>
      <c r="D359" s="3" t="s">
        <v>34</v>
      </c>
      <c r="E359" s="3">
        <v>28</v>
      </c>
      <c r="F359" s="5">
        <f t="shared" si="5"/>
        <v>5.6000000000000005</v>
      </c>
    </row>
    <row r="360" spans="1:6" x14ac:dyDescent="0.25">
      <c r="A360" s="4">
        <v>42098</v>
      </c>
      <c r="B360" s="3" t="s">
        <v>32</v>
      </c>
      <c r="C360" s="3" t="s">
        <v>19</v>
      </c>
      <c r="D360" s="3" t="s">
        <v>27</v>
      </c>
      <c r="E360" s="3">
        <v>18</v>
      </c>
      <c r="F360" s="5">
        <f t="shared" si="5"/>
        <v>9</v>
      </c>
    </row>
    <row r="361" spans="1:6" x14ac:dyDescent="0.25">
      <c r="A361" s="4">
        <v>42056</v>
      </c>
      <c r="B361" s="3" t="s">
        <v>37</v>
      </c>
      <c r="C361" s="3" t="s">
        <v>19</v>
      </c>
      <c r="D361" s="3" t="s">
        <v>33</v>
      </c>
      <c r="E361" s="3">
        <v>8</v>
      </c>
      <c r="F361" s="5">
        <f t="shared" si="5"/>
        <v>40</v>
      </c>
    </row>
    <row r="362" spans="1:6" x14ac:dyDescent="0.25">
      <c r="A362" s="4">
        <v>42082</v>
      </c>
      <c r="B362" s="3" t="s">
        <v>37</v>
      </c>
      <c r="C362" s="3" t="s">
        <v>10</v>
      </c>
      <c r="D362" s="3" t="s">
        <v>33</v>
      </c>
      <c r="E362" s="3">
        <v>32</v>
      </c>
      <c r="F362" s="5">
        <f t="shared" si="5"/>
        <v>160</v>
      </c>
    </row>
    <row r="363" spans="1:6" x14ac:dyDescent="0.25">
      <c r="A363" s="4">
        <v>42144</v>
      </c>
      <c r="B363" s="3" t="s">
        <v>38</v>
      </c>
      <c r="C363" s="3" t="s">
        <v>19</v>
      </c>
      <c r="D363" s="3" t="s">
        <v>33</v>
      </c>
      <c r="E363" s="3">
        <v>37</v>
      </c>
      <c r="F363" s="5">
        <f t="shared" si="5"/>
        <v>185</v>
      </c>
    </row>
    <row r="364" spans="1:6" x14ac:dyDescent="0.25">
      <c r="A364" s="4">
        <v>42040</v>
      </c>
      <c r="B364" s="3" t="s">
        <v>37</v>
      </c>
      <c r="C364" s="3" t="s">
        <v>10</v>
      </c>
      <c r="D364" s="3" t="s">
        <v>36</v>
      </c>
      <c r="E364" s="3">
        <v>46</v>
      </c>
      <c r="F364" s="5">
        <f t="shared" si="5"/>
        <v>69</v>
      </c>
    </row>
    <row r="365" spans="1:6" x14ac:dyDescent="0.25">
      <c r="A365" s="4">
        <v>42173</v>
      </c>
      <c r="B365" s="3" t="s">
        <v>26</v>
      </c>
      <c r="C365" s="3" t="s">
        <v>19</v>
      </c>
      <c r="D365" s="3" t="s">
        <v>31</v>
      </c>
      <c r="E365" s="3">
        <v>40</v>
      </c>
      <c r="F365" s="5">
        <f t="shared" si="5"/>
        <v>100</v>
      </c>
    </row>
    <row r="366" spans="1:6" x14ac:dyDescent="0.25">
      <c r="A366" s="4">
        <v>42183</v>
      </c>
      <c r="B366" s="3" t="s">
        <v>26</v>
      </c>
      <c r="C366" s="3" t="s">
        <v>2</v>
      </c>
      <c r="D366" s="3" t="s">
        <v>28</v>
      </c>
      <c r="E366" s="3">
        <v>12</v>
      </c>
      <c r="F366" s="5">
        <f t="shared" si="5"/>
        <v>24</v>
      </c>
    </row>
    <row r="367" spans="1:6" x14ac:dyDescent="0.25">
      <c r="A367" s="4">
        <v>42089</v>
      </c>
      <c r="B367" s="3" t="s">
        <v>26</v>
      </c>
      <c r="C367" s="3" t="s">
        <v>5</v>
      </c>
      <c r="D367" s="3" t="s">
        <v>33</v>
      </c>
      <c r="E367" s="3">
        <v>37</v>
      </c>
      <c r="F367" s="5">
        <f t="shared" si="5"/>
        <v>185</v>
      </c>
    </row>
    <row r="368" spans="1:6" x14ac:dyDescent="0.25">
      <c r="A368" s="4">
        <v>42061</v>
      </c>
      <c r="B368" s="3" t="s">
        <v>38</v>
      </c>
      <c r="C368" s="3" t="s">
        <v>6</v>
      </c>
      <c r="D368" s="3" t="s">
        <v>35</v>
      </c>
      <c r="E368" s="3">
        <v>11</v>
      </c>
      <c r="F368" s="5">
        <f t="shared" si="5"/>
        <v>44</v>
      </c>
    </row>
    <row r="369" spans="1:6" x14ac:dyDescent="0.25">
      <c r="A369" s="4">
        <v>42157</v>
      </c>
      <c r="B369" s="3" t="s">
        <v>39</v>
      </c>
      <c r="C369" s="3" t="s">
        <v>10</v>
      </c>
      <c r="D369" s="3" t="s">
        <v>35</v>
      </c>
      <c r="E369" s="3">
        <v>31</v>
      </c>
      <c r="F369" s="5">
        <f t="shared" si="5"/>
        <v>124</v>
      </c>
    </row>
    <row r="370" spans="1:6" x14ac:dyDescent="0.25">
      <c r="A370" s="4">
        <v>42070</v>
      </c>
      <c r="B370" s="3" t="s">
        <v>26</v>
      </c>
      <c r="C370" s="3" t="s">
        <v>5</v>
      </c>
      <c r="D370" s="3" t="s">
        <v>27</v>
      </c>
      <c r="E370" s="3">
        <v>12</v>
      </c>
      <c r="F370" s="5">
        <f t="shared" si="5"/>
        <v>6</v>
      </c>
    </row>
    <row r="371" spans="1:6" x14ac:dyDescent="0.25">
      <c r="A371" s="4">
        <v>42104</v>
      </c>
      <c r="B371" s="3" t="s">
        <v>29</v>
      </c>
      <c r="C371" s="3" t="s">
        <v>19</v>
      </c>
      <c r="D371" s="3" t="s">
        <v>27</v>
      </c>
      <c r="E371" s="3">
        <v>24</v>
      </c>
      <c r="F371" s="5">
        <f t="shared" si="5"/>
        <v>12</v>
      </c>
    </row>
    <row r="372" spans="1:6" x14ac:dyDescent="0.25">
      <c r="A372" s="4">
        <v>42135</v>
      </c>
      <c r="B372" s="3" t="s">
        <v>37</v>
      </c>
      <c r="C372" s="3" t="s">
        <v>10</v>
      </c>
      <c r="D372" s="3" t="s">
        <v>34</v>
      </c>
      <c r="E372" s="3">
        <v>36</v>
      </c>
      <c r="F372" s="5">
        <f t="shared" si="5"/>
        <v>7.2</v>
      </c>
    </row>
    <row r="373" spans="1:6" x14ac:dyDescent="0.25">
      <c r="A373" s="4">
        <v>42174</v>
      </c>
      <c r="B373" s="3" t="s">
        <v>39</v>
      </c>
      <c r="C373" s="3" t="s">
        <v>6</v>
      </c>
      <c r="D373" s="3" t="s">
        <v>30</v>
      </c>
      <c r="E373" s="3">
        <v>40</v>
      </c>
      <c r="F373" s="5">
        <f t="shared" si="5"/>
        <v>4</v>
      </c>
    </row>
    <row r="374" spans="1:6" x14ac:dyDescent="0.25">
      <c r="A374" s="4">
        <v>42013</v>
      </c>
      <c r="B374" s="3" t="s">
        <v>38</v>
      </c>
      <c r="C374" s="3" t="s">
        <v>10</v>
      </c>
      <c r="D374" s="3" t="s">
        <v>33</v>
      </c>
      <c r="E374" s="3">
        <v>12</v>
      </c>
      <c r="F374" s="5">
        <f t="shared" si="5"/>
        <v>60</v>
      </c>
    </row>
    <row r="375" spans="1:6" x14ac:dyDescent="0.25">
      <c r="A375" s="4">
        <v>42079</v>
      </c>
      <c r="B375" s="3" t="s">
        <v>39</v>
      </c>
      <c r="C375" s="3" t="s">
        <v>2</v>
      </c>
      <c r="D375" s="3" t="s">
        <v>27</v>
      </c>
      <c r="E375" s="3">
        <v>16</v>
      </c>
      <c r="F375" s="5">
        <f t="shared" si="5"/>
        <v>8</v>
      </c>
    </row>
    <row r="376" spans="1:6" x14ac:dyDescent="0.25">
      <c r="A376" s="4">
        <v>42092</v>
      </c>
      <c r="B376" s="3" t="s">
        <v>38</v>
      </c>
      <c r="C376" s="3" t="s">
        <v>10</v>
      </c>
      <c r="D376" s="3" t="s">
        <v>34</v>
      </c>
      <c r="E376" s="3">
        <v>27</v>
      </c>
      <c r="F376" s="5">
        <f t="shared" si="5"/>
        <v>5.4</v>
      </c>
    </row>
    <row r="377" spans="1:6" x14ac:dyDescent="0.25">
      <c r="A377" s="4">
        <v>42110</v>
      </c>
      <c r="B377" s="3" t="s">
        <v>29</v>
      </c>
      <c r="C377" s="3" t="s">
        <v>5</v>
      </c>
      <c r="D377" s="3" t="s">
        <v>33</v>
      </c>
      <c r="E377" s="3">
        <v>31</v>
      </c>
      <c r="F377" s="5">
        <f t="shared" si="5"/>
        <v>155</v>
      </c>
    </row>
    <row r="378" spans="1:6" x14ac:dyDescent="0.25">
      <c r="A378" s="4">
        <v>42046</v>
      </c>
      <c r="B378" s="3" t="s">
        <v>37</v>
      </c>
      <c r="C378" s="3" t="s">
        <v>2</v>
      </c>
      <c r="D378" s="3" t="s">
        <v>33</v>
      </c>
      <c r="E378" s="3">
        <v>11</v>
      </c>
      <c r="F378" s="5">
        <f t="shared" si="5"/>
        <v>55</v>
      </c>
    </row>
    <row r="379" spans="1:6" x14ac:dyDescent="0.25">
      <c r="A379" s="4">
        <v>42031</v>
      </c>
      <c r="B379" s="3" t="s">
        <v>39</v>
      </c>
      <c r="C379" s="3" t="s">
        <v>19</v>
      </c>
      <c r="D379" s="3" t="s">
        <v>36</v>
      </c>
      <c r="E379" s="3">
        <v>4</v>
      </c>
      <c r="F379" s="5">
        <f t="shared" si="5"/>
        <v>6</v>
      </c>
    </row>
    <row r="380" spans="1:6" x14ac:dyDescent="0.25">
      <c r="A380" s="4">
        <v>42070</v>
      </c>
      <c r="B380" s="3" t="s">
        <v>39</v>
      </c>
      <c r="C380" s="3" t="s">
        <v>2</v>
      </c>
      <c r="D380" s="3" t="s">
        <v>34</v>
      </c>
      <c r="E380" s="3">
        <v>6</v>
      </c>
      <c r="F380" s="5">
        <f t="shared" si="5"/>
        <v>1.2000000000000002</v>
      </c>
    </row>
    <row r="381" spans="1:6" x14ac:dyDescent="0.25">
      <c r="A381" s="4">
        <v>42111</v>
      </c>
      <c r="B381" s="3" t="s">
        <v>29</v>
      </c>
      <c r="C381" s="3" t="s">
        <v>2</v>
      </c>
      <c r="D381" s="3" t="s">
        <v>36</v>
      </c>
      <c r="E381" s="3">
        <v>28</v>
      </c>
      <c r="F381" s="5">
        <f t="shared" si="5"/>
        <v>42</v>
      </c>
    </row>
    <row r="382" spans="1:6" x14ac:dyDescent="0.25">
      <c r="A382" s="4">
        <v>42107</v>
      </c>
      <c r="B382" s="3" t="s">
        <v>37</v>
      </c>
      <c r="C382" s="3" t="s">
        <v>5</v>
      </c>
      <c r="D382" s="3" t="s">
        <v>27</v>
      </c>
      <c r="E382" s="3">
        <v>22</v>
      </c>
      <c r="F382" s="5">
        <f t="shared" si="5"/>
        <v>11</v>
      </c>
    </row>
    <row r="383" spans="1:6" x14ac:dyDescent="0.25">
      <c r="A383" s="4">
        <v>42053</v>
      </c>
      <c r="B383" s="3" t="s">
        <v>39</v>
      </c>
      <c r="C383" s="3" t="s">
        <v>2</v>
      </c>
      <c r="D383" s="3" t="s">
        <v>28</v>
      </c>
      <c r="E383" s="3">
        <v>46</v>
      </c>
      <c r="F383" s="5">
        <f t="shared" si="5"/>
        <v>92</v>
      </c>
    </row>
    <row r="384" spans="1:6" x14ac:dyDescent="0.25">
      <c r="A384" s="4">
        <v>42047</v>
      </c>
      <c r="B384" s="3" t="s">
        <v>38</v>
      </c>
      <c r="C384" s="3" t="s">
        <v>2</v>
      </c>
      <c r="D384" s="3" t="s">
        <v>27</v>
      </c>
      <c r="E384" s="3">
        <v>48</v>
      </c>
      <c r="F384" s="5">
        <f t="shared" si="5"/>
        <v>24</v>
      </c>
    </row>
    <row r="385" spans="1:6" x14ac:dyDescent="0.25">
      <c r="A385" s="4">
        <v>42132</v>
      </c>
      <c r="B385" s="3" t="s">
        <v>26</v>
      </c>
      <c r="C385" s="3" t="s">
        <v>6</v>
      </c>
      <c r="D385" s="3" t="s">
        <v>27</v>
      </c>
      <c r="E385" s="3">
        <v>28</v>
      </c>
      <c r="F385" s="5">
        <f t="shared" si="5"/>
        <v>14</v>
      </c>
    </row>
    <row r="386" spans="1:6" x14ac:dyDescent="0.25">
      <c r="A386" s="4">
        <v>42011</v>
      </c>
      <c r="B386" s="3" t="s">
        <v>26</v>
      </c>
      <c r="C386" s="3" t="s">
        <v>10</v>
      </c>
      <c r="D386" s="3" t="s">
        <v>27</v>
      </c>
      <c r="E386" s="3">
        <v>3</v>
      </c>
      <c r="F386" s="5">
        <f t="shared" si="5"/>
        <v>1.5</v>
      </c>
    </row>
    <row r="387" spans="1:6" x14ac:dyDescent="0.25">
      <c r="A387" s="4">
        <v>42132</v>
      </c>
      <c r="B387" s="3" t="s">
        <v>38</v>
      </c>
      <c r="C387" s="3" t="s">
        <v>19</v>
      </c>
      <c r="D387" s="3" t="s">
        <v>34</v>
      </c>
      <c r="E387" s="3">
        <v>42</v>
      </c>
      <c r="F387" s="5">
        <f t="shared" si="5"/>
        <v>8.4</v>
      </c>
    </row>
    <row r="388" spans="1:6" x14ac:dyDescent="0.25">
      <c r="A388" s="4">
        <v>42155</v>
      </c>
      <c r="B388" s="3" t="s">
        <v>37</v>
      </c>
      <c r="C388" s="3" t="s">
        <v>5</v>
      </c>
      <c r="D388" s="3" t="s">
        <v>34</v>
      </c>
      <c r="E388" s="3">
        <v>40</v>
      </c>
      <c r="F388" s="5">
        <f t="shared" si="5"/>
        <v>8</v>
      </c>
    </row>
    <row r="389" spans="1:6" x14ac:dyDescent="0.25">
      <c r="A389" s="4">
        <v>42043</v>
      </c>
      <c r="B389" s="3" t="s">
        <v>29</v>
      </c>
      <c r="C389" s="3" t="s">
        <v>2</v>
      </c>
      <c r="D389" s="3" t="s">
        <v>30</v>
      </c>
      <c r="E389" s="3">
        <v>39</v>
      </c>
      <c r="F389" s="5">
        <f t="shared" si="5"/>
        <v>3.9000000000000004</v>
      </c>
    </row>
    <row r="390" spans="1:6" x14ac:dyDescent="0.25">
      <c r="A390" s="4">
        <v>42184</v>
      </c>
      <c r="B390" s="3" t="s">
        <v>39</v>
      </c>
      <c r="C390" s="3" t="s">
        <v>6</v>
      </c>
      <c r="D390" s="3" t="s">
        <v>33</v>
      </c>
      <c r="E390" s="3">
        <v>41</v>
      </c>
      <c r="F390" s="5">
        <f t="shared" si="5"/>
        <v>205</v>
      </c>
    </row>
    <row r="391" spans="1:6" x14ac:dyDescent="0.25">
      <c r="A391" s="4">
        <v>42163</v>
      </c>
      <c r="B391" s="3" t="s">
        <v>39</v>
      </c>
      <c r="C391" s="3" t="s">
        <v>10</v>
      </c>
      <c r="D391" s="3" t="s">
        <v>30</v>
      </c>
      <c r="E391" s="3">
        <v>18</v>
      </c>
      <c r="F391" s="5">
        <f t="shared" ref="F391:F454" si="6">E391*VLOOKUP(D391,$W$6:$X$13,2,0)</f>
        <v>1.8</v>
      </c>
    </row>
    <row r="392" spans="1:6" x14ac:dyDescent="0.25">
      <c r="A392" s="4">
        <v>42023</v>
      </c>
      <c r="B392" s="3" t="s">
        <v>37</v>
      </c>
      <c r="C392" s="3" t="s">
        <v>19</v>
      </c>
      <c r="D392" s="3" t="s">
        <v>35</v>
      </c>
      <c r="E392" s="3">
        <v>45</v>
      </c>
      <c r="F392" s="5">
        <f t="shared" si="6"/>
        <v>180</v>
      </c>
    </row>
    <row r="393" spans="1:6" x14ac:dyDescent="0.25">
      <c r="A393" s="4">
        <v>42157</v>
      </c>
      <c r="B393" s="3" t="s">
        <v>32</v>
      </c>
      <c r="C393" s="3" t="s">
        <v>5</v>
      </c>
      <c r="D393" s="3" t="s">
        <v>31</v>
      </c>
      <c r="E393" s="3">
        <v>10</v>
      </c>
      <c r="F393" s="5">
        <f t="shared" si="6"/>
        <v>25</v>
      </c>
    </row>
    <row r="394" spans="1:6" x14ac:dyDescent="0.25">
      <c r="A394" s="4">
        <v>42013</v>
      </c>
      <c r="B394" s="3" t="s">
        <v>37</v>
      </c>
      <c r="C394" s="3" t="s">
        <v>5</v>
      </c>
      <c r="D394" s="3" t="s">
        <v>34</v>
      </c>
      <c r="E394" s="3">
        <v>23</v>
      </c>
      <c r="F394" s="5">
        <f t="shared" si="6"/>
        <v>4.6000000000000005</v>
      </c>
    </row>
    <row r="395" spans="1:6" x14ac:dyDescent="0.25">
      <c r="A395" s="4">
        <v>42153</v>
      </c>
      <c r="B395" s="3" t="s">
        <v>38</v>
      </c>
      <c r="C395" s="3" t="s">
        <v>6</v>
      </c>
      <c r="D395" s="3" t="s">
        <v>33</v>
      </c>
      <c r="E395" s="3">
        <v>49</v>
      </c>
      <c r="F395" s="5">
        <f t="shared" si="6"/>
        <v>245</v>
      </c>
    </row>
    <row r="396" spans="1:6" x14ac:dyDescent="0.25">
      <c r="A396" s="4">
        <v>42098</v>
      </c>
      <c r="B396" s="3" t="s">
        <v>29</v>
      </c>
      <c r="C396" s="3" t="s">
        <v>6</v>
      </c>
      <c r="D396" s="3" t="s">
        <v>33</v>
      </c>
      <c r="E396" s="3">
        <v>14</v>
      </c>
      <c r="F396" s="5">
        <f t="shared" si="6"/>
        <v>70</v>
      </c>
    </row>
    <row r="397" spans="1:6" x14ac:dyDescent="0.25">
      <c r="A397" s="4">
        <v>42006</v>
      </c>
      <c r="B397" s="3" t="s">
        <v>29</v>
      </c>
      <c r="C397" s="3" t="s">
        <v>19</v>
      </c>
      <c r="D397" s="3" t="s">
        <v>36</v>
      </c>
      <c r="E397" s="3">
        <v>37</v>
      </c>
      <c r="F397" s="5">
        <f t="shared" si="6"/>
        <v>55.5</v>
      </c>
    </row>
    <row r="398" spans="1:6" x14ac:dyDescent="0.25">
      <c r="A398" s="4">
        <v>42181</v>
      </c>
      <c r="B398" s="3" t="s">
        <v>29</v>
      </c>
      <c r="C398" s="3" t="s">
        <v>5</v>
      </c>
      <c r="D398" s="3" t="s">
        <v>31</v>
      </c>
      <c r="E398" s="3">
        <v>50</v>
      </c>
      <c r="F398" s="5">
        <f t="shared" si="6"/>
        <v>125</v>
      </c>
    </row>
    <row r="399" spans="1:6" x14ac:dyDescent="0.25">
      <c r="A399" s="4">
        <v>42006</v>
      </c>
      <c r="B399" s="3" t="s">
        <v>38</v>
      </c>
      <c r="C399" s="3" t="s">
        <v>5</v>
      </c>
      <c r="D399" s="3" t="s">
        <v>33</v>
      </c>
      <c r="E399" s="3">
        <v>27</v>
      </c>
      <c r="F399" s="5">
        <f t="shared" si="6"/>
        <v>135</v>
      </c>
    </row>
    <row r="400" spans="1:6" x14ac:dyDescent="0.25">
      <c r="A400" s="4">
        <v>42036</v>
      </c>
      <c r="B400" s="3" t="s">
        <v>26</v>
      </c>
      <c r="C400" s="3" t="s">
        <v>2</v>
      </c>
      <c r="D400" s="3" t="s">
        <v>33</v>
      </c>
      <c r="E400" s="3">
        <v>41</v>
      </c>
      <c r="F400" s="5">
        <f t="shared" si="6"/>
        <v>205</v>
      </c>
    </row>
    <row r="401" spans="1:6" x14ac:dyDescent="0.25">
      <c r="A401" s="4">
        <v>42161</v>
      </c>
      <c r="B401" s="3" t="s">
        <v>37</v>
      </c>
      <c r="C401" s="3" t="s">
        <v>5</v>
      </c>
      <c r="D401" s="3" t="s">
        <v>33</v>
      </c>
      <c r="E401" s="3">
        <v>27</v>
      </c>
      <c r="F401" s="5">
        <f t="shared" si="6"/>
        <v>135</v>
      </c>
    </row>
    <row r="402" spans="1:6" x14ac:dyDescent="0.25">
      <c r="A402" s="4">
        <v>42059</v>
      </c>
      <c r="B402" s="3" t="s">
        <v>39</v>
      </c>
      <c r="C402" s="3" t="s">
        <v>10</v>
      </c>
      <c r="D402" s="3" t="s">
        <v>27</v>
      </c>
      <c r="E402" s="3">
        <v>4</v>
      </c>
      <c r="F402" s="5">
        <f t="shared" si="6"/>
        <v>2</v>
      </c>
    </row>
    <row r="403" spans="1:6" x14ac:dyDescent="0.25">
      <c r="A403" s="4">
        <v>42132</v>
      </c>
      <c r="B403" s="3" t="s">
        <v>37</v>
      </c>
      <c r="C403" s="3" t="s">
        <v>5</v>
      </c>
      <c r="D403" s="3" t="s">
        <v>36</v>
      </c>
      <c r="E403" s="3">
        <v>31</v>
      </c>
      <c r="F403" s="5">
        <f t="shared" si="6"/>
        <v>46.5</v>
      </c>
    </row>
    <row r="404" spans="1:6" x14ac:dyDescent="0.25">
      <c r="A404" s="4">
        <v>42005</v>
      </c>
      <c r="B404" s="3" t="s">
        <v>38</v>
      </c>
      <c r="C404" s="3" t="s">
        <v>2</v>
      </c>
      <c r="D404" s="3" t="s">
        <v>35</v>
      </c>
      <c r="E404" s="3">
        <v>30</v>
      </c>
      <c r="F404" s="5">
        <f t="shared" si="6"/>
        <v>120</v>
      </c>
    </row>
    <row r="405" spans="1:6" x14ac:dyDescent="0.25">
      <c r="A405" s="4">
        <v>42066</v>
      </c>
      <c r="B405" s="3" t="s">
        <v>39</v>
      </c>
      <c r="C405" s="3" t="s">
        <v>5</v>
      </c>
      <c r="D405" s="3" t="s">
        <v>27</v>
      </c>
      <c r="E405" s="3">
        <v>23</v>
      </c>
      <c r="F405" s="5">
        <f t="shared" si="6"/>
        <v>11.5</v>
      </c>
    </row>
    <row r="406" spans="1:6" x14ac:dyDescent="0.25">
      <c r="A406" s="4">
        <v>42080</v>
      </c>
      <c r="B406" s="3" t="s">
        <v>38</v>
      </c>
      <c r="C406" s="3" t="s">
        <v>5</v>
      </c>
      <c r="D406" s="3" t="s">
        <v>28</v>
      </c>
      <c r="E406" s="3">
        <v>22</v>
      </c>
      <c r="F406" s="5">
        <f t="shared" si="6"/>
        <v>44</v>
      </c>
    </row>
    <row r="407" spans="1:6" x14ac:dyDescent="0.25">
      <c r="A407" s="4">
        <v>42118</v>
      </c>
      <c r="B407" s="3" t="s">
        <v>26</v>
      </c>
      <c r="C407" s="3" t="s">
        <v>2</v>
      </c>
      <c r="D407" s="3" t="s">
        <v>28</v>
      </c>
      <c r="E407" s="3">
        <v>34</v>
      </c>
      <c r="F407" s="5">
        <f t="shared" si="6"/>
        <v>68</v>
      </c>
    </row>
    <row r="408" spans="1:6" x14ac:dyDescent="0.25">
      <c r="A408" s="4">
        <v>42040</v>
      </c>
      <c r="B408" s="3" t="s">
        <v>37</v>
      </c>
      <c r="C408" s="3" t="s">
        <v>2</v>
      </c>
      <c r="D408" s="3" t="s">
        <v>35</v>
      </c>
      <c r="E408" s="3">
        <v>33</v>
      </c>
      <c r="F408" s="5">
        <f t="shared" si="6"/>
        <v>132</v>
      </c>
    </row>
    <row r="409" spans="1:6" x14ac:dyDescent="0.25">
      <c r="A409" s="4">
        <v>42036</v>
      </c>
      <c r="B409" s="3" t="s">
        <v>26</v>
      </c>
      <c r="C409" s="3" t="s">
        <v>10</v>
      </c>
      <c r="D409" s="3" t="s">
        <v>34</v>
      </c>
      <c r="E409" s="3">
        <v>23</v>
      </c>
      <c r="F409" s="5">
        <f t="shared" si="6"/>
        <v>4.6000000000000005</v>
      </c>
    </row>
    <row r="410" spans="1:6" x14ac:dyDescent="0.25">
      <c r="A410" s="4">
        <v>42023</v>
      </c>
      <c r="B410" s="3" t="s">
        <v>29</v>
      </c>
      <c r="C410" s="3" t="s">
        <v>6</v>
      </c>
      <c r="D410" s="3" t="s">
        <v>35</v>
      </c>
      <c r="E410" s="3">
        <v>46</v>
      </c>
      <c r="F410" s="5">
        <f t="shared" si="6"/>
        <v>184</v>
      </c>
    </row>
    <row r="411" spans="1:6" x14ac:dyDescent="0.25">
      <c r="A411" s="4">
        <v>42180</v>
      </c>
      <c r="B411" s="3" t="s">
        <v>26</v>
      </c>
      <c r="C411" s="3" t="s">
        <v>6</v>
      </c>
      <c r="D411" s="3" t="s">
        <v>28</v>
      </c>
      <c r="E411" s="3">
        <v>4</v>
      </c>
      <c r="F411" s="5">
        <f t="shared" si="6"/>
        <v>8</v>
      </c>
    </row>
    <row r="412" spans="1:6" x14ac:dyDescent="0.25">
      <c r="A412" s="4">
        <v>42044</v>
      </c>
      <c r="B412" s="3" t="s">
        <v>38</v>
      </c>
      <c r="C412" s="3" t="s">
        <v>5</v>
      </c>
      <c r="D412" s="3" t="s">
        <v>35</v>
      </c>
      <c r="E412" s="3">
        <v>23</v>
      </c>
      <c r="F412" s="5">
        <f t="shared" si="6"/>
        <v>92</v>
      </c>
    </row>
    <row r="413" spans="1:6" x14ac:dyDescent="0.25">
      <c r="A413" s="4">
        <v>42029</v>
      </c>
      <c r="B413" s="3" t="s">
        <v>29</v>
      </c>
      <c r="C413" s="3" t="s">
        <v>10</v>
      </c>
      <c r="D413" s="3" t="s">
        <v>27</v>
      </c>
      <c r="E413" s="3">
        <v>10</v>
      </c>
      <c r="F413" s="5">
        <f t="shared" si="6"/>
        <v>5</v>
      </c>
    </row>
    <row r="414" spans="1:6" x14ac:dyDescent="0.25">
      <c r="A414" s="4">
        <v>42126</v>
      </c>
      <c r="B414" s="3" t="s">
        <v>26</v>
      </c>
      <c r="C414" s="3" t="s">
        <v>2</v>
      </c>
      <c r="D414" s="3" t="s">
        <v>31</v>
      </c>
      <c r="E414" s="3">
        <v>4</v>
      </c>
      <c r="F414" s="5">
        <f t="shared" si="6"/>
        <v>10</v>
      </c>
    </row>
    <row r="415" spans="1:6" x14ac:dyDescent="0.25">
      <c r="A415" s="4">
        <v>42013</v>
      </c>
      <c r="B415" s="3" t="s">
        <v>26</v>
      </c>
      <c r="C415" s="3" t="s">
        <v>5</v>
      </c>
      <c r="D415" s="3" t="s">
        <v>27</v>
      </c>
      <c r="E415" s="3">
        <v>10</v>
      </c>
      <c r="F415" s="5">
        <f t="shared" si="6"/>
        <v>5</v>
      </c>
    </row>
    <row r="416" spans="1:6" x14ac:dyDescent="0.25">
      <c r="A416" s="4">
        <v>42092</v>
      </c>
      <c r="B416" s="3" t="s">
        <v>32</v>
      </c>
      <c r="C416" s="3" t="s">
        <v>10</v>
      </c>
      <c r="D416" s="3" t="s">
        <v>27</v>
      </c>
      <c r="E416" s="3">
        <v>38</v>
      </c>
      <c r="F416" s="5">
        <f t="shared" si="6"/>
        <v>19</v>
      </c>
    </row>
    <row r="417" spans="1:6" x14ac:dyDescent="0.25">
      <c r="A417" s="4">
        <v>42109</v>
      </c>
      <c r="B417" s="3" t="s">
        <v>32</v>
      </c>
      <c r="C417" s="3" t="s">
        <v>19</v>
      </c>
      <c r="D417" s="3" t="s">
        <v>31</v>
      </c>
      <c r="E417" s="3">
        <v>47</v>
      </c>
      <c r="F417" s="5">
        <f t="shared" si="6"/>
        <v>117.5</v>
      </c>
    </row>
    <row r="418" spans="1:6" x14ac:dyDescent="0.25">
      <c r="A418" s="4">
        <v>42138</v>
      </c>
      <c r="B418" s="3" t="s">
        <v>26</v>
      </c>
      <c r="C418" s="3" t="s">
        <v>5</v>
      </c>
      <c r="D418" s="3" t="s">
        <v>33</v>
      </c>
      <c r="E418" s="3">
        <v>29</v>
      </c>
      <c r="F418" s="5">
        <f t="shared" si="6"/>
        <v>145</v>
      </c>
    </row>
    <row r="419" spans="1:6" x14ac:dyDescent="0.25">
      <c r="A419" s="4">
        <v>42044</v>
      </c>
      <c r="B419" s="3" t="s">
        <v>37</v>
      </c>
      <c r="C419" s="3" t="s">
        <v>10</v>
      </c>
      <c r="D419" s="3" t="s">
        <v>27</v>
      </c>
      <c r="E419" s="3">
        <v>46</v>
      </c>
      <c r="F419" s="5">
        <f t="shared" si="6"/>
        <v>23</v>
      </c>
    </row>
    <row r="420" spans="1:6" x14ac:dyDescent="0.25">
      <c r="A420" s="4">
        <v>42010</v>
      </c>
      <c r="B420" s="3" t="s">
        <v>26</v>
      </c>
      <c r="C420" s="3" t="s">
        <v>19</v>
      </c>
      <c r="D420" s="3" t="s">
        <v>31</v>
      </c>
      <c r="E420" s="3">
        <v>37</v>
      </c>
      <c r="F420" s="5">
        <f t="shared" si="6"/>
        <v>92.5</v>
      </c>
    </row>
    <row r="421" spans="1:6" x14ac:dyDescent="0.25">
      <c r="A421" s="4">
        <v>42032</v>
      </c>
      <c r="B421" s="3" t="s">
        <v>29</v>
      </c>
      <c r="C421" s="3" t="s">
        <v>10</v>
      </c>
      <c r="D421" s="3" t="s">
        <v>36</v>
      </c>
      <c r="E421" s="3">
        <v>10</v>
      </c>
      <c r="F421" s="5">
        <f t="shared" si="6"/>
        <v>15</v>
      </c>
    </row>
    <row r="422" spans="1:6" x14ac:dyDescent="0.25">
      <c r="A422" s="4">
        <v>42067</v>
      </c>
      <c r="B422" s="3" t="s">
        <v>37</v>
      </c>
      <c r="C422" s="3" t="s">
        <v>2</v>
      </c>
      <c r="D422" s="3" t="s">
        <v>28</v>
      </c>
      <c r="E422" s="3">
        <v>41</v>
      </c>
      <c r="F422" s="5">
        <f t="shared" si="6"/>
        <v>82</v>
      </c>
    </row>
    <row r="423" spans="1:6" x14ac:dyDescent="0.25">
      <c r="A423" s="4">
        <v>42165</v>
      </c>
      <c r="B423" s="3" t="s">
        <v>26</v>
      </c>
      <c r="C423" s="3" t="s">
        <v>6</v>
      </c>
      <c r="D423" s="3" t="s">
        <v>34</v>
      </c>
      <c r="E423" s="3">
        <v>46</v>
      </c>
      <c r="F423" s="5">
        <f t="shared" si="6"/>
        <v>9.2000000000000011</v>
      </c>
    </row>
    <row r="424" spans="1:6" x14ac:dyDescent="0.25">
      <c r="A424" s="4">
        <v>42128</v>
      </c>
      <c r="B424" s="3" t="s">
        <v>32</v>
      </c>
      <c r="C424" s="3" t="s">
        <v>19</v>
      </c>
      <c r="D424" s="3" t="s">
        <v>36</v>
      </c>
      <c r="E424" s="3">
        <v>41</v>
      </c>
      <c r="F424" s="5">
        <f t="shared" si="6"/>
        <v>61.5</v>
      </c>
    </row>
    <row r="425" spans="1:6" x14ac:dyDescent="0.25">
      <c r="A425" s="4">
        <v>42139</v>
      </c>
      <c r="B425" s="3" t="s">
        <v>29</v>
      </c>
      <c r="C425" s="3" t="s">
        <v>5</v>
      </c>
      <c r="D425" s="3" t="s">
        <v>31</v>
      </c>
      <c r="E425" s="3">
        <v>37</v>
      </c>
      <c r="F425" s="5">
        <f t="shared" si="6"/>
        <v>92.5</v>
      </c>
    </row>
    <row r="426" spans="1:6" x14ac:dyDescent="0.25">
      <c r="A426" s="4">
        <v>42047</v>
      </c>
      <c r="B426" s="3" t="s">
        <v>32</v>
      </c>
      <c r="C426" s="3" t="s">
        <v>19</v>
      </c>
      <c r="D426" s="3" t="s">
        <v>33</v>
      </c>
      <c r="E426" s="3">
        <v>34</v>
      </c>
      <c r="F426" s="5">
        <f t="shared" si="6"/>
        <v>170</v>
      </c>
    </row>
    <row r="427" spans="1:6" x14ac:dyDescent="0.25">
      <c r="A427" s="4">
        <v>42087</v>
      </c>
      <c r="B427" s="3" t="s">
        <v>38</v>
      </c>
      <c r="C427" s="3" t="s">
        <v>2</v>
      </c>
      <c r="D427" s="3" t="s">
        <v>30</v>
      </c>
      <c r="E427" s="3">
        <v>39</v>
      </c>
      <c r="F427" s="5">
        <f t="shared" si="6"/>
        <v>3.9000000000000004</v>
      </c>
    </row>
    <row r="428" spans="1:6" x14ac:dyDescent="0.25">
      <c r="A428" s="4">
        <v>42162</v>
      </c>
      <c r="B428" s="3" t="s">
        <v>37</v>
      </c>
      <c r="C428" s="3" t="s">
        <v>5</v>
      </c>
      <c r="D428" s="3" t="s">
        <v>35</v>
      </c>
      <c r="E428" s="3">
        <v>3</v>
      </c>
      <c r="F428" s="5">
        <f t="shared" si="6"/>
        <v>12</v>
      </c>
    </row>
    <row r="429" spans="1:6" x14ac:dyDescent="0.25">
      <c r="A429" s="4">
        <v>42057</v>
      </c>
      <c r="B429" s="3" t="s">
        <v>29</v>
      </c>
      <c r="C429" s="3" t="s">
        <v>2</v>
      </c>
      <c r="D429" s="3" t="s">
        <v>28</v>
      </c>
      <c r="E429" s="3">
        <v>28</v>
      </c>
      <c r="F429" s="5">
        <f t="shared" si="6"/>
        <v>56</v>
      </c>
    </row>
    <row r="430" spans="1:6" x14ac:dyDescent="0.25">
      <c r="A430" s="4">
        <v>42130</v>
      </c>
      <c r="B430" s="3" t="s">
        <v>37</v>
      </c>
      <c r="C430" s="3" t="s">
        <v>10</v>
      </c>
      <c r="D430" s="3" t="s">
        <v>34</v>
      </c>
      <c r="E430" s="3">
        <v>6</v>
      </c>
      <c r="F430" s="5">
        <f t="shared" si="6"/>
        <v>1.2000000000000002</v>
      </c>
    </row>
    <row r="431" spans="1:6" x14ac:dyDescent="0.25">
      <c r="A431" s="4">
        <v>42152</v>
      </c>
      <c r="B431" s="3" t="s">
        <v>32</v>
      </c>
      <c r="C431" s="3" t="s">
        <v>2</v>
      </c>
      <c r="D431" s="3" t="s">
        <v>31</v>
      </c>
      <c r="E431" s="3">
        <v>11</v>
      </c>
      <c r="F431" s="5">
        <f t="shared" si="6"/>
        <v>27.5</v>
      </c>
    </row>
    <row r="432" spans="1:6" x14ac:dyDescent="0.25">
      <c r="A432" s="4">
        <v>42014</v>
      </c>
      <c r="B432" s="3" t="s">
        <v>26</v>
      </c>
      <c r="C432" s="3" t="s">
        <v>2</v>
      </c>
      <c r="D432" s="3" t="s">
        <v>34</v>
      </c>
      <c r="E432" s="3">
        <v>14</v>
      </c>
      <c r="F432" s="5">
        <f t="shared" si="6"/>
        <v>2.8000000000000003</v>
      </c>
    </row>
    <row r="433" spans="1:6" x14ac:dyDescent="0.25">
      <c r="A433" s="4">
        <v>42140</v>
      </c>
      <c r="B433" s="3" t="s">
        <v>37</v>
      </c>
      <c r="C433" s="3" t="s">
        <v>19</v>
      </c>
      <c r="D433" s="3" t="s">
        <v>30</v>
      </c>
      <c r="E433" s="3">
        <v>9</v>
      </c>
      <c r="F433" s="5">
        <f t="shared" si="6"/>
        <v>0.9</v>
      </c>
    </row>
    <row r="434" spans="1:6" x14ac:dyDescent="0.25">
      <c r="A434" s="4">
        <v>42021</v>
      </c>
      <c r="B434" s="3" t="s">
        <v>38</v>
      </c>
      <c r="C434" s="3" t="s">
        <v>6</v>
      </c>
      <c r="D434" s="3" t="s">
        <v>27</v>
      </c>
      <c r="E434" s="3">
        <v>2</v>
      </c>
      <c r="F434" s="5">
        <f t="shared" si="6"/>
        <v>1</v>
      </c>
    </row>
    <row r="435" spans="1:6" x14ac:dyDescent="0.25">
      <c r="A435" s="4">
        <v>42149</v>
      </c>
      <c r="B435" s="3" t="s">
        <v>39</v>
      </c>
      <c r="C435" s="3" t="s">
        <v>10</v>
      </c>
      <c r="D435" s="3" t="s">
        <v>36</v>
      </c>
      <c r="E435" s="3">
        <v>19</v>
      </c>
      <c r="F435" s="5">
        <f t="shared" si="6"/>
        <v>28.5</v>
      </c>
    </row>
    <row r="436" spans="1:6" x14ac:dyDescent="0.25">
      <c r="A436" s="4">
        <v>42015</v>
      </c>
      <c r="B436" s="3" t="s">
        <v>32</v>
      </c>
      <c r="C436" s="3" t="s">
        <v>10</v>
      </c>
      <c r="D436" s="3" t="s">
        <v>36</v>
      </c>
      <c r="E436" s="3">
        <v>15</v>
      </c>
      <c r="F436" s="5">
        <f t="shared" si="6"/>
        <v>22.5</v>
      </c>
    </row>
    <row r="437" spans="1:6" x14ac:dyDescent="0.25">
      <c r="A437" s="4">
        <v>42087</v>
      </c>
      <c r="B437" s="3" t="s">
        <v>32</v>
      </c>
      <c r="C437" s="3" t="s">
        <v>6</v>
      </c>
      <c r="D437" s="3" t="s">
        <v>33</v>
      </c>
      <c r="E437" s="3">
        <v>44</v>
      </c>
      <c r="F437" s="5">
        <f t="shared" si="6"/>
        <v>220</v>
      </c>
    </row>
    <row r="438" spans="1:6" x14ac:dyDescent="0.25">
      <c r="A438" s="4">
        <v>42034</v>
      </c>
      <c r="B438" s="3" t="s">
        <v>39</v>
      </c>
      <c r="C438" s="3" t="s">
        <v>10</v>
      </c>
      <c r="D438" s="3" t="s">
        <v>27</v>
      </c>
      <c r="E438" s="3">
        <v>24</v>
      </c>
      <c r="F438" s="5">
        <f t="shared" si="6"/>
        <v>12</v>
      </c>
    </row>
    <row r="439" spans="1:6" x14ac:dyDescent="0.25">
      <c r="A439" s="4">
        <v>42110</v>
      </c>
      <c r="B439" s="3" t="s">
        <v>39</v>
      </c>
      <c r="C439" s="3" t="s">
        <v>10</v>
      </c>
      <c r="D439" s="3" t="s">
        <v>28</v>
      </c>
      <c r="E439" s="3">
        <v>46</v>
      </c>
      <c r="F439" s="5">
        <f t="shared" si="6"/>
        <v>92</v>
      </c>
    </row>
    <row r="440" spans="1:6" x14ac:dyDescent="0.25">
      <c r="A440" s="4">
        <v>42107</v>
      </c>
      <c r="B440" s="3" t="s">
        <v>39</v>
      </c>
      <c r="C440" s="3" t="s">
        <v>19</v>
      </c>
      <c r="D440" s="3" t="s">
        <v>34</v>
      </c>
      <c r="E440" s="3">
        <v>11</v>
      </c>
      <c r="F440" s="5">
        <f t="shared" si="6"/>
        <v>2.2000000000000002</v>
      </c>
    </row>
    <row r="441" spans="1:6" x14ac:dyDescent="0.25">
      <c r="A441" s="4">
        <v>42130</v>
      </c>
      <c r="B441" s="3" t="s">
        <v>32</v>
      </c>
      <c r="C441" s="3" t="s">
        <v>6</v>
      </c>
      <c r="D441" s="3" t="s">
        <v>33</v>
      </c>
      <c r="E441" s="3">
        <v>20</v>
      </c>
      <c r="F441" s="5">
        <f t="shared" si="6"/>
        <v>100</v>
      </c>
    </row>
    <row r="442" spans="1:6" x14ac:dyDescent="0.25">
      <c r="A442" s="4">
        <v>42076</v>
      </c>
      <c r="B442" s="3" t="s">
        <v>38</v>
      </c>
      <c r="C442" s="3" t="s">
        <v>5</v>
      </c>
      <c r="D442" s="3" t="s">
        <v>30</v>
      </c>
      <c r="E442" s="3">
        <v>10</v>
      </c>
      <c r="F442" s="5">
        <f t="shared" si="6"/>
        <v>1</v>
      </c>
    </row>
    <row r="443" spans="1:6" x14ac:dyDescent="0.25">
      <c r="A443" s="4">
        <v>42023</v>
      </c>
      <c r="B443" s="3" t="s">
        <v>32</v>
      </c>
      <c r="C443" s="3" t="s">
        <v>10</v>
      </c>
      <c r="D443" s="3" t="s">
        <v>27</v>
      </c>
      <c r="E443" s="3">
        <v>25</v>
      </c>
      <c r="F443" s="5">
        <f t="shared" si="6"/>
        <v>12.5</v>
      </c>
    </row>
    <row r="444" spans="1:6" x14ac:dyDescent="0.25">
      <c r="A444" s="4">
        <v>42093</v>
      </c>
      <c r="B444" s="3" t="s">
        <v>29</v>
      </c>
      <c r="C444" s="3" t="s">
        <v>2</v>
      </c>
      <c r="D444" s="3" t="s">
        <v>34</v>
      </c>
      <c r="E444" s="3">
        <v>47</v>
      </c>
      <c r="F444" s="5">
        <f t="shared" si="6"/>
        <v>9.4</v>
      </c>
    </row>
    <row r="445" spans="1:6" x14ac:dyDescent="0.25">
      <c r="A445" s="4">
        <v>42035</v>
      </c>
      <c r="B445" s="3" t="s">
        <v>29</v>
      </c>
      <c r="C445" s="3" t="s">
        <v>6</v>
      </c>
      <c r="D445" s="3" t="s">
        <v>33</v>
      </c>
      <c r="E445" s="3">
        <v>17</v>
      </c>
      <c r="F445" s="5">
        <f t="shared" si="6"/>
        <v>85</v>
      </c>
    </row>
    <row r="446" spans="1:6" x14ac:dyDescent="0.25">
      <c r="A446" s="4">
        <v>42099</v>
      </c>
      <c r="B446" s="3" t="s">
        <v>38</v>
      </c>
      <c r="C446" s="3" t="s">
        <v>5</v>
      </c>
      <c r="D446" s="3" t="s">
        <v>30</v>
      </c>
      <c r="E446" s="3">
        <v>10</v>
      </c>
      <c r="F446" s="5">
        <f t="shared" si="6"/>
        <v>1</v>
      </c>
    </row>
    <row r="447" spans="1:6" x14ac:dyDescent="0.25">
      <c r="A447" s="4">
        <v>42080</v>
      </c>
      <c r="B447" s="3" t="s">
        <v>32</v>
      </c>
      <c r="C447" s="3" t="s">
        <v>6</v>
      </c>
      <c r="D447" s="3" t="s">
        <v>30</v>
      </c>
      <c r="E447" s="3">
        <v>30</v>
      </c>
      <c r="F447" s="5">
        <f t="shared" si="6"/>
        <v>3</v>
      </c>
    </row>
    <row r="448" spans="1:6" x14ac:dyDescent="0.25">
      <c r="A448" s="4">
        <v>42006</v>
      </c>
      <c r="B448" s="3" t="s">
        <v>29</v>
      </c>
      <c r="C448" s="3" t="s">
        <v>19</v>
      </c>
      <c r="D448" s="3" t="s">
        <v>27</v>
      </c>
      <c r="E448" s="3">
        <v>13</v>
      </c>
      <c r="F448" s="5">
        <f t="shared" si="6"/>
        <v>6.5</v>
      </c>
    </row>
    <row r="449" spans="1:6" x14ac:dyDescent="0.25">
      <c r="A449" s="4">
        <v>42179</v>
      </c>
      <c r="B449" s="3" t="s">
        <v>38</v>
      </c>
      <c r="C449" s="3" t="s">
        <v>2</v>
      </c>
      <c r="D449" s="3" t="s">
        <v>28</v>
      </c>
      <c r="E449" s="3">
        <v>17</v>
      </c>
      <c r="F449" s="5">
        <f t="shared" si="6"/>
        <v>34</v>
      </c>
    </row>
    <row r="450" spans="1:6" x14ac:dyDescent="0.25">
      <c r="A450" s="4">
        <v>42170</v>
      </c>
      <c r="B450" s="3" t="s">
        <v>39</v>
      </c>
      <c r="C450" s="3" t="s">
        <v>5</v>
      </c>
      <c r="D450" s="3" t="s">
        <v>27</v>
      </c>
      <c r="E450" s="3">
        <v>32</v>
      </c>
      <c r="F450" s="5">
        <f t="shared" si="6"/>
        <v>16</v>
      </c>
    </row>
    <row r="451" spans="1:6" x14ac:dyDescent="0.25">
      <c r="A451" s="4">
        <v>42068</v>
      </c>
      <c r="B451" s="3" t="s">
        <v>26</v>
      </c>
      <c r="C451" s="3" t="s">
        <v>10</v>
      </c>
      <c r="D451" s="3" t="s">
        <v>36</v>
      </c>
      <c r="E451" s="3">
        <v>34</v>
      </c>
      <c r="F451" s="5">
        <f t="shared" si="6"/>
        <v>51</v>
      </c>
    </row>
    <row r="452" spans="1:6" x14ac:dyDescent="0.25">
      <c r="A452" s="4">
        <v>42118</v>
      </c>
      <c r="B452" s="3" t="s">
        <v>29</v>
      </c>
      <c r="C452" s="3" t="s">
        <v>19</v>
      </c>
      <c r="D452" s="3" t="s">
        <v>31</v>
      </c>
      <c r="E452" s="3">
        <v>14</v>
      </c>
      <c r="F452" s="5">
        <f t="shared" si="6"/>
        <v>35</v>
      </c>
    </row>
    <row r="453" spans="1:6" x14ac:dyDescent="0.25">
      <c r="A453" s="4">
        <v>42042</v>
      </c>
      <c r="B453" s="3" t="s">
        <v>39</v>
      </c>
      <c r="C453" s="3" t="s">
        <v>10</v>
      </c>
      <c r="D453" s="3" t="s">
        <v>28</v>
      </c>
      <c r="E453" s="3">
        <v>37</v>
      </c>
      <c r="F453" s="5">
        <f t="shared" si="6"/>
        <v>74</v>
      </c>
    </row>
    <row r="454" spans="1:6" x14ac:dyDescent="0.25">
      <c r="A454" s="4">
        <v>42016</v>
      </c>
      <c r="B454" s="3" t="s">
        <v>32</v>
      </c>
      <c r="C454" s="3" t="s">
        <v>10</v>
      </c>
      <c r="D454" s="3" t="s">
        <v>36</v>
      </c>
      <c r="E454" s="3">
        <v>31</v>
      </c>
      <c r="F454" s="5">
        <f t="shared" si="6"/>
        <v>46.5</v>
      </c>
    </row>
    <row r="455" spans="1:6" x14ac:dyDescent="0.25">
      <c r="A455" s="4">
        <v>42126</v>
      </c>
      <c r="B455" s="3" t="s">
        <v>26</v>
      </c>
      <c r="C455" s="3" t="s">
        <v>10</v>
      </c>
      <c r="D455" s="3" t="s">
        <v>36</v>
      </c>
      <c r="E455" s="3">
        <v>32</v>
      </c>
      <c r="F455" s="5">
        <f t="shared" ref="F455:F499" si="7">E455*VLOOKUP(D455,$W$6:$X$13,2,0)</f>
        <v>48</v>
      </c>
    </row>
    <row r="456" spans="1:6" x14ac:dyDescent="0.25">
      <c r="A456" s="4">
        <v>42162</v>
      </c>
      <c r="B456" s="3" t="s">
        <v>37</v>
      </c>
      <c r="C456" s="3" t="s">
        <v>5</v>
      </c>
      <c r="D456" s="3" t="s">
        <v>30</v>
      </c>
      <c r="E456" s="3">
        <v>27</v>
      </c>
      <c r="F456" s="5">
        <f t="shared" si="7"/>
        <v>2.7</v>
      </c>
    </row>
    <row r="457" spans="1:6" x14ac:dyDescent="0.25">
      <c r="A457" s="4">
        <v>42157</v>
      </c>
      <c r="B457" s="3" t="s">
        <v>32</v>
      </c>
      <c r="C457" s="3" t="s">
        <v>5</v>
      </c>
      <c r="D457" s="3" t="s">
        <v>33</v>
      </c>
      <c r="E457" s="3">
        <v>27</v>
      </c>
      <c r="F457" s="5">
        <f t="shared" si="7"/>
        <v>135</v>
      </c>
    </row>
    <row r="458" spans="1:6" x14ac:dyDescent="0.25">
      <c r="A458" s="4">
        <v>42070</v>
      </c>
      <c r="B458" s="3" t="s">
        <v>29</v>
      </c>
      <c r="C458" s="3" t="s">
        <v>2</v>
      </c>
      <c r="D458" s="3" t="s">
        <v>27</v>
      </c>
      <c r="E458" s="3">
        <v>12</v>
      </c>
      <c r="F458" s="5">
        <f t="shared" si="7"/>
        <v>6</v>
      </c>
    </row>
    <row r="459" spans="1:6" x14ac:dyDescent="0.25">
      <c r="A459" s="4">
        <v>42035</v>
      </c>
      <c r="B459" s="3" t="s">
        <v>29</v>
      </c>
      <c r="C459" s="3" t="s">
        <v>19</v>
      </c>
      <c r="D459" s="3" t="s">
        <v>34</v>
      </c>
      <c r="E459" s="3">
        <v>11</v>
      </c>
      <c r="F459" s="5">
        <f t="shared" si="7"/>
        <v>2.2000000000000002</v>
      </c>
    </row>
    <row r="460" spans="1:6" x14ac:dyDescent="0.25">
      <c r="A460" s="4">
        <v>42026</v>
      </c>
      <c r="B460" s="3" t="s">
        <v>29</v>
      </c>
      <c r="C460" s="3" t="s">
        <v>2</v>
      </c>
      <c r="D460" s="3" t="s">
        <v>36</v>
      </c>
      <c r="E460" s="3">
        <v>32</v>
      </c>
      <c r="F460" s="5">
        <f t="shared" si="7"/>
        <v>48</v>
      </c>
    </row>
    <row r="461" spans="1:6" x14ac:dyDescent="0.25">
      <c r="A461" s="4">
        <v>42159</v>
      </c>
      <c r="B461" s="3" t="s">
        <v>39</v>
      </c>
      <c r="C461" s="3" t="s">
        <v>10</v>
      </c>
      <c r="D461" s="3" t="s">
        <v>31</v>
      </c>
      <c r="E461" s="3">
        <v>23</v>
      </c>
      <c r="F461" s="5">
        <f t="shared" si="7"/>
        <v>57.5</v>
      </c>
    </row>
    <row r="462" spans="1:6" x14ac:dyDescent="0.25">
      <c r="A462" s="4">
        <v>42050</v>
      </c>
      <c r="B462" s="3" t="s">
        <v>26</v>
      </c>
      <c r="C462" s="3" t="s">
        <v>6</v>
      </c>
      <c r="D462" s="3" t="s">
        <v>27</v>
      </c>
      <c r="E462" s="3">
        <v>45</v>
      </c>
      <c r="F462" s="5">
        <f t="shared" si="7"/>
        <v>22.5</v>
      </c>
    </row>
    <row r="463" spans="1:6" x14ac:dyDescent="0.25">
      <c r="A463" s="4">
        <v>42118</v>
      </c>
      <c r="B463" s="3" t="s">
        <v>39</v>
      </c>
      <c r="C463" s="3" t="s">
        <v>5</v>
      </c>
      <c r="D463" s="3" t="s">
        <v>31</v>
      </c>
      <c r="E463" s="3">
        <v>11</v>
      </c>
      <c r="F463" s="5">
        <f t="shared" si="7"/>
        <v>27.5</v>
      </c>
    </row>
    <row r="464" spans="1:6" x14ac:dyDescent="0.25">
      <c r="A464" s="4">
        <v>42013</v>
      </c>
      <c r="B464" s="3" t="s">
        <v>39</v>
      </c>
      <c r="C464" s="3" t="s">
        <v>6</v>
      </c>
      <c r="D464" s="3" t="s">
        <v>30</v>
      </c>
      <c r="E464" s="3">
        <v>33</v>
      </c>
      <c r="F464" s="5">
        <f t="shared" si="7"/>
        <v>3.3000000000000003</v>
      </c>
    </row>
    <row r="465" spans="1:6" x14ac:dyDescent="0.25">
      <c r="A465" s="4">
        <v>42090</v>
      </c>
      <c r="B465" s="3" t="s">
        <v>29</v>
      </c>
      <c r="C465" s="3" t="s">
        <v>2</v>
      </c>
      <c r="D465" s="3" t="s">
        <v>31</v>
      </c>
      <c r="E465" s="3">
        <v>34</v>
      </c>
      <c r="F465" s="5">
        <f t="shared" si="7"/>
        <v>85</v>
      </c>
    </row>
    <row r="466" spans="1:6" x14ac:dyDescent="0.25">
      <c r="A466" s="4">
        <v>42140</v>
      </c>
      <c r="B466" s="3" t="s">
        <v>37</v>
      </c>
      <c r="C466" s="3" t="s">
        <v>19</v>
      </c>
      <c r="D466" s="3" t="s">
        <v>36</v>
      </c>
      <c r="E466" s="3">
        <v>42</v>
      </c>
      <c r="F466" s="5">
        <f t="shared" si="7"/>
        <v>63</v>
      </c>
    </row>
    <row r="467" spans="1:6" x14ac:dyDescent="0.25">
      <c r="A467" s="4">
        <v>42073</v>
      </c>
      <c r="B467" s="3" t="s">
        <v>29</v>
      </c>
      <c r="C467" s="3" t="s">
        <v>2</v>
      </c>
      <c r="D467" s="3" t="s">
        <v>31</v>
      </c>
      <c r="E467" s="3">
        <v>8</v>
      </c>
      <c r="F467" s="5">
        <f t="shared" si="7"/>
        <v>20</v>
      </c>
    </row>
    <row r="468" spans="1:6" x14ac:dyDescent="0.25">
      <c r="A468" s="4">
        <v>42093</v>
      </c>
      <c r="B468" s="3" t="s">
        <v>37</v>
      </c>
      <c r="C468" s="3" t="s">
        <v>19</v>
      </c>
      <c r="D468" s="3" t="s">
        <v>33</v>
      </c>
      <c r="E468" s="3">
        <v>11</v>
      </c>
      <c r="F468" s="5">
        <f t="shared" si="7"/>
        <v>55</v>
      </c>
    </row>
    <row r="469" spans="1:6" x14ac:dyDescent="0.25">
      <c r="A469" s="4">
        <v>42094</v>
      </c>
      <c r="B469" s="3" t="s">
        <v>29</v>
      </c>
      <c r="C469" s="3" t="s">
        <v>2</v>
      </c>
      <c r="D469" s="3" t="s">
        <v>27</v>
      </c>
      <c r="E469" s="3">
        <v>18</v>
      </c>
      <c r="F469" s="5">
        <f t="shared" si="7"/>
        <v>9</v>
      </c>
    </row>
    <row r="470" spans="1:6" x14ac:dyDescent="0.25">
      <c r="A470" s="4">
        <v>42056</v>
      </c>
      <c r="B470" s="3" t="s">
        <v>38</v>
      </c>
      <c r="C470" s="3" t="s">
        <v>6</v>
      </c>
      <c r="D470" s="3" t="s">
        <v>30</v>
      </c>
      <c r="E470" s="3">
        <v>44</v>
      </c>
      <c r="F470" s="5">
        <f t="shared" si="7"/>
        <v>4.4000000000000004</v>
      </c>
    </row>
    <row r="471" spans="1:6" x14ac:dyDescent="0.25">
      <c r="A471" s="4">
        <v>42143</v>
      </c>
      <c r="B471" s="3" t="s">
        <v>38</v>
      </c>
      <c r="C471" s="3" t="s">
        <v>5</v>
      </c>
      <c r="D471" s="3" t="s">
        <v>30</v>
      </c>
      <c r="E471" s="3">
        <v>47</v>
      </c>
      <c r="F471" s="5">
        <f t="shared" si="7"/>
        <v>4.7</v>
      </c>
    </row>
    <row r="472" spans="1:6" x14ac:dyDescent="0.25">
      <c r="A472" s="4">
        <v>42032</v>
      </c>
      <c r="B472" s="3" t="s">
        <v>39</v>
      </c>
      <c r="C472" s="3" t="s">
        <v>2</v>
      </c>
      <c r="D472" s="3" t="s">
        <v>31</v>
      </c>
      <c r="E472" s="3">
        <v>35</v>
      </c>
      <c r="F472" s="5">
        <f t="shared" si="7"/>
        <v>87.5</v>
      </c>
    </row>
    <row r="473" spans="1:6" x14ac:dyDescent="0.25">
      <c r="A473" s="4">
        <v>42041</v>
      </c>
      <c r="B473" s="3" t="s">
        <v>39</v>
      </c>
      <c r="C473" s="3" t="s">
        <v>6</v>
      </c>
      <c r="D473" s="3" t="s">
        <v>36</v>
      </c>
      <c r="E473" s="3">
        <v>13</v>
      </c>
      <c r="F473" s="5">
        <f t="shared" si="7"/>
        <v>19.5</v>
      </c>
    </row>
    <row r="474" spans="1:6" x14ac:dyDescent="0.25">
      <c r="A474" s="4">
        <v>42062</v>
      </c>
      <c r="B474" s="3" t="s">
        <v>37</v>
      </c>
      <c r="C474" s="3" t="s">
        <v>10</v>
      </c>
      <c r="D474" s="3" t="s">
        <v>34</v>
      </c>
      <c r="E474" s="3">
        <v>30</v>
      </c>
      <c r="F474" s="5">
        <f t="shared" si="7"/>
        <v>6</v>
      </c>
    </row>
    <row r="475" spans="1:6" x14ac:dyDescent="0.25">
      <c r="A475" s="4">
        <v>42145</v>
      </c>
      <c r="B475" s="3" t="s">
        <v>37</v>
      </c>
      <c r="C475" s="3" t="s">
        <v>19</v>
      </c>
      <c r="D475" s="3" t="s">
        <v>31</v>
      </c>
      <c r="E475" s="3">
        <v>14</v>
      </c>
      <c r="F475" s="5">
        <f t="shared" si="7"/>
        <v>35</v>
      </c>
    </row>
    <row r="476" spans="1:6" x14ac:dyDescent="0.25">
      <c r="A476" s="4">
        <v>42144</v>
      </c>
      <c r="B476" s="3" t="s">
        <v>32</v>
      </c>
      <c r="C476" s="3" t="s">
        <v>5</v>
      </c>
      <c r="D476" s="3" t="s">
        <v>27</v>
      </c>
      <c r="E476" s="3">
        <v>27</v>
      </c>
      <c r="F476" s="5">
        <f t="shared" si="7"/>
        <v>13.5</v>
      </c>
    </row>
    <row r="477" spans="1:6" x14ac:dyDescent="0.25">
      <c r="A477" s="4">
        <v>42079</v>
      </c>
      <c r="B477" s="3" t="s">
        <v>29</v>
      </c>
      <c r="C477" s="3" t="s">
        <v>10</v>
      </c>
      <c r="D477" s="3" t="s">
        <v>30</v>
      </c>
      <c r="E477" s="3">
        <v>4</v>
      </c>
      <c r="F477" s="5">
        <f t="shared" si="7"/>
        <v>0.4</v>
      </c>
    </row>
    <row r="478" spans="1:6" x14ac:dyDescent="0.25">
      <c r="A478" s="4">
        <v>42138</v>
      </c>
      <c r="B478" s="3" t="s">
        <v>39</v>
      </c>
      <c r="C478" s="3" t="s">
        <v>5</v>
      </c>
      <c r="D478" s="3" t="s">
        <v>36</v>
      </c>
      <c r="E478" s="3">
        <v>6</v>
      </c>
      <c r="F478" s="5">
        <f t="shared" si="7"/>
        <v>9</v>
      </c>
    </row>
    <row r="479" spans="1:6" x14ac:dyDescent="0.25">
      <c r="A479" s="4">
        <v>42078</v>
      </c>
      <c r="B479" s="3" t="s">
        <v>38</v>
      </c>
      <c r="C479" s="3" t="s">
        <v>5</v>
      </c>
      <c r="D479" s="3" t="s">
        <v>31</v>
      </c>
      <c r="E479" s="3">
        <v>35</v>
      </c>
      <c r="F479" s="5">
        <f t="shared" si="7"/>
        <v>87.5</v>
      </c>
    </row>
    <row r="480" spans="1:6" x14ac:dyDescent="0.25">
      <c r="A480" s="4">
        <v>42161</v>
      </c>
      <c r="B480" s="3" t="s">
        <v>39</v>
      </c>
      <c r="C480" s="3" t="s">
        <v>2</v>
      </c>
      <c r="D480" s="3" t="s">
        <v>33</v>
      </c>
      <c r="E480" s="3">
        <v>12</v>
      </c>
      <c r="F480" s="5">
        <f t="shared" si="7"/>
        <v>60</v>
      </c>
    </row>
    <row r="481" spans="1:6" x14ac:dyDescent="0.25">
      <c r="A481" s="4">
        <v>42101</v>
      </c>
      <c r="B481" s="3" t="s">
        <v>37</v>
      </c>
      <c r="C481" s="3" t="s">
        <v>2</v>
      </c>
      <c r="D481" s="3" t="s">
        <v>31</v>
      </c>
      <c r="E481" s="3">
        <v>32</v>
      </c>
      <c r="F481" s="5">
        <f t="shared" si="7"/>
        <v>80</v>
      </c>
    </row>
    <row r="482" spans="1:6" x14ac:dyDescent="0.25">
      <c r="A482" s="4">
        <v>42181</v>
      </c>
      <c r="B482" s="3" t="s">
        <v>37</v>
      </c>
      <c r="C482" s="3" t="s">
        <v>10</v>
      </c>
      <c r="D482" s="3" t="s">
        <v>28</v>
      </c>
      <c r="E482" s="3">
        <v>41</v>
      </c>
      <c r="F482" s="5">
        <f t="shared" si="7"/>
        <v>82</v>
      </c>
    </row>
    <row r="483" spans="1:6" x14ac:dyDescent="0.25">
      <c r="A483" s="4">
        <v>42053</v>
      </c>
      <c r="B483" s="3" t="s">
        <v>38</v>
      </c>
      <c r="C483" s="3" t="s">
        <v>10</v>
      </c>
      <c r="D483" s="3" t="s">
        <v>34</v>
      </c>
      <c r="E483" s="3">
        <v>49</v>
      </c>
      <c r="F483" s="5">
        <f t="shared" si="7"/>
        <v>9.8000000000000007</v>
      </c>
    </row>
    <row r="484" spans="1:6" x14ac:dyDescent="0.25">
      <c r="A484" s="4">
        <v>42073</v>
      </c>
      <c r="B484" s="3" t="s">
        <v>38</v>
      </c>
      <c r="C484" s="3" t="s">
        <v>19</v>
      </c>
      <c r="D484" s="3" t="s">
        <v>31</v>
      </c>
      <c r="E484" s="3">
        <v>14</v>
      </c>
      <c r="F484" s="5">
        <f t="shared" si="7"/>
        <v>35</v>
      </c>
    </row>
    <row r="485" spans="1:6" x14ac:dyDescent="0.25">
      <c r="A485" s="4">
        <v>42095</v>
      </c>
      <c r="B485" s="3" t="s">
        <v>38</v>
      </c>
      <c r="C485" s="3" t="s">
        <v>6</v>
      </c>
      <c r="D485" s="3" t="s">
        <v>27</v>
      </c>
      <c r="E485" s="3">
        <v>50</v>
      </c>
      <c r="F485" s="5">
        <f t="shared" si="7"/>
        <v>25</v>
      </c>
    </row>
    <row r="486" spans="1:6" x14ac:dyDescent="0.25">
      <c r="A486" s="4">
        <v>42028</v>
      </c>
      <c r="B486" s="3" t="s">
        <v>29</v>
      </c>
      <c r="C486" s="3" t="s">
        <v>6</v>
      </c>
      <c r="D486" s="3" t="s">
        <v>36</v>
      </c>
      <c r="E486" s="3">
        <v>22</v>
      </c>
      <c r="F486" s="5">
        <f t="shared" si="7"/>
        <v>33</v>
      </c>
    </row>
    <row r="487" spans="1:6" x14ac:dyDescent="0.25">
      <c r="A487" s="4">
        <v>42091</v>
      </c>
      <c r="B487" s="3" t="s">
        <v>38</v>
      </c>
      <c r="C487" s="3" t="s">
        <v>19</v>
      </c>
      <c r="D487" s="3" t="s">
        <v>33</v>
      </c>
      <c r="E487" s="3">
        <v>46</v>
      </c>
      <c r="F487" s="5">
        <f t="shared" si="7"/>
        <v>230</v>
      </c>
    </row>
    <row r="488" spans="1:6" x14ac:dyDescent="0.25">
      <c r="A488" s="4">
        <v>42063</v>
      </c>
      <c r="B488" s="3" t="s">
        <v>37</v>
      </c>
      <c r="C488" s="3" t="s">
        <v>10</v>
      </c>
      <c r="D488" s="3" t="s">
        <v>30</v>
      </c>
      <c r="E488" s="3">
        <v>19</v>
      </c>
      <c r="F488" s="5">
        <f t="shared" si="7"/>
        <v>1.9000000000000001</v>
      </c>
    </row>
    <row r="489" spans="1:6" x14ac:dyDescent="0.25">
      <c r="A489" s="4">
        <v>42093</v>
      </c>
      <c r="B489" s="3" t="s">
        <v>37</v>
      </c>
      <c r="C489" s="3" t="s">
        <v>6</v>
      </c>
      <c r="D489" s="3" t="s">
        <v>36</v>
      </c>
      <c r="E489" s="3">
        <v>23</v>
      </c>
      <c r="F489" s="5">
        <f t="shared" si="7"/>
        <v>34.5</v>
      </c>
    </row>
    <row r="490" spans="1:6" x14ac:dyDescent="0.25">
      <c r="A490" s="4">
        <v>42060</v>
      </c>
      <c r="B490" s="3" t="s">
        <v>29</v>
      </c>
      <c r="C490" s="3" t="s">
        <v>5</v>
      </c>
      <c r="D490" s="3" t="s">
        <v>30</v>
      </c>
      <c r="E490" s="3">
        <v>49</v>
      </c>
      <c r="F490" s="5">
        <f t="shared" si="7"/>
        <v>4.9000000000000004</v>
      </c>
    </row>
    <row r="491" spans="1:6" x14ac:dyDescent="0.25">
      <c r="A491" s="4">
        <v>42030</v>
      </c>
      <c r="B491" s="3" t="s">
        <v>37</v>
      </c>
      <c r="C491" s="3" t="s">
        <v>10</v>
      </c>
      <c r="D491" s="3" t="s">
        <v>27</v>
      </c>
      <c r="E491" s="3">
        <v>9</v>
      </c>
      <c r="F491" s="5">
        <f t="shared" si="7"/>
        <v>4.5</v>
      </c>
    </row>
    <row r="492" spans="1:6" x14ac:dyDescent="0.25">
      <c r="A492" s="4">
        <v>42076</v>
      </c>
      <c r="B492" s="3" t="s">
        <v>32</v>
      </c>
      <c r="C492" s="3" t="s">
        <v>6</v>
      </c>
      <c r="D492" s="3" t="s">
        <v>27</v>
      </c>
      <c r="E492" s="3">
        <v>49</v>
      </c>
      <c r="F492" s="5">
        <f t="shared" si="7"/>
        <v>24.5</v>
      </c>
    </row>
    <row r="493" spans="1:6" x14ac:dyDescent="0.25">
      <c r="A493" s="4">
        <v>42108</v>
      </c>
      <c r="B493" s="3" t="s">
        <v>38</v>
      </c>
      <c r="C493" s="3" t="s">
        <v>2</v>
      </c>
      <c r="D493" s="3" t="s">
        <v>27</v>
      </c>
      <c r="E493" s="3">
        <v>50</v>
      </c>
      <c r="F493" s="5">
        <f t="shared" si="7"/>
        <v>25</v>
      </c>
    </row>
    <row r="494" spans="1:6" x14ac:dyDescent="0.25">
      <c r="A494" s="4">
        <v>42075</v>
      </c>
      <c r="B494" s="3" t="s">
        <v>39</v>
      </c>
      <c r="C494" s="3" t="s">
        <v>6</v>
      </c>
      <c r="D494" s="3" t="s">
        <v>31</v>
      </c>
      <c r="E494" s="3">
        <v>7</v>
      </c>
      <c r="F494" s="5">
        <f t="shared" si="7"/>
        <v>17.5</v>
      </c>
    </row>
    <row r="495" spans="1:6" x14ac:dyDescent="0.25">
      <c r="A495" s="4">
        <v>42115</v>
      </c>
      <c r="B495" s="3" t="s">
        <v>26</v>
      </c>
      <c r="C495" s="3" t="s">
        <v>10</v>
      </c>
      <c r="D495" s="3" t="s">
        <v>28</v>
      </c>
      <c r="E495" s="3">
        <v>48</v>
      </c>
      <c r="F495" s="5">
        <f t="shared" si="7"/>
        <v>96</v>
      </c>
    </row>
    <row r="496" spans="1:6" x14ac:dyDescent="0.25">
      <c r="A496" s="4">
        <v>42135</v>
      </c>
      <c r="B496" s="3" t="s">
        <v>38</v>
      </c>
      <c r="C496" s="3" t="s">
        <v>6</v>
      </c>
      <c r="D496" s="3" t="s">
        <v>36</v>
      </c>
      <c r="E496" s="3">
        <v>18</v>
      </c>
      <c r="F496" s="5">
        <f t="shared" si="7"/>
        <v>27</v>
      </c>
    </row>
    <row r="497" spans="1:6" x14ac:dyDescent="0.25">
      <c r="A497" s="4">
        <v>42051</v>
      </c>
      <c r="B497" s="3" t="s">
        <v>26</v>
      </c>
      <c r="C497" s="3" t="s">
        <v>10</v>
      </c>
      <c r="D497" s="3" t="s">
        <v>27</v>
      </c>
      <c r="E497" s="3">
        <v>35</v>
      </c>
      <c r="F497" s="5">
        <f t="shared" si="7"/>
        <v>17.5</v>
      </c>
    </row>
    <row r="498" spans="1:6" x14ac:dyDescent="0.25">
      <c r="A498" s="4">
        <v>42057</v>
      </c>
      <c r="B498" s="3" t="s">
        <v>38</v>
      </c>
      <c r="C498" s="3" t="s">
        <v>6</v>
      </c>
      <c r="D498" s="3" t="s">
        <v>28</v>
      </c>
      <c r="E498" s="3">
        <v>41</v>
      </c>
      <c r="F498" s="5">
        <f t="shared" si="7"/>
        <v>82</v>
      </c>
    </row>
    <row r="499" spans="1:6" x14ac:dyDescent="0.25">
      <c r="A499" s="4">
        <v>42024</v>
      </c>
      <c r="B499" s="3" t="s">
        <v>32</v>
      </c>
      <c r="C499" s="3" t="s">
        <v>5</v>
      </c>
      <c r="D499" s="3" t="s">
        <v>33</v>
      </c>
      <c r="E499" s="3">
        <v>38</v>
      </c>
      <c r="F499" s="5">
        <f t="shared" si="7"/>
        <v>190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>
    <tabColor rgb="FF2EA3F2"/>
  </sheetPr>
  <dimension ref="A1:X500"/>
  <sheetViews>
    <sheetView zoomScale="115" zoomScaleNormal="115" workbookViewId="0">
      <selection activeCell="D17" sqref="D17"/>
    </sheetView>
  </sheetViews>
  <sheetFormatPr defaultColWidth="8.85546875" defaultRowHeight="14.25" x14ac:dyDescent="0.25"/>
  <cols>
    <col min="1" max="1" width="10.42578125" style="2" bestFit="1" customWidth="1"/>
    <col min="2" max="2" width="12" style="2" customWidth="1"/>
    <col min="3" max="3" width="14.28515625" style="2" bestFit="1" customWidth="1"/>
    <col min="4" max="4" width="10.7109375" style="2" bestFit="1" customWidth="1"/>
    <col min="5" max="5" width="8.85546875" style="2"/>
    <col min="6" max="6" width="10.28515625" style="2" customWidth="1"/>
    <col min="7" max="7" width="8.85546875" style="2"/>
    <col min="8" max="8" width="10.42578125" style="2" bestFit="1" customWidth="1"/>
    <col min="9" max="22" width="8.85546875" style="2"/>
    <col min="23" max="23" width="10.7109375" style="2" bestFit="1" customWidth="1"/>
    <col min="24" max="16384" width="8.85546875" style="2"/>
  </cols>
  <sheetData>
    <row r="1" spans="1:24" x14ac:dyDescent="0.25">
      <c r="A1" s="1" t="s">
        <v>42</v>
      </c>
      <c r="B1" s="1"/>
      <c r="C1" s="1"/>
      <c r="D1" s="1"/>
      <c r="E1" s="1"/>
      <c r="F1" s="1"/>
    </row>
    <row r="2" spans="1:24" x14ac:dyDescent="0.25">
      <c r="A2" s="11" t="s">
        <v>0</v>
      </c>
      <c r="B2" s="11" t="s">
        <v>3</v>
      </c>
      <c r="C2" s="11" t="s">
        <v>1</v>
      </c>
      <c r="D2" s="11" t="s">
        <v>7</v>
      </c>
      <c r="E2" s="11" t="s">
        <v>49</v>
      </c>
      <c r="F2" s="11" t="s">
        <v>4</v>
      </c>
    </row>
    <row r="3" spans="1:24" x14ac:dyDescent="0.25">
      <c r="A3" s="3"/>
      <c r="B3" s="3"/>
      <c r="C3" s="3" t="s">
        <v>19</v>
      </c>
      <c r="D3" s="3" t="s">
        <v>27</v>
      </c>
      <c r="E3" s="3" t="s">
        <v>82</v>
      </c>
      <c r="F3" s="3"/>
    </row>
    <row r="4" spans="1:24" x14ac:dyDescent="0.25">
      <c r="A4" s="3"/>
      <c r="B4" s="3"/>
      <c r="C4" s="3" t="s">
        <v>6</v>
      </c>
      <c r="D4" s="3" t="s">
        <v>30</v>
      </c>
      <c r="E4" s="3"/>
      <c r="F4" s="3" t="s">
        <v>81</v>
      </c>
    </row>
    <row r="6" spans="1:24" x14ac:dyDescent="0.25">
      <c r="A6" s="11" t="s">
        <v>0</v>
      </c>
      <c r="B6" s="11" t="s">
        <v>3</v>
      </c>
      <c r="C6" s="11" t="s">
        <v>1</v>
      </c>
      <c r="D6" s="11" t="s">
        <v>7</v>
      </c>
      <c r="E6" s="11" t="s">
        <v>49</v>
      </c>
      <c r="F6" s="11" t="s">
        <v>4</v>
      </c>
    </row>
    <row r="7" spans="1:24" x14ac:dyDescent="0.25">
      <c r="A7" s="4">
        <v>42067</v>
      </c>
      <c r="B7" s="3" t="s">
        <v>29</v>
      </c>
      <c r="C7" s="3" t="s">
        <v>5</v>
      </c>
      <c r="D7" s="3" t="s">
        <v>27</v>
      </c>
      <c r="E7" s="3">
        <v>13</v>
      </c>
      <c r="F7" s="5">
        <f>E7*VLOOKUP(D7,$W$7:$X$14,2,0)</f>
        <v>6.5</v>
      </c>
      <c r="W7" s="2" t="s">
        <v>28</v>
      </c>
      <c r="X7" s="2">
        <v>2</v>
      </c>
    </row>
    <row r="8" spans="1:24" x14ac:dyDescent="0.25">
      <c r="A8" s="4">
        <v>42074</v>
      </c>
      <c r="B8" s="3" t="s">
        <v>32</v>
      </c>
      <c r="C8" s="3" t="s">
        <v>5</v>
      </c>
      <c r="D8" s="3" t="s">
        <v>34</v>
      </c>
      <c r="E8" s="3">
        <v>12</v>
      </c>
      <c r="F8" s="5">
        <f t="shared" ref="F8:F71" si="0">E8*VLOOKUP(D8,$W$7:$X$14,2,0)</f>
        <v>2.4000000000000004</v>
      </c>
      <c r="J8" s="11" t="s">
        <v>0</v>
      </c>
      <c r="K8" s="11" t="s">
        <v>3</v>
      </c>
      <c r="L8" s="11" t="s">
        <v>1</v>
      </c>
      <c r="M8" s="11" t="s">
        <v>7</v>
      </c>
      <c r="N8" s="11" t="s">
        <v>49</v>
      </c>
      <c r="O8" s="11" t="s">
        <v>4</v>
      </c>
      <c r="W8" s="2" t="s">
        <v>27</v>
      </c>
      <c r="X8" s="2">
        <v>0.5</v>
      </c>
    </row>
    <row r="9" spans="1:24" x14ac:dyDescent="0.25">
      <c r="A9" s="4">
        <v>42177</v>
      </c>
      <c r="B9" s="3" t="s">
        <v>26</v>
      </c>
      <c r="C9" s="3" t="s">
        <v>10</v>
      </c>
      <c r="D9" s="3" t="s">
        <v>27</v>
      </c>
      <c r="E9" s="3">
        <v>29</v>
      </c>
      <c r="F9" s="5">
        <f t="shared" si="0"/>
        <v>14.5</v>
      </c>
      <c r="J9" s="4">
        <v>42057</v>
      </c>
      <c r="K9" s="3" t="s">
        <v>38</v>
      </c>
      <c r="L9" s="3" t="s">
        <v>6</v>
      </c>
      <c r="M9" s="3" t="s">
        <v>30</v>
      </c>
      <c r="N9" s="3">
        <v>24</v>
      </c>
      <c r="O9" s="5">
        <v>2.4000000000000004</v>
      </c>
      <c r="W9" s="2" t="s">
        <v>31</v>
      </c>
      <c r="X9" s="2">
        <v>2.5</v>
      </c>
    </row>
    <row r="10" spans="1:24" x14ac:dyDescent="0.25">
      <c r="A10" s="4">
        <v>42103</v>
      </c>
      <c r="B10" s="3" t="s">
        <v>38</v>
      </c>
      <c r="C10" s="3" t="s">
        <v>2</v>
      </c>
      <c r="D10" s="3" t="s">
        <v>27</v>
      </c>
      <c r="E10" s="3">
        <v>33</v>
      </c>
      <c r="F10" s="5">
        <f t="shared" si="0"/>
        <v>16.5</v>
      </c>
      <c r="J10" s="4">
        <v>42032</v>
      </c>
      <c r="K10" s="3" t="s">
        <v>32</v>
      </c>
      <c r="L10" s="3" t="s">
        <v>19</v>
      </c>
      <c r="M10" s="3" t="s">
        <v>27</v>
      </c>
      <c r="N10" s="3">
        <v>9</v>
      </c>
      <c r="O10" s="5">
        <v>4.5</v>
      </c>
      <c r="W10" s="2" t="s">
        <v>33</v>
      </c>
      <c r="X10" s="2">
        <v>5</v>
      </c>
    </row>
    <row r="11" spans="1:24" x14ac:dyDescent="0.25">
      <c r="A11" s="4">
        <v>42007</v>
      </c>
      <c r="B11" s="3" t="s">
        <v>37</v>
      </c>
      <c r="C11" s="3" t="s">
        <v>19</v>
      </c>
      <c r="D11" s="3" t="s">
        <v>30</v>
      </c>
      <c r="E11" s="3">
        <v>41</v>
      </c>
      <c r="F11" s="5">
        <f t="shared" si="0"/>
        <v>4.1000000000000005</v>
      </c>
      <c r="J11" s="4">
        <v>42021</v>
      </c>
      <c r="K11" s="3" t="s">
        <v>38</v>
      </c>
      <c r="L11" s="3" t="s">
        <v>6</v>
      </c>
      <c r="M11" s="3" t="s">
        <v>30</v>
      </c>
      <c r="N11" s="3">
        <v>21</v>
      </c>
      <c r="O11" s="5">
        <v>2.1</v>
      </c>
      <c r="W11" s="2" t="s">
        <v>34</v>
      </c>
      <c r="X11" s="2">
        <v>0.2</v>
      </c>
    </row>
    <row r="12" spans="1:24" x14ac:dyDescent="0.25">
      <c r="A12" s="4">
        <v>42012</v>
      </c>
      <c r="B12" s="3" t="s">
        <v>29</v>
      </c>
      <c r="C12" s="3" t="s">
        <v>2</v>
      </c>
      <c r="D12" s="3" t="s">
        <v>35</v>
      </c>
      <c r="E12" s="3">
        <v>32</v>
      </c>
      <c r="F12" s="5">
        <f t="shared" si="0"/>
        <v>128</v>
      </c>
      <c r="J12" s="4">
        <v>42080</v>
      </c>
      <c r="K12" s="3" t="s">
        <v>38</v>
      </c>
      <c r="L12" s="3" t="s">
        <v>19</v>
      </c>
      <c r="M12" s="3" t="s">
        <v>27</v>
      </c>
      <c r="N12" s="3">
        <v>2</v>
      </c>
      <c r="O12" s="5">
        <v>1</v>
      </c>
      <c r="W12" s="2" t="s">
        <v>30</v>
      </c>
      <c r="X12" s="2">
        <v>0.1</v>
      </c>
    </row>
    <row r="13" spans="1:24" x14ac:dyDescent="0.25">
      <c r="A13" s="4">
        <v>42051</v>
      </c>
      <c r="B13" s="3" t="s">
        <v>38</v>
      </c>
      <c r="C13" s="3" t="s">
        <v>10</v>
      </c>
      <c r="D13" s="3" t="s">
        <v>33</v>
      </c>
      <c r="E13" s="3">
        <v>34</v>
      </c>
      <c r="F13" s="5">
        <f t="shared" si="0"/>
        <v>170</v>
      </c>
      <c r="J13" s="4">
        <v>42107</v>
      </c>
      <c r="K13" s="3" t="s">
        <v>39</v>
      </c>
      <c r="L13" s="3" t="s">
        <v>6</v>
      </c>
      <c r="M13" s="3" t="s">
        <v>30</v>
      </c>
      <c r="N13" s="3">
        <v>25</v>
      </c>
      <c r="O13" s="5">
        <v>2.5</v>
      </c>
      <c r="W13" s="2" t="s">
        <v>36</v>
      </c>
      <c r="X13" s="2">
        <v>1.5</v>
      </c>
    </row>
    <row r="14" spans="1:24" x14ac:dyDescent="0.25">
      <c r="A14" s="4">
        <v>42163</v>
      </c>
      <c r="B14" s="3" t="s">
        <v>26</v>
      </c>
      <c r="C14" s="3" t="s">
        <v>6</v>
      </c>
      <c r="D14" s="3" t="s">
        <v>35</v>
      </c>
      <c r="E14" s="3">
        <v>12</v>
      </c>
      <c r="F14" s="5">
        <f t="shared" si="0"/>
        <v>48</v>
      </c>
      <c r="J14" s="4">
        <v>42050</v>
      </c>
      <c r="K14" s="3" t="s">
        <v>38</v>
      </c>
      <c r="L14" s="3" t="s">
        <v>19</v>
      </c>
      <c r="M14" s="3" t="s">
        <v>27</v>
      </c>
      <c r="N14" s="3">
        <v>11</v>
      </c>
      <c r="O14" s="5">
        <v>5.5</v>
      </c>
      <c r="W14" s="2" t="s">
        <v>35</v>
      </c>
      <c r="X14" s="2">
        <v>4</v>
      </c>
    </row>
    <row r="15" spans="1:24" x14ac:dyDescent="0.25">
      <c r="A15" s="4">
        <v>42118</v>
      </c>
      <c r="B15" s="3" t="s">
        <v>38</v>
      </c>
      <c r="C15" s="3" t="s">
        <v>19</v>
      </c>
      <c r="D15" s="3" t="s">
        <v>27</v>
      </c>
      <c r="E15" s="3">
        <v>20</v>
      </c>
      <c r="F15" s="5">
        <f t="shared" si="0"/>
        <v>10</v>
      </c>
      <c r="J15" s="4">
        <v>42178</v>
      </c>
      <c r="K15" s="3" t="s">
        <v>37</v>
      </c>
      <c r="L15" s="3" t="s">
        <v>6</v>
      </c>
      <c r="M15" s="3" t="s">
        <v>30</v>
      </c>
      <c r="N15" s="3">
        <v>24</v>
      </c>
      <c r="O15" s="5">
        <v>2.4000000000000004</v>
      </c>
    </row>
    <row r="16" spans="1:24" x14ac:dyDescent="0.25">
      <c r="A16" s="4">
        <v>42071</v>
      </c>
      <c r="B16" s="3" t="s">
        <v>38</v>
      </c>
      <c r="C16" s="3" t="s">
        <v>2</v>
      </c>
      <c r="D16" s="3" t="s">
        <v>27</v>
      </c>
      <c r="E16" s="3">
        <v>15</v>
      </c>
      <c r="F16" s="5">
        <f t="shared" si="0"/>
        <v>7.5</v>
      </c>
      <c r="J16" s="4">
        <v>42104</v>
      </c>
      <c r="K16" s="3" t="s">
        <v>29</v>
      </c>
      <c r="L16" s="3" t="s">
        <v>19</v>
      </c>
      <c r="M16" s="3" t="s">
        <v>27</v>
      </c>
      <c r="N16" s="3">
        <v>14</v>
      </c>
      <c r="O16" s="5">
        <v>7</v>
      </c>
    </row>
    <row r="17" spans="1:15" x14ac:dyDescent="0.25">
      <c r="A17" s="4">
        <v>42134</v>
      </c>
      <c r="B17" s="3" t="s">
        <v>39</v>
      </c>
      <c r="C17" s="3" t="s">
        <v>5</v>
      </c>
      <c r="D17" s="3" t="s">
        <v>27</v>
      </c>
      <c r="E17" s="3">
        <v>35</v>
      </c>
      <c r="F17" s="5">
        <f t="shared" si="0"/>
        <v>17.5</v>
      </c>
      <c r="J17" s="4">
        <v>42161</v>
      </c>
      <c r="K17" s="3" t="s">
        <v>38</v>
      </c>
      <c r="L17" s="3" t="s">
        <v>6</v>
      </c>
      <c r="M17" s="3" t="s">
        <v>30</v>
      </c>
      <c r="N17" s="3">
        <v>25</v>
      </c>
      <c r="O17" s="5">
        <v>2.5</v>
      </c>
    </row>
    <row r="18" spans="1:15" x14ac:dyDescent="0.25">
      <c r="A18" s="4">
        <v>42063</v>
      </c>
      <c r="B18" s="3" t="s">
        <v>32</v>
      </c>
      <c r="C18" s="3" t="s">
        <v>5</v>
      </c>
      <c r="D18" s="3" t="s">
        <v>33</v>
      </c>
      <c r="E18" s="3">
        <v>21</v>
      </c>
      <c r="F18" s="5">
        <f t="shared" si="0"/>
        <v>105</v>
      </c>
      <c r="J18" s="4">
        <v>42091</v>
      </c>
      <c r="K18" s="3" t="s">
        <v>26</v>
      </c>
      <c r="L18" s="3" t="s">
        <v>6</v>
      </c>
      <c r="M18" s="3" t="s">
        <v>30</v>
      </c>
      <c r="N18" s="3">
        <v>27</v>
      </c>
      <c r="O18" s="5">
        <v>2.7</v>
      </c>
    </row>
    <row r="19" spans="1:15" x14ac:dyDescent="0.25">
      <c r="A19" s="4">
        <v>42012</v>
      </c>
      <c r="B19" s="3" t="s">
        <v>38</v>
      </c>
      <c r="C19" s="3" t="s">
        <v>5</v>
      </c>
      <c r="D19" s="3" t="s">
        <v>31</v>
      </c>
      <c r="E19" s="3">
        <v>40</v>
      </c>
      <c r="F19" s="5">
        <f t="shared" si="0"/>
        <v>100</v>
      </c>
      <c r="J19" s="4">
        <v>42080</v>
      </c>
      <c r="K19" s="3" t="s">
        <v>29</v>
      </c>
      <c r="L19" s="3" t="s">
        <v>6</v>
      </c>
      <c r="M19" s="3" t="s">
        <v>30</v>
      </c>
      <c r="N19" s="3">
        <v>48</v>
      </c>
      <c r="O19" s="5">
        <v>4.8000000000000007</v>
      </c>
    </row>
    <row r="20" spans="1:15" x14ac:dyDescent="0.25">
      <c r="A20" s="4">
        <v>42097</v>
      </c>
      <c r="B20" s="3" t="s">
        <v>26</v>
      </c>
      <c r="C20" s="3" t="s">
        <v>10</v>
      </c>
      <c r="D20" s="3" t="s">
        <v>28</v>
      </c>
      <c r="E20" s="3">
        <v>3</v>
      </c>
      <c r="F20" s="5">
        <f t="shared" si="0"/>
        <v>6</v>
      </c>
      <c r="J20" s="4">
        <v>42174</v>
      </c>
      <c r="K20" s="3" t="s">
        <v>39</v>
      </c>
      <c r="L20" s="3" t="s">
        <v>6</v>
      </c>
      <c r="M20" s="3" t="s">
        <v>30</v>
      </c>
      <c r="N20" s="3">
        <v>40</v>
      </c>
      <c r="O20" s="5">
        <v>4</v>
      </c>
    </row>
    <row r="21" spans="1:15" x14ac:dyDescent="0.25">
      <c r="A21" s="4">
        <v>42058</v>
      </c>
      <c r="B21" s="3" t="s">
        <v>39</v>
      </c>
      <c r="C21" s="3" t="s">
        <v>2</v>
      </c>
      <c r="D21" s="3" t="s">
        <v>27</v>
      </c>
      <c r="E21" s="3">
        <v>25</v>
      </c>
      <c r="F21" s="5">
        <f t="shared" si="0"/>
        <v>12.5</v>
      </c>
      <c r="J21" s="4">
        <v>42080</v>
      </c>
      <c r="K21" s="3" t="s">
        <v>32</v>
      </c>
      <c r="L21" s="3" t="s">
        <v>6</v>
      </c>
      <c r="M21" s="3" t="s">
        <v>30</v>
      </c>
      <c r="N21" s="3">
        <v>30</v>
      </c>
      <c r="O21" s="5">
        <v>3</v>
      </c>
    </row>
    <row r="22" spans="1:15" x14ac:dyDescent="0.25">
      <c r="A22" s="4">
        <v>42018</v>
      </c>
      <c r="B22" s="3" t="s">
        <v>38</v>
      </c>
      <c r="C22" s="3" t="s">
        <v>2</v>
      </c>
      <c r="D22" s="3" t="s">
        <v>34</v>
      </c>
      <c r="E22" s="3">
        <v>11</v>
      </c>
      <c r="F22" s="5">
        <f t="shared" si="0"/>
        <v>2.2000000000000002</v>
      </c>
      <c r="J22" s="4">
        <v>42006</v>
      </c>
      <c r="K22" s="3" t="s">
        <v>29</v>
      </c>
      <c r="L22" s="3" t="s">
        <v>19</v>
      </c>
      <c r="M22" s="3" t="s">
        <v>27</v>
      </c>
      <c r="N22" s="3">
        <v>13</v>
      </c>
      <c r="O22" s="5">
        <v>6.5</v>
      </c>
    </row>
    <row r="23" spans="1:15" x14ac:dyDescent="0.25">
      <c r="A23" s="4">
        <v>42085</v>
      </c>
      <c r="B23" s="3" t="s">
        <v>37</v>
      </c>
      <c r="C23" s="3" t="s">
        <v>6</v>
      </c>
      <c r="D23" s="3" t="s">
        <v>33</v>
      </c>
      <c r="E23" s="3">
        <v>9</v>
      </c>
      <c r="F23" s="5">
        <f t="shared" si="0"/>
        <v>45</v>
      </c>
      <c r="J23" s="4">
        <v>42013</v>
      </c>
      <c r="K23" s="3" t="s">
        <v>39</v>
      </c>
      <c r="L23" s="3" t="s">
        <v>6</v>
      </c>
      <c r="M23" s="3" t="s">
        <v>30</v>
      </c>
      <c r="N23" s="3">
        <v>33</v>
      </c>
      <c r="O23" s="5">
        <v>3.3000000000000003</v>
      </c>
    </row>
    <row r="24" spans="1:15" x14ac:dyDescent="0.25">
      <c r="A24" s="4">
        <v>42150</v>
      </c>
      <c r="B24" s="3" t="s">
        <v>37</v>
      </c>
      <c r="C24" s="3" t="s">
        <v>6</v>
      </c>
      <c r="D24" s="3" t="s">
        <v>33</v>
      </c>
      <c r="E24" s="3">
        <v>48</v>
      </c>
      <c r="F24" s="5">
        <f t="shared" si="0"/>
        <v>240</v>
      </c>
      <c r="J24" s="4">
        <v>42056</v>
      </c>
      <c r="K24" s="3" t="s">
        <v>38</v>
      </c>
      <c r="L24" s="3" t="s">
        <v>6</v>
      </c>
      <c r="M24" s="3" t="s">
        <v>30</v>
      </c>
      <c r="N24" s="3">
        <v>44</v>
      </c>
      <c r="O24" s="5">
        <v>4.4000000000000004</v>
      </c>
    </row>
    <row r="25" spans="1:15" x14ac:dyDescent="0.25">
      <c r="A25" s="4">
        <v>42015</v>
      </c>
      <c r="B25" s="3" t="s">
        <v>38</v>
      </c>
      <c r="C25" s="3" t="s">
        <v>5</v>
      </c>
      <c r="D25" s="3" t="s">
        <v>36</v>
      </c>
      <c r="E25" s="3">
        <v>19</v>
      </c>
      <c r="F25" s="5">
        <f t="shared" si="0"/>
        <v>28.5</v>
      </c>
    </row>
    <row r="26" spans="1:15" x14ac:dyDescent="0.25">
      <c r="A26" s="4">
        <v>42013</v>
      </c>
      <c r="B26" s="3" t="s">
        <v>39</v>
      </c>
      <c r="C26" s="3" t="s">
        <v>6</v>
      </c>
      <c r="D26" s="3" t="s">
        <v>31</v>
      </c>
      <c r="E26" s="3">
        <v>50</v>
      </c>
      <c r="F26" s="5">
        <f t="shared" si="0"/>
        <v>125</v>
      </c>
    </row>
    <row r="27" spans="1:15" x14ac:dyDescent="0.25">
      <c r="A27" s="4">
        <v>42015</v>
      </c>
      <c r="B27" s="3" t="s">
        <v>39</v>
      </c>
      <c r="C27" s="3" t="s">
        <v>2</v>
      </c>
      <c r="D27" s="3" t="s">
        <v>33</v>
      </c>
      <c r="E27" s="3">
        <v>24</v>
      </c>
      <c r="F27" s="5">
        <f t="shared" si="0"/>
        <v>120</v>
      </c>
    </row>
    <row r="28" spans="1:15" x14ac:dyDescent="0.25">
      <c r="A28" s="4">
        <v>42075</v>
      </c>
      <c r="B28" s="3" t="s">
        <v>38</v>
      </c>
      <c r="C28" s="3" t="s">
        <v>19</v>
      </c>
      <c r="D28" s="3" t="s">
        <v>27</v>
      </c>
      <c r="E28" s="3">
        <v>26</v>
      </c>
      <c r="F28" s="5">
        <f t="shared" si="0"/>
        <v>13</v>
      </c>
    </row>
    <row r="29" spans="1:15" x14ac:dyDescent="0.25">
      <c r="A29" s="4">
        <v>42080</v>
      </c>
      <c r="B29" s="3" t="s">
        <v>38</v>
      </c>
      <c r="C29" s="3" t="s">
        <v>6</v>
      </c>
      <c r="D29" s="3" t="s">
        <v>27</v>
      </c>
      <c r="E29" s="3">
        <v>11</v>
      </c>
      <c r="F29" s="5">
        <f t="shared" si="0"/>
        <v>5.5</v>
      </c>
    </row>
    <row r="30" spans="1:15" x14ac:dyDescent="0.25">
      <c r="A30" s="4">
        <v>42119</v>
      </c>
      <c r="B30" s="3" t="s">
        <v>38</v>
      </c>
      <c r="C30" s="3" t="s">
        <v>5</v>
      </c>
      <c r="D30" s="3" t="s">
        <v>35</v>
      </c>
      <c r="E30" s="3">
        <v>4</v>
      </c>
      <c r="F30" s="5">
        <f t="shared" si="0"/>
        <v>16</v>
      </c>
    </row>
    <row r="31" spans="1:15" x14ac:dyDescent="0.25">
      <c r="A31" s="4">
        <v>42043</v>
      </c>
      <c r="B31" s="3" t="s">
        <v>38</v>
      </c>
      <c r="C31" s="3" t="s">
        <v>2</v>
      </c>
      <c r="D31" s="3" t="s">
        <v>36</v>
      </c>
      <c r="E31" s="3">
        <v>20</v>
      </c>
      <c r="F31" s="5">
        <f t="shared" si="0"/>
        <v>30</v>
      </c>
    </row>
    <row r="32" spans="1:15" x14ac:dyDescent="0.25">
      <c r="A32" s="4">
        <v>42057</v>
      </c>
      <c r="B32" s="3" t="s">
        <v>38</v>
      </c>
      <c r="C32" s="3" t="s">
        <v>6</v>
      </c>
      <c r="D32" s="3" t="s">
        <v>30</v>
      </c>
      <c r="E32" s="3">
        <v>24</v>
      </c>
      <c r="F32" s="5">
        <f t="shared" si="0"/>
        <v>2.4000000000000004</v>
      </c>
    </row>
    <row r="33" spans="1:6" x14ac:dyDescent="0.25">
      <c r="A33" s="4">
        <v>42053</v>
      </c>
      <c r="B33" s="3" t="s">
        <v>26</v>
      </c>
      <c r="C33" s="3" t="s">
        <v>5</v>
      </c>
      <c r="D33" s="3" t="s">
        <v>31</v>
      </c>
      <c r="E33" s="3">
        <v>31</v>
      </c>
      <c r="F33" s="5">
        <f t="shared" si="0"/>
        <v>77.5</v>
      </c>
    </row>
    <row r="34" spans="1:6" x14ac:dyDescent="0.25">
      <c r="A34" s="4">
        <v>42059</v>
      </c>
      <c r="B34" s="3" t="s">
        <v>26</v>
      </c>
      <c r="C34" s="3" t="s">
        <v>6</v>
      </c>
      <c r="D34" s="3" t="s">
        <v>35</v>
      </c>
      <c r="E34" s="3">
        <v>49</v>
      </c>
      <c r="F34" s="5">
        <f t="shared" si="0"/>
        <v>196</v>
      </c>
    </row>
    <row r="35" spans="1:6" x14ac:dyDescent="0.25">
      <c r="A35" s="4">
        <v>42120</v>
      </c>
      <c r="B35" s="3" t="s">
        <v>39</v>
      </c>
      <c r="C35" s="3" t="s">
        <v>10</v>
      </c>
      <c r="D35" s="3" t="s">
        <v>27</v>
      </c>
      <c r="E35" s="3">
        <v>38</v>
      </c>
      <c r="F35" s="5">
        <f t="shared" si="0"/>
        <v>19</v>
      </c>
    </row>
    <row r="36" spans="1:6" x14ac:dyDescent="0.25">
      <c r="A36" s="4">
        <v>42026</v>
      </c>
      <c r="B36" s="3" t="s">
        <v>32</v>
      </c>
      <c r="C36" s="3" t="s">
        <v>6</v>
      </c>
      <c r="D36" s="3" t="s">
        <v>27</v>
      </c>
      <c r="E36" s="3">
        <v>31</v>
      </c>
      <c r="F36" s="5">
        <f t="shared" si="0"/>
        <v>15.5</v>
      </c>
    </row>
    <row r="37" spans="1:6" x14ac:dyDescent="0.25">
      <c r="A37" s="4">
        <v>42117</v>
      </c>
      <c r="B37" s="3" t="s">
        <v>39</v>
      </c>
      <c r="C37" s="3" t="s">
        <v>10</v>
      </c>
      <c r="D37" s="3" t="s">
        <v>28</v>
      </c>
      <c r="E37" s="3">
        <v>16</v>
      </c>
      <c r="F37" s="5">
        <f t="shared" si="0"/>
        <v>32</v>
      </c>
    </row>
    <row r="38" spans="1:6" x14ac:dyDescent="0.25">
      <c r="A38" s="4">
        <v>42135</v>
      </c>
      <c r="B38" s="3" t="s">
        <v>26</v>
      </c>
      <c r="C38" s="3" t="s">
        <v>5</v>
      </c>
      <c r="D38" s="3" t="s">
        <v>33</v>
      </c>
      <c r="E38" s="3">
        <v>47</v>
      </c>
      <c r="F38" s="5">
        <f t="shared" si="0"/>
        <v>235</v>
      </c>
    </row>
    <row r="39" spans="1:6" x14ac:dyDescent="0.25">
      <c r="A39" s="4">
        <v>42056</v>
      </c>
      <c r="B39" s="3" t="s">
        <v>39</v>
      </c>
      <c r="C39" s="3" t="s">
        <v>5</v>
      </c>
      <c r="D39" s="3" t="s">
        <v>34</v>
      </c>
      <c r="E39" s="3">
        <v>5</v>
      </c>
      <c r="F39" s="5">
        <f t="shared" si="0"/>
        <v>1</v>
      </c>
    </row>
    <row r="40" spans="1:6" x14ac:dyDescent="0.25">
      <c r="A40" s="4">
        <v>42171</v>
      </c>
      <c r="B40" s="3" t="s">
        <v>39</v>
      </c>
      <c r="C40" s="3" t="s">
        <v>6</v>
      </c>
      <c r="D40" s="3" t="s">
        <v>35</v>
      </c>
      <c r="E40" s="3">
        <v>11</v>
      </c>
      <c r="F40" s="5">
        <f t="shared" si="0"/>
        <v>44</v>
      </c>
    </row>
    <row r="41" spans="1:6" x14ac:dyDescent="0.25">
      <c r="A41" s="4">
        <v>42174</v>
      </c>
      <c r="B41" s="3" t="s">
        <v>29</v>
      </c>
      <c r="C41" s="3" t="s">
        <v>6</v>
      </c>
      <c r="D41" s="3" t="s">
        <v>33</v>
      </c>
      <c r="E41" s="3">
        <v>21</v>
      </c>
      <c r="F41" s="5">
        <f t="shared" si="0"/>
        <v>105</v>
      </c>
    </row>
    <row r="42" spans="1:6" x14ac:dyDescent="0.25">
      <c r="A42" s="4">
        <v>42167</v>
      </c>
      <c r="B42" s="3" t="s">
        <v>26</v>
      </c>
      <c r="C42" s="3" t="s">
        <v>2</v>
      </c>
      <c r="D42" s="3" t="s">
        <v>35</v>
      </c>
      <c r="E42" s="3">
        <v>49</v>
      </c>
      <c r="F42" s="5">
        <f t="shared" si="0"/>
        <v>196</v>
      </c>
    </row>
    <row r="43" spans="1:6" x14ac:dyDescent="0.25">
      <c r="A43" s="4">
        <v>42066</v>
      </c>
      <c r="B43" s="3" t="s">
        <v>26</v>
      </c>
      <c r="C43" s="3" t="s">
        <v>5</v>
      </c>
      <c r="D43" s="3" t="s">
        <v>28</v>
      </c>
      <c r="E43" s="3">
        <v>44</v>
      </c>
      <c r="F43" s="5">
        <f t="shared" si="0"/>
        <v>88</v>
      </c>
    </row>
    <row r="44" spans="1:6" x14ac:dyDescent="0.25">
      <c r="A44" s="4">
        <v>42040</v>
      </c>
      <c r="B44" s="3" t="s">
        <v>37</v>
      </c>
      <c r="C44" s="3" t="s">
        <v>6</v>
      </c>
      <c r="D44" s="3" t="s">
        <v>36</v>
      </c>
      <c r="E44" s="3">
        <v>27</v>
      </c>
      <c r="F44" s="5">
        <f t="shared" si="0"/>
        <v>40.5</v>
      </c>
    </row>
    <row r="45" spans="1:6" x14ac:dyDescent="0.25">
      <c r="A45" s="4">
        <v>42142</v>
      </c>
      <c r="B45" s="3" t="s">
        <v>32</v>
      </c>
      <c r="C45" s="3" t="s">
        <v>6</v>
      </c>
      <c r="D45" s="3" t="s">
        <v>36</v>
      </c>
      <c r="E45" s="3">
        <v>30</v>
      </c>
      <c r="F45" s="5">
        <f t="shared" si="0"/>
        <v>45</v>
      </c>
    </row>
    <row r="46" spans="1:6" x14ac:dyDescent="0.25">
      <c r="A46" s="4">
        <v>42172</v>
      </c>
      <c r="B46" s="3" t="s">
        <v>26</v>
      </c>
      <c r="C46" s="3" t="s">
        <v>10</v>
      </c>
      <c r="D46" s="3" t="s">
        <v>36</v>
      </c>
      <c r="E46" s="3">
        <v>31</v>
      </c>
      <c r="F46" s="5">
        <f t="shared" si="0"/>
        <v>46.5</v>
      </c>
    </row>
    <row r="47" spans="1:6" x14ac:dyDescent="0.25">
      <c r="A47" s="4">
        <v>42118</v>
      </c>
      <c r="B47" s="3" t="s">
        <v>39</v>
      </c>
      <c r="C47" s="3" t="s">
        <v>6</v>
      </c>
      <c r="D47" s="3" t="s">
        <v>27</v>
      </c>
      <c r="E47" s="3">
        <v>3</v>
      </c>
      <c r="F47" s="5">
        <f t="shared" si="0"/>
        <v>1.5</v>
      </c>
    </row>
    <row r="48" spans="1:6" x14ac:dyDescent="0.25">
      <c r="A48" s="4">
        <v>42180</v>
      </c>
      <c r="B48" s="3" t="s">
        <v>38</v>
      </c>
      <c r="C48" s="3" t="s">
        <v>19</v>
      </c>
      <c r="D48" s="3" t="s">
        <v>28</v>
      </c>
      <c r="E48" s="3">
        <v>9</v>
      </c>
      <c r="F48" s="5">
        <f t="shared" si="0"/>
        <v>18</v>
      </c>
    </row>
    <row r="49" spans="1:6" x14ac:dyDescent="0.25">
      <c r="A49" s="4">
        <v>42114</v>
      </c>
      <c r="B49" s="3" t="s">
        <v>26</v>
      </c>
      <c r="C49" s="3" t="s">
        <v>19</v>
      </c>
      <c r="D49" s="3" t="s">
        <v>36</v>
      </c>
      <c r="E49" s="3">
        <v>50</v>
      </c>
      <c r="F49" s="5">
        <f t="shared" si="0"/>
        <v>75</v>
      </c>
    </row>
    <row r="50" spans="1:6" x14ac:dyDescent="0.25">
      <c r="A50" s="4">
        <v>42026</v>
      </c>
      <c r="B50" s="3" t="s">
        <v>32</v>
      </c>
      <c r="C50" s="3" t="s">
        <v>2</v>
      </c>
      <c r="D50" s="3" t="s">
        <v>33</v>
      </c>
      <c r="E50" s="3">
        <v>24</v>
      </c>
      <c r="F50" s="5">
        <f t="shared" si="0"/>
        <v>120</v>
      </c>
    </row>
    <row r="51" spans="1:6" x14ac:dyDescent="0.25">
      <c r="A51" s="4">
        <v>42087</v>
      </c>
      <c r="B51" s="3" t="s">
        <v>39</v>
      </c>
      <c r="C51" s="3" t="s">
        <v>2</v>
      </c>
      <c r="D51" s="3" t="s">
        <v>36</v>
      </c>
      <c r="E51" s="3">
        <v>29</v>
      </c>
      <c r="F51" s="5">
        <f t="shared" si="0"/>
        <v>43.5</v>
      </c>
    </row>
    <row r="52" spans="1:6" x14ac:dyDescent="0.25">
      <c r="A52" s="4">
        <v>42102</v>
      </c>
      <c r="B52" s="3" t="s">
        <v>26</v>
      </c>
      <c r="C52" s="3" t="s">
        <v>2</v>
      </c>
      <c r="D52" s="3" t="s">
        <v>35</v>
      </c>
      <c r="E52" s="3">
        <v>5</v>
      </c>
      <c r="F52" s="5">
        <f t="shared" si="0"/>
        <v>20</v>
      </c>
    </row>
    <row r="53" spans="1:6" x14ac:dyDescent="0.25">
      <c r="A53" s="4">
        <v>42127</v>
      </c>
      <c r="B53" s="3" t="s">
        <v>37</v>
      </c>
      <c r="C53" s="3" t="s">
        <v>10</v>
      </c>
      <c r="D53" s="3" t="s">
        <v>28</v>
      </c>
      <c r="E53" s="3">
        <v>29</v>
      </c>
      <c r="F53" s="5">
        <f t="shared" si="0"/>
        <v>58</v>
      </c>
    </row>
    <row r="54" spans="1:6" x14ac:dyDescent="0.25">
      <c r="A54" s="4">
        <v>42150</v>
      </c>
      <c r="B54" s="3" t="s">
        <v>32</v>
      </c>
      <c r="C54" s="3" t="s">
        <v>5</v>
      </c>
      <c r="D54" s="3" t="s">
        <v>30</v>
      </c>
      <c r="E54" s="3">
        <v>37</v>
      </c>
      <c r="F54" s="5">
        <f t="shared" si="0"/>
        <v>3.7</v>
      </c>
    </row>
    <row r="55" spans="1:6" x14ac:dyDescent="0.25">
      <c r="A55" s="4">
        <v>42070</v>
      </c>
      <c r="B55" s="3" t="s">
        <v>26</v>
      </c>
      <c r="C55" s="3" t="s">
        <v>6</v>
      </c>
      <c r="D55" s="3" t="s">
        <v>27</v>
      </c>
      <c r="E55" s="3">
        <v>44</v>
      </c>
      <c r="F55" s="5">
        <f t="shared" si="0"/>
        <v>22</v>
      </c>
    </row>
    <row r="56" spans="1:6" x14ac:dyDescent="0.25">
      <c r="A56" s="4">
        <v>42138</v>
      </c>
      <c r="B56" s="3" t="s">
        <v>29</v>
      </c>
      <c r="C56" s="3" t="s">
        <v>10</v>
      </c>
      <c r="D56" s="3" t="s">
        <v>36</v>
      </c>
      <c r="E56" s="3">
        <v>18</v>
      </c>
      <c r="F56" s="5">
        <f t="shared" si="0"/>
        <v>27</v>
      </c>
    </row>
    <row r="57" spans="1:6" x14ac:dyDescent="0.25">
      <c r="A57" s="4">
        <v>42032</v>
      </c>
      <c r="B57" s="3" t="s">
        <v>39</v>
      </c>
      <c r="C57" s="3" t="s">
        <v>2</v>
      </c>
      <c r="D57" s="3" t="s">
        <v>35</v>
      </c>
      <c r="E57" s="3">
        <v>13</v>
      </c>
      <c r="F57" s="5">
        <f t="shared" si="0"/>
        <v>52</v>
      </c>
    </row>
    <row r="58" spans="1:6" x14ac:dyDescent="0.25">
      <c r="A58" s="4">
        <v>42173</v>
      </c>
      <c r="B58" s="3" t="s">
        <v>29</v>
      </c>
      <c r="C58" s="3" t="s">
        <v>10</v>
      </c>
      <c r="D58" s="3" t="s">
        <v>36</v>
      </c>
      <c r="E58" s="3">
        <v>17</v>
      </c>
      <c r="F58" s="5">
        <f t="shared" si="0"/>
        <v>25.5</v>
      </c>
    </row>
    <row r="59" spans="1:6" x14ac:dyDescent="0.25">
      <c r="A59" s="4">
        <v>42019</v>
      </c>
      <c r="B59" s="3" t="s">
        <v>39</v>
      </c>
      <c r="C59" s="3" t="s">
        <v>2</v>
      </c>
      <c r="D59" s="3" t="s">
        <v>36</v>
      </c>
      <c r="E59" s="3">
        <v>45</v>
      </c>
      <c r="F59" s="5">
        <f t="shared" si="0"/>
        <v>67.5</v>
      </c>
    </row>
    <row r="60" spans="1:6" x14ac:dyDescent="0.25">
      <c r="A60" s="4">
        <v>42047</v>
      </c>
      <c r="B60" s="3" t="s">
        <v>37</v>
      </c>
      <c r="C60" s="3" t="s">
        <v>2</v>
      </c>
      <c r="D60" s="3" t="s">
        <v>33</v>
      </c>
      <c r="E60" s="3">
        <v>29</v>
      </c>
      <c r="F60" s="5">
        <f t="shared" si="0"/>
        <v>145</v>
      </c>
    </row>
    <row r="61" spans="1:6" x14ac:dyDescent="0.25">
      <c r="A61" s="4">
        <v>42017</v>
      </c>
      <c r="B61" s="3" t="s">
        <v>38</v>
      </c>
      <c r="C61" s="3" t="s">
        <v>2</v>
      </c>
      <c r="D61" s="3" t="s">
        <v>36</v>
      </c>
      <c r="E61" s="3">
        <v>11</v>
      </c>
      <c r="F61" s="5">
        <f t="shared" si="0"/>
        <v>16.5</v>
      </c>
    </row>
    <row r="62" spans="1:6" x14ac:dyDescent="0.25">
      <c r="A62" s="4">
        <v>42043</v>
      </c>
      <c r="B62" s="3" t="s">
        <v>38</v>
      </c>
      <c r="C62" s="3" t="s">
        <v>10</v>
      </c>
      <c r="D62" s="3" t="s">
        <v>36</v>
      </c>
      <c r="E62" s="3">
        <v>4</v>
      </c>
      <c r="F62" s="5">
        <f t="shared" si="0"/>
        <v>6</v>
      </c>
    </row>
    <row r="63" spans="1:6" x14ac:dyDescent="0.25">
      <c r="A63" s="4">
        <v>42160</v>
      </c>
      <c r="B63" s="3" t="s">
        <v>32</v>
      </c>
      <c r="C63" s="3" t="s">
        <v>6</v>
      </c>
      <c r="D63" s="3" t="s">
        <v>31</v>
      </c>
      <c r="E63" s="3">
        <v>10</v>
      </c>
      <c r="F63" s="5">
        <f t="shared" si="0"/>
        <v>25</v>
      </c>
    </row>
    <row r="64" spans="1:6" x14ac:dyDescent="0.25">
      <c r="A64" s="4">
        <v>42018</v>
      </c>
      <c r="B64" s="3" t="s">
        <v>29</v>
      </c>
      <c r="C64" s="3" t="s">
        <v>10</v>
      </c>
      <c r="D64" s="3" t="s">
        <v>33</v>
      </c>
      <c r="E64" s="3">
        <v>15</v>
      </c>
      <c r="F64" s="5">
        <f t="shared" si="0"/>
        <v>75</v>
      </c>
    </row>
    <row r="65" spans="1:6" x14ac:dyDescent="0.25">
      <c r="A65" s="4">
        <v>42076</v>
      </c>
      <c r="B65" s="3" t="s">
        <v>32</v>
      </c>
      <c r="C65" s="3" t="s">
        <v>2</v>
      </c>
      <c r="D65" s="3" t="s">
        <v>28</v>
      </c>
      <c r="E65" s="3">
        <v>29</v>
      </c>
      <c r="F65" s="5">
        <f t="shared" si="0"/>
        <v>58</v>
      </c>
    </row>
    <row r="66" spans="1:6" x14ac:dyDescent="0.25">
      <c r="A66" s="4">
        <v>42032</v>
      </c>
      <c r="B66" s="3" t="s">
        <v>32</v>
      </c>
      <c r="C66" s="3" t="s">
        <v>19</v>
      </c>
      <c r="D66" s="3" t="s">
        <v>27</v>
      </c>
      <c r="E66" s="3">
        <v>9</v>
      </c>
      <c r="F66" s="5">
        <f t="shared" si="0"/>
        <v>4.5</v>
      </c>
    </row>
    <row r="67" spans="1:6" x14ac:dyDescent="0.25">
      <c r="A67" s="4">
        <v>42021</v>
      </c>
      <c r="B67" s="3" t="s">
        <v>38</v>
      </c>
      <c r="C67" s="3" t="s">
        <v>6</v>
      </c>
      <c r="D67" s="3" t="s">
        <v>30</v>
      </c>
      <c r="E67" s="3">
        <v>21</v>
      </c>
      <c r="F67" s="5">
        <f t="shared" si="0"/>
        <v>2.1</v>
      </c>
    </row>
    <row r="68" spans="1:6" x14ac:dyDescent="0.25">
      <c r="A68" s="4">
        <v>42077</v>
      </c>
      <c r="B68" s="3" t="s">
        <v>39</v>
      </c>
      <c r="C68" s="3" t="s">
        <v>5</v>
      </c>
      <c r="D68" s="3" t="s">
        <v>34</v>
      </c>
      <c r="E68" s="3">
        <v>35</v>
      </c>
      <c r="F68" s="5">
        <f t="shared" si="0"/>
        <v>7</v>
      </c>
    </row>
    <row r="69" spans="1:6" x14ac:dyDescent="0.25">
      <c r="A69" s="4">
        <v>42070</v>
      </c>
      <c r="B69" s="3" t="s">
        <v>37</v>
      </c>
      <c r="C69" s="3" t="s">
        <v>6</v>
      </c>
      <c r="D69" s="3" t="s">
        <v>34</v>
      </c>
      <c r="E69" s="3">
        <v>21</v>
      </c>
      <c r="F69" s="5">
        <f t="shared" si="0"/>
        <v>4.2</v>
      </c>
    </row>
    <row r="70" spans="1:6" x14ac:dyDescent="0.25">
      <c r="A70" s="4">
        <v>42146</v>
      </c>
      <c r="B70" s="3" t="s">
        <v>39</v>
      </c>
      <c r="C70" s="3" t="s">
        <v>2</v>
      </c>
      <c r="D70" s="3" t="s">
        <v>28</v>
      </c>
      <c r="E70" s="3">
        <v>4</v>
      </c>
      <c r="F70" s="5">
        <f t="shared" si="0"/>
        <v>8</v>
      </c>
    </row>
    <row r="71" spans="1:6" x14ac:dyDescent="0.25">
      <c r="A71" s="4">
        <v>42169</v>
      </c>
      <c r="B71" s="3" t="s">
        <v>38</v>
      </c>
      <c r="C71" s="3" t="s">
        <v>2</v>
      </c>
      <c r="D71" s="3" t="s">
        <v>36</v>
      </c>
      <c r="E71" s="3">
        <v>5</v>
      </c>
      <c r="F71" s="5">
        <f t="shared" si="0"/>
        <v>7.5</v>
      </c>
    </row>
    <row r="72" spans="1:6" x14ac:dyDescent="0.25">
      <c r="A72" s="4">
        <v>42098</v>
      </c>
      <c r="B72" s="3" t="s">
        <v>37</v>
      </c>
      <c r="C72" s="3" t="s">
        <v>2</v>
      </c>
      <c r="D72" s="3" t="s">
        <v>30</v>
      </c>
      <c r="E72" s="3">
        <v>17</v>
      </c>
      <c r="F72" s="5">
        <f t="shared" ref="F72:F135" si="1">E72*VLOOKUP(D72,$W$7:$X$14,2,0)</f>
        <v>1.7000000000000002</v>
      </c>
    </row>
    <row r="73" spans="1:6" x14ac:dyDescent="0.25">
      <c r="A73" s="4">
        <v>42080</v>
      </c>
      <c r="B73" s="3" t="s">
        <v>38</v>
      </c>
      <c r="C73" s="3" t="s">
        <v>19</v>
      </c>
      <c r="D73" s="3" t="s">
        <v>27</v>
      </c>
      <c r="E73" s="3">
        <v>2</v>
      </c>
      <c r="F73" s="5">
        <f t="shared" si="1"/>
        <v>1</v>
      </c>
    </row>
    <row r="74" spans="1:6" x14ac:dyDescent="0.25">
      <c r="A74" s="4">
        <v>42132</v>
      </c>
      <c r="B74" s="3" t="s">
        <v>37</v>
      </c>
      <c r="C74" s="3" t="s">
        <v>5</v>
      </c>
      <c r="D74" s="3" t="s">
        <v>30</v>
      </c>
      <c r="E74" s="3">
        <v>11</v>
      </c>
      <c r="F74" s="5">
        <f t="shared" si="1"/>
        <v>1.1000000000000001</v>
      </c>
    </row>
    <row r="75" spans="1:6" x14ac:dyDescent="0.25">
      <c r="A75" s="4">
        <v>42145</v>
      </c>
      <c r="B75" s="3" t="s">
        <v>38</v>
      </c>
      <c r="C75" s="3" t="s">
        <v>10</v>
      </c>
      <c r="D75" s="3" t="s">
        <v>30</v>
      </c>
      <c r="E75" s="3">
        <v>37</v>
      </c>
      <c r="F75" s="5">
        <f t="shared" si="1"/>
        <v>3.7</v>
      </c>
    </row>
    <row r="76" spans="1:6" x14ac:dyDescent="0.25">
      <c r="A76" s="4">
        <v>42179</v>
      </c>
      <c r="B76" s="3" t="s">
        <v>37</v>
      </c>
      <c r="C76" s="3" t="s">
        <v>2</v>
      </c>
      <c r="D76" s="3" t="s">
        <v>34</v>
      </c>
      <c r="E76" s="3">
        <v>26</v>
      </c>
      <c r="F76" s="5">
        <f t="shared" si="1"/>
        <v>5.2</v>
      </c>
    </row>
    <row r="77" spans="1:6" x14ac:dyDescent="0.25">
      <c r="A77" s="4">
        <v>42016</v>
      </c>
      <c r="B77" s="3" t="s">
        <v>32</v>
      </c>
      <c r="C77" s="3" t="s">
        <v>19</v>
      </c>
      <c r="D77" s="3" t="s">
        <v>27</v>
      </c>
      <c r="E77" s="3">
        <v>45</v>
      </c>
      <c r="F77" s="5">
        <f t="shared" si="1"/>
        <v>22.5</v>
      </c>
    </row>
    <row r="78" spans="1:6" x14ac:dyDescent="0.25">
      <c r="A78" s="4">
        <v>42011</v>
      </c>
      <c r="B78" s="3" t="s">
        <v>29</v>
      </c>
      <c r="C78" s="3" t="s">
        <v>6</v>
      </c>
      <c r="D78" s="3" t="s">
        <v>35</v>
      </c>
      <c r="E78" s="3">
        <v>31</v>
      </c>
      <c r="F78" s="5">
        <f t="shared" si="1"/>
        <v>124</v>
      </c>
    </row>
    <row r="79" spans="1:6" x14ac:dyDescent="0.25">
      <c r="A79" s="4">
        <v>42107</v>
      </c>
      <c r="B79" s="3" t="s">
        <v>39</v>
      </c>
      <c r="C79" s="3" t="s">
        <v>6</v>
      </c>
      <c r="D79" s="3" t="s">
        <v>30</v>
      </c>
      <c r="E79" s="3">
        <v>25</v>
      </c>
      <c r="F79" s="5">
        <f t="shared" si="1"/>
        <v>2.5</v>
      </c>
    </row>
    <row r="80" spans="1:6" x14ac:dyDescent="0.25">
      <c r="A80" s="4">
        <v>42152</v>
      </c>
      <c r="B80" s="3" t="s">
        <v>38</v>
      </c>
      <c r="C80" s="3" t="s">
        <v>10</v>
      </c>
      <c r="D80" s="3" t="s">
        <v>28</v>
      </c>
      <c r="E80" s="3">
        <v>12</v>
      </c>
      <c r="F80" s="5">
        <f t="shared" si="1"/>
        <v>24</v>
      </c>
    </row>
    <row r="81" spans="1:6" x14ac:dyDescent="0.25">
      <c r="A81" s="4">
        <v>42161</v>
      </c>
      <c r="B81" s="3" t="s">
        <v>32</v>
      </c>
      <c r="C81" s="3" t="s">
        <v>6</v>
      </c>
      <c r="D81" s="3" t="s">
        <v>28</v>
      </c>
      <c r="E81" s="3">
        <v>25</v>
      </c>
      <c r="F81" s="5">
        <f t="shared" si="1"/>
        <v>50</v>
      </c>
    </row>
    <row r="82" spans="1:6" x14ac:dyDescent="0.25">
      <c r="A82" s="4">
        <v>42118</v>
      </c>
      <c r="B82" s="3" t="s">
        <v>38</v>
      </c>
      <c r="C82" s="3" t="s">
        <v>5</v>
      </c>
      <c r="D82" s="3" t="s">
        <v>35</v>
      </c>
      <c r="E82" s="3">
        <v>48</v>
      </c>
      <c r="F82" s="5">
        <f t="shared" si="1"/>
        <v>192</v>
      </c>
    </row>
    <row r="83" spans="1:6" x14ac:dyDescent="0.25">
      <c r="A83" s="4">
        <v>42141</v>
      </c>
      <c r="B83" s="3" t="s">
        <v>38</v>
      </c>
      <c r="C83" s="3" t="s">
        <v>10</v>
      </c>
      <c r="D83" s="3" t="s">
        <v>35</v>
      </c>
      <c r="E83" s="3">
        <v>32</v>
      </c>
      <c r="F83" s="5">
        <f t="shared" si="1"/>
        <v>128</v>
      </c>
    </row>
    <row r="84" spans="1:6" x14ac:dyDescent="0.25">
      <c r="A84" s="4">
        <v>42064</v>
      </c>
      <c r="B84" s="3" t="s">
        <v>29</v>
      </c>
      <c r="C84" s="3" t="s">
        <v>5</v>
      </c>
      <c r="D84" s="3" t="s">
        <v>33</v>
      </c>
      <c r="E84" s="3">
        <v>4</v>
      </c>
      <c r="F84" s="5">
        <f t="shared" si="1"/>
        <v>20</v>
      </c>
    </row>
    <row r="85" spans="1:6" x14ac:dyDescent="0.25">
      <c r="A85" s="4">
        <v>42141</v>
      </c>
      <c r="B85" s="3" t="s">
        <v>26</v>
      </c>
      <c r="C85" s="3" t="s">
        <v>6</v>
      </c>
      <c r="D85" s="3" t="s">
        <v>33</v>
      </c>
      <c r="E85" s="3">
        <v>35</v>
      </c>
      <c r="F85" s="5">
        <f t="shared" si="1"/>
        <v>175</v>
      </c>
    </row>
    <row r="86" spans="1:6" x14ac:dyDescent="0.25">
      <c r="A86" s="4">
        <v>42090</v>
      </c>
      <c r="B86" s="3" t="s">
        <v>26</v>
      </c>
      <c r="C86" s="3" t="s">
        <v>6</v>
      </c>
      <c r="D86" s="3" t="s">
        <v>35</v>
      </c>
      <c r="E86" s="3">
        <v>50</v>
      </c>
      <c r="F86" s="5">
        <f t="shared" si="1"/>
        <v>200</v>
      </c>
    </row>
    <row r="87" spans="1:6" x14ac:dyDescent="0.25">
      <c r="A87" s="4">
        <v>42052</v>
      </c>
      <c r="B87" s="3" t="s">
        <v>39</v>
      </c>
      <c r="C87" s="3" t="s">
        <v>2</v>
      </c>
      <c r="D87" s="3" t="s">
        <v>30</v>
      </c>
      <c r="E87" s="3">
        <v>27</v>
      </c>
      <c r="F87" s="5">
        <f t="shared" si="1"/>
        <v>2.7</v>
      </c>
    </row>
    <row r="88" spans="1:6" x14ac:dyDescent="0.25">
      <c r="A88" s="4">
        <v>42123</v>
      </c>
      <c r="B88" s="3" t="s">
        <v>29</v>
      </c>
      <c r="C88" s="3" t="s">
        <v>6</v>
      </c>
      <c r="D88" s="3" t="s">
        <v>35</v>
      </c>
      <c r="E88" s="3">
        <v>36</v>
      </c>
      <c r="F88" s="5">
        <f t="shared" si="1"/>
        <v>144</v>
      </c>
    </row>
    <row r="89" spans="1:6" x14ac:dyDescent="0.25">
      <c r="A89" s="4">
        <v>42182</v>
      </c>
      <c r="B89" s="3" t="s">
        <v>38</v>
      </c>
      <c r="C89" s="3" t="s">
        <v>6</v>
      </c>
      <c r="D89" s="3" t="s">
        <v>28</v>
      </c>
      <c r="E89" s="3">
        <v>36</v>
      </c>
      <c r="F89" s="5">
        <f t="shared" si="1"/>
        <v>72</v>
      </c>
    </row>
    <row r="90" spans="1:6" x14ac:dyDescent="0.25">
      <c r="A90" s="4">
        <v>42126</v>
      </c>
      <c r="B90" s="3" t="s">
        <v>29</v>
      </c>
      <c r="C90" s="3" t="s">
        <v>2</v>
      </c>
      <c r="D90" s="3" t="s">
        <v>35</v>
      </c>
      <c r="E90" s="3">
        <v>5</v>
      </c>
      <c r="F90" s="5">
        <f t="shared" si="1"/>
        <v>20</v>
      </c>
    </row>
    <row r="91" spans="1:6" x14ac:dyDescent="0.25">
      <c r="A91" s="4">
        <v>42050</v>
      </c>
      <c r="B91" s="3" t="s">
        <v>38</v>
      </c>
      <c r="C91" s="3" t="s">
        <v>19</v>
      </c>
      <c r="D91" s="3" t="s">
        <v>27</v>
      </c>
      <c r="E91" s="3">
        <v>11</v>
      </c>
      <c r="F91" s="5">
        <f t="shared" si="1"/>
        <v>5.5</v>
      </c>
    </row>
    <row r="92" spans="1:6" x14ac:dyDescent="0.25">
      <c r="A92" s="4">
        <v>42072</v>
      </c>
      <c r="B92" s="3" t="s">
        <v>39</v>
      </c>
      <c r="C92" s="3" t="s">
        <v>10</v>
      </c>
      <c r="D92" s="3" t="s">
        <v>33</v>
      </c>
      <c r="E92" s="3">
        <v>7</v>
      </c>
      <c r="F92" s="5">
        <f t="shared" si="1"/>
        <v>35</v>
      </c>
    </row>
    <row r="93" spans="1:6" x14ac:dyDescent="0.25">
      <c r="A93" s="4">
        <v>42035</v>
      </c>
      <c r="B93" s="3" t="s">
        <v>37</v>
      </c>
      <c r="C93" s="3" t="s">
        <v>5</v>
      </c>
      <c r="D93" s="3" t="s">
        <v>33</v>
      </c>
      <c r="E93" s="3">
        <v>40</v>
      </c>
      <c r="F93" s="5">
        <f t="shared" si="1"/>
        <v>200</v>
      </c>
    </row>
    <row r="94" spans="1:6" x14ac:dyDescent="0.25">
      <c r="A94" s="4">
        <v>42169</v>
      </c>
      <c r="B94" s="3" t="s">
        <v>37</v>
      </c>
      <c r="C94" s="3" t="s">
        <v>5</v>
      </c>
      <c r="D94" s="3" t="s">
        <v>28</v>
      </c>
      <c r="E94" s="3">
        <v>44</v>
      </c>
      <c r="F94" s="5">
        <f t="shared" si="1"/>
        <v>88</v>
      </c>
    </row>
    <row r="95" spans="1:6" x14ac:dyDescent="0.25">
      <c r="A95" s="4">
        <v>42133</v>
      </c>
      <c r="B95" s="3" t="s">
        <v>39</v>
      </c>
      <c r="C95" s="3" t="s">
        <v>2</v>
      </c>
      <c r="D95" s="3" t="s">
        <v>34</v>
      </c>
      <c r="E95" s="3">
        <v>50</v>
      </c>
      <c r="F95" s="5">
        <f t="shared" si="1"/>
        <v>10</v>
      </c>
    </row>
    <row r="96" spans="1:6" x14ac:dyDescent="0.25">
      <c r="A96" s="4">
        <v>42132</v>
      </c>
      <c r="B96" s="3" t="s">
        <v>37</v>
      </c>
      <c r="C96" s="3" t="s">
        <v>2</v>
      </c>
      <c r="D96" s="3" t="s">
        <v>35</v>
      </c>
      <c r="E96" s="3">
        <v>22</v>
      </c>
      <c r="F96" s="5">
        <f t="shared" si="1"/>
        <v>88</v>
      </c>
    </row>
    <row r="97" spans="1:6" x14ac:dyDescent="0.25">
      <c r="A97" s="4">
        <v>42091</v>
      </c>
      <c r="B97" s="3" t="s">
        <v>37</v>
      </c>
      <c r="C97" s="3" t="s">
        <v>10</v>
      </c>
      <c r="D97" s="3" t="s">
        <v>27</v>
      </c>
      <c r="E97" s="3">
        <v>35</v>
      </c>
      <c r="F97" s="5">
        <f t="shared" si="1"/>
        <v>17.5</v>
      </c>
    </row>
    <row r="98" spans="1:6" x14ac:dyDescent="0.25">
      <c r="A98" s="4">
        <v>42180</v>
      </c>
      <c r="B98" s="3" t="s">
        <v>26</v>
      </c>
      <c r="C98" s="3" t="s">
        <v>10</v>
      </c>
      <c r="D98" s="3" t="s">
        <v>35</v>
      </c>
      <c r="E98" s="3">
        <v>22</v>
      </c>
      <c r="F98" s="5">
        <f t="shared" si="1"/>
        <v>88</v>
      </c>
    </row>
    <row r="99" spans="1:6" x14ac:dyDescent="0.25">
      <c r="A99" s="4">
        <v>42172</v>
      </c>
      <c r="B99" s="3" t="s">
        <v>26</v>
      </c>
      <c r="C99" s="3" t="s">
        <v>5</v>
      </c>
      <c r="D99" s="3" t="s">
        <v>30</v>
      </c>
      <c r="E99" s="3">
        <v>6</v>
      </c>
      <c r="F99" s="5">
        <f t="shared" si="1"/>
        <v>0.60000000000000009</v>
      </c>
    </row>
    <row r="100" spans="1:6" x14ac:dyDescent="0.25">
      <c r="A100" s="4">
        <v>42046</v>
      </c>
      <c r="B100" s="3" t="s">
        <v>37</v>
      </c>
      <c r="C100" s="3" t="s">
        <v>6</v>
      </c>
      <c r="D100" s="3" t="s">
        <v>35</v>
      </c>
      <c r="E100" s="3">
        <v>49</v>
      </c>
      <c r="F100" s="5">
        <f t="shared" si="1"/>
        <v>196</v>
      </c>
    </row>
    <row r="101" spans="1:6" x14ac:dyDescent="0.25">
      <c r="A101" s="4">
        <v>42039</v>
      </c>
      <c r="B101" s="3" t="s">
        <v>37</v>
      </c>
      <c r="C101" s="3" t="s">
        <v>19</v>
      </c>
      <c r="D101" s="3" t="s">
        <v>35</v>
      </c>
      <c r="E101" s="3">
        <v>24</v>
      </c>
      <c r="F101" s="5">
        <f t="shared" si="1"/>
        <v>96</v>
      </c>
    </row>
    <row r="102" spans="1:6" x14ac:dyDescent="0.25">
      <c r="A102" s="4">
        <v>42114</v>
      </c>
      <c r="B102" s="3" t="s">
        <v>26</v>
      </c>
      <c r="C102" s="3" t="s">
        <v>10</v>
      </c>
      <c r="D102" s="3" t="s">
        <v>31</v>
      </c>
      <c r="E102" s="3">
        <v>2</v>
      </c>
      <c r="F102" s="5">
        <f t="shared" si="1"/>
        <v>5</v>
      </c>
    </row>
    <row r="103" spans="1:6" x14ac:dyDescent="0.25">
      <c r="A103" s="4">
        <v>42165</v>
      </c>
      <c r="B103" s="3" t="s">
        <v>37</v>
      </c>
      <c r="C103" s="3" t="s">
        <v>2</v>
      </c>
      <c r="D103" s="3" t="s">
        <v>34</v>
      </c>
      <c r="E103" s="3">
        <v>20</v>
      </c>
      <c r="F103" s="5">
        <f t="shared" si="1"/>
        <v>4</v>
      </c>
    </row>
    <row r="104" spans="1:6" x14ac:dyDescent="0.25">
      <c r="A104" s="4">
        <v>42136</v>
      </c>
      <c r="B104" s="3" t="s">
        <v>38</v>
      </c>
      <c r="C104" s="3" t="s">
        <v>10</v>
      </c>
      <c r="D104" s="3" t="s">
        <v>36</v>
      </c>
      <c r="E104" s="3">
        <v>26</v>
      </c>
      <c r="F104" s="5">
        <f t="shared" si="1"/>
        <v>39</v>
      </c>
    </row>
    <row r="105" spans="1:6" x14ac:dyDescent="0.25">
      <c r="A105" s="4">
        <v>42121</v>
      </c>
      <c r="B105" s="3" t="s">
        <v>39</v>
      </c>
      <c r="C105" s="3" t="s">
        <v>19</v>
      </c>
      <c r="D105" s="3" t="s">
        <v>36</v>
      </c>
      <c r="E105" s="3">
        <v>24</v>
      </c>
      <c r="F105" s="5">
        <f t="shared" si="1"/>
        <v>36</v>
      </c>
    </row>
    <row r="106" spans="1:6" x14ac:dyDescent="0.25">
      <c r="A106" s="4">
        <v>42184</v>
      </c>
      <c r="B106" s="3" t="s">
        <v>38</v>
      </c>
      <c r="C106" s="3" t="s">
        <v>2</v>
      </c>
      <c r="D106" s="3" t="s">
        <v>28</v>
      </c>
      <c r="E106" s="3">
        <v>41</v>
      </c>
      <c r="F106" s="5">
        <f t="shared" si="1"/>
        <v>82</v>
      </c>
    </row>
    <row r="107" spans="1:6" x14ac:dyDescent="0.25">
      <c r="A107" s="4">
        <v>42026</v>
      </c>
      <c r="B107" s="3" t="s">
        <v>26</v>
      </c>
      <c r="C107" s="3" t="s">
        <v>2</v>
      </c>
      <c r="D107" s="3" t="s">
        <v>31</v>
      </c>
      <c r="E107" s="3">
        <v>27</v>
      </c>
      <c r="F107" s="5">
        <f t="shared" si="1"/>
        <v>67.5</v>
      </c>
    </row>
    <row r="108" spans="1:6" x14ac:dyDescent="0.25">
      <c r="A108" s="4">
        <v>42039</v>
      </c>
      <c r="B108" s="3" t="s">
        <v>29</v>
      </c>
      <c r="C108" s="3" t="s">
        <v>6</v>
      </c>
      <c r="D108" s="3" t="s">
        <v>31</v>
      </c>
      <c r="E108" s="3">
        <v>29</v>
      </c>
      <c r="F108" s="5">
        <f t="shared" si="1"/>
        <v>72.5</v>
      </c>
    </row>
    <row r="109" spans="1:6" x14ac:dyDescent="0.25">
      <c r="A109" s="4">
        <v>42174</v>
      </c>
      <c r="B109" s="3" t="s">
        <v>29</v>
      </c>
      <c r="C109" s="3" t="s">
        <v>5</v>
      </c>
      <c r="D109" s="3" t="s">
        <v>28</v>
      </c>
      <c r="E109" s="3">
        <v>40</v>
      </c>
      <c r="F109" s="5">
        <f t="shared" si="1"/>
        <v>80</v>
      </c>
    </row>
    <row r="110" spans="1:6" x14ac:dyDescent="0.25">
      <c r="A110" s="4">
        <v>42130</v>
      </c>
      <c r="B110" s="3" t="s">
        <v>37</v>
      </c>
      <c r="C110" s="3" t="s">
        <v>19</v>
      </c>
      <c r="D110" s="3" t="s">
        <v>34</v>
      </c>
      <c r="E110" s="3">
        <v>32</v>
      </c>
      <c r="F110" s="5">
        <f t="shared" si="1"/>
        <v>6.4</v>
      </c>
    </row>
    <row r="111" spans="1:6" x14ac:dyDescent="0.25">
      <c r="A111" s="4">
        <v>42013</v>
      </c>
      <c r="B111" s="3" t="s">
        <v>38</v>
      </c>
      <c r="C111" s="3" t="s">
        <v>2</v>
      </c>
      <c r="D111" s="3" t="s">
        <v>28</v>
      </c>
      <c r="E111" s="3">
        <v>29</v>
      </c>
      <c r="F111" s="5">
        <f t="shared" si="1"/>
        <v>58</v>
      </c>
    </row>
    <row r="112" spans="1:6" x14ac:dyDescent="0.25">
      <c r="A112" s="4">
        <v>42068</v>
      </c>
      <c r="B112" s="3" t="s">
        <v>32</v>
      </c>
      <c r="C112" s="3" t="s">
        <v>6</v>
      </c>
      <c r="D112" s="3" t="s">
        <v>31</v>
      </c>
      <c r="E112" s="3">
        <v>19</v>
      </c>
      <c r="F112" s="5">
        <f t="shared" si="1"/>
        <v>47.5</v>
      </c>
    </row>
    <row r="113" spans="1:6" x14ac:dyDescent="0.25">
      <c r="A113" s="4">
        <v>42093</v>
      </c>
      <c r="B113" s="3" t="s">
        <v>29</v>
      </c>
      <c r="C113" s="3" t="s">
        <v>5</v>
      </c>
      <c r="D113" s="3" t="s">
        <v>28</v>
      </c>
      <c r="E113" s="3">
        <v>15</v>
      </c>
      <c r="F113" s="5">
        <f t="shared" si="1"/>
        <v>30</v>
      </c>
    </row>
    <row r="114" spans="1:6" x14ac:dyDescent="0.25">
      <c r="A114" s="4">
        <v>42178</v>
      </c>
      <c r="B114" s="3" t="s">
        <v>37</v>
      </c>
      <c r="C114" s="3" t="s">
        <v>6</v>
      </c>
      <c r="D114" s="3" t="s">
        <v>30</v>
      </c>
      <c r="E114" s="3">
        <v>24</v>
      </c>
      <c r="F114" s="5">
        <f t="shared" si="1"/>
        <v>2.4000000000000004</v>
      </c>
    </row>
    <row r="115" spans="1:6" x14ac:dyDescent="0.25">
      <c r="A115" s="4">
        <v>42097</v>
      </c>
      <c r="B115" s="3" t="s">
        <v>38</v>
      </c>
      <c r="C115" s="3" t="s">
        <v>5</v>
      </c>
      <c r="D115" s="3" t="s">
        <v>28</v>
      </c>
      <c r="E115" s="3">
        <v>21</v>
      </c>
      <c r="F115" s="5">
        <f t="shared" si="1"/>
        <v>42</v>
      </c>
    </row>
    <row r="116" spans="1:6" x14ac:dyDescent="0.25">
      <c r="A116" s="4">
        <v>42140</v>
      </c>
      <c r="B116" s="3" t="s">
        <v>32</v>
      </c>
      <c r="C116" s="3" t="s">
        <v>10</v>
      </c>
      <c r="D116" s="3" t="s">
        <v>28</v>
      </c>
      <c r="E116" s="3">
        <v>16</v>
      </c>
      <c r="F116" s="5">
        <f t="shared" si="1"/>
        <v>32</v>
      </c>
    </row>
    <row r="117" spans="1:6" x14ac:dyDescent="0.25">
      <c r="A117" s="4">
        <v>42010</v>
      </c>
      <c r="B117" s="3" t="s">
        <v>38</v>
      </c>
      <c r="C117" s="3" t="s">
        <v>19</v>
      </c>
      <c r="D117" s="3" t="s">
        <v>31</v>
      </c>
      <c r="E117" s="3">
        <v>44</v>
      </c>
      <c r="F117" s="5">
        <f t="shared" si="1"/>
        <v>110</v>
      </c>
    </row>
    <row r="118" spans="1:6" x14ac:dyDescent="0.25">
      <c r="A118" s="4">
        <v>42019</v>
      </c>
      <c r="B118" s="3" t="s">
        <v>29</v>
      </c>
      <c r="C118" s="3" t="s">
        <v>5</v>
      </c>
      <c r="D118" s="3" t="s">
        <v>28</v>
      </c>
      <c r="E118" s="3">
        <v>4</v>
      </c>
      <c r="F118" s="5">
        <f t="shared" si="1"/>
        <v>8</v>
      </c>
    </row>
    <row r="119" spans="1:6" x14ac:dyDescent="0.25">
      <c r="A119" s="4">
        <v>42095</v>
      </c>
      <c r="B119" s="3" t="s">
        <v>39</v>
      </c>
      <c r="C119" s="3" t="s">
        <v>19</v>
      </c>
      <c r="D119" s="3" t="s">
        <v>28</v>
      </c>
      <c r="E119" s="3">
        <v>5</v>
      </c>
      <c r="F119" s="5">
        <f t="shared" si="1"/>
        <v>10</v>
      </c>
    </row>
    <row r="120" spans="1:6" x14ac:dyDescent="0.25">
      <c r="A120" s="4">
        <v>42089</v>
      </c>
      <c r="B120" s="3" t="s">
        <v>39</v>
      </c>
      <c r="C120" s="3" t="s">
        <v>19</v>
      </c>
      <c r="D120" s="3" t="s">
        <v>33</v>
      </c>
      <c r="E120" s="3">
        <v>1</v>
      </c>
      <c r="F120" s="5">
        <f t="shared" si="1"/>
        <v>5</v>
      </c>
    </row>
    <row r="121" spans="1:6" x14ac:dyDescent="0.25">
      <c r="A121" s="4">
        <v>42175</v>
      </c>
      <c r="B121" s="3" t="s">
        <v>37</v>
      </c>
      <c r="C121" s="3" t="s">
        <v>19</v>
      </c>
      <c r="D121" s="3" t="s">
        <v>30</v>
      </c>
      <c r="E121" s="3">
        <v>43</v>
      </c>
      <c r="F121" s="5">
        <f t="shared" si="1"/>
        <v>4.3</v>
      </c>
    </row>
    <row r="122" spans="1:6" x14ac:dyDescent="0.25">
      <c r="A122" s="4">
        <v>42138</v>
      </c>
      <c r="B122" s="3" t="s">
        <v>26</v>
      </c>
      <c r="C122" s="3" t="s">
        <v>5</v>
      </c>
      <c r="D122" s="3" t="s">
        <v>33</v>
      </c>
      <c r="E122" s="3">
        <v>34</v>
      </c>
      <c r="F122" s="5">
        <f t="shared" si="1"/>
        <v>170</v>
      </c>
    </row>
    <row r="123" spans="1:6" x14ac:dyDescent="0.25">
      <c r="A123" s="4">
        <v>42143</v>
      </c>
      <c r="B123" s="3" t="s">
        <v>29</v>
      </c>
      <c r="C123" s="3" t="s">
        <v>2</v>
      </c>
      <c r="D123" s="3" t="s">
        <v>31</v>
      </c>
      <c r="E123" s="3">
        <v>20</v>
      </c>
      <c r="F123" s="5">
        <f t="shared" si="1"/>
        <v>50</v>
      </c>
    </row>
    <row r="124" spans="1:6" x14ac:dyDescent="0.25">
      <c r="A124" s="4">
        <v>42011</v>
      </c>
      <c r="B124" s="3" t="s">
        <v>38</v>
      </c>
      <c r="C124" s="3" t="s">
        <v>5</v>
      </c>
      <c r="D124" s="3" t="s">
        <v>36</v>
      </c>
      <c r="E124" s="3">
        <v>17</v>
      </c>
      <c r="F124" s="5">
        <f t="shared" si="1"/>
        <v>25.5</v>
      </c>
    </row>
    <row r="125" spans="1:6" x14ac:dyDescent="0.25">
      <c r="A125" s="4">
        <v>42138</v>
      </c>
      <c r="B125" s="3" t="s">
        <v>39</v>
      </c>
      <c r="C125" s="3" t="s">
        <v>6</v>
      </c>
      <c r="D125" s="3" t="s">
        <v>36</v>
      </c>
      <c r="E125" s="3">
        <v>23</v>
      </c>
      <c r="F125" s="5">
        <f t="shared" si="1"/>
        <v>34.5</v>
      </c>
    </row>
    <row r="126" spans="1:6" x14ac:dyDescent="0.25">
      <c r="A126" s="4">
        <v>42166</v>
      </c>
      <c r="B126" s="3" t="s">
        <v>37</v>
      </c>
      <c r="C126" s="3" t="s">
        <v>19</v>
      </c>
      <c r="D126" s="3" t="s">
        <v>30</v>
      </c>
      <c r="E126" s="3">
        <v>22</v>
      </c>
      <c r="F126" s="5">
        <f t="shared" si="1"/>
        <v>2.2000000000000002</v>
      </c>
    </row>
    <row r="127" spans="1:6" x14ac:dyDescent="0.25">
      <c r="A127" s="4">
        <v>42043</v>
      </c>
      <c r="B127" s="3" t="s">
        <v>39</v>
      </c>
      <c r="C127" s="3" t="s">
        <v>6</v>
      </c>
      <c r="D127" s="3" t="s">
        <v>33</v>
      </c>
      <c r="E127" s="3">
        <v>40</v>
      </c>
      <c r="F127" s="5">
        <f t="shared" si="1"/>
        <v>200</v>
      </c>
    </row>
    <row r="128" spans="1:6" x14ac:dyDescent="0.25">
      <c r="A128" s="4">
        <v>42184</v>
      </c>
      <c r="B128" s="3" t="s">
        <v>29</v>
      </c>
      <c r="C128" s="3" t="s">
        <v>6</v>
      </c>
      <c r="D128" s="3" t="s">
        <v>35</v>
      </c>
      <c r="E128" s="3">
        <v>50</v>
      </c>
      <c r="F128" s="5">
        <f t="shared" si="1"/>
        <v>200</v>
      </c>
    </row>
    <row r="129" spans="1:6" x14ac:dyDescent="0.25">
      <c r="A129" s="4">
        <v>42176</v>
      </c>
      <c r="B129" s="3" t="s">
        <v>39</v>
      </c>
      <c r="C129" s="3" t="s">
        <v>5</v>
      </c>
      <c r="D129" s="3" t="s">
        <v>30</v>
      </c>
      <c r="E129" s="3">
        <v>29</v>
      </c>
      <c r="F129" s="5">
        <f t="shared" si="1"/>
        <v>2.9000000000000004</v>
      </c>
    </row>
    <row r="130" spans="1:6" x14ac:dyDescent="0.25">
      <c r="A130" s="4">
        <v>42062</v>
      </c>
      <c r="B130" s="3" t="s">
        <v>38</v>
      </c>
      <c r="C130" s="3" t="s">
        <v>10</v>
      </c>
      <c r="D130" s="3" t="s">
        <v>34</v>
      </c>
      <c r="E130" s="3">
        <v>17</v>
      </c>
      <c r="F130" s="5">
        <f t="shared" si="1"/>
        <v>3.4000000000000004</v>
      </c>
    </row>
    <row r="131" spans="1:6" x14ac:dyDescent="0.25">
      <c r="A131" s="4">
        <v>42162</v>
      </c>
      <c r="B131" s="3" t="s">
        <v>26</v>
      </c>
      <c r="C131" s="3" t="s">
        <v>19</v>
      </c>
      <c r="D131" s="3" t="s">
        <v>35</v>
      </c>
      <c r="E131" s="3">
        <v>42</v>
      </c>
      <c r="F131" s="5">
        <f t="shared" si="1"/>
        <v>168</v>
      </c>
    </row>
    <row r="132" spans="1:6" x14ac:dyDescent="0.25">
      <c r="A132" s="4">
        <v>42127</v>
      </c>
      <c r="B132" s="3" t="s">
        <v>26</v>
      </c>
      <c r="C132" s="3" t="s">
        <v>10</v>
      </c>
      <c r="D132" s="3" t="s">
        <v>28</v>
      </c>
      <c r="E132" s="3">
        <v>50</v>
      </c>
      <c r="F132" s="5">
        <f t="shared" si="1"/>
        <v>100</v>
      </c>
    </row>
    <row r="133" spans="1:6" x14ac:dyDescent="0.25">
      <c r="A133" s="4">
        <v>42100</v>
      </c>
      <c r="B133" s="3" t="s">
        <v>39</v>
      </c>
      <c r="C133" s="3" t="s">
        <v>19</v>
      </c>
      <c r="D133" s="3" t="s">
        <v>35</v>
      </c>
      <c r="E133" s="3">
        <v>20</v>
      </c>
      <c r="F133" s="5">
        <f t="shared" si="1"/>
        <v>80</v>
      </c>
    </row>
    <row r="134" spans="1:6" x14ac:dyDescent="0.25">
      <c r="A134" s="4">
        <v>42164</v>
      </c>
      <c r="B134" s="3" t="s">
        <v>32</v>
      </c>
      <c r="C134" s="3" t="s">
        <v>2</v>
      </c>
      <c r="D134" s="3" t="s">
        <v>30</v>
      </c>
      <c r="E134" s="3">
        <v>7</v>
      </c>
      <c r="F134" s="5">
        <f t="shared" si="1"/>
        <v>0.70000000000000007</v>
      </c>
    </row>
    <row r="135" spans="1:6" x14ac:dyDescent="0.25">
      <c r="A135" s="4">
        <v>42074</v>
      </c>
      <c r="B135" s="3" t="s">
        <v>26</v>
      </c>
      <c r="C135" s="3" t="s">
        <v>6</v>
      </c>
      <c r="D135" s="3" t="s">
        <v>34</v>
      </c>
      <c r="E135" s="3">
        <v>23</v>
      </c>
      <c r="F135" s="5">
        <f t="shared" si="1"/>
        <v>4.6000000000000005</v>
      </c>
    </row>
    <row r="136" spans="1:6" x14ac:dyDescent="0.25">
      <c r="A136" s="4">
        <v>42168</v>
      </c>
      <c r="B136" s="3" t="s">
        <v>29</v>
      </c>
      <c r="C136" s="3" t="s">
        <v>10</v>
      </c>
      <c r="D136" s="3" t="s">
        <v>30</v>
      </c>
      <c r="E136" s="3">
        <v>41</v>
      </c>
      <c r="F136" s="5">
        <f t="shared" ref="F136:F199" si="2">E136*VLOOKUP(D136,$W$7:$X$14,2,0)</f>
        <v>4.1000000000000005</v>
      </c>
    </row>
    <row r="137" spans="1:6" x14ac:dyDescent="0.25">
      <c r="A137" s="4">
        <v>42067</v>
      </c>
      <c r="B137" s="3" t="s">
        <v>32</v>
      </c>
      <c r="C137" s="3" t="s">
        <v>10</v>
      </c>
      <c r="D137" s="3" t="s">
        <v>33</v>
      </c>
      <c r="E137" s="3">
        <v>10</v>
      </c>
      <c r="F137" s="5">
        <f t="shared" si="2"/>
        <v>50</v>
      </c>
    </row>
    <row r="138" spans="1:6" x14ac:dyDescent="0.25">
      <c r="A138" s="4">
        <v>42133</v>
      </c>
      <c r="B138" s="3" t="s">
        <v>32</v>
      </c>
      <c r="C138" s="3" t="s">
        <v>6</v>
      </c>
      <c r="D138" s="3" t="s">
        <v>27</v>
      </c>
      <c r="E138" s="3">
        <v>50</v>
      </c>
      <c r="F138" s="5">
        <f t="shared" si="2"/>
        <v>25</v>
      </c>
    </row>
    <row r="139" spans="1:6" x14ac:dyDescent="0.25">
      <c r="A139" s="4">
        <v>42161</v>
      </c>
      <c r="B139" s="3" t="s">
        <v>38</v>
      </c>
      <c r="C139" s="3" t="s">
        <v>19</v>
      </c>
      <c r="D139" s="3" t="s">
        <v>34</v>
      </c>
      <c r="E139" s="3">
        <v>6</v>
      </c>
      <c r="F139" s="5">
        <f t="shared" si="2"/>
        <v>1.2000000000000002</v>
      </c>
    </row>
    <row r="140" spans="1:6" x14ac:dyDescent="0.25">
      <c r="A140" s="4">
        <v>42032</v>
      </c>
      <c r="B140" s="3" t="s">
        <v>37</v>
      </c>
      <c r="C140" s="3" t="s">
        <v>2</v>
      </c>
      <c r="D140" s="3" t="s">
        <v>31</v>
      </c>
      <c r="E140" s="3">
        <v>37</v>
      </c>
      <c r="F140" s="5">
        <f t="shared" si="2"/>
        <v>92.5</v>
      </c>
    </row>
    <row r="141" spans="1:6" x14ac:dyDescent="0.25">
      <c r="A141" s="4">
        <v>42117</v>
      </c>
      <c r="B141" s="3" t="s">
        <v>26</v>
      </c>
      <c r="C141" s="3" t="s">
        <v>2</v>
      </c>
      <c r="D141" s="3" t="s">
        <v>30</v>
      </c>
      <c r="E141" s="3">
        <v>2</v>
      </c>
      <c r="F141" s="5">
        <f t="shared" si="2"/>
        <v>0.2</v>
      </c>
    </row>
    <row r="142" spans="1:6" x14ac:dyDescent="0.25">
      <c r="A142" s="4">
        <v>42125</v>
      </c>
      <c r="B142" s="3" t="s">
        <v>37</v>
      </c>
      <c r="C142" s="3" t="s">
        <v>2</v>
      </c>
      <c r="D142" s="3" t="s">
        <v>36</v>
      </c>
      <c r="E142" s="3">
        <v>36</v>
      </c>
      <c r="F142" s="5">
        <f t="shared" si="2"/>
        <v>54</v>
      </c>
    </row>
    <row r="143" spans="1:6" x14ac:dyDescent="0.25">
      <c r="A143" s="4">
        <v>42153</v>
      </c>
      <c r="B143" s="3" t="s">
        <v>38</v>
      </c>
      <c r="C143" s="3" t="s">
        <v>5</v>
      </c>
      <c r="D143" s="3" t="s">
        <v>30</v>
      </c>
      <c r="E143" s="3">
        <v>28</v>
      </c>
      <c r="F143" s="5">
        <f t="shared" si="2"/>
        <v>2.8000000000000003</v>
      </c>
    </row>
    <row r="144" spans="1:6" x14ac:dyDescent="0.25">
      <c r="A144" s="4">
        <v>42149</v>
      </c>
      <c r="B144" s="3" t="s">
        <v>32</v>
      </c>
      <c r="C144" s="3" t="s">
        <v>10</v>
      </c>
      <c r="D144" s="3" t="s">
        <v>33</v>
      </c>
      <c r="E144" s="3">
        <v>10</v>
      </c>
      <c r="F144" s="5">
        <f t="shared" si="2"/>
        <v>50</v>
      </c>
    </row>
    <row r="145" spans="1:6" x14ac:dyDescent="0.25">
      <c r="A145" s="4">
        <v>42107</v>
      </c>
      <c r="B145" s="3" t="s">
        <v>39</v>
      </c>
      <c r="C145" s="3" t="s">
        <v>5</v>
      </c>
      <c r="D145" s="3" t="s">
        <v>36</v>
      </c>
      <c r="E145" s="3">
        <v>47</v>
      </c>
      <c r="F145" s="5">
        <f t="shared" si="2"/>
        <v>70.5</v>
      </c>
    </row>
    <row r="146" spans="1:6" x14ac:dyDescent="0.25">
      <c r="A146" s="4">
        <v>42178</v>
      </c>
      <c r="B146" s="3" t="s">
        <v>39</v>
      </c>
      <c r="C146" s="3" t="s">
        <v>10</v>
      </c>
      <c r="D146" s="3" t="s">
        <v>28</v>
      </c>
      <c r="E146" s="3">
        <v>44</v>
      </c>
      <c r="F146" s="5">
        <f t="shared" si="2"/>
        <v>88</v>
      </c>
    </row>
    <row r="147" spans="1:6" x14ac:dyDescent="0.25">
      <c r="A147" s="4">
        <v>42033</v>
      </c>
      <c r="B147" s="3" t="s">
        <v>37</v>
      </c>
      <c r="C147" s="3" t="s">
        <v>2</v>
      </c>
      <c r="D147" s="3" t="s">
        <v>35</v>
      </c>
      <c r="E147" s="3">
        <v>12</v>
      </c>
      <c r="F147" s="5">
        <f t="shared" si="2"/>
        <v>48</v>
      </c>
    </row>
    <row r="148" spans="1:6" x14ac:dyDescent="0.25">
      <c r="A148" s="4">
        <v>42132</v>
      </c>
      <c r="B148" s="3" t="s">
        <v>29</v>
      </c>
      <c r="C148" s="3" t="s">
        <v>2</v>
      </c>
      <c r="D148" s="3" t="s">
        <v>27</v>
      </c>
      <c r="E148" s="3">
        <v>14</v>
      </c>
      <c r="F148" s="5">
        <f t="shared" si="2"/>
        <v>7</v>
      </c>
    </row>
    <row r="149" spans="1:6" x14ac:dyDescent="0.25">
      <c r="A149" s="4">
        <v>42006</v>
      </c>
      <c r="B149" s="3" t="s">
        <v>32</v>
      </c>
      <c r="C149" s="3" t="s">
        <v>6</v>
      </c>
      <c r="D149" s="3" t="s">
        <v>34</v>
      </c>
      <c r="E149" s="3">
        <v>44</v>
      </c>
      <c r="F149" s="5">
        <f t="shared" si="2"/>
        <v>8.8000000000000007</v>
      </c>
    </row>
    <row r="150" spans="1:6" x14ac:dyDescent="0.25">
      <c r="A150" s="4">
        <v>42173</v>
      </c>
      <c r="B150" s="3" t="s">
        <v>29</v>
      </c>
      <c r="C150" s="3" t="s">
        <v>10</v>
      </c>
      <c r="D150" s="3" t="s">
        <v>31</v>
      </c>
      <c r="E150" s="3">
        <v>12</v>
      </c>
      <c r="F150" s="5">
        <f t="shared" si="2"/>
        <v>30</v>
      </c>
    </row>
    <row r="151" spans="1:6" x14ac:dyDescent="0.25">
      <c r="A151" s="4">
        <v>42093</v>
      </c>
      <c r="B151" s="3" t="s">
        <v>26</v>
      </c>
      <c r="C151" s="3" t="s">
        <v>19</v>
      </c>
      <c r="D151" s="3" t="s">
        <v>31</v>
      </c>
      <c r="E151" s="3">
        <v>35</v>
      </c>
      <c r="F151" s="5">
        <f t="shared" si="2"/>
        <v>87.5</v>
      </c>
    </row>
    <row r="152" spans="1:6" x14ac:dyDescent="0.25">
      <c r="A152" s="4">
        <v>42093</v>
      </c>
      <c r="B152" s="3" t="s">
        <v>32</v>
      </c>
      <c r="C152" s="3" t="s">
        <v>6</v>
      </c>
      <c r="D152" s="3" t="s">
        <v>36</v>
      </c>
      <c r="E152" s="3">
        <v>19</v>
      </c>
      <c r="F152" s="5">
        <f t="shared" si="2"/>
        <v>28.5</v>
      </c>
    </row>
    <row r="153" spans="1:6" x14ac:dyDescent="0.25">
      <c r="A153" s="4">
        <v>42033</v>
      </c>
      <c r="B153" s="3" t="s">
        <v>38</v>
      </c>
      <c r="C153" s="3" t="s">
        <v>10</v>
      </c>
      <c r="D153" s="3" t="s">
        <v>34</v>
      </c>
      <c r="E153" s="3">
        <v>9</v>
      </c>
      <c r="F153" s="5">
        <f t="shared" si="2"/>
        <v>1.8</v>
      </c>
    </row>
    <row r="154" spans="1:6" x14ac:dyDescent="0.25">
      <c r="A154" s="4">
        <v>42184</v>
      </c>
      <c r="B154" s="3" t="s">
        <v>32</v>
      </c>
      <c r="C154" s="3" t="s">
        <v>5</v>
      </c>
      <c r="D154" s="3" t="s">
        <v>36</v>
      </c>
      <c r="E154" s="3">
        <v>16</v>
      </c>
      <c r="F154" s="5">
        <f t="shared" si="2"/>
        <v>24</v>
      </c>
    </row>
    <row r="155" spans="1:6" x14ac:dyDescent="0.25">
      <c r="A155" s="4">
        <v>42072</v>
      </c>
      <c r="B155" s="3" t="s">
        <v>37</v>
      </c>
      <c r="C155" s="3" t="s">
        <v>2</v>
      </c>
      <c r="D155" s="3" t="s">
        <v>31</v>
      </c>
      <c r="E155" s="3">
        <v>39</v>
      </c>
      <c r="F155" s="5">
        <f t="shared" si="2"/>
        <v>97.5</v>
      </c>
    </row>
    <row r="156" spans="1:6" x14ac:dyDescent="0.25">
      <c r="A156" s="4">
        <v>42131</v>
      </c>
      <c r="B156" s="3" t="s">
        <v>39</v>
      </c>
      <c r="C156" s="3" t="s">
        <v>5</v>
      </c>
      <c r="D156" s="3" t="s">
        <v>34</v>
      </c>
      <c r="E156" s="3">
        <v>25</v>
      </c>
      <c r="F156" s="5">
        <f t="shared" si="2"/>
        <v>5</v>
      </c>
    </row>
    <row r="157" spans="1:6" x14ac:dyDescent="0.25">
      <c r="A157" s="4">
        <v>42018</v>
      </c>
      <c r="B157" s="3" t="s">
        <v>39</v>
      </c>
      <c r="C157" s="3" t="s">
        <v>19</v>
      </c>
      <c r="D157" s="3" t="s">
        <v>28</v>
      </c>
      <c r="E157" s="3">
        <v>13</v>
      </c>
      <c r="F157" s="5">
        <f t="shared" si="2"/>
        <v>26</v>
      </c>
    </row>
    <row r="158" spans="1:6" x14ac:dyDescent="0.25">
      <c r="A158" s="4">
        <v>42128</v>
      </c>
      <c r="B158" s="3" t="s">
        <v>39</v>
      </c>
      <c r="C158" s="3" t="s">
        <v>10</v>
      </c>
      <c r="D158" s="3" t="s">
        <v>27</v>
      </c>
      <c r="E158" s="3">
        <v>40</v>
      </c>
      <c r="F158" s="5">
        <f t="shared" si="2"/>
        <v>20</v>
      </c>
    </row>
    <row r="159" spans="1:6" x14ac:dyDescent="0.25">
      <c r="A159" s="4">
        <v>42029</v>
      </c>
      <c r="B159" s="3" t="s">
        <v>37</v>
      </c>
      <c r="C159" s="3" t="s">
        <v>2</v>
      </c>
      <c r="D159" s="3" t="s">
        <v>36</v>
      </c>
      <c r="E159" s="3">
        <v>20</v>
      </c>
      <c r="F159" s="5">
        <f t="shared" si="2"/>
        <v>30</v>
      </c>
    </row>
    <row r="160" spans="1:6" x14ac:dyDescent="0.25">
      <c r="A160" s="4">
        <v>42133</v>
      </c>
      <c r="B160" s="3" t="s">
        <v>38</v>
      </c>
      <c r="C160" s="3" t="s">
        <v>5</v>
      </c>
      <c r="D160" s="3" t="s">
        <v>34</v>
      </c>
      <c r="E160" s="3">
        <v>24</v>
      </c>
      <c r="F160" s="5">
        <f t="shared" si="2"/>
        <v>4.8000000000000007</v>
      </c>
    </row>
    <row r="161" spans="1:6" x14ac:dyDescent="0.25">
      <c r="A161" s="4">
        <v>42079</v>
      </c>
      <c r="B161" s="3" t="s">
        <v>26</v>
      </c>
      <c r="C161" s="3" t="s">
        <v>2</v>
      </c>
      <c r="D161" s="3" t="s">
        <v>30</v>
      </c>
      <c r="E161" s="3">
        <v>47</v>
      </c>
      <c r="F161" s="5">
        <f t="shared" si="2"/>
        <v>4.7</v>
      </c>
    </row>
    <row r="162" spans="1:6" x14ac:dyDescent="0.25">
      <c r="A162" s="4">
        <v>42112</v>
      </c>
      <c r="B162" s="3" t="s">
        <v>32</v>
      </c>
      <c r="C162" s="3" t="s">
        <v>6</v>
      </c>
      <c r="D162" s="3" t="s">
        <v>34</v>
      </c>
      <c r="E162" s="3">
        <v>4</v>
      </c>
      <c r="F162" s="5">
        <f t="shared" si="2"/>
        <v>0.8</v>
      </c>
    </row>
    <row r="163" spans="1:6" x14ac:dyDescent="0.25">
      <c r="A163" s="4">
        <v>42083</v>
      </c>
      <c r="B163" s="3" t="s">
        <v>38</v>
      </c>
      <c r="C163" s="3" t="s">
        <v>5</v>
      </c>
      <c r="D163" s="3" t="s">
        <v>36</v>
      </c>
      <c r="E163" s="3">
        <v>34</v>
      </c>
      <c r="F163" s="5">
        <f t="shared" si="2"/>
        <v>51</v>
      </c>
    </row>
    <row r="164" spans="1:6" x14ac:dyDescent="0.25">
      <c r="A164" s="4">
        <v>42136</v>
      </c>
      <c r="B164" s="3" t="s">
        <v>29</v>
      </c>
      <c r="C164" s="3" t="s">
        <v>5</v>
      </c>
      <c r="D164" s="3" t="s">
        <v>34</v>
      </c>
      <c r="E164" s="3">
        <v>26</v>
      </c>
      <c r="F164" s="5">
        <f t="shared" si="2"/>
        <v>5.2</v>
      </c>
    </row>
    <row r="165" spans="1:6" x14ac:dyDescent="0.25">
      <c r="A165" s="4">
        <v>42016</v>
      </c>
      <c r="B165" s="3" t="s">
        <v>26</v>
      </c>
      <c r="C165" s="3" t="s">
        <v>5</v>
      </c>
      <c r="D165" s="3" t="s">
        <v>30</v>
      </c>
      <c r="E165" s="3">
        <v>8</v>
      </c>
      <c r="F165" s="5">
        <f t="shared" si="2"/>
        <v>0.8</v>
      </c>
    </row>
    <row r="166" spans="1:6" x14ac:dyDescent="0.25">
      <c r="A166" s="4">
        <v>42097</v>
      </c>
      <c r="B166" s="3" t="s">
        <v>29</v>
      </c>
      <c r="C166" s="3" t="s">
        <v>5</v>
      </c>
      <c r="D166" s="3" t="s">
        <v>36</v>
      </c>
      <c r="E166" s="3">
        <v>33</v>
      </c>
      <c r="F166" s="5">
        <f t="shared" si="2"/>
        <v>49.5</v>
      </c>
    </row>
    <row r="167" spans="1:6" x14ac:dyDescent="0.25">
      <c r="A167" s="4">
        <v>42150</v>
      </c>
      <c r="B167" s="3" t="s">
        <v>26</v>
      </c>
      <c r="C167" s="3" t="s">
        <v>19</v>
      </c>
      <c r="D167" s="3" t="s">
        <v>30</v>
      </c>
      <c r="E167" s="3">
        <v>40</v>
      </c>
      <c r="F167" s="5">
        <f t="shared" si="2"/>
        <v>4</v>
      </c>
    </row>
    <row r="168" spans="1:6" x14ac:dyDescent="0.25">
      <c r="A168" s="4">
        <v>42039</v>
      </c>
      <c r="B168" s="3" t="s">
        <v>26</v>
      </c>
      <c r="C168" s="3" t="s">
        <v>10</v>
      </c>
      <c r="D168" s="3" t="s">
        <v>28</v>
      </c>
      <c r="E168" s="3">
        <v>8</v>
      </c>
      <c r="F168" s="5">
        <f t="shared" si="2"/>
        <v>16</v>
      </c>
    </row>
    <row r="169" spans="1:6" x14ac:dyDescent="0.25">
      <c r="A169" s="4">
        <v>42147</v>
      </c>
      <c r="B169" s="3" t="s">
        <v>32</v>
      </c>
      <c r="C169" s="3" t="s">
        <v>10</v>
      </c>
      <c r="D169" s="3" t="s">
        <v>27</v>
      </c>
      <c r="E169" s="3">
        <v>40</v>
      </c>
      <c r="F169" s="5">
        <f t="shared" si="2"/>
        <v>20</v>
      </c>
    </row>
    <row r="170" spans="1:6" x14ac:dyDescent="0.25">
      <c r="A170" s="4">
        <v>42172</v>
      </c>
      <c r="B170" s="3" t="s">
        <v>39</v>
      </c>
      <c r="C170" s="3" t="s">
        <v>10</v>
      </c>
      <c r="D170" s="3" t="s">
        <v>34</v>
      </c>
      <c r="E170" s="3">
        <v>48</v>
      </c>
      <c r="F170" s="5">
        <f t="shared" si="2"/>
        <v>9.6000000000000014</v>
      </c>
    </row>
    <row r="171" spans="1:6" x14ac:dyDescent="0.25">
      <c r="A171" s="4">
        <v>42170</v>
      </c>
      <c r="B171" s="3" t="s">
        <v>26</v>
      </c>
      <c r="C171" s="3" t="s">
        <v>6</v>
      </c>
      <c r="D171" s="3" t="s">
        <v>30</v>
      </c>
      <c r="E171" s="3">
        <v>7</v>
      </c>
      <c r="F171" s="5">
        <f t="shared" si="2"/>
        <v>0.70000000000000007</v>
      </c>
    </row>
    <row r="172" spans="1:6" x14ac:dyDescent="0.25">
      <c r="A172" s="4">
        <v>42139</v>
      </c>
      <c r="B172" s="3" t="s">
        <v>37</v>
      </c>
      <c r="C172" s="3" t="s">
        <v>10</v>
      </c>
      <c r="D172" s="3" t="s">
        <v>27</v>
      </c>
      <c r="E172" s="3">
        <v>47</v>
      </c>
      <c r="F172" s="5">
        <f t="shared" si="2"/>
        <v>23.5</v>
      </c>
    </row>
    <row r="173" spans="1:6" x14ac:dyDescent="0.25">
      <c r="A173" s="4">
        <v>42167</v>
      </c>
      <c r="B173" s="3" t="s">
        <v>26</v>
      </c>
      <c r="C173" s="3" t="s">
        <v>6</v>
      </c>
      <c r="D173" s="3" t="s">
        <v>28</v>
      </c>
      <c r="E173" s="3">
        <v>46</v>
      </c>
      <c r="F173" s="5">
        <f t="shared" si="2"/>
        <v>92</v>
      </c>
    </row>
    <row r="174" spans="1:6" x14ac:dyDescent="0.25">
      <c r="A174" s="4">
        <v>42078</v>
      </c>
      <c r="B174" s="3" t="s">
        <v>37</v>
      </c>
      <c r="C174" s="3" t="s">
        <v>19</v>
      </c>
      <c r="D174" s="3" t="s">
        <v>28</v>
      </c>
      <c r="E174" s="3">
        <v>31</v>
      </c>
      <c r="F174" s="5">
        <f t="shared" si="2"/>
        <v>62</v>
      </c>
    </row>
    <row r="175" spans="1:6" x14ac:dyDescent="0.25">
      <c r="A175" s="4">
        <v>42127</v>
      </c>
      <c r="B175" s="3" t="s">
        <v>29</v>
      </c>
      <c r="C175" s="3" t="s">
        <v>10</v>
      </c>
      <c r="D175" s="3" t="s">
        <v>27</v>
      </c>
      <c r="E175" s="3">
        <v>41</v>
      </c>
      <c r="F175" s="5">
        <f t="shared" si="2"/>
        <v>20.5</v>
      </c>
    </row>
    <row r="176" spans="1:6" x14ac:dyDescent="0.25">
      <c r="A176" s="4">
        <v>42040</v>
      </c>
      <c r="B176" s="3" t="s">
        <v>26</v>
      </c>
      <c r="C176" s="3" t="s">
        <v>5</v>
      </c>
      <c r="D176" s="3" t="s">
        <v>27</v>
      </c>
      <c r="E176" s="3">
        <v>43</v>
      </c>
      <c r="F176" s="5">
        <f t="shared" si="2"/>
        <v>21.5</v>
      </c>
    </row>
    <row r="177" spans="1:6" x14ac:dyDescent="0.25">
      <c r="A177" s="4">
        <v>42157</v>
      </c>
      <c r="B177" s="3" t="s">
        <v>39</v>
      </c>
      <c r="C177" s="3" t="s">
        <v>6</v>
      </c>
      <c r="D177" s="3" t="s">
        <v>35</v>
      </c>
      <c r="E177" s="3">
        <v>3</v>
      </c>
      <c r="F177" s="5">
        <f t="shared" si="2"/>
        <v>12</v>
      </c>
    </row>
    <row r="178" spans="1:6" x14ac:dyDescent="0.25">
      <c r="A178" s="4">
        <v>42112</v>
      </c>
      <c r="B178" s="3" t="s">
        <v>37</v>
      </c>
      <c r="C178" s="3" t="s">
        <v>6</v>
      </c>
      <c r="D178" s="3" t="s">
        <v>33</v>
      </c>
      <c r="E178" s="3">
        <v>18</v>
      </c>
      <c r="F178" s="5">
        <f t="shared" si="2"/>
        <v>90</v>
      </c>
    </row>
    <row r="179" spans="1:6" x14ac:dyDescent="0.25">
      <c r="A179" s="4">
        <v>42014</v>
      </c>
      <c r="B179" s="3" t="s">
        <v>37</v>
      </c>
      <c r="C179" s="3" t="s">
        <v>5</v>
      </c>
      <c r="D179" s="3" t="s">
        <v>34</v>
      </c>
      <c r="E179" s="3">
        <v>12</v>
      </c>
      <c r="F179" s="5">
        <f t="shared" si="2"/>
        <v>2.4000000000000004</v>
      </c>
    </row>
    <row r="180" spans="1:6" x14ac:dyDescent="0.25">
      <c r="A180" s="4">
        <v>42159</v>
      </c>
      <c r="B180" s="3" t="s">
        <v>32</v>
      </c>
      <c r="C180" s="3" t="s">
        <v>2</v>
      </c>
      <c r="D180" s="3" t="s">
        <v>28</v>
      </c>
      <c r="E180" s="3">
        <v>24</v>
      </c>
      <c r="F180" s="5">
        <f t="shared" si="2"/>
        <v>48</v>
      </c>
    </row>
    <row r="181" spans="1:6" x14ac:dyDescent="0.25">
      <c r="A181" s="4">
        <v>42018</v>
      </c>
      <c r="B181" s="3" t="s">
        <v>38</v>
      </c>
      <c r="C181" s="3" t="s">
        <v>2</v>
      </c>
      <c r="D181" s="3" t="s">
        <v>30</v>
      </c>
      <c r="E181" s="3">
        <v>31</v>
      </c>
      <c r="F181" s="5">
        <f t="shared" si="2"/>
        <v>3.1</v>
      </c>
    </row>
    <row r="182" spans="1:6" x14ac:dyDescent="0.25">
      <c r="A182" s="4">
        <v>42122</v>
      </c>
      <c r="B182" s="3" t="s">
        <v>26</v>
      </c>
      <c r="C182" s="3" t="s">
        <v>10</v>
      </c>
      <c r="D182" s="3" t="s">
        <v>36</v>
      </c>
      <c r="E182" s="3">
        <v>32</v>
      </c>
      <c r="F182" s="5">
        <f t="shared" si="2"/>
        <v>48</v>
      </c>
    </row>
    <row r="183" spans="1:6" x14ac:dyDescent="0.25">
      <c r="A183" s="4">
        <v>42158</v>
      </c>
      <c r="B183" s="3" t="s">
        <v>32</v>
      </c>
      <c r="C183" s="3" t="s">
        <v>10</v>
      </c>
      <c r="D183" s="3" t="s">
        <v>35</v>
      </c>
      <c r="E183" s="3">
        <v>17</v>
      </c>
      <c r="F183" s="5">
        <f t="shared" si="2"/>
        <v>68</v>
      </c>
    </row>
    <row r="184" spans="1:6" x14ac:dyDescent="0.25">
      <c r="A184" s="4">
        <v>42007</v>
      </c>
      <c r="B184" s="3" t="s">
        <v>39</v>
      </c>
      <c r="C184" s="3" t="s">
        <v>6</v>
      </c>
      <c r="D184" s="3" t="s">
        <v>34</v>
      </c>
      <c r="E184" s="3">
        <v>5</v>
      </c>
      <c r="F184" s="5">
        <f t="shared" si="2"/>
        <v>1</v>
      </c>
    </row>
    <row r="185" spans="1:6" x14ac:dyDescent="0.25">
      <c r="A185" s="4">
        <v>42152</v>
      </c>
      <c r="B185" s="3" t="s">
        <v>37</v>
      </c>
      <c r="C185" s="3" t="s">
        <v>5</v>
      </c>
      <c r="D185" s="3" t="s">
        <v>36</v>
      </c>
      <c r="E185" s="3">
        <v>6</v>
      </c>
      <c r="F185" s="5">
        <f t="shared" si="2"/>
        <v>9</v>
      </c>
    </row>
    <row r="186" spans="1:6" x14ac:dyDescent="0.25">
      <c r="A186" s="4">
        <v>42124</v>
      </c>
      <c r="B186" s="3" t="s">
        <v>26</v>
      </c>
      <c r="C186" s="3" t="s">
        <v>19</v>
      </c>
      <c r="D186" s="3" t="s">
        <v>36</v>
      </c>
      <c r="E186" s="3">
        <v>28</v>
      </c>
      <c r="F186" s="5">
        <f t="shared" si="2"/>
        <v>42</v>
      </c>
    </row>
    <row r="187" spans="1:6" x14ac:dyDescent="0.25">
      <c r="A187" s="4">
        <v>42084</v>
      </c>
      <c r="B187" s="3" t="s">
        <v>26</v>
      </c>
      <c r="C187" s="3" t="s">
        <v>6</v>
      </c>
      <c r="D187" s="3" t="s">
        <v>31</v>
      </c>
      <c r="E187" s="3">
        <v>36</v>
      </c>
      <c r="F187" s="5">
        <f t="shared" si="2"/>
        <v>90</v>
      </c>
    </row>
    <row r="188" spans="1:6" x14ac:dyDescent="0.25">
      <c r="A188" s="4">
        <v>42116</v>
      </c>
      <c r="B188" s="3" t="s">
        <v>32</v>
      </c>
      <c r="C188" s="3" t="s">
        <v>10</v>
      </c>
      <c r="D188" s="3" t="s">
        <v>30</v>
      </c>
      <c r="E188" s="3">
        <v>30</v>
      </c>
      <c r="F188" s="5">
        <f t="shared" si="2"/>
        <v>3</v>
      </c>
    </row>
    <row r="189" spans="1:6" x14ac:dyDescent="0.25">
      <c r="A189" s="4">
        <v>42153</v>
      </c>
      <c r="B189" s="3" t="s">
        <v>39</v>
      </c>
      <c r="C189" s="3" t="s">
        <v>6</v>
      </c>
      <c r="D189" s="3" t="s">
        <v>35</v>
      </c>
      <c r="E189" s="3">
        <v>26</v>
      </c>
      <c r="F189" s="5">
        <f t="shared" si="2"/>
        <v>104</v>
      </c>
    </row>
    <row r="190" spans="1:6" x14ac:dyDescent="0.25">
      <c r="A190" s="4">
        <v>42006</v>
      </c>
      <c r="B190" s="3" t="s">
        <v>38</v>
      </c>
      <c r="C190" s="3" t="s">
        <v>10</v>
      </c>
      <c r="D190" s="3" t="s">
        <v>34</v>
      </c>
      <c r="E190" s="3">
        <v>33</v>
      </c>
      <c r="F190" s="5">
        <f t="shared" si="2"/>
        <v>6.6000000000000005</v>
      </c>
    </row>
    <row r="191" spans="1:6" x14ac:dyDescent="0.25">
      <c r="A191" s="4">
        <v>42138</v>
      </c>
      <c r="B191" s="3" t="s">
        <v>26</v>
      </c>
      <c r="C191" s="3" t="s">
        <v>6</v>
      </c>
      <c r="D191" s="3" t="s">
        <v>28</v>
      </c>
      <c r="E191" s="3">
        <v>26</v>
      </c>
      <c r="F191" s="5">
        <f t="shared" si="2"/>
        <v>52</v>
      </c>
    </row>
    <row r="192" spans="1:6" x14ac:dyDescent="0.25">
      <c r="A192" s="4">
        <v>42054</v>
      </c>
      <c r="B192" s="3" t="s">
        <v>38</v>
      </c>
      <c r="C192" s="3" t="s">
        <v>6</v>
      </c>
      <c r="D192" s="3" t="s">
        <v>27</v>
      </c>
      <c r="E192" s="3">
        <v>17</v>
      </c>
      <c r="F192" s="5">
        <f t="shared" si="2"/>
        <v>8.5</v>
      </c>
    </row>
    <row r="193" spans="1:6" x14ac:dyDescent="0.25">
      <c r="A193" s="4">
        <v>42030</v>
      </c>
      <c r="B193" s="3" t="s">
        <v>26</v>
      </c>
      <c r="C193" s="3" t="s">
        <v>19</v>
      </c>
      <c r="D193" s="3" t="s">
        <v>31</v>
      </c>
      <c r="E193" s="3">
        <v>7</v>
      </c>
      <c r="F193" s="5">
        <f t="shared" si="2"/>
        <v>17.5</v>
      </c>
    </row>
    <row r="194" spans="1:6" x14ac:dyDescent="0.25">
      <c r="A194" s="4">
        <v>42119</v>
      </c>
      <c r="B194" s="3" t="s">
        <v>38</v>
      </c>
      <c r="C194" s="3" t="s">
        <v>2</v>
      </c>
      <c r="D194" s="3" t="s">
        <v>34</v>
      </c>
      <c r="E194" s="3">
        <v>35</v>
      </c>
      <c r="F194" s="5">
        <f t="shared" si="2"/>
        <v>7</v>
      </c>
    </row>
    <row r="195" spans="1:6" x14ac:dyDescent="0.25">
      <c r="A195" s="4">
        <v>42109</v>
      </c>
      <c r="B195" s="3" t="s">
        <v>29</v>
      </c>
      <c r="C195" s="3" t="s">
        <v>5</v>
      </c>
      <c r="D195" s="3" t="s">
        <v>34</v>
      </c>
      <c r="E195" s="3">
        <v>12</v>
      </c>
      <c r="F195" s="5">
        <f t="shared" si="2"/>
        <v>2.4000000000000004</v>
      </c>
    </row>
    <row r="196" spans="1:6" x14ac:dyDescent="0.25">
      <c r="A196" s="4">
        <v>42122</v>
      </c>
      <c r="B196" s="3" t="s">
        <v>29</v>
      </c>
      <c r="C196" s="3" t="s">
        <v>2</v>
      </c>
      <c r="D196" s="3" t="s">
        <v>35</v>
      </c>
      <c r="E196" s="3">
        <v>22</v>
      </c>
      <c r="F196" s="5">
        <f t="shared" si="2"/>
        <v>88</v>
      </c>
    </row>
    <row r="197" spans="1:6" x14ac:dyDescent="0.25">
      <c r="A197" s="4">
        <v>42014</v>
      </c>
      <c r="B197" s="3" t="s">
        <v>37</v>
      </c>
      <c r="C197" s="3" t="s">
        <v>10</v>
      </c>
      <c r="D197" s="3" t="s">
        <v>35</v>
      </c>
      <c r="E197" s="3">
        <v>11</v>
      </c>
      <c r="F197" s="5">
        <f t="shared" si="2"/>
        <v>44</v>
      </c>
    </row>
    <row r="198" spans="1:6" x14ac:dyDescent="0.25">
      <c r="A198" s="4">
        <v>42173</v>
      </c>
      <c r="B198" s="3" t="s">
        <v>39</v>
      </c>
      <c r="C198" s="3" t="s">
        <v>6</v>
      </c>
      <c r="D198" s="3" t="s">
        <v>33</v>
      </c>
      <c r="E198" s="3">
        <v>18</v>
      </c>
      <c r="F198" s="5">
        <f t="shared" si="2"/>
        <v>90</v>
      </c>
    </row>
    <row r="199" spans="1:6" x14ac:dyDescent="0.25">
      <c r="A199" s="4">
        <v>42147</v>
      </c>
      <c r="B199" s="3" t="s">
        <v>26</v>
      </c>
      <c r="C199" s="3" t="s">
        <v>6</v>
      </c>
      <c r="D199" s="3" t="s">
        <v>36</v>
      </c>
      <c r="E199" s="3">
        <v>49</v>
      </c>
      <c r="F199" s="5">
        <f t="shared" si="2"/>
        <v>73.5</v>
      </c>
    </row>
    <row r="200" spans="1:6" x14ac:dyDescent="0.25">
      <c r="A200" s="4">
        <v>42138</v>
      </c>
      <c r="B200" s="3" t="s">
        <v>37</v>
      </c>
      <c r="C200" s="3" t="s">
        <v>2</v>
      </c>
      <c r="D200" s="3" t="s">
        <v>33</v>
      </c>
      <c r="E200" s="3">
        <v>8</v>
      </c>
      <c r="F200" s="5">
        <f t="shared" ref="F200:F263" si="3">E200*VLOOKUP(D200,$W$7:$X$14,2,0)</f>
        <v>40</v>
      </c>
    </row>
    <row r="201" spans="1:6" x14ac:dyDescent="0.25">
      <c r="A201" s="4">
        <v>42086</v>
      </c>
      <c r="B201" s="3" t="s">
        <v>38</v>
      </c>
      <c r="C201" s="3" t="s">
        <v>6</v>
      </c>
      <c r="D201" s="3" t="s">
        <v>35</v>
      </c>
      <c r="E201" s="3">
        <v>18</v>
      </c>
      <c r="F201" s="5">
        <f t="shared" si="3"/>
        <v>72</v>
      </c>
    </row>
    <row r="202" spans="1:6" x14ac:dyDescent="0.25">
      <c r="A202" s="4">
        <v>42105</v>
      </c>
      <c r="B202" s="3" t="s">
        <v>39</v>
      </c>
      <c r="C202" s="3" t="s">
        <v>6</v>
      </c>
      <c r="D202" s="3" t="s">
        <v>36</v>
      </c>
      <c r="E202" s="3">
        <v>5</v>
      </c>
      <c r="F202" s="5">
        <f t="shared" si="3"/>
        <v>7.5</v>
      </c>
    </row>
    <row r="203" spans="1:6" x14ac:dyDescent="0.25">
      <c r="A203" s="4">
        <v>42096</v>
      </c>
      <c r="B203" s="3" t="s">
        <v>29</v>
      </c>
      <c r="C203" s="3" t="s">
        <v>5</v>
      </c>
      <c r="D203" s="3" t="s">
        <v>28</v>
      </c>
      <c r="E203" s="3">
        <v>43</v>
      </c>
      <c r="F203" s="5">
        <f t="shared" si="3"/>
        <v>86</v>
      </c>
    </row>
    <row r="204" spans="1:6" x14ac:dyDescent="0.25">
      <c r="A204" s="4">
        <v>42130</v>
      </c>
      <c r="B204" s="3" t="s">
        <v>38</v>
      </c>
      <c r="C204" s="3" t="s">
        <v>10</v>
      </c>
      <c r="D204" s="3" t="s">
        <v>36</v>
      </c>
      <c r="E204" s="3">
        <v>45</v>
      </c>
      <c r="F204" s="5">
        <f t="shared" si="3"/>
        <v>67.5</v>
      </c>
    </row>
    <row r="205" spans="1:6" x14ac:dyDescent="0.25">
      <c r="A205" s="4">
        <v>42094</v>
      </c>
      <c r="B205" s="3" t="s">
        <v>32</v>
      </c>
      <c r="C205" s="3" t="s">
        <v>10</v>
      </c>
      <c r="D205" s="3" t="s">
        <v>33</v>
      </c>
      <c r="E205" s="3">
        <v>41</v>
      </c>
      <c r="F205" s="5">
        <f t="shared" si="3"/>
        <v>205</v>
      </c>
    </row>
    <row r="206" spans="1:6" x14ac:dyDescent="0.25">
      <c r="A206" s="4">
        <v>42025</v>
      </c>
      <c r="B206" s="3" t="s">
        <v>32</v>
      </c>
      <c r="C206" s="3" t="s">
        <v>10</v>
      </c>
      <c r="D206" s="3" t="s">
        <v>35</v>
      </c>
      <c r="E206" s="3">
        <v>42</v>
      </c>
      <c r="F206" s="5">
        <f t="shared" si="3"/>
        <v>168</v>
      </c>
    </row>
    <row r="207" spans="1:6" x14ac:dyDescent="0.25">
      <c r="A207" s="4">
        <v>42122</v>
      </c>
      <c r="B207" s="3" t="s">
        <v>39</v>
      </c>
      <c r="C207" s="3" t="s">
        <v>2</v>
      </c>
      <c r="D207" s="3" t="s">
        <v>36</v>
      </c>
      <c r="E207" s="3">
        <v>3</v>
      </c>
      <c r="F207" s="5">
        <f t="shared" si="3"/>
        <v>4.5</v>
      </c>
    </row>
    <row r="208" spans="1:6" x14ac:dyDescent="0.25">
      <c r="A208" s="4">
        <v>42014</v>
      </c>
      <c r="B208" s="3" t="s">
        <v>37</v>
      </c>
      <c r="C208" s="3" t="s">
        <v>5</v>
      </c>
      <c r="D208" s="3" t="s">
        <v>31</v>
      </c>
      <c r="E208" s="3">
        <v>28</v>
      </c>
      <c r="F208" s="5">
        <f t="shared" si="3"/>
        <v>70</v>
      </c>
    </row>
    <row r="209" spans="1:6" x14ac:dyDescent="0.25">
      <c r="A209" s="4">
        <v>42054</v>
      </c>
      <c r="B209" s="3" t="s">
        <v>37</v>
      </c>
      <c r="C209" s="3" t="s">
        <v>19</v>
      </c>
      <c r="D209" s="3" t="s">
        <v>28</v>
      </c>
      <c r="E209" s="3">
        <v>1</v>
      </c>
      <c r="F209" s="5">
        <f t="shared" si="3"/>
        <v>2</v>
      </c>
    </row>
    <row r="210" spans="1:6" x14ac:dyDescent="0.25">
      <c r="A210" s="4">
        <v>42060</v>
      </c>
      <c r="B210" s="3" t="s">
        <v>38</v>
      </c>
      <c r="C210" s="3" t="s">
        <v>6</v>
      </c>
      <c r="D210" s="3" t="s">
        <v>27</v>
      </c>
      <c r="E210" s="3">
        <v>14</v>
      </c>
      <c r="F210" s="5">
        <f t="shared" si="3"/>
        <v>7</v>
      </c>
    </row>
    <row r="211" spans="1:6" x14ac:dyDescent="0.25">
      <c r="A211" s="4">
        <v>42154</v>
      </c>
      <c r="B211" s="3" t="s">
        <v>38</v>
      </c>
      <c r="C211" s="3" t="s">
        <v>5</v>
      </c>
      <c r="D211" s="3" t="s">
        <v>35</v>
      </c>
      <c r="E211" s="3">
        <v>32</v>
      </c>
      <c r="F211" s="5">
        <f t="shared" si="3"/>
        <v>128</v>
      </c>
    </row>
    <row r="212" spans="1:6" x14ac:dyDescent="0.25">
      <c r="A212" s="4">
        <v>42152</v>
      </c>
      <c r="B212" s="3" t="s">
        <v>37</v>
      </c>
      <c r="C212" s="3" t="s">
        <v>10</v>
      </c>
      <c r="D212" s="3" t="s">
        <v>36</v>
      </c>
      <c r="E212" s="3">
        <v>11</v>
      </c>
      <c r="F212" s="5">
        <f t="shared" si="3"/>
        <v>16.5</v>
      </c>
    </row>
    <row r="213" spans="1:6" x14ac:dyDescent="0.25">
      <c r="A213" s="4">
        <v>42009</v>
      </c>
      <c r="B213" s="3" t="s">
        <v>32</v>
      </c>
      <c r="C213" s="3" t="s">
        <v>2</v>
      </c>
      <c r="D213" s="3" t="s">
        <v>35</v>
      </c>
      <c r="E213" s="3">
        <v>19</v>
      </c>
      <c r="F213" s="5">
        <f t="shared" si="3"/>
        <v>76</v>
      </c>
    </row>
    <row r="214" spans="1:6" x14ac:dyDescent="0.25">
      <c r="A214" s="4">
        <v>42176</v>
      </c>
      <c r="B214" s="3" t="s">
        <v>32</v>
      </c>
      <c r="C214" s="3" t="s">
        <v>10</v>
      </c>
      <c r="D214" s="3" t="s">
        <v>28</v>
      </c>
      <c r="E214" s="3">
        <v>4</v>
      </c>
      <c r="F214" s="5">
        <f t="shared" si="3"/>
        <v>8</v>
      </c>
    </row>
    <row r="215" spans="1:6" x14ac:dyDescent="0.25">
      <c r="A215" s="4">
        <v>42111</v>
      </c>
      <c r="B215" s="3" t="s">
        <v>39</v>
      </c>
      <c r="C215" s="3" t="s">
        <v>6</v>
      </c>
      <c r="D215" s="3" t="s">
        <v>34</v>
      </c>
      <c r="E215" s="3">
        <v>32</v>
      </c>
      <c r="F215" s="5">
        <f t="shared" si="3"/>
        <v>6.4</v>
      </c>
    </row>
    <row r="216" spans="1:6" x14ac:dyDescent="0.25">
      <c r="A216" s="4">
        <v>42093</v>
      </c>
      <c r="B216" s="3" t="s">
        <v>39</v>
      </c>
      <c r="C216" s="3" t="s">
        <v>10</v>
      </c>
      <c r="D216" s="3" t="s">
        <v>28</v>
      </c>
      <c r="E216" s="3">
        <v>29</v>
      </c>
      <c r="F216" s="5">
        <f t="shared" si="3"/>
        <v>58</v>
      </c>
    </row>
    <row r="217" spans="1:6" x14ac:dyDescent="0.25">
      <c r="A217" s="4">
        <v>42005</v>
      </c>
      <c r="B217" s="3" t="s">
        <v>37</v>
      </c>
      <c r="C217" s="3" t="s">
        <v>5</v>
      </c>
      <c r="D217" s="3" t="s">
        <v>35</v>
      </c>
      <c r="E217" s="3">
        <v>40</v>
      </c>
      <c r="F217" s="5">
        <f t="shared" si="3"/>
        <v>160</v>
      </c>
    </row>
    <row r="218" spans="1:6" x14ac:dyDescent="0.25">
      <c r="A218" s="4">
        <v>42008</v>
      </c>
      <c r="B218" s="3" t="s">
        <v>37</v>
      </c>
      <c r="C218" s="3" t="s">
        <v>6</v>
      </c>
      <c r="D218" s="3" t="s">
        <v>33</v>
      </c>
      <c r="E218" s="3">
        <v>38</v>
      </c>
      <c r="F218" s="5">
        <f t="shared" si="3"/>
        <v>190</v>
      </c>
    </row>
    <row r="219" spans="1:6" x14ac:dyDescent="0.25">
      <c r="A219" s="4">
        <v>42151</v>
      </c>
      <c r="B219" s="3" t="s">
        <v>32</v>
      </c>
      <c r="C219" s="3" t="s">
        <v>19</v>
      </c>
      <c r="D219" s="3" t="s">
        <v>33</v>
      </c>
      <c r="E219" s="3">
        <v>13</v>
      </c>
      <c r="F219" s="5">
        <f t="shared" si="3"/>
        <v>65</v>
      </c>
    </row>
    <row r="220" spans="1:6" x14ac:dyDescent="0.25">
      <c r="A220" s="4">
        <v>42026</v>
      </c>
      <c r="B220" s="3" t="s">
        <v>32</v>
      </c>
      <c r="C220" s="3" t="s">
        <v>2</v>
      </c>
      <c r="D220" s="3" t="s">
        <v>34</v>
      </c>
      <c r="E220" s="3">
        <v>19</v>
      </c>
      <c r="F220" s="5">
        <f t="shared" si="3"/>
        <v>3.8000000000000003</v>
      </c>
    </row>
    <row r="221" spans="1:6" x14ac:dyDescent="0.25">
      <c r="A221" s="4">
        <v>42028</v>
      </c>
      <c r="B221" s="3" t="s">
        <v>37</v>
      </c>
      <c r="C221" s="3" t="s">
        <v>5</v>
      </c>
      <c r="D221" s="3" t="s">
        <v>28</v>
      </c>
      <c r="E221" s="3">
        <v>2</v>
      </c>
      <c r="F221" s="5">
        <f t="shared" si="3"/>
        <v>4</v>
      </c>
    </row>
    <row r="222" spans="1:6" x14ac:dyDescent="0.25">
      <c r="A222" s="4">
        <v>42105</v>
      </c>
      <c r="B222" s="3" t="s">
        <v>32</v>
      </c>
      <c r="C222" s="3" t="s">
        <v>10</v>
      </c>
      <c r="D222" s="3" t="s">
        <v>27</v>
      </c>
      <c r="E222" s="3">
        <v>46</v>
      </c>
      <c r="F222" s="5">
        <f t="shared" si="3"/>
        <v>23</v>
      </c>
    </row>
    <row r="223" spans="1:6" x14ac:dyDescent="0.25">
      <c r="A223" s="4">
        <v>42038</v>
      </c>
      <c r="B223" s="3" t="s">
        <v>32</v>
      </c>
      <c r="C223" s="3" t="s">
        <v>5</v>
      </c>
      <c r="D223" s="3" t="s">
        <v>35</v>
      </c>
      <c r="E223" s="3">
        <v>41</v>
      </c>
      <c r="F223" s="5">
        <f t="shared" si="3"/>
        <v>164</v>
      </c>
    </row>
    <row r="224" spans="1:6" x14ac:dyDescent="0.25">
      <c r="A224" s="4">
        <v>42014</v>
      </c>
      <c r="B224" s="3" t="s">
        <v>38</v>
      </c>
      <c r="C224" s="3" t="s">
        <v>10</v>
      </c>
      <c r="D224" s="3" t="s">
        <v>36</v>
      </c>
      <c r="E224" s="3">
        <v>11</v>
      </c>
      <c r="F224" s="5">
        <f t="shared" si="3"/>
        <v>16.5</v>
      </c>
    </row>
    <row r="225" spans="1:6" x14ac:dyDescent="0.25">
      <c r="A225" s="4">
        <v>42005</v>
      </c>
      <c r="B225" s="3" t="s">
        <v>38</v>
      </c>
      <c r="C225" s="3" t="s">
        <v>10</v>
      </c>
      <c r="D225" s="3" t="s">
        <v>34</v>
      </c>
      <c r="E225" s="3">
        <v>21</v>
      </c>
      <c r="F225" s="5">
        <f t="shared" si="3"/>
        <v>4.2</v>
      </c>
    </row>
    <row r="226" spans="1:6" x14ac:dyDescent="0.25">
      <c r="A226" s="4">
        <v>42117</v>
      </c>
      <c r="B226" s="3" t="s">
        <v>32</v>
      </c>
      <c r="C226" s="3" t="s">
        <v>6</v>
      </c>
      <c r="D226" s="3" t="s">
        <v>31</v>
      </c>
      <c r="E226" s="3">
        <v>8</v>
      </c>
      <c r="F226" s="5">
        <f t="shared" si="3"/>
        <v>20</v>
      </c>
    </row>
    <row r="227" spans="1:6" x14ac:dyDescent="0.25">
      <c r="A227" s="4">
        <v>42048</v>
      </c>
      <c r="B227" s="3" t="s">
        <v>26</v>
      </c>
      <c r="C227" s="3" t="s">
        <v>19</v>
      </c>
      <c r="D227" s="3" t="s">
        <v>35</v>
      </c>
      <c r="E227" s="3">
        <v>15</v>
      </c>
      <c r="F227" s="5">
        <f t="shared" si="3"/>
        <v>60</v>
      </c>
    </row>
    <row r="228" spans="1:6" x14ac:dyDescent="0.25">
      <c r="A228" s="4">
        <v>42152</v>
      </c>
      <c r="B228" s="3" t="s">
        <v>37</v>
      </c>
      <c r="C228" s="3" t="s">
        <v>2</v>
      </c>
      <c r="D228" s="3" t="s">
        <v>30</v>
      </c>
      <c r="E228" s="3">
        <v>15</v>
      </c>
      <c r="F228" s="5">
        <f t="shared" si="3"/>
        <v>1.5</v>
      </c>
    </row>
    <row r="229" spans="1:6" x14ac:dyDescent="0.25">
      <c r="A229" s="4">
        <v>42055</v>
      </c>
      <c r="B229" s="3" t="s">
        <v>38</v>
      </c>
      <c r="C229" s="3" t="s">
        <v>19</v>
      </c>
      <c r="D229" s="3" t="s">
        <v>28</v>
      </c>
      <c r="E229" s="3">
        <v>14</v>
      </c>
      <c r="F229" s="5">
        <f t="shared" si="3"/>
        <v>28</v>
      </c>
    </row>
    <row r="230" spans="1:6" x14ac:dyDescent="0.25">
      <c r="A230" s="4">
        <v>42016</v>
      </c>
      <c r="B230" s="3" t="s">
        <v>38</v>
      </c>
      <c r="C230" s="3" t="s">
        <v>6</v>
      </c>
      <c r="D230" s="3" t="s">
        <v>35</v>
      </c>
      <c r="E230" s="3">
        <v>49</v>
      </c>
      <c r="F230" s="5">
        <f t="shared" si="3"/>
        <v>196</v>
      </c>
    </row>
    <row r="231" spans="1:6" x14ac:dyDescent="0.25">
      <c r="A231" s="4">
        <v>42075</v>
      </c>
      <c r="B231" s="3" t="s">
        <v>37</v>
      </c>
      <c r="C231" s="3" t="s">
        <v>2</v>
      </c>
      <c r="D231" s="3" t="s">
        <v>31</v>
      </c>
      <c r="E231" s="3">
        <v>5</v>
      </c>
      <c r="F231" s="5">
        <f t="shared" si="3"/>
        <v>12.5</v>
      </c>
    </row>
    <row r="232" spans="1:6" x14ac:dyDescent="0.25">
      <c r="A232" s="4">
        <v>42128</v>
      </c>
      <c r="B232" s="3" t="s">
        <v>39</v>
      </c>
      <c r="C232" s="3" t="s">
        <v>6</v>
      </c>
      <c r="D232" s="3" t="s">
        <v>34</v>
      </c>
      <c r="E232" s="3">
        <v>19</v>
      </c>
      <c r="F232" s="5">
        <f t="shared" si="3"/>
        <v>3.8000000000000003</v>
      </c>
    </row>
    <row r="233" spans="1:6" x14ac:dyDescent="0.25">
      <c r="A233" s="4">
        <v>42122</v>
      </c>
      <c r="B233" s="3" t="s">
        <v>32</v>
      </c>
      <c r="C233" s="3" t="s">
        <v>10</v>
      </c>
      <c r="D233" s="3" t="s">
        <v>34</v>
      </c>
      <c r="E233" s="3">
        <v>22</v>
      </c>
      <c r="F233" s="5">
        <f t="shared" si="3"/>
        <v>4.4000000000000004</v>
      </c>
    </row>
    <row r="234" spans="1:6" x14ac:dyDescent="0.25">
      <c r="A234" s="4">
        <v>42151</v>
      </c>
      <c r="B234" s="3" t="s">
        <v>37</v>
      </c>
      <c r="C234" s="3" t="s">
        <v>19</v>
      </c>
      <c r="D234" s="3" t="s">
        <v>31</v>
      </c>
      <c r="E234" s="3">
        <v>28</v>
      </c>
      <c r="F234" s="5">
        <f t="shared" si="3"/>
        <v>70</v>
      </c>
    </row>
    <row r="235" spans="1:6" x14ac:dyDescent="0.25">
      <c r="A235" s="4">
        <v>42020</v>
      </c>
      <c r="B235" s="3" t="s">
        <v>37</v>
      </c>
      <c r="C235" s="3" t="s">
        <v>2</v>
      </c>
      <c r="D235" s="3" t="s">
        <v>28</v>
      </c>
      <c r="E235" s="3">
        <v>26</v>
      </c>
      <c r="F235" s="5">
        <f t="shared" si="3"/>
        <v>52</v>
      </c>
    </row>
    <row r="236" spans="1:6" x14ac:dyDescent="0.25">
      <c r="A236" s="4">
        <v>42087</v>
      </c>
      <c r="B236" s="3" t="s">
        <v>39</v>
      </c>
      <c r="C236" s="3" t="s">
        <v>6</v>
      </c>
      <c r="D236" s="3" t="s">
        <v>33</v>
      </c>
      <c r="E236" s="3">
        <v>23</v>
      </c>
      <c r="F236" s="5">
        <f t="shared" si="3"/>
        <v>115</v>
      </c>
    </row>
    <row r="237" spans="1:6" x14ac:dyDescent="0.25">
      <c r="A237" s="4">
        <v>42030</v>
      </c>
      <c r="B237" s="3" t="s">
        <v>39</v>
      </c>
      <c r="C237" s="3" t="s">
        <v>10</v>
      </c>
      <c r="D237" s="3" t="s">
        <v>34</v>
      </c>
      <c r="E237" s="3">
        <v>39</v>
      </c>
      <c r="F237" s="5">
        <f t="shared" si="3"/>
        <v>7.8000000000000007</v>
      </c>
    </row>
    <row r="238" spans="1:6" x14ac:dyDescent="0.25">
      <c r="A238" s="4">
        <v>42104</v>
      </c>
      <c r="B238" s="3" t="s">
        <v>29</v>
      </c>
      <c r="C238" s="3" t="s">
        <v>19</v>
      </c>
      <c r="D238" s="3" t="s">
        <v>27</v>
      </c>
      <c r="E238" s="3">
        <v>14</v>
      </c>
      <c r="F238" s="5">
        <f t="shared" si="3"/>
        <v>7</v>
      </c>
    </row>
    <row r="239" spans="1:6" x14ac:dyDescent="0.25">
      <c r="A239" s="4">
        <v>42137</v>
      </c>
      <c r="B239" s="3" t="s">
        <v>26</v>
      </c>
      <c r="C239" s="3" t="s">
        <v>2</v>
      </c>
      <c r="D239" s="3" t="s">
        <v>28</v>
      </c>
      <c r="E239" s="3">
        <v>35</v>
      </c>
      <c r="F239" s="5">
        <f t="shared" si="3"/>
        <v>70</v>
      </c>
    </row>
    <row r="240" spans="1:6" x14ac:dyDescent="0.25">
      <c r="A240" s="4">
        <v>42149</v>
      </c>
      <c r="B240" s="3" t="s">
        <v>37</v>
      </c>
      <c r="C240" s="3" t="s">
        <v>19</v>
      </c>
      <c r="D240" s="3" t="s">
        <v>28</v>
      </c>
      <c r="E240" s="3">
        <v>26</v>
      </c>
      <c r="F240" s="5">
        <f t="shared" si="3"/>
        <v>52</v>
      </c>
    </row>
    <row r="241" spans="1:6" x14ac:dyDescent="0.25">
      <c r="A241" s="4">
        <v>42108</v>
      </c>
      <c r="B241" s="3" t="s">
        <v>37</v>
      </c>
      <c r="C241" s="3" t="s">
        <v>10</v>
      </c>
      <c r="D241" s="3" t="s">
        <v>34</v>
      </c>
      <c r="E241" s="3">
        <v>26</v>
      </c>
      <c r="F241" s="5">
        <f t="shared" si="3"/>
        <v>5.2</v>
      </c>
    </row>
    <row r="242" spans="1:6" x14ac:dyDescent="0.25">
      <c r="A242" s="4">
        <v>42183</v>
      </c>
      <c r="B242" s="3" t="s">
        <v>32</v>
      </c>
      <c r="C242" s="3" t="s">
        <v>6</v>
      </c>
      <c r="D242" s="3" t="s">
        <v>28</v>
      </c>
      <c r="E242" s="3">
        <v>50</v>
      </c>
      <c r="F242" s="5">
        <f t="shared" si="3"/>
        <v>100</v>
      </c>
    </row>
    <row r="243" spans="1:6" x14ac:dyDescent="0.25">
      <c r="A243" s="4">
        <v>42064</v>
      </c>
      <c r="B243" s="3" t="s">
        <v>29</v>
      </c>
      <c r="C243" s="3" t="s">
        <v>6</v>
      </c>
      <c r="D243" s="3" t="s">
        <v>28</v>
      </c>
      <c r="E243" s="3">
        <v>17</v>
      </c>
      <c r="F243" s="5">
        <f t="shared" si="3"/>
        <v>34</v>
      </c>
    </row>
    <row r="244" spans="1:6" x14ac:dyDescent="0.25">
      <c r="A244" s="4">
        <v>42041</v>
      </c>
      <c r="B244" s="3" t="s">
        <v>37</v>
      </c>
      <c r="C244" s="3" t="s">
        <v>5</v>
      </c>
      <c r="D244" s="3" t="s">
        <v>35</v>
      </c>
      <c r="E244" s="3">
        <v>41</v>
      </c>
      <c r="F244" s="5">
        <f t="shared" si="3"/>
        <v>164</v>
      </c>
    </row>
    <row r="245" spans="1:6" x14ac:dyDescent="0.25">
      <c r="A245" s="4">
        <v>42161</v>
      </c>
      <c r="B245" s="3" t="s">
        <v>38</v>
      </c>
      <c r="C245" s="3" t="s">
        <v>19</v>
      </c>
      <c r="D245" s="3" t="s">
        <v>31</v>
      </c>
      <c r="E245" s="3">
        <v>21</v>
      </c>
      <c r="F245" s="5">
        <f t="shared" si="3"/>
        <v>52.5</v>
      </c>
    </row>
    <row r="246" spans="1:6" x14ac:dyDescent="0.25">
      <c r="A246" s="4">
        <v>42079</v>
      </c>
      <c r="B246" s="3" t="s">
        <v>32</v>
      </c>
      <c r="C246" s="3" t="s">
        <v>5</v>
      </c>
      <c r="D246" s="3" t="s">
        <v>30</v>
      </c>
      <c r="E246" s="3">
        <v>45</v>
      </c>
      <c r="F246" s="5">
        <f t="shared" si="3"/>
        <v>4.5</v>
      </c>
    </row>
    <row r="247" spans="1:6" x14ac:dyDescent="0.25">
      <c r="A247" s="4">
        <v>42008</v>
      </c>
      <c r="B247" s="3" t="s">
        <v>39</v>
      </c>
      <c r="C247" s="3" t="s">
        <v>6</v>
      </c>
      <c r="D247" s="3" t="s">
        <v>35</v>
      </c>
      <c r="E247" s="3">
        <v>38</v>
      </c>
      <c r="F247" s="5">
        <f t="shared" si="3"/>
        <v>152</v>
      </c>
    </row>
    <row r="248" spans="1:6" x14ac:dyDescent="0.25">
      <c r="A248" s="4">
        <v>42055</v>
      </c>
      <c r="B248" s="3" t="s">
        <v>29</v>
      </c>
      <c r="C248" s="3" t="s">
        <v>2</v>
      </c>
      <c r="D248" s="3" t="s">
        <v>35</v>
      </c>
      <c r="E248" s="3">
        <v>44</v>
      </c>
      <c r="F248" s="5">
        <f t="shared" si="3"/>
        <v>176</v>
      </c>
    </row>
    <row r="249" spans="1:6" x14ac:dyDescent="0.25">
      <c r="A249" s="4">
        <v>42010</v>
      </c>
      <c r="B249" s="3" t="s">
        <v>26</v>
      </c>
      <c r="C249" s="3" t="s">
        <v>5</v>
      </c>
      <c r="D249" s="3" t="s">
        <v>33</v>
      </c>
      <c r="E249" s="3">
        <v>43</v>
      </c>
      <c r="F249" s="5">
        <f t="shared" si="3"/>
        <v>215</v>
      </c>
    </row>
    <row r="250" spans="1:6" x14ac:dyDescent="0.25">
      <c r="A250" s="4">
        <v>42109</v>
      </c>
      <c r="B250" s="3" t="s">
        <v>38</v>
      </c>
      <c r="C250" s="3" t="s">
        <v>19</v>
      </c>
      <c r="D250" s="3" t="s">
        <v>34</v>
      </c>
      <c r="E250" s="3">
        <v>10</v>
      </c>
      <c r="F250" s="5">
        <f t="shared" si="3"/>
        <v>2</v>
      </c>
    </row>
    <row r="251" spans="1:6" x14ac:dyDescent="0.25">
      <c r="A251" s="4">
        <v>42057</v>
      </c>
      <c r="B251" s="3" t="s">
        <v>39</v>
      </c>
      <c r="C251" s="3" t="s">
        <v>2</v>
      </c>
      <c r="D251" s="3" t="s">
        <v>28</v>
      </c>
      <c r="E251" s="3">
        <v>30</v>
      </c>
      <c r="F251" s="5">
        <f t="shared" si="3"/>
        <v>60</v>
      </c>
    </row>
    <row r="252" spans="1:6" x14ac:dyDescent="0.25">
      <c r="A252" s="4">
        <v>42131</v>
      </c>
      <c r="B252" s="3" t="s">
        <v>39</v>
      </c>
      <c r="C252" s="3" t="s">
        <v>2</v>
      </c>
      <c r="D252" s="3" t="s">
        <v>30</v>
      </c>
      <c r="E252" s="3">
        <v>22</v>
      </c>
      <c r="F252" s="5">
        <f t="shared" si="3"/>
        <v>2.2000000000000002</v>
      </c>
    </row>
    <row r="253" spans="1:6" x14ac:dyDescent="0.25">
      <c r="A253" s="4">
        <v>42025</v>
      </c>
      <c r="B253" s="3" t="s">
        <v>29</v>
      </c>
      <c r="C253" s="3" t="s">
        <v>6</v>
      </c>
      <c r="D253" s="3" t="s">
        <v>36</v>
      </c>
      <c r="E253" s="3">
        <v>39</v>
      </c>
      <c r="F253" s="5">
        <f t="shared" si="3"/>
        <v>58.5</v>
      </c>
    </row>
    <row r="254" spans="1:6" x14ac:dyDescent="0.25">
      <c r="A254" s="4">
        <v>42084</v>
      </c>
      <c r="B254" s="3" t="s">
        <v>29</v>
      </c>
      <c r="C254" s="3" t="s">
        <v>2</v>
      </c>
      <c r="D254" s="3" t="s">
        <v>30</v>
      </c>
      <c r="E254" s="3">
        <v>45</v>
      </c>
      <c r="F254" s="5">
        <f t="shared" si="3"/>
        <v>4.5</v>
      </c>
    </row>
    <row r="255" spans="1:6" x14ac:dyDescent="0.25">
      <c r="A255" s="4">
        <v>42146</v>
      </c>
      <c r="B255" s="3" t="s">
        <v>39</v>
      </c>
      <c r="C255" s="3" t="s">
        <v>2</v>
      </c>
      <c r="D255" s="3" t="s">
        <v>35</v>
      </c>
      <c r="E255" s="3">
        <v>24</v>
      </c>
      <c r="F255" s="5">
        <f t="shared" si="3"/>
        <v>96</v>
      </c>
    </row>
    <row r="256" spans="1:6" x14ac:dyDescent="0.25">
      <c r="A256" s="4">
        <v>42119</v>
      </c>
      <c r="B256" s="3" t="s">
        <v>26</v>
      </c>
      <c r="C256" s="3" t="s">
        <v>10</v>
      </c>
      <c r="D256" s="3" t="s">
        <v>28</v>
      </c>
      <c r="E256" s="3">
        <v>1</v>
      </c>
      <c r="F256" s="5">
        <f t="shared" si="3"/>
        <v>2</v>
      </c>
    </row>
    <row r="257" spans="1:6" x14ac:dyDescent="0.25">
      <c r="A257" s="4">
        <v>42009</v>
      </c>
      <c r="B257" s="3" t="s">
        <v>38</v>
      </c>
      <c r="C257" s="3" t="s">
        <v>6</v>
      </c>
      <c r="D257" s="3" t="s">
        <v>34</v>
      </c>
      <c r="E257" s="3">
        <v>49</v>
      </c>
      <c r="F257" s="5">
        <f t="shared" si="3"/>
        <v>9.8000000000000007</v>
      </c>
    </row>
    <row r="258" spans="1:6" x14ac:dyDescent="0.25">
      <c r="A258" s="4">
        <v>42177</v>
      </c>
      <c r="B258" s="3" t="s">
        <v>26</v>
      </c>
      <c r="C258" s="3" t="s">
        <v>5</v>
      </c>
      <c r="D258" s="3" t="s">
        <v>36</v>
      </c>
      <c r="E258" s="3">
        <v>32</v>
      </c>
      <c r="F258" s="5">
        <f t="shared" si="3"/>
        <v>48</v>
      </c>
    </row>
    <row r="259" spans="1:6" x14ac:dyDescent="0.25">
      <c r="A259" s="4">
        <v>42083</v>
      </c>
      <c r="B259" s="3" t="s">
        <v>32</v>
      </c>
      <c r="C259" s="3" t="s">
        <v>10</v>
      </c>
      <c r="D259" s="3" t="s">
        <v>27</v>
      </c>
      <c r="E259" s="3">
        <v>17</v>
      </c>
      <c r="F259" s="5">
        <f t="shared" si="3"/>
        <v>8.5</v>
      </c>
    </row>
    <row r="260" spans="1:6" x14ac:dyDescent="0.25">
      <c r="A260" s="4">
        <v>42095</v>
      </c>
      <c r="B260" s="3" t="s">
        <v>38</v>
      </c>
      <c r="C260" s="3" t="s">
        <v>10</v>
      </c>
      <c r="D260" s="3" t="s">
        <v>35</v>
      </c>
      <c r="E260" s="3">
        <v>9</v>
      </c>
      <c r="F260" s="5">
        <f t="shared" si="3"/>
        <v>36</v>
      </c>
    </row>
    <row r="261" spans="1:6" x14ac:dyDescent="0.25">
      <c r="A261" s="4">
        <v>42025</v>
      </c>
      <c r="B261" s="3" t="s">
        <v>38</v>
      </c>
      <c r="C261" s="3" t="s">
        <v>19</v>
      </c>
      <c r="D261" s="3" t="s">
        <v>35</v>
      </c>
      <c r="E261" s="3">
        <v>23</v>
      </c>
      <c r="F261" s="5">
        <f t="shared" si="3"/>
        <v>92</v>
      </c>
    </row>
    <row r="262" spans="1:6" x14ac:dyDescent="0.25">
      <c r="A262" s="4">
        <v>42086</v>
      </c>
      <c r="B262" s="3" t="s">
        <v>29</v>
      </c>
      <c r="C262" s="3" t="s">
        <v>2</v>
      </c>
      <c r="D262" s="3" t="s">
        <v>35</v>
      </c>
      <c r="E262" s="3">
        <v>49</v>
      </c>
      <c r="F262" s="5">
        <f t="shared" si="3"/>
        <v>196</v>
      </c>
    </row>
    <row r="263" spans="1:6" x14ac:dyDescent="0.25">
      <c r="A263" s="4">
        <v>42077</v>
      </c>
      <c r="B263" s="3" t="s">
        <v>32</v>
      </c>
      <c r="C263" s="3" t="s">
        <v>19</v>
      </c>
      <c r="D263" s="3" t="s">
        <v>31</v>
      </c>
      <c r="E263" s="3">
        <v>25</v>
      </c>
      <c r="F263" s="5">
        <f t="shared" si="3"/>
        <v>62.5</v>
      </c>
    </row>
    <row r="264" spans="1:6" x14ac:dyDescent="0.25">
      <c r="A264" s="4">
        <v>42059</v>
      </c>
      <c r="B264" s="3" t="s">
        <v>32</v>
      </c>
      <c r="C264" s="3" t="s">
        <v>19</v>
      </c>
      <c r="D264" s="3" t="s">
        <v>31</v>
      </c>
      <c r="E264" s="3">
        <v>11</v>
      </c>
      <c r="F264" s="5">
        <f t="shared" ref="F264:F327" si="4">E264*VLOOKUP(D264,$W$7:$X$14,2,0)</f>
        <v>27.5</v>
      </c>
    </row>
    <row r="265" spans="1:6" x14ac:dyDescent="0.25">
      <c r="A265" s="4">
        <v>42033</v>
      </c>
      <c r="B265" s="3" t="s">
        <v>37</v>
      </c>
      <c r="C265" s="3" t="s">
        <v>2</v>
      </c>
      <c r="D265" s="3" t="s">
        <v>34</v>
      </c>
      <c r="E265" s="3">
        <v>18</v>
      </c>
      <c r="F265" s="5">
        <f t="shared" si="4"/>
        <v>3.6</v>
      </c>
    </row>
    <row r="266" spans="1:6" x14ac:dyDescent="0.25">
      <c r="A266" s="4">
        <v>42063</v>
      </c>
      <c r="B266" s="3" t="s">
        <v>39</v>
      </c>
      <c r="C266" s="3" t="s">
        <v>10</v>
      </c>
      <c r="D266" s="3" t="s">
        <v>33</v>
      </c>
      <c r="E266" s="3">
        <v>40</v>
      </c>
      <c r="F266" s="5">
        <f t="shared" si="4"/>
        <v>200</v>
      </c>
    </row>
    <row r="267" spans="1:6" x14ac:dyDescent="0.25">
      <c r="A267" s="4">
        <v>42063</v>
      </c>
      <c r="B267" s="3" t="s">
        <v>38</v>
      </c>
      <c r="C267" s="3" t="s">
        <v>6</v>
      </c>
      <c r="D267" s="3" t="s">
        <v>30</v>
      </c>
      <c r="E267" s="3">
        <v>3</v>
      </c>
      <c r="F267" s="5">
        <f t="shared" si="4"/>
        <v>0.30000000000000004</v>
      </c>
    </row>
    <row r="268" spans="1:6" x14ac:dyDescent="0.25">
      <c r="A268" s="4">
        <v>42122</v>
      </c>
      <c r="B268" s="3" t="s">
        <v>26</v>
      </c>
      <c r="C268" s="3" t="s">
        <v>2</v>
      </c>
      <c r="D268" s="3" t="s">
        <v>27</v>
      </c>
      <c r="E268" s="3">
        <v>17</v>
      </c>
      <c r="F268" s="5">
        <f t="shared" si="4"/>
        <v>8.5</v>
      </c>
    </row>
    <row r="269" spans="1:6" x14ac:dyDescent="0.25">
      <c r="A269" s="4">
        <v>42118</v>
      </c>
      <c r="B269" s="3" t="s">
        <v>37</v>
      </c>
      <c r="C269" s="3" t="s">
        <v>10</v>
      </c>
      <c r="D269" s="3" t="s">
        <v>31</v>
      </c>
      <c r="E269" s="3">
        <v>9</v>
      </c>
      <c r="F269" s="5">
        <f t="shared" si="4"/>
        <v>22.5</v>
      </c>
    </row>
    <row r="270" spans="1:6" x14ac:dyDescent="0.25">
      <c r="A270" s="4">
        <v>42177</v>
      </c>
      <c r="B270" s="3" t="s">
        <v>29</v>
      </c>
      <c r="C270" s="3" t="s">
        <v>10</v>
      </c>
      <c r="D270" s="3" t="s">
        <v>30</v>
      </c>
      <c r="E270" s="3">
        <v>34</v>
      </c>
      <c r="F270" s="5">
        <f t="shared" si="4"/>
        <v>3.4000000000000004</v>
      </c>
    </row>
    <row r="271" spans="1:6" x14ac:dyDescent="0.25">
      <c r="A271" s="4">
        <v>42053</v>
      </c>
      <c r="B271" s="3" t="s">
        <v>32</v>
      </c>
      <c r="C271" s="3" t="s">
        <v>10</v>
      </c>
      <c r="D271" s="3" t="s">
        <v>28</v>
      </c>
      <c r="E271" s="3">
        <v>22</v>
      </c>
      <c r="F271" s="5">
        <f t="shared" si="4"/>
        <v>44</v>
      </c>
    </row>
    <row r="272" spans="1:6" x14ac:dyDescent="0.25">
      <c r="A272" s="4">
        <v>42030</v>
      </c>
      <c r="B272" s="3" t="s">
        <v>38</v>
      </c>
      <c r="C272" s="3" t="s">
        <v>2</v>
      </c>
      <c r="D272" s="3" t="s">
        <v>31</v>
      </c>
      <c r="E272" s="3">
        <v>28</v>
      </c>
      <c r="F272" s="5">
        <f t="shared" si="4"/>
        <v>70</v>
      </c>
    </row>
    <row r="273" spans="1:6" x14ac:dyDescent="0.25">
      <c r="A273" s="4">
        <v>42090</v>
      </c>
      <c r="B273" s="3" t="s">
        <v>32</v>
      </c>
      <c r="C273" s="3" t="s">
        <v>2</v>
      </c>
      <c r="D273" s="3" t="s">
        <v>31</v>
      </c>
      <c r="E273" s="3">
        <v>21</v>
      </c>
      <c r="F273" s="5">
        <f t="shared" si="4"/>
        <v>52.5</v>
      </c>
    </row>
    <row r="274" spans="1:6" x14ac:dyDescent="0.25">
      <c r="A274" s="4">
        <v>42158</v>
      </c>
      <c r="B274" s="3" t="s">
        <v>29</v>
      </c>
      <c r="C274" s="3" t="s">
        <v>10</v>
      </c>
      <c r="D274" s="3" t="s">
        <v>30</v>
      </c>
      <c r="E274" s="3">
        <v>45</v>
      </c>
      <c r="F274" s="5">
        <f t="shared" si="4"/>
        <v>4.5</v>
      </c>
    </row>
    <row r="275" spans="1:6" x14ac:dyDescent="0.25">
      <c r="A275" s="4">
        <v>42185</v>
      </c>
      <c r="B275" s="3" t="s">
        <v>29</v>
      </c>
      <c r="C275" s="3" t="s">
        <v>2</v>
      </c>
      <c r="D275" s="3" t="s">
        <v>33</v>
      </c>
      <c r="E275" s="3">
        <v>17</v>
      </c>
      <c r="F275" s="5">
        <f t="shared" si="4"/>
        <v>85</v>
      </c>
    </row>
    <row r="276" spans="1:6" x14ac:dyDescent="0.25">
      <c r="A276" s="4">
        <v>42079</v>
      </c>
      <c r="B276" s="3" t="s">
        <v>38</v>
      </c>
      <c r="C276" s="3" t="s">
        <v>5</v>
      </c>
      <c r="D276" s="3" t="s">
        <v>28</v>
      </c>
      <c r="E276" s="3">
        <v>44</v>
      </c>
      <c r="F276" s="5">
        <f t="shared" si="4"/>
        <v>88</v>
      </c>
    </row>
    <row r="277" spans="1:6" x14ac:dyDescent="0.25">
      <c r="A277" s="4">
        <v>42078</v>
      </c>
      <c r="B277" s="3" t="s">
        <v>29</v>
      </c>
      <c r="C277" s="3" t="s">
        <v>19</v>
      </c>
      <c r="D277" s="3" t="s">
        <v>33</v>
      </c>
      <c r="E277" s="3">
        <v>20</v>
      </c>
      <c r="F277" s="5">
        <f t="shared" si="4"/>
        <v>100</v>
      </c>
    </row>
    <row r="278" spans="1:6" x14ac:dyDescent="0.25">
      <c r="A278" s="4">
        <v>42170</v>
      </c>
      <c r="B278" s="3" t="s">
        <v>39</v>
      </c>
      <c r="C278" s="3" t="s">
        <v>10</v>
      </c>
      <c r="D278" s="3" t="s">
        <v>36</v>
      </c>
      <c r="E278" s="3">
        <v>29</v>
      </c>
      <c r="F278" s="5">
        <f t="shared" si="4"/>
        <v>43.5</v>
      </c>
    </row>
    <row r="279" spans="1:6" x14ac:dyDescent="0.25">
      <c r="A279" s="4">
        <v>42027</v>
      </c>
      <c r="B279" s="3" t="s">
        <v>26</v>
      </c>
      <c r="C279" s="3" t="s">
        <v>10</v>
      </c>
      <c r="D279" s="3" t="s">
        <v>36</v>
      </c>
      <c r="E279" s="3">
        <v>13</v>
      </c>
      <c r="F279" s="5">
        <f t="shared" si="4"/>
        <v>19.5</v>
      </c>
    </row>
    <row r="280" spans="1:6" x14ac:dyDescent="0.25">
      <c r="A280" s="4">
        <v>42038</v>
      </c>
      <c r="B280" s="3" t="s">
        <v>37</v>
      </c>
      <c r="C280" s="3" t="s">
        <v>19</v>
      </c>
      <c r="D280" s="3" t="s">
        <v>33</v>
      </c>
      <c r="E280" s="3">
        <v>45</v>
      </c>
      <c r="F280" s="5">
        <f t="shared" si="4"/>
        <v>225</v>
      </c>
    </row>
    <row r="281" spans="1:6" x14ac:dyDescent="0.25">
      <c r="A281" s="4">
        <v>42066</v>
      </c>
      <c r="B281" s="3" t="s">
        <v>29</v>
      </c>
      <c r="C281" s="3" t="s">
        <v>2</v>
      </c>
      <c r="D281" s="3" t="s">
        <v>36</v>
      </c>
      <c r="E281" s="3">
        <v>40</v>
      </c>
      <c r="F281" s="5">
        <f t="shared" si="4"/>
        <v>60</v>
      </c>
    </row>
    <row r="282" spans="1:6" x14ac:dyDescent="0.25">
      <c r="A282" s="4">
        <v>42069</v>
      </c>
      <c r="B282" s="3" t="s">
        <v>29</v>
      </c>
      <c r="C282" s="3" t="s">
        <v>5</v>
      </c>
      <c r="D282" s="3" t="s">
        <v>31</v>
      </c>
      <c r="E282" s="3">
        <v>10</v>
      </c>
      <c r="F282" s="5">
        <f t="shared" si="4"/>
        <v>25</v>
      </c>
    </row>
    <row r="283" spans="1:6" x14ac:dyDescent="0.25">
      <c r="A283" s="4">
        <v>42131</v>
      </c>
      <c r="B283" s="3" t="s">
        <v>29</v>
      </c>
      <c r="C283" s="3" t="s">
        <v>5</v>
      </c>
      <c r="D283" s="3" t="s">
        <v>36</v>
      </c>
      <c r="E283" s="3">
        <v>40</v>
      </c>
      <c r="F283" s="5">
        <f t="shared" si="4"/>
        <v>60</v>
      </c>
    </row>
    <row r="284" spans="1:6" x14ac:dyDescent="0.25">
      <c r="A284" s="4">
        <v>42164</v>
      </c>
      <c r="B284" s="3" t="s">
        <v>26</v>
      </c>
      <c r="C284" s="3" t="s">
        <v>10</v>
      </c>
      <c r="D284" s="3" t="s">
        <v>34</v>
      </c>
      <c r="E284" s="3">
        <v>24</v>
      </c>
      <c r="F284" s="5">
        <f t="shared" si="4"/>
        <v>4.8000000000000007</v>
      </c>
    </row>
    <row r="285" spans="1:6" x14ac:dyDescent="0.25">
      <c r="A285" s="4">
        <v>42013</v>
      </c>
      <c r="B285" s="3" t="s">
        <v>38</v>
      </c>
      <c r="C285" s="3" t="s">
        <v>6</v>
      </c>
      <c r="D285" s="3" t="s">
        <v>35</v>
      </c>
      <c r="E285" s="3">
        <v>5</v>
      </c>
      <c r="F285" s="5">
        <f t="shared" si="4"/>
        <v>20</v>
      </c>
    </row>
    <row r="286" spans="1:6" x14ac:dyDescent="0.25">
      <c r="A286" s="4">
        <v>42106</v>
      </c>
      <c r="B286" s="3" t="s">
        <v>29</v>
      </c>
      <c r="C286" s="3" t="s">
        <v>19</v>
      </c>
      <c r="D286" s="3" t="s">
        <v>35</v>
      </c>
      <c r="E286" s="3">
        <v>47</v>
      </c>
      <c r="F286" s="5">
        <f t="shared" si="4"/>
        <v>188</v>
      </c>
    </row>
    <row r="287" spans="1:6" x14ac:dyDescent="0.25">
      <c r="A287" s="4">
        <v>42126</v>
      </c>
      <c r="B287" s="3" t="s">
        <v>38</v>
      </c>
      <c r="C287" s="3" t="s">
        <v>2</v>
      </c>
      <c r="D287" s="3" t="s">
        <v>31</v>
      </c>
      <c r="E287" s="3">
        <v>47</v>
      </c>
      <c r="F287" s="5">
        <f t="shared" si="4"/>
        <v>117.5</v>
      </c>
    </row>
    <row r="288" spans="1:6" x14ac:dyDescent="0.25">
      <c r="A288" s="4">
        <v>42157</v>
      </c>
      <c r="B288" s="3" t="s">
        <v>32</v>
      </c>
      <c r="C288" s="3" t="s">
        <v>6</v>
      </c>
      <c r="D288" s="3" t="s">
        <v>36</v>
      </c>
      <c r="E288" s="3">
        <v>27</v>
      </c>
      <c r="F288" s="5">
        <f t="shared" si="4"/>
        <v>40.5</v>
      </c>
    </row>
    <row r="289" spans="1:6" x14ac:dyDescent="0.25">
      <c r="A289" s="4">
        <v>42128</v>
      </c>
      <c r="B289" s="3" t="s">
        <v>26</v>
      </c>
      <c r="C289" s="3" t="s">
        <v>5</v>
      </c>
      <c r="D289" s="3" t="s">
        <v>36</v>
      </c>
      <c r="E289" s="3">
        <v>8</v>
      </c>
      <c r="F289" s="5">
        <f t="shared" si="4"/>
        <v>12</v>
      </c>
    </row>
    <row r="290" spans="1:6" x14ac:dyDescent="0.25">
      <c r="A290" s="4">
        <v>42010</v>
      </c>
      <c r="B290" s="3" t="s">
        <v>29</v>
      </c>
      <c r="C290" s="3" t="s">
        <v>19</v>
      </c>
      <c r="D290" s="3" t="s">
        <v>31</v>
      </c>
      <c r="E290" s="3">
        <v>45</v>
      </c>
      <c r="F290" s="5">
        <f t="shared" si="4"/>
        <v>112.5</v>
      </c>
    </row>
    <row r="291" spans="1:6" x14ac:dyDescent="0.25">
      <c r="A291" s="4">
        <v>42046</v>
      </c>
      <c r="B291" s="3" t="s">
        <v>32</v>
      </c>
      <c r="C291" s="3" t="s">
        <v>19</v>
      </c>
      <c r="D291" s="3" t="s">
        <v>28</v>
      </c>
      <c r="E291" s="3">
        <v>8</v>
      </c>
      <c r="F291" s="5">
        <f t="shared" si="4"/>
        <v>16</v>
      </c>
    </row>
    <row r="292" spans="1:6" x14ac:dyDescent="0.25">
      <c r="A292" s="4">
        <v>42128</v>
      </c>
      <c r="B292" s="3" t="s">
        <v>26</v>
      </c>
      <c r="C292" s="3" t="s">
        <v>10</v>
      </c>
      <c r="D292" s="3" t="s">
        <v>36</v>
      </c>
      <c r="E292" s="3">
        <v>41</v>
      </c>
      <c r="F292" s="5">
        <f t="shared" si="4"/>
        <v>61.5</v>
      </c>
    </row>
    <row r="293" spans="1:6" x14ac:dyDescent="0.25">
      <c r="A293" s="4">
        <v>42104</v>
      </c>
      <c r="B293" s="3" t="s">
        <v>32</v>
      </c>
      <c r="C293" s="3" t="s">
        <v>19</v>
      </c>
      <c r="D293" s="3" t="s">
        <v>31</v>
      </c>
      <c r="E293" s="3">
        <v>43</v>
      </c>
      <c r="F293" s="5">
        <f t="shared" si="4"/>
        <v>107.5</v>
      </c>
    </row>
    <row r="294" spans="1:6" x14ac:dyDescent="0.25">
      <c r="A294" s="4">
        <v>42170</v>
      </c>
      <c r="B294" s="3" t="s">
        <v>26</v>
      </c>
      <c r="C294" s="3" t="s">
        <v>19</v>
      </c>
      <c r="D294" s="3" t="s">
        <v>28</v>
      </c>
      <c r="E294" s="3">
        <v>3</v>
      </c>
      <c r="F294" s="5">
        <f t="shared" si="4"/>
        <v>6</v>
      </c>
    </row>
    <row r="295" spans="1:6" x14ac:dyDescent="0.25">
      <c r="A295" s="4">
        <v>42179</v>
      </c>
      <c r="B295" s="3" t="s">
        <v>39</v>
      </c>
      <c r="C295" s="3" t="s">
        <v>6</v>
      </c>
      <c r="D295" s="3" t="s">
        <v>34</v>
      </c>
      <c r="E295" s="3">
        <v>10</v>
      </c>
      <c r="F295" s="5">
        <f t="shared" si="4"/>
        <v>2</v>
      </c>
    </row>
    <row r="296" spans="1:6" x14ac:dyDescent="0.25">
      <c r="A296" s="4">
        <v>42098</v>
      </c>
      <c r="B296" s="3" t="s">
        <v>37</v>
      </c>
      <c r="C296" s="3" t="s">
        <v>19</v>
      </c>
      <c r="D296" s="3" t="s">
        <v>36</v>
      </c>
      <c r="E296" s="3">
        <v>33</v>
      </c>
      <c r="F296" s="5">
        <f t="shared" si="4"/>
        <v>49.5</v>
      </c>
    </row>
    <row r="297" spans="1:6" x14ac:dyDescent="0.25">
      <c r="A297" s="4">
        <v>42011</v>
      </c>
      <c r="B297" s="3" t="s">
        <v>32</v>
      </c>
      <c r="C297" s="3" t="s">
        <v>10</v>
      </c>
      <c r="D297" s="3" t="s">
        <v>36</v>
      </c>
      <c r="E297" s="3">
        <v>30</v>
      </c>
      <c r="F297" s="5">
        <f t="shared" si="4"/>
        <v>45</v>
      </c>
    </row>
    <row r="298" spans="1:6" x14ac:dyDescent="0.25">
      <c r="A298" s="4">
        <v>42153</v>
      </c>
      <c r="B298" s="3" t="s">
        <v>26</v>
      </c>
      <c r="C298" s="3" t="s">
        <v>5</v>
      </c>
      <c r="D298" s="3" t="s">
        <v>31</v>
      </c>
      <c r="E298" s="3">
        <v>50</v>
      </c>
      <c r="F298" s="5">
        <f t="shared" si="4"/>
        <v>125</v>
      </c>
    </row>
    <row r="299" spans="1:6" x14ac:dyDescent="0.25">
      <c r="A299" s="4">
        <v>42040</v>
      </c>
      <c r="B299" s="3" t="s">
        <v>37</v>
      </c>
      <c r="C299" s="3" t="s">
        <v>19</v>
      </c>
      <c r="D299" s="3" t="s">
        <v>28</v>
      </c>
      <c r="E299" s="3">
        <v>24</v>
      </c>
      <c r="F299" s="5">
        <f t="shared" si="4"/>
        <v>48</v>
      </c>
    </row>
    <row r="300" spans="1:6" x14ac:dyDescent="0.25">
      <c r="A300" s="4">
        <v>42089</v>
      </c>
      <c r="B300" s="3" t="s">
        <v>38</v>
      </c>
      <c r="C300" s="3" t="s">
        <v>2</v>
      </c>
      <c r="D300" s="3" t="s">
        <v>27</v>
      </c>
      <c r="E300" s="3">
        <v>19</v>
      </c>
      <c r="F300" s="5">
        <f t="shared" si="4"/>
        <v>9.5</v>
      </c>
    </row>
    <row r="301" spans="1:6" x14ac:dyDescent="0.25">
      <c r="A301" s="4">
        <v>42054</v>
      </c>
      <c r="B301" s="3" t="s">
        <v>37</v>
      </c>
      <c r="C301" s="3" t="s">
        <v>19</v>
      </c>
      <c r="D301" s="3" t="s">
        <v>35</v>
      </c>
      <c r="E301" s="3">
        <v>44</v>
      </c>
      <c r="F301" s="5">
        <f t="shared" si="4"/>
        <v>176</v>
      </c>
    </row>
    <row r="302" spans="1:6" x14ac:dyDescent="0.25">
      <c r="A302" s="4">
        <v>42028</v>
      </c>
      <c r="B302" s="3" t="s">
        <v>29</v>
      </c>
      <c r="C302" s="3" t="s">
        <v>10</v>
      </c>
      <c r="D302" s="3" t="s">
        <v>27</v>
      </c>
      <c r="E302" s="3">
        <v>33</v>
      </c>
      <c r="F302" s="5">
        <f t="shared" si="4"/>
        <v>16.5</v>
      </c>
    </row>
    <row r="303" spans="1:6" x14ac:dyDescent="0.25">
      <c r="A303" s="4">
        <v>42009</v>
      </c>
      <c r="B303" s="3" t="s">
        <v>38</v>
      </c>
      <c r="C303" s="3" t="s">
        <v>2</v>
      </c>
      <c r="D303" s="3" t="s">
        <v>35</v>
      </c>
      <c r="E303" s="3">
        <v>45</v>
      </c>
      <c r="F303" s="5">
        <f t="shared" si="4"/>
        <v>180</v>
      </c>
    </row>
    <row r="304" spans="1:6" x14ac:dyDescent="0.25">
      <c r="A304" s="4">
        <v>42077</v>
      </c>
      <c r="B304" s="3" t="s">
        <v>38</v>
      </c>
      <c r="C304" s="3" t="s">
        <v>10</v>
      </c>
      <c r="D304" s="3" t="s">
        <v>35</v>
      </c>
      <c r="E304" s="3">
        <v>48</v>
      </c>
      <c r="F304" s="5">
        <f t="shared" si="4"/>
        <v>192</v>
      </c>
    </row>
    <row r="305" spans="1:6" x14ac:dyDescent="0.25">
      <c r="A305" s="4">
        <v>42161</v>
      </c>
      <c r="B305" s="3" t="s">
        <v>38</v>
      </c>
      <c r="C305" s="3" t="s">
        <v>6</v>
      </c>
      <c r="D305" s="3" t="s">
        <v>30</v>
      </c>
      <c r="E305" s="3">
        <v>25</v>
      </c>
      <c r="F305" s="5">
        <f t="shared" si="4"/>
        <v>2.5</v>
      </c>
    </row>
    <row r="306" spans="1:6" x14ac:dyDescent="0.25">
      <c r="A306" s="4">
        <v>42168</v>
      </c>
      <c r="B306" s="3" t="s">
        <v>32</v>
      </c>
      <c r="C306" s="3" t="s">
        <v>2</v>
      </c>
      <c r="D306" s="3" t="s">
        <v>28</v>
      </c>
      <c r="E306" s="3">
        <v>39</v>
      </c>
      <c r="F306" s="5">
        <f t="shared" si="4"/>
        <v>78</v>
      </c>
    </row>
    <row r="307" spans="1:6" x14ac:dyDescent="0.25">
      <c r="A307" s="4">
        <v>42053</v>
      </c>
      <c r="B307" s="3" t="s">
        <v>39</v>
      </c>
      <c r="C307" s="3" t="s">
        <v>5</v>
      </c>
      <c r="D307" s="3" t="s">
        <v>30</v>
      </c>
      <c r="E307" s="3">
        <v>38</v>
      </c>
      <c r="F307" s="5">
        <f t="shared" si="4"/>
        <v>3.8000000000000003</v>
      </c>
    </row>
    <row r="308" spans="1:6" x14ac:dyDescent="0.25">
      <c r="A308" s="4">
        <v>42028</v>
      </c>
      <c r="B308" s="3" t="s">
        <v>38</v>
      </c>
      <c r="C308" s="3" t="s">
        <v>5</v>
      </c>
      <c r="D308" s="3" t="s">
        <v>33</v>
      </c>
      <c r="E308" s="3">
        <v>24</v>
      </c>
      <c r="F308" s="5">
        <f t="shared" si="4"/>
        <v>120</v>
      </c>
    </row>
    <row r="309" spans="1:6" x14ac:dyDescent="0.25">
      <c r="A309" s="4">
        <v>42091</v>
      </c>
      <c r="B309" s="3" t="s">
        <v>26</v>
      </c>
      <c r="C309" s="3" t="s">
        <v>6</v>
      </c>
      <c r="D309" s="3" t="s">
        <v>30</v>
      </c>
      <c r="E309" s="3">
        <v>27</v>
      </c>
      <c r="F309" s="5">
        <f t="shared" si="4"/>
        <v>2.7</v>
      </c>
    </row>
    <row r="310" spans="1:6" x14ac:dyDescent="0.25">
      <c r="A310" s="4">
        <v>42102</v>
      </c>
      <c r="B310" s="3" t="s">
        <v>39</v>
      </c>
      <c r="C310" s="3" t="s">
        <v>6</v>
      </c>
      <c r="D310" s="3" t="s">
        <v>28</v>
      </c>
      <c r="E310" s="3">
        <v>27</v>
      </c>
      <c r="F310" s="5">
        <f t="shared" si="4"/>
        <v>54</v>
      </c>
    </row>
    <row r="311" spans="1:6" x14ac:dyDescent="0.25">
      <c r="A311" s="4">
        <v>42032</v>
      </c>
      <c r="B311" s="3" t="s">
        <v>38</v>
      </c>
      <c r="C311" s="3" t="s">
        <v>2</v>
      </c>
      <c r="D311" s="3" t="s">
        <v>33</v>
      </c>
      <c r="E311" s="3">
        <v>5</v>
      </c>
      <c r="F311" s="5">
        <f t="shared" si="4"/>
        <v>25</v>
      </c>
    </row>
    <row r="312" spans="1:6" x14ac:dyDescent="0.25">
      <c r="A312" s="4">
        <v>42096</v>
      </c>
      <c r="B312" s="3" t="s">
        <v>38</v>
      </c>
      <c r="C312" s="3" t="s">
        <v>5</v>
      </c>
      <c r="D312" s="3" t="s">
        <v>33</v>
      </c>
      <c r="E312" s="3">
        <v>10</v>
      </c>
      <c r="F312" s="5">
        <f t="shared" si="4"/>
        <v>50</v>
      </c>
    </row>
    <row r="313" spans="1:6" x14ac:dyDescent="0.25">
      <c r="A313" s="4">
        <v>42005</v>
      </c>
      <c r="B313" s="3" t="s">
        <v>29</v>
      </c>
      <c r="C313" s="3" t="s">
        <v>10</v>
      </c>
      <c r="D313" s="3" t="s">
        <v>33</v>
      </c>
      <c r="E313" s="3">
        <v>12</v>
      </c>
      <c r="F313" s="5">
        <f t="shared" si="4"/>
        <v>60</v>
      </c>
    </row>
    <row r="314" spans="1:6" x14ac:dyDescent="0.25">
      <c r="A314" s="4">
        <v>42071</v>
      </c>
      <c r="B314" s="3" t="s">
        <v>37</v>
      </c>
      <c r="C314" s="3" t="s">
        <v>6</v>
      </c>
      <c r="D314" s="3" t="s">
        <v>36</v>
      </c>
      <c r="E314" s="3">
        <v>10</v>
      </c>
      <c r="F314" s="5">
        <f t="shared" si="4"/>
        <v>15</v>
      </c>
    </row>
    <row r="315" spans="1:6" x14ac:dyDescent="0.25">
      <c r="A315" s="4">
        <v>42086</v>
      </c>
      <c r="B315" s="3" t="s">
        <v>37</v>
      </c>
      <c r="C315" s="3" t="s">
        <v>5</v>
      </c>
      <c r="D315" s="3" t="s">
        <v>36</v>
      </c>
      <c r="E315" s="3">
        <v>34</v>
      </c>
      <c r="F315" s="5">
        <f t="shared" si="4"/>
        <v>51</v>
      </c>
    </row>
    <row r="316" spans="1:6" x14ac:dyDescent="0.25">
      <c r="A316" s="4">
        <v>42175</v>
      </c>
      <c r="B316" s="3" t="s">
        <v>26</v>
      </c>
      <c r="C316" s="3" t="s">
        <v>6</v>
      </c>
      <c r="D316" s="3" t="s">
        <v>31</v>
      </c>
      <c r="E316" s="3">
        <v>1</v>
      </c>
      <c r="F316" s="5">
        <f t="shared" si="4"/>
        <v>2.5</v>
      </c>
    </row>
    <row r="317" spans="1:6" x14ac:dyDescent="0.25">
      <c r="A317" s="4">
        <v>42080</v>
      </c>
      <c r="B317" s="3" t="s">
        <v>29</v>
      </c>
      <c r="C317" s="3" t="s">
        <v>6</v>
      </c>
      <c r="D317" s="3" t="s">
        <v>30</v>
      </c>
      <c r="E317" s="3">
        <v>48</v>
      </c>
      <c r="F317" s="5">
        <f t="shared" si="4"/>
        <v>4.8000000000000007</v>
      </c>
    </row>
    <row r="318" spans="1:6" x14ac:dyDescent="0.25">
      <c r="A318" s="4">
        <v>42166</v>
      </c>
      <c r="B318" s="3" t="s">
        <v>26</v>
      </c>
      <c r="C318" s="3" t="s">
        <v>19</v>
      </c>
      <c r="D318" s="3" t="s">
        <v>33</v>
      </c>
      <c r="E318" s="3">
        <v>26</v>
      </c>
      <c r="F318" s="5">
        <f t="shared" si="4"/>
        <v>130</v>
      </c>
    </row>
    <row r="319" spans="1:6" x14ac:dyDescent="0.25">
      <c r="A319" s="4">
        <v>42151</v>
      </c>
      <c r="B319" s="3" t="s">
        <v>32</v>
      </c>
      <c r="C319" s="3" t="s">
        <v>10</v>
      </c>
      <c r="D319" s="3" t="s">
        <v>28</v>
      </c>
      <c r="E319" s="3">
        <v>48</v>
      </c>
      <c r="F319" s="5">
        <f t="shared" si="4"/>
        <v>96</v>
      </c>
    </row>
    <row r="320" spans="1:6" x14ac:dyDescent="0.25">
      <c r="A320" s="4">
        <v>42157</v>
      </c>
      <c r="B320" s="3" t="s">
        <v>38</v>
      </c>
      <c r="C320" s="3" t="s">
        <v>19</v>
      </c>
      <c r="D320" s="3" t="s">
        <v>35</v>
      </c>
      <c r="E320" s="3">
        <v>6</v>
      </c>
      <c r="F320" s="5">
        <f t="shared" si="4"/>
        <v>24</v>
      </c>
    </row>
    <row r="321" spans="1:6" x14ac:dyDescent="0.25">
      <c r="A321" s="4">
        <v>42107</v>
      </c>
      <c r="B321" s="3" t="s">
        <v>26</v>
      </c>
      <c r="C321" s="3" t="s">
        <v>19</v>
      </c>
      <c r="D321" s="3" t="s">
        <v>35</v>
      </c>
      <c r="E321" s="3">
        <v>50</v>
      </c>
      <c r="F321" s="5">
        <f t="shared" si="4"/>
        <v>200</v>
      </c>
    </row>
    <row r="322" spans="1:6" x14ac:dyDescent="0.25">
      <c r="A322" s="4">
        <v>42149</v>
      </c>
      <c r="B322" s="3" t="s">
        <v>37</v>
      </c>
      <c r="C322" s="3" t="s">
        <v>19</v>
      </c>
      <c r="D322" s="3" t="s">
        <v>30</v>
      </c>
      <c r="E322" s="3">
        <v>14</v>
      </c>
      <c r="F322" s="5">
        <f t="shared" si="4"/>
        <v>1.4000000000000001</v>
      </c>
    </row>
    <row r="323" spans="1:6" x14ac:dyDescent="0.25">
      <c r="A323" s="4">
        <v>42060</v>
      </c>
      <c r="B323" s="3" t="s">
        <v>37</v>
      </c>
      <c r="C323" s="3" t="s">
        <v>10</v>
      </c>
      <c r="D323" s="3" t="s">
        <v>33</v>
      </c>
      <c r="E323" s="3">
        <v>39</v>
      </c>
      <c r="F323" s="5">
        <f t="shared" si="4"/>
        <v>195</v>
      </c>
    </row>
    <row r="324" spans="1:6" x14ac:dyDescent="0.25">
      <c r="A324" s="4">
        <v>42136</v>
      </c>
      <c r="B324" s="3" t="s">
        <v>37</v>
      </c>
      <c r="C324" s="3" t="s">
        <v>5</v>
      </c>
      <c r="D324" s="3" t="s">
        <v>28</v>
      </c>
      <c r="E324" s="3">
        <v>5</v>
      </c>
      <c r="F324" s="5">
        <f t="shared" si="4"/>
        <v>10</v>
      </c>
    </row>
    <row r="325" spans="1:6" x14ac:dyDescent="0.25">
      <c r="A325" s="4">
        <v>42171</v>
      </c>
      <c r="B325" s="3" t="s">
        <v>26</v>
      </c>
      <c r="C325" s="3" t="s">
        <v>2</v>
      </c>
      <c r="D325" s="3" t="s">
        <v>31</v>
      </c>
      <c r="E325" s="3">
        <v>15</v>
      </c>
      <c r="F325" s="5">
        <f t="shared" si="4"/>
        <v>37.5</v>
      </c>
    </row>
    <row r="326" spans="1:6" x14ac:dyDescent="0.25">
      <c r="A326" s="4">
        <v>42101</v>
      </c>
      <c r="B326" s="3" t="s">
        <v>32</v>
      </c>
      <c r="C326" s="3" t="s">
        <v>2</v>
      </c>
      <c r="D326" s="3" t="s">
        <v>36</v>
      </c>
      <c r="E326" s="3">
        <v>26</v>
      </c>
      <c r="F326" s="5">
        <f t="shared" si="4"/>
        <v>39</v>
      </c>
    </row>
    <row r="327" spans="1:6" x14ac:dyDescent="0.25">
      <c r="A327" s="4">
        <v>42150</v>
      </c>
      <c r="B327" s="3" t="s">
        <v>32</v>
      </c>
      <c r="C327" s="3" t="s">
        <v>5</v>
      </c>
      <c r="D327" s="3" t="s">
        <v>30</v>
      </c>
      <c r="E327" s="3">
        <v>43</v>
      </c>
      <c r="F327" s="5">
        <f t="shared" si="4"/>
        <v>4.3</v>
      </c>
    </row>
    <row r="328" spans="1:6" x14ac:dyDescent="0.25">
      <c r="A328" s="4">
        <v>42046</v>
      </c>
      <c r="B328" s="3" t="s">
        <v>37</v>
      </c>
      <c r="C328" s="3" t="s">
        <v>19</v>
      </c>
      <c r="D328" s="3" t="s">
        <v>30</v>
      </c>
      <c r="E328" s="3">
        <v>29</v>
      </c>
      <c r="F328" s="5">
        <f t="shared" ref="F328:F391" si="5">E328*VLOOKUP(D328,$W$7:$X$14,2,0)</f>
        <v>2.9000000000000004</v>
      </c>
    </row>
    <row r="329" spans="1:6" x14ac:dyDescent="0.25">
      <c r="A329" s="4">
        <v>42067</v>
      </c>
      <c r="B329" s="3" t="s">
        <v>39</v>
      </c>
      <c r="C329" s="3" t="s">
        <v>6</v>
      </c>
      <c r="D329" s="3" t="s">
        <v>36</v>
      </c>
      <c r="E329" s="3">
        <v>9</v>
      </c>
      <c r="F329" s="5">
        <f t="shared" si="5"/>
        <v>13.5</v>
      </c>
    </row>
    <row r="330" spans="1:6" x14ac:dyDescent="0.25">
      <c r="A330" s="4">
        <v>42166</v>
      </c>
      <c r="B330" s="3" t="s">
        <v>39</v>
      </c>
      <c r="C330" s="3" t="s">
        <v>6</v>
      </c>
      <c r="D330" s="3" t="s">
        <v>36</v>
      </c>
      <c r="E330" s="3">
        <v>13</v>
      </c>
      <c r="F330" s="5">
        <f t="shared" si="5"/>
        <v>19.5</v>
      </c>
    </row>
    <row r="331" spans="1:6" x14ac:dyDescent="0.25">
      <c r="A331" s="4">
        <v>42039</v>
      </c>
      <c r="B331" s="3" t="s">
        <v>38</v>
      </c>
      <c r="C331" s="3" t="s">
        <v>19</v>
      </c>
      <c r="D331" s="3" t="s">
        <v>30</v>
      </c>
      <c r="E331" s="3">
        <v>48</v>
      </c>
      <c r="F331" s="5">
        <f t="shared" si="5"/>
        <v>4.8000000000000007</v>
      </c>
    </row>
    <row r="332" spans="1:6" x14ac:dyDescent="0.25">
      <c r="A332" s="4">
        <v>42174</v>
      </c>
      <c r="B332" s="3" t="s">
        <v>39</v>
      </c>
      <c r="C332" s="3" t="s">
        <v>5</v>
      </c>
      <c r="D332" s="3" t="s">
        <v>33</v>
      </c>
      <c r="E332" s="3">
        <v>5</v>
      </c>
      <c r="F332" s="5">
        <f t="shared" si="5"/>
        <v>25</v>
      </c>
    </row>
    <row r="333" spans="1:6" x14ac:dyDescent="0.25">
      <c r="A333" s="4">
        <v>42146</v>
      </c>
      <c r="B333" s="3" t="s">
        <v>32</v>
      </c>
      <c r="C333" s="3" t="s">
        <v>2</v>
      </c>
      <c r="D333" s="3" t="s">
        <v>30</v>
      </c>
      <c r="E333" s="3">
        <v>18</v>
      </c>
      <c r="F333" s="5">
        <f t="shared" si="5"/>
        <v>1.8</v>
      </c>
    </row>
    <row r="334" spans="1:6" x14ac:dyDescent="0.25">
      <c r="A334" s="4">
        <v>42182</v>
      </c>
      <c r="B334" s="3" t="s">
        <v>37</v>
      </c>
      <c r="C334" s="3" t="s">
        <v>19</v>
      </c>
      <c r="D334" s="3" t="s">
        <v>35</v>
      </c>
      <c r="E334" s="3">
        <v>9</v>
      </c>
      <c r="F334" s="5">
        <f t="shared" si="5"/>
        <v>36</v>
      </c>
    </row>
    <row r="335" spans="1:6" x14ac:dyDescent="0.25">
      <c r="A335" s="4">
        <v>42025</v>
      </c>
      <c r="B335" s="3" t="s">
        <v>32</v>
      </c>
      <c r="C335" s="3" t="s">
        <v>6</v>
      </c>
      <c r="D335" s="3" t="s">
        <v>35</v>
      </c>
      <c r="E335" s="3">
        <v>22</v>
      </c>
      <c r="F335" s="5">
        <f t="shared" si="5"/>
        <v>88</v>
      </c>
    </row>
    <row r="336" spans="1:6" x14ac:dyDescent="0.25">
      <c r="A336" s="4">
        <v>42019</v>
      </c>
      <c r="B336" s="3" t="s">
        <v>29</v>
      </c>
      <c r="C336" s="3" t="s">
        <v>5</v>
      </c>
      <c r="D336" s="3" t="s">
        <v>36</v>
      </c>
      <c r="E336" s="3">
        <v>23</v>
      </c>
      <c r="F336" s="5">
        <f t="shared" si="5"/>
        <v>34.5</v>
      </c>
    </row>
    <row r="337" spans="1:6" x14ac:dyDescent="0.25">
      <c r="A337" s="4">
        <v>42110</v>
      </c>
      <c r="B337" s="3" t="s">
        <v>32</v>
      </c>
      <c r="C337" s="3" t="s">
        <v>6</v>
      </c>
      <c r="D337" s="3" t="s">
        <v>36</v>
      </c>
      <c r="E337" s="3">
        <v>20</v>
      </c>
      <c r="F337" s="5">
        <f t="shared" si="5"/>
        <v>30</v>
      </c>
    </row>
    <row r="338" spans="1:6" x14ac:dyDescent="0.25">
      <c r="A338" s="4">
        <v>42081</v>
      </c>
      <c r="B338" s="3" t="s">
        <v>38</v>
      </c>
      <c r="C338" s="3" t="s">
        <v>19</v>
      </c>
      <c r="D338" s="3" t="s">
        <v>33</v>
      </c>
      <c r="E338" s="3">
        <v>45</v>
      </c>
      <c r="F338" s="5">
        <f t="shared" si="5"/>
        <v>225</v>
      </c>
    </row>
    <row r="339" spans="1:6" x14ac:dyDescent="0.25">
      <c r="A339" s="4">
        <v>42027</v>
      </c>
      <c r="B339" s="3" t="s">
        <v>37</v>
      </c>
      <c r="C339" s="3" t="s">
        <v>10</v>
      </c>
      <c r="D339" s="3" t="s">
        <v>28</v>
      </c>
      <c r="E339" s="3">
        <v>45</v>
      </c>
      <c r="F339" s="5">
        <f t="shared" si="5"/>
        <v>90</v>
      </c>
    </row>
    <row r="340" spans="1:6" x14ac:dyDescent="0.25">
      <c r="A340" s="4">
        <v>42115</v>
      </c>
      <c r="B340" s="3" t="s">
        <v>38</v>
      </c>
      <c r="C340" s="3" t="s">
        <v>10</v>
      </c>
      <c r="D340" s="3" t="s">
        <v>31</v>
      </c>
      <c r="E340" s="3">
        <v>36</v>
      </c>
      <c r="F340" s="5">
        <f t="shared" si="5"/>
        <v>90</v>
      </c>
    </row>
    <row r="341" spans="1:6" x14ac:dyDescent="0.25">
      <c r="A341" s="4">
        <v>42088</v>
      </c>
      <c r="B341" s="3" t="s">
        <v>38</v>
      </c>
      <c r="C341" s="3" t="s">
        <v>19</v>
      </c>
      <c r="D341" s="3" t="s">
        <v>28</v>
      </c>
      <c r="E341" s="3">
        <v>38</v>
      </c>
      <c r="F341" s="5">
        <f t="shared" si="5"/>
        <v>76</v>
      </c>
    </row>
    <row r="342" spans="1:6" x14ac:dyDescent="0.25">
      <c r="A342" s="4">
        <v>42105</v>
      </c>
      <c r="B342" s="3" t="s">
        <v>29</v>
      </c>
      <c r="C342" s="3" t="s">
        <v>6</v>
      </c>
      <c r="D342" s="3" t="s">
        <v>31</v>
      </c>
      <c r="E342" s="3">
        <v>50</v>
      </c>
      <c r="F342" s="5">
        <f t="shared" si="5"/>
        <v>125</v>
      </c>
    </row>
    <row r="343" spans="1:6" x14ac:dyDescent="0.25">
      <c r="A343" s="4">
        <v>42097</v>
      </c>
      <c r="B343" s="3" t="s">
        <v>32</v>
      </c>
      <c r="C343" s="3" t="s">
        <v>2</v>
      </c>
      <c r="D343" s="3" t="s">
        <v>28</v>
      </c>
      <c r="E343" s="3">
        <v>17</v>
      </c>
      <c r="F343" s="5">
        <f t="shared" si="5"/>
        <v>34</v>
      </c>
    </row>
    <row r="344" spans="1:6" x14ac:dyDescent="0.25">
      <c r="A344" s="4">
        <v>42100</v>
      </c>
      <c r="B344" s="3" t="s">
        <v>26</v>
      </c>
      <c r="C344" s="3" t="s">
        <v>19</v>
      </c>
      <c r="D344" s="3" t="s">
        <v>33</v>
      </c>
      <c r="E344" s="3">
        <v>13</v>
      </c>
      <c r="F344" s="5">
        <f t="shared" si="5"/>
        <v>65</v>
      </c>
    </row>
    <row r="345" spans="1:6" x14ac:dyDescent="0.25">
      <c r="A345" s="4">
        <v>42130</v>
      </c>
      <c r="B345" s="3" t="s">
        <v>37</v>
      </c>
      <c r="C345" s="3" t="s">
        <v>19</v>
      </c>
      <c r="D345" s="3" t="s">
        <v>35</v>
      </c>
      <c r="E345" s="3">
        <v>31</v>
      </c>
      <c r="F345" s="5">
        <f t="shared" si="5"/>
        <v>124</v>
      </c>
    </row>
    <row r="346" spans="1:6" x14ac:dyDescent="0.25">
      <c r="A346" s="4">
        <v>42095</v>
      </c>
      <c r="B346" s="3" t="s">
        <v>37</v>
      </c>
      <c r="C346" s="3" t="s">
        <v>19</v>
      </c>
      <c r="D346" s="3" t="s">
        <v>33</v>
      </c>
      <c r="E346" s="3">
        <v>14</v>
      </c>
      <c r="F346" s="5">
        <f t="shared" si="5"/>
        <v>70</v>
      </c>
    </row>
    <row r="347" spans="1:6" x14ac:dyDescent="0.25">
      <c r="A347" s="4">
        <v>42117</v>
      </c>
      <c r="B347" s="3" t="s">
        <v>39</v>
      </c>
      <c r="C347" s="3" t="s">
        <v>19</v>
      </c>
      <c r="D347" s="3" t="s">
        <v>30</v>
      </c>
      <c r="E347" s="3">
        <v>16</v>
      </c>
      <c r="F347" s="5">
        <f t="shared" si="5"/>
        <v>1.6</v>
      </c>
    </row>
    <row r="348" spans="1:6" x14ac:dyDescent="0.25">
      <c r="A348" s="4">
        <v>42019</v>
      </c>
      <c r="B348" s="3" t="s">
        <v>39</v>
      </c>
      <c r="C348" s="3" t="s">
        <v>19</v>
      </c>
      <c r="D348" s="3" t="s">
        <v>36</v>
      </c>
      <c r="E348" s="3">
        <v>42</v>
      </c>
      <c r="F348" s="5">
        <f t="shared" si="5"/>
        <v>63</v>
      </c>
    </row>
    <row r="349" spans="1:6" x14ac:dyDescent="0.25">
      <c r="A349" s="4">
        <v>42093</v>
      </c>
      <c r="B349" s="3" t="s">
        <v>32</v>
      </c>
      <c r="C349" s="3" t="s">
        <v>6</v>
      </c>
      <c r="D349" s="3" t="s">
        <v>35</v>
      </c>
      <c r="E349" s="3">
        <v>11</v>
      </c>
      <c r="F349" s="5">
        <f t="shared" si="5"/>
        <v>44</v>
      </c>
    </row>
    <row r="350" spans="1:6" x14ac:dyDescent="0.25">
      <c r="A350" s="4">
        <v>42110</v>
      </c>
      <c r="B350" s="3" t="s">
        <v>38</v>
      </c>
      <c r="C350" s="3" t="s">
        <v>2</v>
      </c>
      <c r="D350" s="3" t="s">
        <v>36</v>
      </c>
      <c r="E350" s="3">
        <v>36</v>
      </c>
      <c r="F350" s="5">
        <f t="shared" si="5"/>
        <v>54</v>
      </c>
    </row>
    <row r="351" spans="1:6" x14ac:dyDescent="0.25">
      <c r="A351" s="4">
        <v>42087</v>
      </c>
      <c r="B351" s="3" t="s">
        <v>37</v>
      </c>
      <c r="C351" s="3" t="s">
        <v>2</v>
      </c>
      <c r="D351" s="3" t="s">
        <v>34</v>
      </c>
      <c r="E351" s="3">
        <v>14</v>
      </c>
      <c r="F351" s="5">
        <f t="shared" si="5"/>
        <v>2.8000000000000003</v>
      </c>
    </row>
    <row r="352" spans="1:6" x14ac:dyDescent="0.25">
      <c r="A352" s="4">
        <v>42138</v>
      </c>
      <c r="B352" s="3" t="s">
        <v>37</v>
      </c>
      <c r="C352" s="3" t="s">
        <v>19</v>
      </c>
      <c r="D352" s="3" t="s">
        <v>31</v>
      </c>
      <c r="E352" s="3">
        <v>4</v>
      </c>
      <c r="F352" s="5">
        <f t="shared" si="5"/>
        <v>10</v>
      </c>
    </row>
    <row r="353" spans="1:6" x14ac:dyDescent="0.25">
      <c r="A353" s="4">
        <v>42036</v>
      </c>
      <c r="B353" s="3" t="s">
        <v>26</v>
      </c>
      <c r="C353" s="3" t="s">
        <v>19</v>
      </c>
      <c r="D353" s="3" t="s">
        <v>31</v>
      </c>
      <c r="E353" s="3">
        <v>14</v>
      </c>
      <c r="F353" s="5">
        <f t="shared" si="5"/>
        <v>35</v>
      </c>
    </row>
    <row r="354" spans="1:6" x14ac:dyDescent="0.25">
      <c r="A354" s="4">
        <v>42084</v>
      </c>
      <c r="B354" s="3" t="s">
        <v>37</v>
      </c>
      <c r="C354" s="3" t="s">
        <v>19</v>
      </c>
      <c r="D354" s="3" t="s">
        <v>34</v>
      </c>
      <c r="E354" s="3">
        <v>20</v>
      </c>
      <c r="F354" s="5">
        <f t="shared" si="5"/>
        <v>4</v>
      </c>
    </row>
    <row r="355" spans="1:6" x14ac:dyDescent="0.25">
      <c r="A355" s="4">
        <v>42018</v>
      </c>
      <c r="B355" s="3" t="s">
        <v>39</v>
      </c>
      <c r="C355" s="3" t="s">
        <v>19</v>
      </c>
      <c r="D355" s="3" t="s">
        <v>34</v>
      </c>
      <c r="E355" s="3">
        <v>44</v>
      </c>
      <c r="F355" s="5">
        <f t="shared" si="5"/>
        <v>8.8000000000000007</v>
      </c>
    </row>
    <row r="356" spans="1:6" x14ac:dyDescent="0.25">
      <c r="A356" s="4">
        <v>42117</v>
      </c>
      <c r="B356" s="3" t="s">
        <v>38</v>
      </c>
      <c r="C356" s="3" t="s">
        <v>5</v>
      </c>
      <c r="D356" s="3" t="s">
        <v>33</v>
      </c>
      <c r="E356" s="3">
        <v>50</v>
      </c>
      <c r="F356" s="5">
        <f t="shared" si="5"/>
        <v>250</v>
      </c>
    </row>
    <row r="357" spans="1:6" x14ac:dyDescent="0.25">
      <c r="A357" s="4">
        <v>42125</v>
      </c>
      <c r="B357" s="3" t="s">
        <v>32</v>
      </c>
      <c r="C357" s="3" t="s">
        <v>2</v>
      </c>
      <c r="D357" s="3" t="s">
        <v>34</v>
      </c>
      <c r="E357" s="3">
        <v>26</v>
      </c>
      <c r="F357" s="5">
        <f t="shared" si="5"/>
        <v>5.2</v>
      </c>
    </row>
    <row r="358" spans="1:6" x14ac:dyDescent="0.25">
      <c r="A358" s="4">
        <v>42155</v>
      </c>
      <c r="B358" s="3" t="s">
        <v>37</v>
      </c>
      <c r="C358" s="3" t="s">
        <v>19</v>
      </c>
      <c r="D358" s="3" t="s">
        <v>34</v>
      </c>
      <c r="E358" s="3">
        <v>49</v>
      </c>
      <c r="F358" s="5">
        <f t="shared" si="5"/>
        <v>9.8000000000000007</v>
      </c>
    </row>
    <row r="359" spans="1:6" x14ac:dyDescent="0.25">
      <c r="A359" s="4">
        <v>42083</v>
      </c>
      <c r="B359" s="3" t="s">
        <v>38</v>
      </c>
      <c r="C359" s="3" t="s">
        <v>6</v>
      </c>
      <c r="D359" s="3" t="s">
        <v>27</v>
      </c>
      <c r="E359" s="3">
        <v>28</v>
      </c>
      <c r="F359" s="5">
        <f t="shared" si="5"/>
        <v>14</v>
      </c>
    </row>
    <row r="360" spans="1:6" x14ac:dyDescent="0.25">
      <c r="A360" s="4">
        <v>42185</v>
      </c>
      <c r="B360" s="3" t="s">
        <v>39</v>
      </c>
      <c r="C360" s="3" t="s">
        <v>2</v>
      </c>
      <c r="D360" s="3" t="s">
        <v>34</v>
      </c>
      <c r="E360" s="3">
        <v>28</v>
      </c>
      <c r="F360" s="5">
        <f t="shared" si="5"/>
        <v>5.6000000000000005</v>
      </c>
    </row>
    <row r="361" spans="1:6" x14ac:dyDescent="0.25">
      <c r="A361" s="4">
        <v>42098</v>
      </c>
      <c r="B361" s="3" t="s">
        <v>32</v>
      </c>
      <c r="C361" s="3" t="s">
        <v>19</v>
      </c>
      <c r="D361" s="3" t="s">
        <v>27</v>
      </c>
      <c r="E361" s="3">
        <v>18</v>
      </c>
      <c r="F361" s="5">
        <f t="shared" si="5"/>
        <v>9</v>
      </c>
    </row>
    <row r="362" spans="1:6" x14ac:dyDescent="0.25">
      <c r="A362" s="4">
        <v>42056</v>
      </c>
      <c r="B362" s="3" t="s">
        <v>37</v>
      </c>
      <c r="C362" s="3" t="s">
        <v>19</v>
      </c>
      <c r="D362" s="3" t="s">
        <v>33</v>
      </c>
      <c r="E362" s="3">
        <v>8</v>
      </c>
      <c r="F362" s="5">
        <f t="shared" si="5"/>
        <v>40</v>
      </c>
    </row>
    <row r="363" spans="1:6" x14ac:dyDescent="0.25">
      <c r="A363" s="4">
        <v>42082</v>
      </c>
      <c r="B363" s="3" t="s">
        <v>37</v>
      </c>
      <c r="C363" s="3" t="s">
        <v>10</v>
      </c>
      <c r="D363" s="3" t="s">
        <v>33</v>
      </c>
      <c r="E363" s="3">
        <v>32</v>
      </c>
      <c r="F363" s="5">
        <f t="shared" si="5"/>
        <v>160</v>
      </c>
    </row>
    <row r="364" spans="1:6" x14ac:dyDescent="0.25">
      <c r="A364" s="4">
        <v>42144</v>
      </c>
      <c r="B364" s="3" t="s">
        <v>38</v>
      </c>
      <c r="C364" s="3" t="s">
        <v>19</v>
      </c>
      <c r="D364" s="3" t="s">
        <v>33</v>
      </c>
      <c r="E364" s="3">
        <v>37</v>
      </c>
      <c r="F364" s="5">
        <f t="shared" si="5"/>
        <v>185</v>
      </c>
    </row>
    <row r="365" spans="1:6" x14ac:dyDescent="0.25">
      <c r="A365" s="4">
        <v>42040</v>
      </c>
      <c r="B365" s="3" t="s">
        <v>37</v>
      </c>
      <c r="C365" s="3" t="s">
        <v>10</v>
      </c>
      <c r="D365" s="3" t="s">
        <v>36</v>
      </c>
      <c r="E365" s="3">
        <v>46</v>
      </c>
      <c r="F365" s="5">
        <f t="shared" si="5"/>
        <v>69</v>
      </c>
    </row>
    <row r="366" spans="1:6" x14ac:dyDescent="0.25">
      <c r="A366" s="4">
        <v>42173</v>
      </c>
      <c r="B366" s="3" t="s">
        <v>26</v>
      </c>
      <c r="C366" s="3" t="s">
        <v>19</v>
      </c>
      <c r="D366" s="3" t="s">
        <v>31</v>
      </c>
      <c r="E366" s="3">
        <v>40</v>
      </c>
      <c r="F366" s="5">
        <f t="shared" si="5"/>
        <v>100</v>
      </c>
    </row>
    <row r="367" spans="1:6" x14ac:dyDescent="0.25">
      <c r="A367" s="4">
        <v>42183</v>
      </c>
      <c r="B367" s="3" t="s">
        <v>26</v>
      </c>
      <c r="C367" s="3" t="s">
        <v>2</v>
      </c>
      <c r="D367" s="3" t="s">
        <v>28</v>
      </c>
      <c r="E367" s="3">
        <v>12</v>
      </c>
      <c r="F367" s="5">
        <f t="shared" si="5"/>
        <v>24</v>
      </c>
    </row>
    <row r="368" spans="1:6" x14ac:dyDescent="0.25">
      <c r="A368" s="4">
        <v>42089</v>
      </c>
      <c r="B368" s="3" t="s">
        <v>26</v>
      </c>
      <c r="C368" s="3" t="s">
        <v>5</v>
      </c>
      <c r="D368" s="3" t="s">
        <v>33</v>
      </c>
      <c r="E368" s="3">
        <v>37</v>
      </c>
      <c r="F368" s="5">
        <f t="shared" si="5"/>
        <v>185</v>
      </c>
    </row>
    <row r="369" spans="1:6" x14ac:dyDescent="0.25">
      <c r="A369" s="4">
        <v>42061</v>
      </c>
      <c r="B369" s="3" t="s">
        <v>38</v>
      </c>
      <c r="C369" s="3" t="s">
        <v>6</v>
      </c>
      <c r="D369" s="3" t="s">
        <v>35</v>
      </c>
      <c r="E369" s="3">
        <v>11</v>
      </c>
      <c r="F369" s="5">
        <f t="shared" si="5"/>
        <v>44</v>
      </c>
    </row>
    <row r="370" spans="1:6" x14ac:dyDescent="0.25">
      <c r="A370" s="4">
        <v>42157</v>
      </c>
      <c r="B370" s="3" t="s">
        <v>39</v>
      </c>
      <c r="C370" s="3" t="s">
        <v>10</v>
      </c>
      <c r="D370" s="3" t="s">
        <v>35</v>
      </c>
      <c r="E370" s="3">
        <v>31</v>
      </c>
      <c r="F370" s="5">
        <f t="shared" si="5"/>
        <v>124</v>
      </c>
    </row>
    <row r="371" spans="1:6" x14ac:dyDescent="0.25">
      <c r="A371" s="4">
        <v>42070</v>
      </c>
      <c r="B371" s="3" t="s">
        <v>26</v>
      </c>
      <c r="C371" s="3" t="s">
        <v>5</v>
      </c>
      <c r="D371" s="3" t="s">
        <v>27</v>
      </c>
      <c r="E371" s="3">
        <v>12</v>
      </c>
      <c r="F371" s="5">
        <f t="shared" si="5"/>
        <v>6</v>
      </c>
    </row>
    <row r="372" spans="1:6" x14ac:dyDescent="0.25">
      <c r="A372" s="4">
        <v>42104</v>
      </c>
      <c r="B372" s="3" t="s">
        <v>29</v>
      </c>
      <c r="C372" s="3" t="s">
        <v>19</v>
      </c>
      <c r="D372" s="3" t="s">
        <v>27</v>
      </c>
      <c r="E372" s="3">
        <v>24</v>
      </c>
      <c r="F372" s="5">
        <f t="shared" si="5"/>
        <v>12</v>
      </c>
    </row>
    <row r="373" spans="1:6" x14ac:dyDescent="0.25">
      <c r="A373" s="4">
        <v>42135</v>
      </c>
      <c r="B373" s="3" t="s">
        <v>37</v>
      </c>
      <c r="C373" s="3" t="s">
        <v>10</v>
      </c>
      <c r="D373" s="3" t="s">
        <v>34</v>
      </c>
      <c r="E373" s="3">
        <v>36</v>
      </c>
      <c r="F373" s="5">
        <f t="shared" si="5"/>
        <v>7.2</v>
      </c>
    </row>
    <row r="374" spans="1:6" x14ac:dyDescent="0.25">
      <c r="A374" s="4">
        <v>42174</v>
      </c>
      <c r="B374" s="3" t="s">
        <v>39</v>
      </c>
      <c r="C374" s="3" t="s">
        <v>6</v>
      </c>
      <c r="D374" s="3" t="s">
        <v>30</v>
      </c>
      <c r="E374" s="3">
        <v>40</v>
      </c>
      <c r="F374" s="5">
        <f t="shared" si="5"/>
        <v>4</v>
      </c>
    </row>
    <row r="375" spans="1:6" x14ac:dyDescent="0.25">
      <c r="A375" s="4">
        <v>42013</v>
      </c>
      <c r="B375" s="3" t="s">
        <v>38</v>
      </c>
      <c r="C375" s="3" t="s">
        <v>10</v>
      </c>
      <c r="D375" s="3" t="s">
        <v>33</v>
      </c>
      <c r="E375" s="3">
        <v>12</v>
      </c>
      <c r="F375" s="5">
        <f t="shared" si="5"/>
        <v>60</v>
      </c>
    </row>
    <row r="376" spans="1:6" x14ac:dyDescent="0.25">
      <c r="A376" s="4">
        <v>42079</v>
      </c>
      <c r="B376" s="3" t="s">
        <v>39</v>
      </c>
      <c r="C376" s="3" t="s">
        <v>2</v>
      </c>
      <c r="D376" s="3" t="s">
        <v>27</v>
      </c>
      <c r="E376" s="3">
        <v>16</v>
      </c>
      <c r="F376" s="5">
        <f t="shared" si="5"/>
        <v>8</v>
      </c>
    </row>
    <row r="377" spans="1:6" x14ac:dyDescent="0.25">
      <c r="A377" s="4">
        <v>42092</v>
      </c>
      <c r="B377" s="3" t="s">
        <v>38</v>
      </c>
      <c r="C377" s="3" t="s">
        <v>10</v>
      </c>
      <c r="D377" s="3" t="s">
        <v>34</v>
      </c>
      <c r="E377" s="3">
        <v>27</v>
      </c>
      <c r="F377" s="5">
        <f t="shared" si="5"/>
        <v>5.4</v>
      </c>
    </row>
    <row r="378" spans="1:6" x14ac:dyDescent="0.25">
      <c r="A378" s="4">
        <v>42110</v>
      </c>
      <c r="B378" s="3" t="s">
        <v>29</v>
      </c>
      <c r="C378" s="3" t="s">
        <v>5</v>
      </c>
      <c r="D378" s="3" t="s">
        <v>33</v>
      </c>
      <c r="E378" s="3">
        <v>31</v>
      </c>
      <c r="F378" s="5">
        <f t="shared" si="5"/>
        <v>155</v>
      </c>
    </row>
    <row r="379" spans="1:6" x14ac:dyDescent="0.25">
      <c r="A379" s="4">
        <v>42046</v>
      </c>
      <c r="B379" s="3" t="s">
        <v>37</v>
      </c>
      <c r="C379" s="3" t="s">
        <v>2</v>
      </c>
      <c r="D379" s="3" t="s">
        <v>33</v>
      </c>
      <c r="E379" s="3">
        <v>11</v>
      </c>
      <c r="F379" s="5">
        <f t="shared" si="5"/>
        <v>55</v>
      </c>
    </row>
    <row r="380" spans="1:6" x14ac:dyDescent="0.25">
      <c r="A380" s="4">
        <v>42031</v>
      </c>
      <c r="B380" s="3" t="s">
        <v>39</v>
      </c>
      <c r="C380" s="3" t="s">
        <v>19</v>
      </c>
      <c r="D380" s="3" t="s">
        <v>36</v>
      </c>
      <c r="E380" s="3">
        <v>4</v>
      </c>
      <c r="F380" s="5">
        <f t="shared" si="5"/>
        <v>6</v>
      </c>
    </row>
    <row r="381" spans="1:6" x14ac:dyDescent="0.25">
      <c r="A381" s="4">
        <v>42070</v>
      </c>
      <c r="B381" s="3" t="s">
        <v>39</v>
      </c>
      <c r="C381" s="3" t="s">
        <v>2</v>
      </c>
      <c r="D381" s="3" t="s">
        <v>34</v>
      </c>
      <c r="E381" s="3">
        <v>6</v>
      </c>
      <c r="F381" s="5">
        <f t="shared" si="5"/>
        <v>1.2000000000000002</v>
      </c>
    </row>
    <row r="382" spans="1:6" x14ac:dyDescent="0.25">
      <c r="A382" s="4">
        <v>42111</v>
      </c>
      <c r="B382" s="3" t="s">
        <v>29</v>
      </c>
      <c r="C382" s="3" t="s">
        <v>2</v>
      </c>
      <c r="D382" s="3" t="s">
        <v>36</v>
      </c>
      <c r="E382" s="3">
        <v>28</v>
      </c>
      <c r="F382" s="5">
        <f t="shared" si="5"/>
        <v>42</v>
      </c>
    </row>
    <row r="383" spans="1:6" x14ac:dyDescent="0.25">
      <c r="A383" s="4">
        <v>42107</v>
      </c>
      <c r="B383" s="3" t="s">
        <v>37</v>
      </c>
      <c r="C383" s="3" t="s">
        <v>5</v>
      </c>
      <c r="D383" s="3" t="s">
        <v>27</v>
      </c>
      <c r="E383" s="3">
        <v>22</v>
      </c>
      <c r="F383" s="5">
        <f t="shared" si="5"/>
        <v>11</v>
      </c>
    </row>
    <row r="384" spans="1:6" x14ac:dyDescent="0.25">
      <c r="A384" s="4">
        <v>42053</v>
      </c>
      <c r="B384" s="3" t="s">
        <v>39</v>
      </c>
      <c r="C384" s="3" t="s">
        <v>2</v>
      </c>
      <c r="D384" s="3" t="s">
        <v>28</v>
      </c>
      <c r="E384" s="3">
        <v>46</v>
      </c>
      <c r="F384" s="5">
        <f t="shared" si="5"/>
        <v>92</v>
      </c>
    </row>
    <row r="385" spans="1:6" x14ac:dyDescent="0.25">
      <c r="A385" s="4">
        <v>42047</v>
      </c>
      <c r="B385" s="3" t="s">
        <v>38</v>
      </c>
      <c r="C385" s="3" t="s">
        <v>2</v>
      </c>
      <c r="D385" s="3" t="s">
        <v>27</v>
      </c>
      <c r="E385" s="3">
        <v>48</v>
      </c>
      <c r="F385" s="5">
        <f t="shared" si="5"/>
        <v>24</v>
      </c>
    </row>
    <row r="386" spans="1:6" x14ac:dyDescent="0.25">
      <c r="A386" s="4">
        <v>42132</v>
      </c>
      <c r="B386" s="3" t="s">
        <v>26</v>
      </c>
      <c r="C386" s="3" t="s">
        <v>6</v>
      </c>
      <c r="D386" s="3" t="s">
        <v>27</v>
      </c>
      <c r="E386" s="3">
        <v>28</v>
      </c>
      <c r="F386" s="5">
        <f t="shared" si="5"/>
        <v>14</v>
      </c>
    </row>
    <row r="387" spans="1:6" x14ac:dyDescent="0.25">
      <c r="A387" s="4">
        <v>42011</v>
      </c>
      <c r="B387" s="3" t="s">
        <v>26</v>
      </c>
      <c r="C387" s="3" t="s">
        <v>10</v>
      </c>
      <c r="D387" s="3" t="s">
        <v>27</v>
      </c>
      <c r="E387" s="3">
        <v>3</v>
      </c>
      <c r="F387" s="5">
        <f t="shared" si="5"/>
        <v>1.5</v>
      </c>
    </row>
    <row r="388" spans="1:6" x14ac:dyDescent="0.25">
      <c r="A388" s="4">
        <v>42132</v>
      </c>
      <c r="B388" s="3" t="s">
        <v>38</v>
      </c>
      <c r="C388" s="3" t="s">
        <v>19</v>
      </c>
      <c r="D388" s="3" t="s">
        <v>34</v>
      </c>
      <c r="E388" s="3">
        <v>42</v>
      </c>
      <c r="F388" s="5">
        <f t="shared" si="5"/>
        <v>8.4</v>
      </c>
    </row>
    <row r="389" spans="1:6" x14ac:dyDescent="0.25">
      <c r="A389" s="4">
        <v>42155</v>
      </c>
      <c r="B389" s="3" t="s">
        <v>37</v>
      </c>
      <c r="C389" s="3" t="s">
        <v>5</v>
      </c>
      <c r="D389" s="3" t="s">
        <v>34</v>
      </c>
      <c r="E389" s="3">
        <v>40</v>
      </c>
      <c r="F389" s="5">
        <f t="shared" si="5"/>
        <v>8</v>
      </c>
    </row>
    <row r="390" spans="1:6" x14ac:dyDescent="0.25">
      <c r="A390" s="4">
        <v>42043</v>
      </c>
      <c r="B390" s="3" t="s">
        <v>29</v>
      </c>
      <c r="C390" s="3" t="s">
        <v>2</v>
      </c>
      <c r="D390" s="3" t="s">
        <v>30</v>
      </c>
      <c r="E390" s="3">
        <v>39</v>
      </c>
      <c r="F390" s="5">
        <f t="shared" si="5"/>
        <v>3.9000000000000004</v>
      </c>
    </row>
    <row r="391" spans="1:6" x14ac:dyDescent="0.25">
      <c r="A391" s="4">
        <v>42184</v>
      </c>
      <c r="B391" s="3" t="s">
        <v>39</v>
      </c>
      <c r="C391" s="3" t="s">
        <v>6</v>
      </c>
      <c r="D391" s="3" t="s">
        <v>33</v>
      </c>
      <c r="E391" s="3">
        <v>41</v>
      </c>
      <c r="F391" s="5">
        <f t="shared" si="5"/>
        <v>205</v>
      </c>
    </row>
    <row r="392" spans="1:6" x14ac:dyDescent="0.25">
      <c r="A392" s="4">
        <v>42163</v>
      </c>
      <c r="B392" s="3" t="s">
        <v>39</v>
      </c>
      <c r="C392" s="3" t="s">
        <v>10</v>
      </c>
      <c r="D392" s="3" t="s">
        <v>30</v>
      </c>
      <c r="E392" s="3">
        <v>18</v>
      </c>
      <c r="F392" s="5">
        <f t="shared" ref="F392:F455" si="6">E392*VLOOKUP(D392,$W$7:$X$14,2,0)</f>
        <v>1.8</v>
      </c>
    </row>
    <row r="393" spans="1:6" x14ac:dyDescent="0.25">
      <c r="A393" s="4">
        <v>42023</v>
      </c>
      <c r="B393" s="3" t="s">
        <v>37</v>
      </c>
      <c r="C393" s="3" t="s">
        <v>19</v>
      </c>
      <c r="D393" s="3" t="s">
        <v>35</v>
      </c>
      <c r="E393" s="3">
        <v>45</v>
      </c>
      <c r="F393" s="5">
        <f t="shared" si="6"/>
        <v>180</v>
      </c>
    </row>
    <row r="394" spans="1:6" x14ac:dyDescent="0.25">
      <c r="A394" s="4">
        <v>42157</v>
      </c>
      <c r="B394" s="3" t="s">
        <v>32</v>
      </c>
      <c r="C394" s="3" t="s">
        <v>5</v>
      </c>
      <c r="D394" s="3" t="s">
        <v>31</v>
      </c>
      <c r="E394" s="3">
        <v>10</v>
      </c>
      <c r="F394" s="5">
        <f t="shared" si="6"/>
        <v>25</v>
      </c>
    </row>
    <row r="395" spans="1:6" x14ac:dyDescent="0.25">
      <c r="A395" s="4">
        <v>42013</v>
      </c>
      <c r="B395" s="3" t="s">
        <v>37</v>
      </c>
      <c r="C395" s="3" t="s">
        <v>5</v>
      </c>
      <c r="D395" s="3" t="s">
        <v>34</v>
      </c>
      <c r="E395" s="3">
        <v>23</v>
      </c>
      <c r="F395" s="5">
        <f t="shared" si="6"/>
        <v>4.6000000000000005</v>
      </c>
    </row>
    <row r="396" spans="1:6" x14ac:dyDescent="0.25">
      <c r="A396" s="4">
        <v>42153</v>
      </c>
      <c r="B396" s="3" t="s">
        <v>38</v>
      </c>
      <c r="C396" s="3" t="s">
        <v>6</v>
      </c>
      <c r="D396" s="3" t="s">
        <v>33</v>
      </c>
      <c r="E396" s="3">
        <v>49</v>
      </c>
      <c r="F396" s="5">
        <f t="shared" si="6"/>
        <v>245</v>
      </c>
    </row>
    <row r="397" spans="1:6" x14ac:dyDescent="0.25">
      <c r="A397" s="4">
        <v>42098</v>
      </c>
      <c r="B397" s="3" t="s">
        <v>29</v>
      </c>
      <c r="C397" s="3" t="s">
        <v>6</v>
      </c>
      <c r="D397" s="3" t="s">
        <v>33</v>
      </c>
      <c r="E397" s="3">
        <v>14</v>
      </c>
      <c r="F397" s="5">
        <f t="shared" si="6"/>
        <v>70</v>
      </c>
    </row>
    <row r="398" spans="1:6" x14ac:dyDescent="0.25">
      <c r="A398" s="4">
        <v>42006</v>
      </c>
      <c r="B398" s="3" t="s">
        <v>29</v>
      </c>
      <c r="C398" s="3" t="s">
        <v>19</v>
      </c>
      <c r="D398" s="3" t="s">
        <v>36</v>
      </c>
      <c r="E398" s="3">
        <v>37</v>
      </c>
      <c r="F398" s="5">
        <f t="shared" si="6"/>
        <v>55.5</v>
      </c>
    </row>
    <row r="399" spans="1:6" x14ac:dyDescent="0.25">
      <c r="A399" s="4">
        <v>42181</v>
      </c>
      <c r="B399" s="3" t="s">
        <v>29</v>
      </c>
      <c r="C399" s="3" t="s">
        <v>5</v>
      </c>
      <c r="D399" s="3" t="s">
        <v>31</v>
      </c>
      <c r="E399" s="3">
        <v>50</v>
      </c>
      <c r="F399" s="5">
        <f t="shared" si="6"/>
        <v>125</v>
      </c>
    </row>
    <row r="400" spans="1:6" x14ac:dyDescent="0.25">
      <c r="A400" s="4">
        <v>42006</v>
      </c>
      <c r="B400" s="3" t="s">
        <v>38</v>
      </c>
      <c r="C400" s="3" t="s">
        <v>5</v>
      </c>
      <c r="D400" s="3" t="s">
        <v>33</v>
      </c>
      <c r="E400" s="3">
        <v>27</v>
      </c>
      <c r="F400" s="5">
        <f t="shared" si="6"/>
        <v>135</v>
      </c>
    </row>
    <row r="401" spans="1:6" x14ac:dyDescent="0.25">
      <c r="A401" s="4">
        <v>42036</v>
      </c>
      <c r="B401" s="3" t="s">
        <v>26</v>
      </c>
      <c r="C401" s="3" t="s">
        <v>2</v>
      </c>
      <c r="D401" s="3" t="s">
        <v>33</v>
      </c>
      <c r="E401" s="3">
        <v>41</v>
      </c>
      <c r="F401" s="5">
        <f t="shared" si="6"/>
        <v>205</v>
      </c>
    </row>
    <row r="402" spans="1:6" x14ac:dyDescent="0.25">
      <c r="A402" s="4">
        <v>42161</v>
      </c>
      <c r="B402" s="3" t="s">
        <v>37</v>
      </c>
      <c r="C402" s="3" t="s">
        <v>5</v>
      </c>
      <c r="D402" s="3" t="s">
        <v>33</v>
      </c>
      <c r="E402" s="3">
        <v>27</v>
      </c>
      <c r="F402" s="5">
        <f t="shared" si="6"/>
        <v>135</v>
      </c>
    </row>
    <row r="403" spans="1:6" x14ac:dyDescent="0.25">
      <c r="A403" s="4">
        <v>42059</v>
      </c>
      <c r="B403" s="3" t="s">
        <v>39</v>
      </c>
      <c r="C403" s="3" t="s">
        <v>10</v>
      </c>
      <c r="D403" s="3" t="s">
        <v>27</v>
      </c>
      <c r="E403" s="3">
        <v>4</v>
      </c>
      <c r="F403" s="5">
        <f t="shared" si="6"/>
        <v>2</v>
      </c>
    </row>
    <row r="404" spans="1:6" x14ac:dyDescent="0.25">
      <c r="A404" s="4">
        <v>42132</v>
      </c>
      <c r="B404" s="3" t="s">
        <v>37</v>
      </c>
      <c r="C404" s="3" t="s">
        <v>5</v>
      </c>
      <c r="D404" s="3" t="s">
        <v>36</v>
      </c>
      <c r="E404" s="3">
        <v>31</v>
      </c>
      <c r="F404" s="5">
        <f t="shared" si="6"/>
        <v>46.5</v>
      </c>
    </row>
    <row r="405" spans="1:6" x14ac:dyDescent="0.25">
      <c r="A405" s="4">
        <v>42005</v>
      </c>
      <c r="B405" s="3" t="s">
        <v>38</v>
      </c>
      <c r="C405" s="3" t="s">
        <v>2</v>
      </c>
      <c r="D405" s="3" t="s">
        <v>35</v>
      </c>
      <c r="E405" s="3">
        <v>30</v>
      </c>
      <c r="F405" s="5">
        <f t="shared" si="6"/>
        <v>120</v>
      </c>
    </row>
    <row r="406" spans="1:6" x14ac:dyDescent="0.25">
      <c r="A406" s="4">
        <v>42066</v>
      </c>
      <c r="B406" s="3" t="s">
        <v>39</v>
      </c>
      <c r="C406" s="3" t="s">
        <v>5</v>
      </c>
      <c r="D406" s="3" t="s">
        <v>27</v>
      </c>
      <c r="E406" s="3">
        <v>23</v>
      </c>
      <c r="F406" s="5">
        <f t="shared" si="6"/>
        <v>11.5</v>
      </c>
    </row>
    <row r="407" spans="1:6" x14ac:dyDescent="0.25">
      <c r="A407" s="4">
        <v>42080</v>
      </c>
      <c r="B407" s="3" t="s">
        <v>38</v>
      </c>
      <c r="C407" s="3" t="s">
        <v>5</v>
      </c>
      <c r="D407" s="3" t="s">
        <v>28</v>
      </c>
      <c r="E407" s="3">
        <v>22</v>
      </c>
      <c r="F407" s="5">
        <f t="shared" si="6"/>
        <v>44</v>
      </c>
    </row>
    <row r="408" spans="1:6" x14ac:dyDescent="0.25">
      <c r="A408" s="4">
        <v>42118</v>
      </c>
      <c r="B408" s="3" t="s">
        <v>26</v>
      </c>
      <c r="C408" s="3" t="s">
        <v>2</v>
      </c>
      <c r="D408" s="3" t="s">
        <v>28</v>
      </c>
      <c r="E408" s="3">
        <v>34</v>
      </c>
      <c r="F408" s="5">
        <f t="shared" si="6"/>
        <v>68</v>
      </c>
    </row>
    <row r="409" spans="1:6" x14ac:dyDescent="0.25">
      <c r="A409" s="4">
        <v>42040</v>
      </c>
      <c r="B409" s="3" t="s">
        <v>37</v>
      </c>
      <c r="C409" s="3" t="s">
        <v>2</v>
      </c>
      <c r="D409" s="3" t="s">
        <v>35</v>
      </c>
      <c r="E409" s="3">
        <v>33</v>
      </c>
      <c r="F409" s="5">
        <f t="shared" si="6"/>
        <v>132</v>
      </c>
    </row>
    <row r="410" spans="1:6" x14ac:dyDescent="0.25">
      <c r="A410" s="4">
        <v>42036</v>
      </c>
      <c r="B410" s="3" t="s">
        <v>26</v>
      </c>
      <c r="C410" s="3" t="s">
        <v>10</v>
      </c>
      <c r="D410" s="3" t="s">
        <v>34</v>
      </c>
      <c r="E410" s="3">
        <v>23</v>
      </c>
      <c r="F410" s="5">
        <f t="shared" si="6"/>
        <v>4.6000000000000005</v>
      </c>
    </row>
    <row r="411" spans="1:6" x14ac:dyDescent="0.25">
      <c r="A411" s="4">
        <v>42023</v>
      </c>
      <c r="B411" s="3" t="s">
        <v>29</v>
      </c>
      <c r="C411" s="3" t="s">
        <v>6</v>
      </c>
      <c r="D411" s="3" t="s">
        <v>35</v>
      </c>
      <c r="E411" s="3">
        <v>46</v>
      </c>
      <c r="F411" s="5">
        <f t="shared" si="6"/>
        <v>184</v>
      </c>
    </row>
    <row r="412" spans="1:6" x14ac:dyDescent="0.25">
      <c r="A412" s="4">
        <v>42180</v>
      </c>
      <c r="B412" s="3" t="s">
        <v>26</v>
      </c>
      <c r="C412" s="3" t="s">
        <v>6</v>
      </c>
      <c r="D412" s="3" t="s">
        <v>28</v>
      </c>
      <c r="E412" s="3">
        <v>4</v>
      </c>
      <c r="F412" s="5">
        <f t="shared" si="6"/>
        <v>8</v>
      </c>
    </row>
    <row r="413" spans="1:6" x14ac:dyDescent="0.25">
      <c r="A413" s="4">
        <v>42044</v>
      </c>
      <c r="B413" s="3" t="s">
        <v>38</v>
      </c>
      <c r="C413" s="3" t="s">
        <v>5</v>
      </c>
      <c r="D413" s="3" t="s">
        <v>35</v>
      </c>
      <c r="E413" s="3">
        <v>23</v>
      </c>
      <c r="F413" s="5">
        <f t="shared" si="6"/>
        <v>92</v>
      </c>
    </row>
    <row r="414" spans="1:6" x14ac:dyDescent="0.25">
      <c r="A414" s="4">
        <v>42029</v>
      </c>
      <c r="B414" s="3" t="s">
        <v>29</v>
      </c>
      <c r="C414" s="3" t="s">
        <v>10</v>
      </c>
      <c r="D414" s="3" t="s">
        <v>27</v>
      </c>
      <c r="E414" s="3">
        <v>10</v>
      </c>
      <c r="F414" s="5">
        <f t="shared" si="6"/>
        <v>5</v>
      </c>
    </row>
    <row r="415" spans="1:6" x14ac:dyDescent="0.25">
      <c r="A415" s="4">
        <v>42126</v>
      </c>
      <c r="B415" s="3" t="s">
        <v>26</v>
      </c>
      <c r="C415" s="3" t="s">
        <v>2</v>
      </c>
      <c r="D415" s="3" t="s">
        <v>31</v>
      </c>
      <c r="E415" s="3">
        <v>4</v>
      </c>
      <c r="F415" s="5">
        <f t="shared" si="6"/>
        <v>10</v>
      </c>
    </row>
    <row r="416" spans="1:6" x14ac:dyDescent="0.25">
      <c r="A416" s="4">
        <v>42013</v>
      </c>
      <c r="B416" s="3" t="s">
        <v>26</v>
      </c>
      <c r="C416" s="3" t="s">
        <v>5</v>
      </c>
      <c r="D416" s="3" t="s">
        <v>27</v>
      </c>
      <c r="E416" s="3">
        <v>10</v>
      </c>
      <c r="F416" s="5">
        <f t="shared" si="6"/>
        <v>5</v>
      </c>
    </row>
    <row r="417" spans="1:6" x14ac:dyDescent="0.25">
      <c r="A417" s="4">
        <v>42092</v>
      </c>
      <c r="B417" s="3" t="s">
        <v>32</v>
      </c>
      <c r="C417" s="3" t="s">
        <v>10</v>
      </c>
      <c r="D417" s="3" t="s">
        <v>27</v>
      </c>
      <c r="E417" s="3">
        <v>38</v>
      </c>
      <c r="F417" s="5">
        <f t="shared" si="6"/>
        <v>19</v>
      </c>
    </row>
    <row r="418" spans="1:6" x14ac:dyDescent="0.25">
      <c r="A418" s="4">
        <v>42109</v>
      </c>
      <c r="B418" s="3" t="s">
        <v>32</v>
      </c>
      <c r="C418" s="3" t="s">
        <v>19</v>
      </c>
      <c r="D418" s="3" t="s">
        <v>31</v>
      </c>
      <c r="E418" s="3">
        <v>47</v>
      </c>
      <c r="F418" s="5">
        <f t="shared" si="6"/>
        <v>117.5</v>
      </c>
    </row>
    <row r="419" spans="1:6" x14ac:dyDescent="0.25">
      <c r="A419" s="4">
        <v>42138</v>
      </c>
      <c r="B419" s="3" t="s">
        <v>26</v>
      </c>
      <c r="C419" s="3" t="s">
        <v>5</v>
      </c>
      <c r="D419" s="3" t="s">
        <v>33</v>
      </c>
      <c r="E419" s="3">
        <v>29</v>
      </c>
      <c r="F419" s="5">
        <f t="shared" si="6"/>
        <v>145</v>
      </c>
    </row>
    <row r="420" spans="1:6" x14ac:dyDescent="0.25">
      <c r="A420" s="4">
        <v>42044</v>
      </c>
      <c r="B420" s="3" t="s">
        <v>37</v>
      </c>
      <c r="C420" s="3" t="s">
        <v>10</v>
      </c>
      <c r="D420" s="3" t="s">
        <v>27</v>
      </c>
      <c r="E420" s="3">
        <v>46</v>
      </c>
      <c r="F420" s="5">
        <f t="shared" si="6"/>
        <v>23</v>
      </c>
    </row>
    <row r="421" spans="1:6" x14ac:dyDescent="0.25">
      <c r="A421" s="4">
        <v>42010</v>
      </c>
      <c r="B421" s="3" t="s">
        <v>26</v>
      </c>
      <c r="C421" s="3" t="s">
        <v>19</v>
      </c>
      <c r="D421" s="3" t="s">
        <v>31</v>
      </c>
      <c r="E421" s="3">
        <v>37</v>
      </c>
      <c r="F421" s="5">
        <f t="shared" si="6"/>
        <v>92.5</v>
      </c>
    </row>
    <row r="422" spans="1:6" x14ac:dyDescent="0.25">
      <c r="A422" s="4">
        <v>42032</v>
      </c>
      <c r="B422" s="3" t="s">
        <v>29</v>
      </c>
      <c r="C422" s="3" t="s">
        <v>10</v>
      </c>
      <c r="D422" s="3" t="s">
        <v>36</v>
      </c>
      <c r="E422" s="3">
        <v>10</v>
      </c>
      <c r="F422" s="5">
        <f t="shared" si="6"/>
        <v>15</v>
      </c>
    </row>
    <row r="423" spans="1:6" x14ac:dyDescent="0.25">
      <c r="A423" s="4">
        <v>42067</v>
      </c>
      <c r="B423" s="3" t="s">
        <v>37</v>
      </c>
      <c r="C423" s="3" t="s">
        <v>2</v>
      </c>
      <c r="D423" s="3" t="s">
        <v>28</v>
      </c>
      <c r="E423" s="3">
        <v>41</v>
      </c>
      <c r="F423" s="5">
        <f t="shared" si="6"/>
        <v>82</v>
      </c>
    </row>
    <row r="424" spans="1:6" x14ac:dyDescent="0.25">
      <c r="A424" s="4">
        <v>42165</v>
      </c>
      <c r="B424" s="3" t="s">
        <v>26</v>
      </c>
      <c r="C424" s="3" t="s">
        <v>6</v>
      </c>
      <c r="D424" s="3" t="s">
        <v>34</v>
      </c>
      <c r="E424" s="3">
        <v>46</v>
      </c>
      <c r="F424" s="5">
        <f t="shared" si="6"/>
        <v>9.2000000000000011</v>
      </c>
    </row>
    <row r="425" spans="1:6" x14ac:dyDescent="0.25">
      <c r="A425" s="4">
        <v>42128</v>
      </c>
      <c r="B425" s="3" t="s">
        <v>32</v>
      </c>
      <c r="C425" s="3" t="s">
        <v>19</v>
      </c>
      <c r="D425" s="3" t="s">
        <v>36</v>
      </c>
      <c r="E425" s="3">
        <v>41</v>
      </c>
      <c r="F425" s="5">
        <f t="shared" si="6"/>
        <v>61.5</v>
      </c>
    </row>
    <row r="426" spans="1:6" x14ac:dyDescent="0.25">
      <c r="A426" s="4">
        <v>42139</v>
      </c>
      <c r="B426" s="3" t="s">
        <v>29</v>
      </c>
      <c r="C426" s="3" t="s">
        <v>5</v>
      </c>
      <c r="D426" s="3" t="s">
        <v>31</v>
      </c>
      <c r="E426" s="3">
        <v>37</v>
      </c>
      <c r="F426" s="5">
        <f t="shared" si="6"/>
        <v>92.5</v>
      </c>
    </row>
    <row r="427" spans="1:6" x14ac:dyDescent="0.25">
      <c r="A427" s="4">
        <v>42047</v>
      </c>
      <c r="B427" s="3" t="s">
        <v>32</v>
      </c>
      <c r="C427" s="3" t="s">
        <v>19</v>
      </c>
      <c r="D427" s="3" t="s">
        <v>33</v>
      </c>
      <c r="E427" s="3">
        <v>34</v>
      </c>
      <c r="F427" s="5">
        <f t="shared" si="6"/>
        <v>170</v>
      </c>
    </row>
    <row r="428" spans="1:6" x14ac:dyDescent="0.25">
      <c r="A428" s="4">
        <v>42087</v>
      </c>
      <c r="B428" s="3" t="s">
        <v>38</v>
      </c>
      <c r="C428" s="3" t="s">
        <v>2</v>
      </c>
      <c r="D428" s="3" t="s">
        <v>30</v>
      </c>
      <c r="E428" s="3">
        <v>39</v>
      </c>
      <c r="F428" s="5">
        <f t="shared" si="6"/>
        <v>3.9000000000000004</v>
      </c>
    </row>
    <row r="429" spans="1:6" x14ac:dyDescent="0.25">
      <c r="A429" s="4">
        <v>42162</v>
      </c>
      <c r="B429" s="3" t="s">
        <v>37</v>
      </c>
      <c r="C429" s="3" t="s">
        <v>5</v>
      </c>
      <c r="D429" s="3" t="s">
        <v>35</v>
      </c>
      <c r="E429" s="3">
        <v>3</v>
      </c>
      <c r="F429" s="5">
        <f t="shared" si="6"/>
        <v>12</v>
      </c>
    </row>
    <row r="430" spans="1:6" x14ac:dyDescent="0.25">
      <c r="A430" s="4">
        <v>42057</v>
      </c>
      <c r="B430" s="3" t="s">
        <v>29</v>
      </c>
      <c r="C430" s="3" t="s">
        <v>2</v>
      </c>
      <c r="D430" s="3" t="s">
        <v>28</v>
      </c>
      <c r="E430" s="3">
        <v>28</v>
      </c>
      <c r="F430" s="5">
        <f t="shared" si="6"/>
        <v>56</v>
      </c>
    </row>
    <row r="431" spans="1:6" x14ac:dyDescent="0.25">
      <c r="A431" s="4">
        <v>42130</v>
      </c>
      <c r="B431" s="3" t="s">
        <v>37</v>
      </c>
      <c r="C431" s="3" t="s">
        <v>10</v>
      </c>
      <c r="D431" s="3" t="s">
        <v>34</v>
      </c>
      <c r="E431" s="3">
        <v>6</v>
      </c>
      <c r="F431" s="5">
        <f t="shared" si="6"/>
        <v>1.2000000000000002</v>
      </c>
    </row>
    <row r="432" spans="1:6" x14ac:dyDescent="0.25">
      <c r="A432" s="4">
        <v>42152</v>
      </c>
      <c r="B432" s="3" t="s">
        <v>32</v>
      </c>
      <c r="C432" s="3" t="s">
        <v>2</v>
      </c>
      <c r="D432" s="3" t="s">
        <v>31</v>
      </c>
      <c r="E432" s="3">
        <v>11</v>
      </c>
      <c r="F432" s="5">
        <f t="shared" si="6"/>
        <v>27.5</v>
      </c>
    </row>
    <row r="433" spans="1:6" x14ac:dyDescent="0.25">
      <c r="A433" s="4">
        <v>42014</v>
      </c>
      <c r="B433" s="3" t="s">
        <v>26</v>
      </c>
      <c r="C433" s="3" t="s">
        <v>2</v>
      </c>
      <c r="D433" s="3" t="s">
        <v>34</v>
      </c>
      <c r="E433" s="3">
        <v>14</v>
      </c>
      <c r="F433" s="5">
        <f t="shared" si="6"/>
        <v>2.8000000000000003</v>
      </c>
    </row>
    <row r="434" spans="1:6" x14ac:dyDescent="0.25">
      <c r="A434" s="4">
        <v>42140</v>
      </c>
      <c r="B434" s="3" t="s">
        <v>37</v>
      </c>
      <c r="C434" s="3" t="s">
        <v>19</v>
      </c>
      <c r="D434" s="3" t="s">
        <v>30</v>
      </c>
      <c r="E434" s="3">
        <v>9</v>
      </c>
      <c r="F434" s="5">
        <f t="shared" si="6"/>
        <v>0.9</v>
      </c>
    </row>
    <row r="435" spans="1:6" x14ac:dyDescent="0.25">
      <c r="A435" s="4">
        <v>42021</v>
      </c>
      <c r="B435" s="3" t="s">
        <v>38</v>
      </c>
      <c r="C435" s="3" t="s">
        <v>6</v>
      </c>
      <c r="D435" s="3" t="s">
        <v>27</v>
      </c>
      <c r="E435" s="3">
        <v>2</v>
      </c>
      <c r="F435" s="5">
        <f t="shared" si="6"/>
        <v>1</v>
      </c>
    </row>
    <row r="436" spans="1:6" x14ac:dyDescent="0.25">
      <c r="A436" s="4">
        <v>42149</v>
      </c>
      <c r="B436" s="3" t="s">
        <v>39</v>
      </c>
      <c r="C436" s="3" t="s">
        <v>10</v>
      </c>
      <c r="D436" s="3" t="s">
        <v>36</v>
      </c>
      <c r="E436" s="3">
        <v>19</v>
      </c>
      <c r="F436" s="5">
        <f t="shared" si="6"/>
        <v>28.5</v>
      </c>
    </row>
    <row r="437" spans="1:6" x14ac:dyDescent="0.25">
      <c r="A437" s="4">
        <v>42015</v>
      </c>
      <c r="B437" s="3" t="s">
        <v>32</v>
      </c>
      <c r="C437" s="3" t="s">
        <v>10</v>
      </c>
      <c r="D437" s="3" t="s">
        <v>36</v>
      </c>
      <c r="E437" s="3">
        <v>15</v>
      </c>
      <c r="F437" s="5">
        <f t="shared" si="6"/>
        <v>22.5</v>
      </c>
    </row>
    <row r="438" spans="1:6" x14ac:dyDescent="0.25">
      <c r="A438" s="4">
        <v>42087</v>
      </c>
      <c r="B438" s="3" t="s">
        <v>32</v>
      </c>
      <c r="C438" s="3" t="s">
        <v>6</v>
      </c>
      <c r="D438" s="3" t="s">
        <v>33</v>
      </c>
      <c r="E438" s="3">
        <v>44</v>
      </c>
      <c r="F438" s="5">
        <f t="shared" si="6"/>
        <v>220</v>
      </c>
    </row>
    <row r="439" spans="1:6" x14ac:dyDescent="0.25">
      <c r="A439" s="4">
        <v>42034</v>
      </c>
      <c r="B439" s="3" t="s">
        <v>39</v>
      </c>
      <c r="C439" s="3" t="s">
        <v>10</v>
      </c>
      <c r="D439" s="3" t="s">
        <v>27</v>
      </c>
      <c r="E439" s="3">
        <v>24</v>
      </c>
      <c r="F439" s="5">
        <f t="shared" si="6"/>
        <v>12</v>
      </c>
    </row>
    <row r="440" spans="1:6" x14ac:dyDescent="0.25">
      <c r="A440" s="4">
        <v>42110</v>
      </c>
      <c r="B440" s="3" t="s">
        <v>39</v>
      </c>
      <c r="C440" s="3" t="s">
        <v>10</v>
      </c>
      <c r="D440" s="3" t="s">
        <v>28</v>
      </c>
      <c r="E440" s="3">
        <v>46</v>
      </c>
      <c r="F440" s="5">
        <f t="shared" si="6"/>
        <v>92</v>
      </c>
    </row>
    <row r="441" spans="1:6" x14ac:dyDescent="0.25">
      <c r="A441" s="4">
        <v>42107</v>
      </c>
      <c r="B441" s="3" t="s">
        <v>39</v>
      </c>
      <c r="C441" s="3" t="s">
        <v>19</v>
      </c>
      <c r="D441" s="3" t="s">
        <v>34</v>
      </c>
      <c r="E441" s="3">
        <v>11</v>
      </c>
      <c r="F441" s="5">
        <f t="shared" si="6"/>
        <v>2.2000000000000002</v>
      </c>
    </row>
    <row r="442" spans="1:6" x14ac:dyDescent="0.25">
      <c r="A442" s="4">
        <v>42130</v>
      </c>
      <c r="B442" s="3" t="s">
        <v>32</v>
      </c>
      <c r="C442" s="3" t="s">
        <v>6</v>
      </c>
      <c r="D442" s="3" t="s">
        <v>33</v>
      </c>
      <c r="E442" s="3">
        <v>20</v>
      </c>
      <c r="F442" s="5">
        <f t="shared" si="6"/>
        <v>100</v>
      </c>
    </row>
    <row r="443" spans="1:6" x14ac:dyDescent="0.25">
      <c r="A443" s="4">
        <v>42076</v>
      </c>
      <c r="B443" s="3" t="s">
        <v>38</v>
      </c>
      <c r="C443" s="3" t="s">
        <v>5</v>
      </c>
      <c r="D443" s="3" t="s">
        <v>30</v>
      </c>
      <c r="E443" s="3">
        <v>10</v>
      </c>
      <c r="F443" s="5">
        <f t="shared" si="6"/>
        <v>1</v>
      </c>
    </row>
    <row r="444" spans="1:6" x14ac:dyDescent="0.25">
      <c r="A444" s="4">
        <v>42023</v>
      </c>
      <c r="B444" s="3" t="s">
        <v>32</v>
      </c>
      <c r="C444" s="3" t="s">
        <v>10</v>
      </c>
      <c r="D444" s="3" t="s">
        <v>27</v>
      </c>
      <c r="E444" s="3">
        <v>25</v>
      </c>
      <c r="F444" s="5">
        <f t="shared" si="6"/>
        <v>12.5</v>
      </c>
    </row>
    <row r="445" spans="1:6" x14ac:dyDescent="0.25">
      <c r="A445" s="4">
        <v>42093</v>
      </c>
      <c r="B445" s="3" t="s">
        <v>29</v>
      </c>
      <c r="C445" s="3" t="s">
        <v>2</v>
      </c>
      <c r="D445" s="3" t="s">
        <v>34</v>
      </c>
      <c r="E445" s="3">
        <v>47</v>
      </c>
      <c r="F445" s="5">
        <f t="shared" si="6"/>
        <v>9.4</v>
      </c>
    </row>
    <row r="446" spans="1:6" x14ac:dyDescent="0.25">
      <c r="A446" s="4">
        <v>42035</v>
      </c>
      <c r="B446" s="3" t="s">
        <v>29</v>
      </c>
      <c r="C446" s="3" t="s">
        <v>6</v>
      </c>
      <c r="D446" s="3" t="s">
        <v>33</v>
      </c>
      <c r="E446" s="3">
        <v>17</v>
      </c>
      <c r="F446" s="5">
        <f t="shared" si="6"/>
        <v>85</v>
      </c>
    </row>
    <row r="447" spans="1:6" x14ac:dyDescent="0.25">
      <c r="A447" s="4">
        <v>42099</v>
      </c>
      <c r="B447" s="3" t="s">
        <v>38</v>
      </c>
      <c r="C447" s="3" t="s">
        <v>5</v>
      </c>
      <c r="D447" s="3" t="s">
        <v>30</v>
      </c>
      <c r="E447" s="3">
        <v>10</v>
      </c>
      <c r="F447" s="5">
        <f t="shared" si="6"/>
        <v>1</v>
      </c>
    </row>
    <row r="448" spans="1:6" x14ac:dyDescent="0.25">
      <c r="A448" s="4">
        <v>42080</v>
      </c>
      <c r="B448" s="3" t="s">
        <v>32</v>
      </c>
      <c r="C448" s="3" t="s">
        <v>6</v>
      </c>
      <c r="D448" s="3" t="s">
        <v>30</v>
      </c>
      <c r="E448" s="3">
        <v>30</v>
      </c>
      <c r="F448" s="5">
        <f t="shared" si="6"/>
        <v>3</v>
      </c>
    </row>
    <row r="449" spans="1:6" x14ac:dyDescent="0.25">
      <c r="A449" s="4">
        <v>42006</v>
      </c>
      <c r="B449" s="3" t="s">
        <v>29</v>
      </c>
      <c r="C449" s="3" t="s">
        <v>19</v>
      </c>
      <c r="D449" s="3" t="s">
        <v>27</v>
      </c>
      <c r="E449" s="3">
        <v>13</v>
      </c>
      <c r="F449" s="5">
        <f t="shared" si="6"/>
        <v>6.5</v>
      </c>
    </row>
    <row r="450" spans="1:6" x14ac:dyDescent="0.25">
      <c r="A450" s="4">
        <v>42179</v>
      </c>
      <c r="B450" s="3" t="s">
        <v>38</v>
      </c>
      <c r="C450" s="3" t="s">
        <v>2</v>
      </c>
      <c r="D450" s="3" t="s">
        <v>28</v>
      </c>
      <c r="E450" s="3">
        <v>17</v>
      </c>
      <c r="F450" s="5">
        <f t="shared" si="6"/>
        <v>34</v>
      </c>
    </row>
    <row r="451" spans="1:6" x14ac:dyDescent="0.25">
      <c r="A451" s="4">
        <v>42170</v>
      </c>
      <c r="B451" s="3" t="s">
        <v>39</v>
      </c>
      <c r="C451" s="3" t="s">
        <v>5</v>
      </c>
      <c r="D451" s="3" t="s">
        <v>27</v>
      </c>
      <c r="E451" s="3">
        <v>32</v>
      </c>
      <c r="F451" s="5">
        <f t="shared" si="6"/>
        <v>16</v>
      </c>
    </row>
    <row r="452" spans="1:6" x14ac:dyDescent="0.25">
      <c r="A452" s="4">
        <v>42068</v>
      </c>
      <c r="B452" s="3" t="s">
        <v>26</v>
      </c>
      <c r="C452" s="3" t="s">
        <v>10</v>
      </c>
      <c r="D452" s="3" t="s">
        <v>36</v>
      </c>
      <c r="E452" s="3">
        <v>34</v>
      </c>
      <c r="F452" s="5">
        <f t="shared" si="6"/>
        <v>51</v>
      </c>
    </row>
    <row r="453" spans="1:6" x14ac:dyDescent="0.25">
      <c r="A453" s="4">
        <v>42118</v>
      </c>
      <c r="B453" s="3" t="s">
        <v>29</v>
      </c>
      <c r="C453" s="3" t="s">
        <v>19</v>
      </c>
      <c r="D453" s="3" t="s">
        <v>31</v>
      </c>
      <c r="E453" s="3">
        <v>14</v>
      </c>
      <c r="F453" s="5">
        <f t="shared" si="6"/>
        <v>35</v>
      </c>
    </row>
    <row r="454" spans="1:6" x14ac:dyDescent="0.25">
      <c r="A454" s="4">
        <v>42042</v>
      </c>
      <c r="B454" s="3" t="s">
        <v>39</v>
      </c>
      <c r="C454" s="3" t="s">
        <v>10</v>
      </c>
      <c r="D454" s="3" t="s">
        <v>28</v>
      </c>
      <c r="E454" s="3">
        <v>37</v>
      </c>
      <c r="F454" s="5">
        <f t="shared" si="6"/>
        <v>74</v>
      </c>
    </row>
    <row r="455" spans="1:6" x14ac:dyDescent="0.25">
      <c r="A455" s="4">
        <v>42016</v>
      </c>
      <c r="B455" s="3" t="s">
        <v>32</v>
      </c>
      <c r="C455" s="3" t="s">
        <v>10</v>
      </c>
      <c r="D455" s="3" t="s">
        <v>36</v>
      </c>
      <c r="E455" s="3">
        <v>31</v>
      </c>
      <c r="F455" s="5">
        <f t="shared" si="6"/>
        <v>46.5</v>
      </c>
    </row>
    <row r="456" spans="1:6" x14ac:dyDescent="0.25">
      <c r="A456" s="4">
        <v>42126</v>
      </c>
      <c r="B456" s="3" t="s">
        <v>26</v>
      </c>
      <c r="C456" s="3" t="s">
        <v>10</v>
      </c>
      <c r="D456" s="3" t="s">
        <v>36</v>
      </c>
      <c r="E456" s="3">
        <v>32</v>
      </c>
      <c r="F456" s="5">
        <f t="shared" ref="F456:F500" si="7">E456*VLOOKUP(D456,$W$7:$X$14,2,0)</f>
        <v>48</v>
      </c>
    </row>
    <row r="457" spans="1:6" x14ac:dyDescent="0.25">
      <c r="A457" s="4">
        <v>42162</v>
      </c>
      <c r="B457" s="3" t="s">
        <v>37</v>
      </c>
      <c r="C457" s="3" t="s">
        <v>5</v>
      </c>
      <c r="D457" s="3" t="s">
        <v>30</v>
      </c>
      <c r="E457" s="3">
        <v>27</v>
      </c>
      <c r="F457" s="5">
        <f t="shared" si="7"/>
        <v>2.7</v>
      </c>
    </row>
    <row r="458" spans="1:6" x14ac:dyDescent="0.25">
      <c r="A458" s="4">
        <v>42157</v>
      </c>
      <c r="B458" s="3" t="s">
        <v>32</v>
      </c>
      <c r="C458" s="3" t="s">
        <v>5</v>
      </c>
      <c r="D458" s="3" t="s">
        <v>33</v>
      </c>
      <c r="E458" s="3">
        <v>27</v>
      </c>
      <c r="F458" s="5">
        <f t="shared" si="7"/>
        <v>135</v>
      </c>
    </row>
    <row r="459" spans="1:6" x14ac:dyDescent="0.25">
      <c r="A459" s="4">
        <v>42070</v>
      </c>
      <c r="B459" s="3" t="s">
        <v>29</v>
      </c>
      <c r="C459" s="3" t="s">
        <v>2</v>
      </c>
      <c r="D459" s="3" t="s">
        <v>27</v>
      </c>
      <c r="E459" s="3">
        <v>12</v>
      </c>
      <c r="F459" s="5">
        <f t="shared" si="7"/>
        <v>6</v>
      </c>
    </row>
    <row r="460" spans="1:6" x14ac:dyDescent="0.25">
      <c r="A460" s="4">
        <v>42035</v>
      </c>
      <c r="B460" s="3" t="s">
        <v>29</v>
      </c>
      <c r="C460" s="3" t="s">
        <v>19</v>
      </c>
      <c r="D460" s="3" t="s">
        <v>34</v>
      </c>
      <c r="E460" s="3">
        <v>11</v>
      </c>
      <c r="F460" s="5">
        <f t="shared" si="7"/>
        <v>2.2000000000000002</v>
      </c>
    </row>
    <row r="461" spans="1:6" x14ac:dyDescent="0.25">
      <c r="A461" s="4">
        <v>42026</v>
      </c>
      <c r="B461" s="3" t="s">
        <v>29</v>
      </c>
      <c r="C461" s="3" t="s">
        <v>2</v>
      </c>
      <c r="D461" s="3" t="s">
        <v>36</v>
      </c>
      <c r="E461" s="3">
        <v>32</v>
      </c>
      <c r="F461" s="5">
        <f t="shared" si="7"/>
        <v>48</v>
      </c>
    </row>
    <row r="462" spans="1:6" x14ac:dyDescent="0.25">
      <c r="A462" s="4">
        <v>42159</v>
      </c>
      <c r="B462" s="3" t="s">
        <v>39</v>
      </c>
      <c r="C462" s="3" t="s">
        <v>10</v>
      </c>
      <c r="D462" s="3" t="s">
        <v>31</v>
      </c>
      <c r="E462" s="3">
        <v>23</v>
      </c>
      <c r="F462" s="5">
        <f t="shared" si="7"/>
        <v>57.5</v>
      </c>
    </row>
    <row r="463" spans="1:6" x14ac:dyDescent="0.25">
      <c r="A463" s="4">
        <v>42050</v>
      </c>
      <c r="B463" s="3" t="s">
        <v>26</v>
      </c>
      <c r="C463" s="3" t="s">
        <v>6</v>
      </c>
      <c r="D463" s="3" t="s">
        <v>27</v>
      </c>
      <c r="E463" s="3">
        <v>45</v>
      </c>
      <c r="F463" s="5">
        <f t="shared" si="7"/>
        <v>22.5</v>
      </c>
    </row>
    <row r="464" spans="1:6" x14ac:dyDescent="0.25">
      <c r="A464" s="4">
        <v>42118</v>
      </c>
      <c r="B464" s="3" t="s">
        <v>39</v>
      </c>
      <c r="C464" s="3" t="s">
        <v>5</v>
      </c>
      <c r="D464" s="3" t="s">
        <v>31</v>
      </c>
      <c r="E464" s="3">
        <v>11</v>
      </c>
      <c r="F464" s="5">
        <f t="shared" si="7"/>
        <v>27.5</v>
      </c>
    </row>
    <row r="465" spans="1:6" x14ac:dyDescent="0.25">
      <c r="A465" s="4">
        <v>42013</v>
      </c>
      <c r="B465" s="3" t="s">
        <v>39</v>
      </c>
      <c r="C465" s="3" t="s">
        <v>6</v>
      </c>
      <c r="D465" s="3" t="s">
        <v>30</v>
      </c>
      <c r="E465" s="3">
        <v>33</v>
      </c>
      <c r="F465" s="5">
        <f t="shared" si="7"/>
        <v>3.3000000000000003</v>
      </c>
    </row>
    <row r="466" spans="1:6" x14ac:dyDescent="0.25">
      <c r="A466" s="4">
        <v>42090</v>
      </c>
      <c r="B466" s="3" t="s">
        <v>29</v>
      </c>
      <c r="C466" s="3" t="s">
        <v>2</v>
      </c>
      <c r="D466" s="3" t="s">
        <v>31</v>
      </c>
      <c r="E466" s="3">
        <v>34</v>
      </c>
      <c r="F466" s="5">
        <f t="shared" si="7"/>
        <v>85</v>
      </c>
    </row>
    <row r="467" spans="1:6" x14ac:dyDescent="0.25">
      <c r="A467" s="4">
        <v>42140</v>
      </c>
      <c r="B467" s="3" t="s">
        <v>37</v>
      </c>
      <c r="C467" s="3" t="s">
        <v>19</v>
      </c>
      <c r="D467" s="3" t="s">
        <v>36</v>
      </c>
      <c r="E467" s="3">
        <v>42</v>
      </c>
      <c r="F467" s="5">
        <f t="shared" si="7"/>
        <v>63</v>
      </c>
    </row>
    <row r="468" spans="1:6" x14ac:dyDescent="0.25">
      <c r="A468" s="4">
        <v>42073</v>
      </c>
      <c r="B468" s="3" t="s">
        <v>29</v>
      </c>
      <c r="C468" s="3" t="s">
        <v>2</v>
      </c>
      <c r="D468" s="3" t="s">
        <v>31</v>
      </c>
      <c r="E468" s="3">
        <v>8</v>
      </c>
      <c r="F468" s="5">
        <f t="shared" si="7"/>
        <v>20</v>
      </c>
    </row>
    <row r="469" spans="1:6" x14ac:dyDescent="0.25">
      <c r="A469" s="4">
        <v>42093</v>
      </c>
      <c r="B469" s="3" t="s">
        <v>37</v>
      </c>
      <c r="C469" s="3" t="s">
        <v>19</v>
      </c>
      <c r="D469" s="3" t="s">
        <v>33</v>
      </c>
      <c r="E469" s="3">
        <v>11</v>
      </c>
      <c r="F469" s="5">
        <f t="shared" si="7"/>
        <v>55</v>
      </c>
    </row>
    <row r="470" spans="1:6" x14ac:dyDescent="0.25">
      <c r="A470" s="4">
        <v>42094</v>
      </c>
      <c r="B470" s="3" t="s">
        <v>29</v>
      </c>
      <c r="C470" s="3" t="s">
        <v>2</v>
      </c>
      <c r="D470" s="3" t="s">
        <v>27</v>
      </c>
      <c r="E470" s="3">
        <v>18</v>
      </c>
      <c r="F470" s="5">
        <f t="shared" si="7"/>
        <v>9</v>
      </c>
    </row>
    <row r="471" spans="1:6" x14ac:dyDescent="0.25">
      <c r="A471" s="4">
        <v>42056</v>
      </c>
      <c r="B471" s="3" t="s">
        <v>38</v>
      </c>
      <c r="C471" s="3" t="s">
        <v>6</v>
      </c>
      <c r="D471" s="3" t="s">
        <v>30</v>
      </c>
      <c r="E471" s="3">
        <v>44</v>
      </c>
      <c r="F471" s="5">
        <f t="shared" si="7"/>
        <v>4.4000000000000004</v>
      </c>
    </row>
    <row r="472" spans="1:6" x14ac:dyDescent="0.25">
      <c r="A472" s="4">
        <v>42143</v>
      </c>
      <c r="B472" s="3" t="s">
        <v>38</v>
      </c>
      <c r="C472" s="3" t="s">
        <v>5</v>
      </c>
      <c r="D472" s="3" t="s">
        <v>30</v>
      </c>
      <c r="E472" s="3">
        <v>47</v>
      </c>
      <c r="F472" s="5">
        <f t="shared" si="7"/>
        <v>4.7</v>
      </c>
    </row>
    <row r="473" spans="1:6" x14ac:dyDescent="0.25">
      <c r="A473" s="4">
        <v>42032</v>
      </c>
      <c r="B473" s="3" t="s">
        <v>39</v>
      </c>
      <c r="C473" s="3" t="s">
        <v>2</v>
      </c>
      <c r="D473" s="3" t="s">
        <v>31</v>
      </c>
      <c r="E473" s="3">
        <v>35</v>
      </c>
      <c r="F473" s="5">
        <f t="shared" si="7"/>
        <v>87.5</v>
      </c>
    </row>
    <row r="474" spans="1:6" x14ac:dyDescent="0.25">
      <c r="A474" s="4">
        <v>42041</v>
      </c>
      <c r="B474" s="3" t="s">
        <v>39</v>
      </c>
      <c r="C474" s="3" t="s">
        <v>6</v>
      </c>
      <c r="D474" s="3" t="s">
        <v>36</v>
      </c>
      <c r="E474" s="3">
        <v>13</v>
      </c>
      <c r="F474" s="5">
        <f t="shared" si="7"/>
        <v>19.5</v>
      </c>
    </row>
    <row r="475" spans="1:6" x14ac:dyDescent="0.25">
      <c r="A475" s="4">
        <v>42062</v>
      </c>
      <c r="B475" s="3" t="s">
        <v>37</v>
      </c>
      <c r="C475" s="3" t="s">
        <v>10</v>
      </c>
      <c r="D475" s="3" t="s">
        <v>34</v>
      </c>
      <c r="E475" s="3">
        <v>30</v>
      </c>
      <c r="F475" s="5">
        <f t="shared" si="7"/>
        <v>6</v>
      </c>
    </row>
    <row r="476" spans="1:6" x14ac:dyDescent="0.25">
      <c r="A476" s="4">
        <v>42145</v>
      </c>
      <c r="B476" s="3" t="s">
        <v>37</v>
      </c>
      <c r="C476" s="3" t="s">
        <v>19</v>
      </c>
      <c r="D476" s="3" t="s">
        <v>31</v>
      </c>
      <c r="E476" s="3">
        <v>14</v>
      </c>
      <c r="F476" s="5">
        <f t="shared" si="7"/>
        <v>35</v>
      </c>
    </row>
    <row r="477" spans="1:6" x14ac:dyDescent="0.25">
      <c r="A477" s="4">
        <v>42144</v>
      </c>
      <c r="B477" s="3" t="s">
        <v>32</v>
      </c>
      <c r="C477" s="3" t="s">
        <v>5</v>
      </c>
      <c r="D477" s="3" t="s">
        <v>27</v>
      </c>
      <c r="E477" s="3">
        <v>27</v>
      </c>
      <c r="F477" s="5">
        <f t="shared" si="7"/>
        <v>13.5</v>
      </c>
    </row>
    <row r="478" spans="1:6" x14ac:dyDescent="0.25">
      <c r="A478" s="4">
        <v>42079</v>
      </c>
      <c r="B478" s="3" t="s">
        <v>29</v>
      </c>
      <c r="C478" s="3" t="s">
        <v>10</v>
      </c>
      <c r="D478" s="3" t="s">
        <v>30</v>
      </c>
      <c r="E478" s="3">
        <v>4</v>
      </c>
      <c r="F478" s="5">
        <f t="shared" si="7"/>
        <v>0.4</v>
      </c>
    </row>
    <row r="479" spans="1:6" x14ac:dyDescent="0.25">
      <c r="A479" s="4">
        <v>42138</v>
      </c>
      <c r="B479" s="3" t="s">
        <v>39</v>
      </c>
      <c r="C479" s="3" t="s">
        <v>5</v>
      </c>
      <c r="D479" s="3" t="s">
        <v>36</v>
      </c>
      <c r="E479" s="3">
        <v>6</v>
      </c>
      <c r="F479" s="5">
        <f t="shared" si="7"/>
        <v>9</v>
      </c>
    </row>
    <row r="480" spans="1:6" x14ac:dyDescent="0.25">
      <c r="A480" s="4">
        <v>42078</v>
      </c>
      <c r="B480" s="3" t="s">
        <v>38</v>
      </c>
      <c r="C480" s="3" t="s">
        <v>5</v>
      </c>
      <c r="D480" s="3" t="s">
        <v>31</v>
      </c>
      <c r="E480" s="3">
        <v>35</v>
      </c>
      <c r="F480" s="5">
        <f t="shared" si="7"/>
        <v>87.5</v>
      </c>
    </row>
    <row r="481" spans="1:6" x14ac:dyDescent="0.25">
      <c r="A481" s="4">
        <v>42161</v>
      </c>
      <c r="B481" s="3" t="s">
        <v>39</v>
      </c>
      <c r="C481" s="3" t="s">
        <v>2</v>
      </c>
      <c r="D481" s="3" t="s">
        <v>33</v>
      </c>
      <c r="E481" s="3">
        <v>12</v>
      </c>
      <c r="F481" s="5">
        <f t="shared" si="7"/>
        <v>60</v>
      </c>
    </row>
    <row r="482" spans="1:6" x14ac:dyDescent="0.25">
      <c r="A482" s="4">
        <v>42101</v>
      </c>
      <c r="B482" s="3" t="s">
        <v>37</v>
      </c>
      <c r="C482" s="3" t="s">
        <v>2</v>
      </c>
      <c r="D482" s="3" t="s">
        <v>31</v>
      </c>
      <c r="E482" s="3">
        <v>32</v>
      </c>
      <c r="F482" s="5">
        <f t="shared" si="7"/>
        <v>80</v>
      </c>
    </row>
    <row r="483" spans="1:6" x14ac:dyDescent="0.25">
      <c r="A483" s="4">
        <v>42181</v>
      </c>
      <c r="B483" s="3" t="s">
        <v>37</v>
      </c>
      <c r="C483" s="3" t="s">
        <v>10</v>
      </c>
      <c r="D483" s="3" t="s">
        <v>28</v>
      </c>
      <c r="E483" s="3">
        <v>41</v>
      </c>
      <c r="F483" s="5">
        <f t="shared" si="7"/>
        <v>82</v>
      </c>
    </row>
    <row r="484" spans="1:6" x14ac:dyDescent="0.25">
      <c r="A484" s="4">
        <v>42053</v>
      </c>
      <c r="B484" s="3" t="s">
        <v>38</v>
      </c>
      <c r="C484" s="3" t="s">
        <v>10</v>
      </c>
      <c r="D484" s="3" t="s">
        <v>34</v>
      </c>
      <c r="E484" s="3">
        <v>49</v>
      </c>
      <c r="F484" s="5">
        <f t="shared" si="7"/>
        <v>9.8000000000000007</v>
      </c>
    </row>
    <row r="485" spans="1:6" x14ac:dyDescent="0.25">
      <c r="A485" s="4">
        <v>42073</v>
      </c>
      <c r="B485" s="3" t="s">
        <v>38</v>
      </c>
      <c r="C485" s="3" t="s">
        <v>19</v>
      </c>
      <c r="D485" s="3" t="s">
        <v>31</v>
      </c>
      <c r="E485" s="3">
        <v>14</v>
      </c>
      <c r="F485" s="5">
        <f t="shared" si="7"/>
        <v>35</v>
      </c>
    </row>
    <row r="486" spans="1:6" x14ac:dyDescent="0.25">
      <c r="A486" s="4">
        <v>42095</v>
      </c>
      <c r="B486" s="3" t="s">
        <v>38</v>
      </c>
      <c r="C486" s="3" t="s">
        <v>6</v>
      </c>
      <c r="D486" s="3" t="s">
        <v>27</v>
      </c>
      <c r="E486" s="3">
        <v>50</v>
      </c>
      <c r="F486" s="5">
        <f t="shared" si="7"/>
        <v>25</v>
      </c>
    </row>
    <row r="487" spans="1:6" x14ac:dyDescent="0.25">
      <c r="A487" s="4">
        <v>42028</v>
      </c>
      <c r="B487" s="3" t="s">
        <v>29</v>
      </c>
      <c r="C487" s="3" t="s">
        <v>6</v>
      </c>
      <c r="D487" s="3" t="s">
        <v>36</v>
      </c>
      <c r="E487" s="3">
        <v>22</v>
      </c>
      <c r="F487" s="5">
        <f t="shared" si="7"/>
        <v>33</v>
      </c>
    </row>
    <row r="488" spans="1:6" x14ac:dyDescent="0.25">
      <c r="A488" s="4">
        <v>42091</v>
      </c>
      <c r="B488" s="3" t="s">
        <v>38</v>
      </c>
      <c r="C488" s="3" t="s">
        <v>19</v>
      </c>
      <c r="D488" s="3" t="s">
        <v>33</v>
      </c>
      <c r="E488" s="3">
        <v>46</v>
      </c>
      <c r="F488" s="5">
        <f t="shared" si="7"/>
        <v>230</v>
      </c>
    </row>
    <row r="489" spans="1:6" x14ac:dyDescent="0.25">
      <c r="A489" s="4">
        <v>42063</v>
      </c>
      <c r="B489" s="3" t="s">
        <v>37</v>
      </c>
      <c r="C489" s="3" t="s">
        <v>10</v>
      </c>
      <c r="D489" s="3" t="s">
        <v>30</v>
      </c>
      <c r="E489" s="3">
        <v>19</v>
      </c>
      <c r="F489" s="5">
        <f t="shared" si="7"/>
        <v>1.9000000000000001</v>
      </c>
    </row>
    <row r="490" spans="1:6" x14ac:dyDescent="0.25">
      <c r="A490" s="4">
        <v>42093</v>
      </c>
      <c r="B490" s="3" t="s">
        <v>37</v>
      </c>
      <c r="C490" s="3" t="s">
        <v>6</v>
      </c>
      <c r="D490" s="3" t="s">
        <v>36</v>
      </c>
      <c r="E490" s="3">
        <v>23</v>
      </c>
      <c r="F490" s="5">
        <f t="shared" si="7"/>
        <v>34.5</v>
      </c>
    </row>
    <row r="491" spans="1:6" x14ac:dyDescent="0.25">
      <c r="A491" s="4">
        <v>42060</v>
      </c>
      <c r="B491" s="3" t="s">
        <v>29</v>
      </c>
      <c r="C491" s="3" t="s">
        <v>5</v>
      </c>
      <c r="D491" s="3" t="s">
        <v>30</v>
      </c>
      <c r="E491" s="3">
        <v>49</v>
      </c>
      <c r="F491" s="5">
        <f t="shared" si="7"/>
        <v>4.9000000000000004</v>
      </c>
    </row>
    <row r="492" spans="1:6" x14ac:dyDescent="0.25">
      <c r="A492" s="4">
        <v>42030</v>
      </c>
      <c r="B492" s="3" t="s">
        <v>37</v>
      </c>
      <c r="C492" s="3" t="s">
        <v>10</v>
      </c>
      <c r="D492" s="3" t="s">
        <v>27</v>
      </c>
      <c r="E492" s="3">
        <v>9</v>
      </c>
      <c r="F492" s="5">
        <f t="shared" si="7"/>
        <v>4.5</v>
      </c>
    </row>
    <row r="493" spans="1:6" x14ac:dyDescent="0.25">
      <c r="A493" s="4">
        <v>42076</v>
      </c>
      <c r="B493" s="3" t="s">
        <v>32</v>
      </c>
      <c r="C493" s="3" t="s">
        <v>6</v>
      </c>
      <c r="D493" s="3" t="s">
        <v>27</v>
      </c>
      <c r="E493" s="3">
        <v>49</v>
      </c>
      <c r="F493" s="5">
        <f t="shared" si="7"/>
        <v>24.5</v>
      </c>
    </row>
    <row r="494" spans="1:6" x14ac:dyDescent="0.25">
      <c r="A494" s="4">
        <v>42108</v>
      </c>
      <c r="B494" s="3" t="s">
        <v>38</v>
      </c>
      <c r="C494" s="3" t="s">
        <v>2</v>
      </c>
      <c r="D494" s="3" t="s">
        <v>27</v>
      </c>
      <c r="E494" s="3">
        <v>50</v>
      </c>
      <c r="F494" s="5">
        <f t="shared" si="7"/>
        <v>25</v>
      </c>
    </row>
    <row r="495" spans="1:6" x14ac:dyDescent="0.25">
      <c r="A495" s="4">
        <v>42075</v>
      </c>
      <c r="B495" s="3" t="s">
        <v>39</v>
      </c>
      <c r="C495" s="3" t="s">
        <v>6</v>
      </c>
      <c r="D495" s="3" t="s">
        <v>31</v>
      </c>
      <c r="E495" s="3">
        <v>7</v>
      </c>
      <c r="F495" s="5">
        <f t="shared" si="7"/>
        <v>17.5</v>
      </c>
    </row>
    <row r="496" spans="1:6" x14ac:dyDescent="0.25">
      <c r="A496" s="4">
        <v>42115</v>
      </c>
      <c r="B496" s="3" t="s">
        <v>26</v>
      </c>
      <c r="C496" s="3" t="s">
        <v>10</v>
      </c>
      <c r="D496" s="3" t="s">
        <v>28</v>
      </c>
      <c r="E496" s="3">
        <v>48</v>
      </c>
      <c r="F496" s="5">
        <f t="shared" si="7"/>
        <v>96</v>
      </c>
    </row>
    <row r="497" spans="1:6" x14ac:dyDescent="0.25">
      <c r="A497" s="4">
        <v>42135</v>
      </c>
      <c r="B497" s="3" t="s">
        <v>38</v>
      </c>
      <c r="C497" s="3" t="s">
        <v>6</v>
      </c>
      <c r="D497" s="3" t="s">
        <v>36</v>
      </c>
      <c r="E497" s="3">
        <v>18</v>
      </c>
      <c r="F497" s="5">
        <f t="shared" si="7"/>
        <v>27</v>
      </c>
    </row>
    <row r="498" spans="1:6" x14ac:dyDescent="0.25">
      <c r="A498" s="4">
        <v>42051</v>
      </c>
      <c r="B498" s="3" t="s">
        <v>26</v>
      </c>
      <c r="C498" s="3" t="s">
        <v>10</v>
      </c>
      <c r="D498" s="3" t="s">
        <v>27</v>
      </c>
      <c r="E498" s="3">
        <v>35</v>
      </c>
      <c r="F498" s="5">
        <f t="shared" si="7"/>
        <v>17.5</v>
      </c>
    </row>
    <row r="499" spans="1:6" x14ac:dyDescent="0.25">
      <c r="A499" s="4">
        <v>42057</v>
      </c>
      <c r="B499" s="3" t="s">
        <v>38</v>
      </c>
      <c r="C499" s="3" t="s">
        <v>6</v>
      </c>
      <c r="D499" s="3" t="s">
        <v>28</v>
      </c>
      <c r="E499" s="3">
        <v>41</v>
      </c>
      <c r="F499" s="5">
        <f t="shared" si="7"/>
        <v>82</v>
      </c>
    </row>
    <row r="500" spans="1:6" x14ac:dyDescent="0.25">
      <c r="A500" s="4">
        <v>42024</v>
      </c>
      <c r="B500" s="3" t="s">
        <v>32</v>
      </c>
      <c r="C500" s="3" t="s">
        <v>5</v>
      </c>
      <c r="D500" s="3" t="s">
        <v>33</v>
      </c>
      <c r="E500" s="3">
        <v>38</v>
      </c>
      <c r="F500" s="5">
        <f t="shared" si="7"/>
        <v>190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tabColor rgb="FF2EA3F2"/>
  </sheetPr>
  <dimension ref="A1:AB499"/>
  <sheetViews>
    <sheetView zoomScale="115" zoomScaleNormal="115" workbookViewId="0">
      <selection activeCell="C17" sqref="C17"/>
    </sheetView>
  </sheetViews>
  <sheetFormatPr defaultColWidth="8.85546875" defaultRowHeight="14.25" x14ac:dyDescent="0.25"/>
  <cols>
    <col min="1" max="1" width="10.42578125" style="2" bestFit="1" customWidth="1"/>
    <col min="2" max="2" width="12" style="2" customWidth="1"/>
    <col min="3" max="3" width="14.28515625" style="2" bestFit="1" customWidth="1"/>
    <col min="4" max="4" width="10.7109375" style="2" bestFit="1" customWidth="1"/>
    <col min="5" max="5" width="8.85546875" style="2"/>
    <col min="6" max="6" width="10.28515625" style="2" customWidth="1"/>
    <col min="7" max="7" width="3.140625" style="2" customWidth="1"/>
    <col min="8" max="8" width="10.42578125" style="2" bestFit="1" customWidth="1"/>
    <col min="9" max="11" width="8.85546875" style="2"/>
    <col min="12" max="12" width="10.28515625" style="2" bestFit="1" customWidth="1"/>
    <col min="13" max="16" width="8.85546875" style="2"/>
    <col min="17" max="17" width="2.5703125" style="2" customWidth="1"/>
    <col min="18" max="23" width="8.85546875" style="2"/>
    <col min="24" max="24" width="10.7109375" style="2" bestFit="1" customWidth="1"/>
    <col min="25" max="16384" width="8.85546875" style="2"/>
  </cols>
  <sheetData>
    <row r="1" spans="1:28" x14ac:dyDescent="0.25">
      <c r="A1" s="1" t="s">
        <v>43</v>
      </c>
      <c r="B1" s="1"/>
      <c r="C1" s="1"/>
      <c r="D1" s="1"/>
      <c r="E1" s="1"/>
      <c r="F1" s="1"/>
    </row>
    <row r="2" spans="1:28" x14ac:dyDescent="0.25">
      <c r="A2" s="11" t="s">
        <v>0</v>
      </c>
      <c r="B2" s="11" t="s">
        <v>3</v>
      </c>
      <c r="C2" s="11" t="s">
        <v>1</v>
      </c>
      <c r="D2" s="11" t="s">
        <v>7</v>
      </c>
      <c r="E2" s="11" t="s">
        <v>49</v>
      </c>
      <c r="F2" s="11" t="s">
        <v>4</v>
      </c>
    </row>
    <row r="3" spans="1:28" x14ac:dyDescent="0.25">
      <c r="A3" s="3"/>
      <c r="B3" s="3"/>
      <c r="C3" s="3"/>
      <c r="D3" s="7" t="s">
        <v>120</v>
      </c>
      <c r="E3" s="3"/>
      <c r="F3" s="5"/>
    </row>
    <row r="5" spans="1:28" x14ac:dyDescent="0.25">
      <c r="A5" s="11" t="s">
        <v>0</v>
      </c>
      <c r="B5" s="11" t="s">
        <v>3</v>
      </c>
      <c r="C5" s="11" t="s">
        <v>1</v>
      </c>
      <c r="D5" s="11" t="s">
        <v>7</v>
      </c>
      <c r="E5" s="11" t="s">
        <v>49</v>
      </c>
      <c r="F5" s="11" t="s">
        <v>4</v>
      </c>
    </row>
    <row r="6" spans="1:28" x14ac:dyDescent="0.25">
      <c r="A6" s="4">
        <v>42067</v>
      </c>
      <c r="B6" s="3" t="s">
        <v>29</v>
      </c>
      <c r="C6" s="3" t="s">
        <v>5</v>
      </c>
      <c r="D6" s="3" t="s">
        <v>27</v>
      </c>
      <c r="E6" s="3">
        <v>13</v>
      </c>
      <c r="F6" s="5">
        <f>E6*VLOOKUP(D6,$R$6:$S$13,2,0)</f>
        <v>6.5</v>
      </c>
      <c r="R6" s="2" t="s">
        <v>28</v>
      </c>
      <c r="S6" s="2">
        <v>2</v>
      </c>
    </row>
    <row r="7" spans="1:28" x14ac:dyDescent="0.25">
      <c r="A7" s="4">
        <v>42074</v>
      </c>
      <c r="B7" s="3" t="s">
        <v>32</v>
      </c>
      <c r="C7" s="3" t="s">
        <v>5</v>
      </c>
      <c r="D7" s="3" t="s">
        <v>34</v>
      </c>
      <c r="E7" s="3">
        <v>12</v>
      </c>
      <c r="F7" s="5">
        <f t="shared" ref="F7:F70" si="0">E7*VLOOKUP(D7,$R$6:$S$13,2,0)</f>
        <v>2.4000000000000004</v>
      </c>
      <c r="R7" s="2" t="s">
        <v>27</v>
      </c>
      <c r="S7" s="2">
        <v>0.5</v>
      </c>
    </row>
    <row r="8" spans="1:28" x14ac:dyDescent="0.25">
      <c r="A8" s="4">
        <v>42177</v>
      </c>
      <c r="B8" s="3" t="s">
        <v>26</v>
      </c>
      <c r="C8" s="3" t="s">
        <v>10</v>
      </c>
      <c r="D8" s="3" t="s">
        <v>27</v>
      </c>
      <c r="E8" s="3">
        <v>29</v>
      </c>
      <c r="F8" s="5">
        <f t="shared" si="0"/>
        <v>14.5</v>
      </c>
      <c r="R8" s="2" t="s">
        <v>31</v>
      </c>
      <c r="S8" s="2">
        <v>2.5</v>
      </c>
    </row>
    <row r="9" spans="1:28" x14ac:dyDescent="0.25">
      <c r="A9" s="4">
        <v>42103</v>
      </c>
      <c r="B9" s="3" t="s">
        <v>38</v>
      </c>
      <c r="C9" s="3" t="s">
        <v>2</v>
      </c>
      <c r="D9" s="3" t="s">
        <v>27</v>
      </c>
      <c r="E9" s="3">
        <v>33</v>
      </c>
      <c r="F9" s="5">
        <f t="shared" si="0"/>
        <v>16.5</v>
      </c>
      <c r="R9" s="2" t="s">
        <v>33</v>
      </c>
      <c r="S9" s="2">
        <v>5</v>
      </c>
    </row>
    <row r="10" spans="1:28" x14ac:dyDescent="0.25">
      <c r="A10" s="4">
        <v>42007</v>
      </c>
      <c r="B10" s="3" t="s">
        <v>37</v>
      </c>
      <c r="C10" s="3" t="s">
        <v>19</v>
      </c>
      <c r="D10" s="3" t="s">
        <v>30</v>
      </c>
      <c r="E10" s="3">
        <v>41</v>
      </c>
      <c r="F10" s="5">
        <f t="shared" si="0"/>
        <v>4.1000000000000005</v>
      </c>
      <c r="R10" s="2" t="s">
        <v>34</v>
      </c>
      <c r="S10" s="2">
        <v>0.2</v>
      </c>
    </row>
    <row r="11" spans="1:28" x14ac:dyDescent="0.25">
      <c r="A11" s="4">
        <v>42012</v>
      </c>
      <c r="B11" s="3" t="s">
        <v>29</v>
      </c>
      <c r="C11" s="3" t="s">
        <v>2</v>
      </c>
      <c r="D11" s="3" t="s">
        <v>35</v>
      </c>
      <c r="E11" s="3">
        <v>32</v>
      </c>
      <c r="F11" s="5">
        <f t="shared" si="0"/>
        <v>128</v>
      </c>
      <c r="K11" s="11" t="s">
        <v>0</v>
      </c>
      <c r="L11" s="11" t="s">
        <v>3</v>
      </c>
      <c r="M11" s="11" t="s">
        <v>1</v>
      </c>
      <c r="N11" s="11" t="s">
        <v>7</v>
      </c>
      <c r="O11" s="11" t="s">
        <v>49</v>
      </c>
      <c r="P11" s="11" t="s">
        <v>4</v>
      </c>
      <c r="R11" s="2" t="s">
        <v>30</v>
      </c>
      <c r="S11" s="2">
        <v>0.1</v>
      </c>
    </row>
    <row r="12" spans="1:28" x14ac:dyDescent="0.25">
      <c r="A12" s="4">
        <v>42051</v>
      </c>
      <c r="B12" s="3" t="s">
        <v>38</v>
      </c>
      <c r="C12" s="3" t="s">
        <v>10</v>
      </c>
      <c r="D12" s="3" t="s">
        <v>33</v>
      </c>
      <c r="E12" s="3">
        <v>34</v>
      </c>
      <c r="F12" s="5">
        <f t="shared" si="0"/>
        <v>170</v>
      </c>
      <c r="K12" s="4">
        <v>42012</v>
      </c>
      <c r="L12" s="3" t="s">
        <v>29</v>
      </c>
      <c r="M12" s="3" t="s">
        <v>2</v>
      </c>
      <c r="N12" s="3" t="s">
        <v>35</v>
      </c>
      <c r="O12" s="3">
        <v>32</v>
      </c>
      <c r="P12" s="5">
        <v>128</v>
      </c>
      <c r="R12" s="2" t="s">
        <v>36</v>
      </c>
      <c r="S12" s="2">
        <v>1.5</v>
      </c>
    </row>
    <row r="13" spans="1:28" x14ac:dyDescent="0.25">
      <c r="A13" s="4">
        <v>42163</v>
      </c>
      <c r="B13" s="3" t="s">
        <v>26</v>
      </c>
      <c r="C13" s="3" t="s">
        <v>6</v>
      </c>
      <c r="D13" s="3" t="s">
        <v>35</v>
      </c>
      <c r="E13" s="3">
        <v>12</v>
      </c>
      <c r="F13" s="5">
        <f t="shared" si="0"/>
        <v>48</v>
      </c>
      <c r="K13" s="4">
        <v>42163</v>
      </c>
      <c r="L13" s="3" t="s">
        <v>26</v>
      </c>
      <c r="M13" s="3" t="s">
        <v>6</v>
      </c>
      <c r="N13" s="3" t="s">
        <v>35</v>
      </c>
      <c r="O13" s="3">
        <v>12</v>
      </c>
      <c r="P13" s="5">
        <v>48</v>
      </c>
      <c r="R13" s="2" t="s">
        <v>35</v>
      </c>
      <c r="S13" s="2">
        <v>4</v>
      </c>
    </row>
    <row r="14" spans="1:28" x14ac:dyDescent="0.25">
      <c r="A14" s="4">
        <v>42118</v>
      </c>
      <c r="B14" s="3" t="s">
        <v>38</v>
      </c>
      <c r="C14" s="3" t="s">
        <v>19</v>
      </c>
      <c r="D14" s="3" t="s">
        <v>27</v>
      </c>
      <c r="E14" s="3">
        <v>20</v>
      </c>
      <c r="F14" s="5">
        <f t="shared" si="0"/>
        <v>10</v>
      </c>
      <c r="K14" s="4">
        <v>42097</v>
      </c>
      <c r="L14" s="3" t="s">
        <v>26</v>
      </c>
      <c r="M14" s="3" t="s">
        <v>10</v>
      </c>
      <c r="N14" s="3" t="s">
        <v>28</v>
      </c>
      <c r="O14" s="3">
        <v>3</v>
      </c>
      <c r="P14" s="5">
        <v>6</v>
      </c>
    </row>
    <row r="15" spans="1:28" x14ac:dyDescent="0.25">
      <c r="A15" s="4">
        <v>42071</v>
      </c>
      <c r="B15" s="3" t="s">
        <v>38</v>
      </c>
      <c r="C15" s="3" t="s">
        <v>2</v>
      </c>
      <c r="D15" s="3" t="s">
        <v>27</v>
      </c>
      <c r="E15" s="3">
        <v>15</v>
      </c>
      <c r="F15" s="5">
        <f t="shared" si="0"/>
        <v>7.5</v>
      </c>
      <c r="K15" s="4">
        <v>42015</v>
      </c>
      <c r="L15" s="3" t="s">
        <v>38</v>
      </c>
      <c r="M15" s="3" t="s">
        <v>5</v>
      </c>
      <c r="N15" s="3" t="s">
        <v>36</v>
      </c>
      <c r="O15" s="3">
        <v>19</v>
      </c>
      <c r="P15" s="5">
        <v>28.5</v>
      </c>
    </row>
    <row r="16" spans="1:28" x14ac:dyDescent="0.25">
      <c r="A16" s="4">
        <v>42134</v>
      </c>
      <c r="B16" s="3" t="s">
        <v>39</v>
      </c>
      <c r="C16" s="3" t="s">
        <v>5</v>
      </c>
      <c r="D16" s="3" t="s">
        <v>27</v>
      </c>
      <c r="E16" s="3">
        <v>35</v>
      </c>
      <c r="F16" s="5">
        <f t="shared" si="0"/>
        <v>17.5</v>
      </c>
      <c r="K16" s="4">
        <v>42119</v>
      </c>
      <c r="L16" s="3" t="s">
        <v>38</v>
      </c>
      <c r="M16" s="3" t="s">
        <v>5</v>
      </c>
      <c r="N16" s="3" t="s">
        <v>35</v>
      </c>
      <c r="O16" s="3">
        <v>4</v>
      </c>
      <c r="P16" s="5">
        <v>16</v>
      </c>
      <c r="W16" s="11" t="s">
        <v>0</v>
      </c>
      <c r="X16" s="11" t="s">
        <v>3</v>
      </c>
      <c r="Y16" s="11" t="s">
        <v>1</v>
      </c>
      <c r="Z16" s="11" t="s">
        <v>7</v>
      </c>
      <c r="AA16" s="11" t="s">
        <v>49</v>
      </c>
      <c r="AB16" s="11" t="s">
        <v>4</v>
      </c>
    </row>
    <row r="17" spans="1:28" x14ac:dyDescent="0.25">
      <c r="A17" s="4">
        <v>42063</v>
      </c>
      <c r="B17" s="3" t="s">
        <v>32</v>
      </c>
      <c r="C17" s="3" t="s">
        <v>5</v>
      </c>
      <c r="D17" s="3" t="s">
        <v>33</v>
      </c>
      <c r="E17" s="3">
        <v>21</v>
      </c>
      <c r="F17" s="5">
        <f t="shared" si="0"/>
        <v>105</v>
      </c>
      <c r="K17" s="4">
        <v>42043</v>
      </c>
      <c r="L17" s="3" t="s">
        <v>38</v>
      </c>
      <c r="M17" s="3" t="s">
        <v>2</v>
      </c>
      <c r="N17" s="3" t="s">
        <v>36</v>
      </c>
      <c r="O17" s="3">
        <v>20</v>
      </c>
      <c r="P17" s="5">
        <v>30</v>
      </c>
      <c r="W17" s="4">
        <v>42097</v>
      </c>
      <c r="X17" s="3" t="s">
        <v>26</v>
      </c>
      <c r="Y17" s="3" t="s">
        <v>10</v>
      </c>
      <c r="Z17" s="3" t="s">
        <v>28</v>
      </c>
      <c r="AA17" s="3">
        <v>3</v>
      </c>
      <c r="AB17" s="5">
        <v>6</v>
      </c>
    </row>
    <row r="18" spans="1:28" x14ac:dyDescent="0.25">
      <c r="A18" s="4">
        <v>42012</v>
      </c>
      <c r="B18" s="3" t="s">
        <v>38</v>
      </c>
      <c r="C18" s="3" t="s">
        <v>5</v>
      </c>
      <c r="D18" s="3" t="s">
        <v>31</v>
      </c>
      <c r="E18" s="3">
        <v>40</v>
      </c>
      <c r="F18" s="5">
        <f t="shared" si="0"/>
        <v>100</v>
      </c>
      <c r="K18" s="4">
        <v>42059</v>
      </c>
      <c r="L18" s="3" t="s">
        <v>26</v>
      </c>
      <c r="M18" s="3" t="s">
        <v>6</v>
      </c>
      <c r="N18" s="3" t="s">
        <v>35</v>
      </c>
      <c r="O18" s="3">
        <v>49</v>
      </c>
      <c r="P18" s="5">
        <v>196</v>
      </c>
      <c r="W18" s="4">
        <v>42117</v>
      </c>
      <c r="X18" s="3" t="s">
        <v>39</v>
      </c>
      <c r="Y18" s="3" t="s">
        <v>10</v>
      </c>
      <c r="Z18" s="3" t="s">
        <v>28</v>
      </c>
      <c r="AA18" s="3">
        <v>16</v>
      </c>
      <c r="AB18" s="5">
        <v>32</v>
      </c>
    </row>
    <row r="19" spans="1:28" x14ac:dyDescent="0.25">
      <c r="A19" s="4">
        <v>42097</v>
      </c>
      <c r="B19" s="3" t="s">
        <v>26</v>
      </c>
      <c r="C19" s="3" t="s">
        <v>10</v>
      </c>
      <c r="D19" s="3" t="s">
        <v>28</v>
      </c>
      <c r="E19" s="3">
        <v>3</v>
      </c>
      <c r="F19" s="5">
        <f t="shared" si="0"/>
        <v>6</v>
      </c>
      <c r="K19" s="4">
        <v>42117</v>
      </c>
      <c r="L19" s="3" t="s">
        <v>39</v>
      </c>
      <c r="M19" s="3" t="s">
        <v>10</v>
      </c>
      <c r="N19" s="3" t="s">
        <v>28</v>
      </c>
      <c r="O19" s="3">
        <v>16</v>
      </c>
      <c r="P19" s="5">
        <v>32</v>
      </c>
      <c r="W19" s="4">
        <v>42066</v>
      </c>
      <c r="X19" s="3" t="s">
        <v>26</v>
      </c>
      <c r="Y19" s="3" t="s">
        <v>5</v>
      </c>
      <c r="Z19" s="3" t="s">
        <v>28</v>
      </c>
      <c r="AA19" s="3">
        <v>44</v>
      </c>
      <c r="AB19" s="5">
        <v>88</v>
      </c>
    </row>
    <row r="20" spans="1:28" x14ac:dyDescent="0.25">
      <c r="A20" s="4">
        <v>42058</v>
      </c>
      <c r="B20" s="3" t="s">
        <v>39</v>
      </c>
      <c r="C20" s="3" t="s">
        <v>2</v>
      </c>
      <c r="D20" s="3" t="s">
        <v>27</v>
      </c>
      <c r="E20" s="3">
        <v>25</v>
      </c>
      <c r="F20" s="5">
        <f t="shared" si="0"/>
        <v>12.5</v>
      </c>
      <c r="K20" s="4">
        <v>42171</v>
      </c>
      <c r="L20" s="3" t="s">
        <v>39</v>
      </c>
      <c r="M20" s="3" t="s">
        <v>6</v>
      </c>
      <c r="N20" s="3" t="s">
        <v>35</v>
      </c>
      <c r="O20" s="3">
        <v>11</v>
      </c>
      <c r="P20" s="5">
        <v>44</v>
      </c>
      <c r="W20" s="4">
        <v>42180</v>
      </c>
      <c r="X20" s="3" t="s">
        <v>38</v>
      </c>
      <c r="Y20" s="3" t="s">
        <v>19</v>
      </c>
      <c r="Z20" s="3" t="s">
        <v>28</v>
      </c>
      <c r="AA20" s="3">
        <v>9</v>
      </c>
      <c r="AB20" s="5">
        <v>18</v>
      </c>
    </row>
    <row r="21" spans="1:28" x14ac:dyDescent="0.25">
      <c r="A21" s="4">
        <v>42018</v>
      </c>
      <c r="B21" s="3" t="s">
        <v>38</v>
      </c>
      <c r="C21" s="3" t="s">
        <v>2</v>
      </c>
      <c r="D21" s="3" t="s">
        <v>34</v>
      </c>
      <c r="E21" s="3">
        <v>11</v>
      </c>
      <c r="F21" s="5">
        <f t="shared" si="0"/>
        <v>2.2000000000000002</v>
      </c>
      <c r="K21" s="4">
        <v>42167</v>
      </c>
      <c r="L21" s="3" t="s">
        <v>26</v>
      </c>
      <c r="M21" s="3" t="s">
        <v>2</v>
      </c>
      <c r="N21" s="3" t="s">
        <v>35</v>
      </c>
      <c r="O21" s="3">
        <v>49</v>
      </c>
      <c r="P21" s="5">
        <v>196</v>
      </c>
      <c r="W21" s="4">
        <v>42127</v>
      </c>
      <c r="X21" s="3" t="s">
        <v>37</v>
      </c>
      <c r="Y21" s="3" t="s">
        <v>10</v>
      </c>
      <c r="Z21" s="3" t="s">
        <v>28</v>
      </c>
      <c r="AA21" s="3">
        <v>29</v>
      </c>
      <c r="AB21" s="5">
        <v>58</v>
      </c>
    </row>
    <row r="22" spans="1:28" x14ac:dyDescent="0.25">
      <c r="A22" s="4">
        <v>42085</v>
      </c>
      <c r="B22" s="3" t="s">
        <v>37</v>
      </c>
      <c r="C22" s="3" t="s">
        <v>6</v>
      </c>
      <c r="D22" s="3" t="s">
        <v>33</v>
      </c>
      <c r="E22" s="3">
        <v>9</v>
      </c>
      <c r="F22" s="5">
        <f t="shared" si="0"/>
        <v>45</v>
      </c>
      <c r="K22" s="4">
        <v>42066</v>
      </c>
      <c r="L22" s="3" t="s">
        <v>26</v>
      </c>
      <c r="M22" s="3" t="s">
        <v>5</v>
      </c>
      <c r="N22" s="3" t="s">
        <v>28</v>
      </c>
      <c r="O22" s="3">
        <v>44</v>
      </c>
      <c r="P22" s="5">
        <v>88</v>
      </c>
      <c r="W22" s="4">
        <v>42076</v>
      </c>
      <c r="X22" s="3" t="s">
        <v>32</v>
      </c>
      <c r="Y22" s="3" t="s">
        <v>2</v>
      </c>
      <c r="Z22" s="3" t="s">
        <v>28</v>
      </c>
      <c r="AA22" s="3">
        <v>29</v>
      </c>
      <c r="AB22" s="5">
        <v>58</v>
      </c>
    </row>
    <row r="23" spans="1:28" x14ac:dyDescent="0.25">
      <c r="A23" s="4">
        <v>42150</v>
      </c>
      <c r="B23" s="3" t="s">
        <v>37</v>
      </c>
      <c r="C23" s="3" t="s">
        <v>6</v>
      </c>
      <c r="D23" s="3" t="s">
        <v>33</v>
      </c>
      <c r="E23" s="3">
        <v>48</v>
      </c>
      <c r="F23" s="5">
        <f t="shared" si="0"/>
        <v>240</v>
      </c>
      <c r="K23" s="4">
        <v>42040</v>
      </c>
      <c r="L23" s="3" t="s">
        <v>37</v>
      </c>
      <c r="M23" s="3" t="s">
        <v>6</v>
      </c>
      <c r="N23" s="3" t="s">
        <v>36</v>
      </c>
      <c r="O23" s="3">
        <v>27</v>
      </c>
      <c r="P23" s="5">
        <v>40.5</v>
      </c>
      <c r="W23" s="4">
        <v>42146</v>
      </c>
      <c r="X23" s="3" t="s">
        <v>39</v>
      </c>
      <c r="Y23" s="3" t="s">
        <v>2</v>
      </c>
      <c r="Z23" s="3" t="s">
        <v>28</v>
      </c>
      <c r="AA23" s="3">
        <v>4</v>
      </c>
      <c r="AB23" s="5">
        <v>8</v>
      </c>
    </row>
    <row r="24" spans="1:28" x14ac:dyDescent="0.25">
      <c r="A24" s="4">
        <v>42015</v>
      </c>
      <c r="B24" s="3" t="s">
        <v>38</v>
      </c>
      <c r="C24" s="3" t="s">
        <v>5</v>
      </c>
      <c r="D24" s="3" t="s">
        <v>36</v>
      </c>
      <c r="E24" s="3">
        <v>19</v>
      </c>
      <c r="F24" s="5">
        <f t="shared" si="0"/>
        <v>28.5</v>
      </c>
      <c r="K24" s="4">
        <v>42142</v>
      </c>
      <c r="L24" s="3" t="s">
        <v>32</v>
      </c>
      <c r="M24" s="3" t="s">
        <v>6</v>
      </c>
      <c r="N24" s="3" t="s">
        <v>36</v>
      </c>
      <c r="O24" s="3">
        <v>30</v>
      </c>
      <c r="P24" s="5">
        <v>45</v>
      </c>
      <c r="W24" s="4">
        <v>42152</v>
      </c>
      <c r="X24" s="3" t="s">
        <v>38</v>
      </c>
      <c r="Y24" s="3" t="s">
        <v>10</v>
      </c>
      <c r="Z24" s="3" t="s">
        <v>28</v>
      </c>
      <c r="AA24" s="3">
        <v>12</v>
      </c>
      <c r="AB24" s="5">
        <v>24</v>
      </c>
    </row>
    <row r="25" spans="1:28" x14ac:dyDescent="0.25">
      <c r="A25" s="4">
        <v>42013</v>
      </c>
      <c r="B25" s="3" t="s">
        <v>39</v>
      </c>
      <c r="C25" s="3" t="s">
        <v>6</v>
      </c>
      <c r="D25" s="3" t="s">
        <v>31</v>
      </c>
      <c r="E25" s="3">
        <v>50</v>
      </c>
      <c r="F25" s="5">
        <f t="shared" si="0"/>
        <v>125</v>
      </c>
      <c r="K25" s="4">
        <v>42172</v>
      </c>
      <c r="L25" s="3" t="s">
        <v>26</v>
      </c>
      <c r="M25" s="3" t="s">
        <v>10</v>
      </c>
      <c r="N25" s="3" t="s">
        <v>36</v>
      </c>
      <c r="O25" s="3">
        <v>31</v>
      </c>
      <c r="P25" s="5">
        <v>46.5</v>
      </c>
      <c r="W25" s="4">
        <v>42161</v>
      </c>
      <c r="X25" s="3" t="s">
        <v>32</v>
      </c>
      <c r="Y25" s="3" t="s">
        <v>6</v>
      </c>
      <c r="Z25" s="3" t="s">
        <v>28</v>
      </c>
      <c r="AA25" s="3">
        <v>25</v>
      </c>
      <c r="AB25" s="5">
        <v>50</v>
      </c>
    </row>
    <row r="26" spans="1:28" x14ac:dyDescent="0.25">
      <c r="A26" s="4">
        <v>42015</v>
      </c>
      <c r="B26" s="3" t="s">
        <v>39</v>
      </c>
      <c r="C26" s="3" t="s">
        <v>2</v>
      </c>
      <c r="D26" s="3" t="s">
        <v>33</v>
      </c>
      <c r="E26" s="3">
        <v>24</v>
      </c>
      <c r="F26" s="5">
        <f t="shared" si="0"/>
        <v>120</v>
      </c>
      <c r="K26" s="4">
        <v>42180</v>
      </c>
      <c r="L26" s="3" t="s">
        <v>38</v>
      </c>
      <c r="M26" s="3" t="s">
        <v>19</v>
      </c>
      <c r="N26" s="3" t="s">
        <v>28</v>
      </c>
      <c r="O26" s="3">
        <v>9</v>
      </c>
      <c r="P26" s="5">
        <v>18</v>
      </c>
      <c r="W26" s="4">
        <v>42182</v>
      </c>
      <c r="X26" s="3" t="s">
        <v>38</v>
      </c>
      <c r="Y26" s="3" t="s">
        <v>6</v>
      </c>
      <c r="Z26" s="3" t="s">
        <v>28</v>
      </c>
      <c r="AA26" s="3">
        <v>36</v>
      </c>
      <c r="AB26" s="5">
        <v>72</v>
      </c>
    </row>
    <row r="27" spans="1:28" x14ac:dyDescent="0.25">
      <c r="A27" s="4">
        <v>42075</v>
      </c>
      <c r="B27" s="3" t="s">
        <v>38</v>
      </c>
      <c r="C27" s="3" t="s">
        <v>19</v>
      </c>
      <c r="D27" s="3" t="s">
        <v>27</v>
      </c>
      <c r="E27" s="3">
        <v>26</v>
      </c>
      <c r="F27" s="5">
        <f t="shared" si="0"/>
        <v>13</v>
      </c>
      <c r="K27" s="4">
        <v>42114</v>
      </c>
      <c r="L27" s="3" t="s">
        <v>26</v>
      </c>
      <c r="M27" s="3" t="s">
        <v>19</v>
      </c>
      <c r="N27" s="3" t="s">
        <v>36</v>
      </c>
      <c r="O27" s="3">
        <v>50</v>
      </c>
      <c r="P27" s="5">
        <v>75</v>
      </c>
      <c r="W27" s="4">
        <v>42169</v>
      </c>
      <c r="X27" s="3" t="s">
        <v>37</v>
      </c>
      <c r="Y27" s="3" t="s">
        <v>5</v>
      </c>
      <c r="Z27" s="3" t="s">
        <v>28</v>
      </c>
      <c r="AA27" s="3">
        <v>44</v>
      </c>
      <c r="AB27" s="5">
        <v>88</v>
      </c>
    </row>
    <row r="28" spans="1:28" x14ac:dyDescent="0.25">
      <c r="A28" s="4">
        <v>42080</v>
      </c>
      <c r="B28" s="3" t="s">
        <v>38</v>
      </c>
      <c r="C28" s="3" t="s">
        <v>6</v>
      </c>
      <c r="D28" s="3" t="s">
        <v>27</v>
      </c>
      <c r="E28" s="3">
        <v>11</v>
      </c>
      <c r="F28" s="5">
        <f t="shared" si="0"/>
        <v>5.5</v>
      </c>
      <c r="K28" s="4">
        <v>42087</v>
      </c>
      <c r="L28" s="3" t="s">
        <v>39</v>
      </c>
      <c r="M28" s="3" t="s">
        <v>2</v>
      </c>
      <c r="N28" s="3" t="s">
        <v>36</v>
      </c>
      <c r="O28" s="3">
        <v>29</v>
      </c>
      <c r="P28" s="5">
        <v>43.5</v>
      </c>
      <c r="W28" s="4">
        <v>42184</v>
      </c>
      <c r="X28" s="3" t="s">
        <v>38</v>
      </c>
      <c r="Y28" s="3" t="s">
        <v>2</v>
      </c>
      <c r="Z28" s="3" t="s">
        <v>28</v>
      </c>
      <c r="AA28" s="3">
        <v>41</v>
      </c>
      <c r="AB28" s="5">
        <v>82</v>
      </c>
    </row>
    <row r="29" spans="1:28" x14ac:dyDescent="0.25">
      <c r="A29" s="4">
        <v>42119</v>
      </c>
      <c r="B29" s="3" t="s">
        <v>38</v>
      </c>
      <c r="C29" s="3" t="s">
        <v>5</v>
      </c>
      <c r="D29" s="3" t="s">
        <v>35</v>
      </c>
      <c r="E29" s="3">
        <v>4</v>
      </c>
      <c r="F29" s="5">
        <f t="shared" si="0"/>
        <v>16</v>
      </c>
      <c r="K29" s="4">
        <v>42102</v>
      </c>
      <c r="L29" s="3" t="s">
        <v>26</v>
      </c>
      <c r="M29" s="3" t="s">
        <v>2</v>
      </c>
      <c r="N29" s="3" t="s">
        <v>35</v>
      </c>
      <c r="O29" s="3">
        <v>5</v>
      </c>
      <c r="P29" s="5">
        <v>20</v>
      </c>
      <c r="W29" s="4">
        <v>42174</v>
      </c>
      <c r="X29" s="3" t="s">
        <v>29</v>
      </c>
      <c r="Y29" s="3" t="s">
        <v>5</v>
      </c>
      <c r="Z29" s="3" t="s">
        <v>28</v>
      </c>
      <c r="AA29" s="3">
        <v>40</v>
      </c>
      <c r="AB29" s="5">
        <v>80</v>
      </c>
    </row>
    <row r="30" spans="1:28" x14ac:dyDescent="0.25">
      <c r="A30" s="4">
        <v>42043</v>
      </c>
      <c r="B30" s="3" t="s">
        <v>38</v>
      </c>
      <c r="C30" s="3" t="s">
        <v>2</v>
      </c>
      <c r="D30" s="3" t="s">
        <v>36</v>
      </c>
      <c r="E30" s="3">
        <v>20</v>
      </c>
      <c r="F30" s="5">
        <f t="shared" si="0"/>
        <v>30</v>
      </c>
      <c r="K30" s="4">
        <v>42127</v>
      </c>
      <c r="L30" s="3" t="s">
        <v>37</v>
      </c>
      <c r="M30" s="3" t="s">
        <v>10</v>
      </c>
      <c r="N30" s="3" t="s">
        <v>28</v>
      </c>
      <c r="O30" s="3">
        <v>29</v>
      </c>
      <c r="P30" s="5">
        <v>58</v>
      </c>
      <c r="W30" s="4">
        <v>42013</v>
      </c>
      <c r="X30" s="3" t="s">
        <v>38</v>
      </c>
      <c r="Y30" s="3" t="s">
        <v>2</v>
      </c>
      <c r="Z30" s="3" t="s">
        <v>28</v>
      </c>
      <c r="AA30" s="3">
        <v>29</v>
      </c>
      <c r="AB30" s="5">
        <v>58</v>
      </c>
    </row>
    <row r="31" spans="1:28" x14ac:dyDescent="0.25">
      <c r="A31" s="4">
        <v>42057</v>
      </c>
      <c r="B31" s="3" t="s">
        <v>38</v>
      </c>
      <c r="C31" s="3" t="s">
        <v>6</v>
      </c>
      <c r="D31" s="3" t="s">
        <v>30</v>
      </c>
      <c r="E31" s="3">
        <v>24</v>
      </c>
      <c r="F31" s="5">
        <f t="shared" si="0"/>
        <v>2.4000000000000004</v>
      </c>
      <c r="K31" s="4">
        <v>42138</v>
      </c>
      <c r="L31" s="3" t="s">
        <v>29</v>
      </c>
      <c r="M31" s="3" t="s">
        <v>10</v>
      </c>
      <c r="N31" s="3" t="s">
        <v>36</v>
      </c>
      <c r="O31" s="3">
        <v>18</v>
      </c>
      <c r="P31" s="5">
        <v>27</v>
      </c>
      <c r="W31" s="4">
        <v>42093</v>
      </c>
      <c r="X31" s="3" t="s">
        <v>29</v>
      </c>
      <c r="Y31" s="3" t="s">
        <v>5</v>
      </c>
      <c r="Z31" s="3" t="s">
        <v>28</v>
      </c>
      <c r="AA31" s="3">
        <v>15</v>
      </c>
      <c r="AB31" s="5">
        <v>30</v>
      </c>
    </row>
    <row r="32" spans="1:28" x14ac:dyDescent="0.25">
      <c r="A32" s="4">
        <v>42053</v>
      </c>
      <c r="B32" s="3" t="s">
        <v>26</v>
      </c>
      <c r="C32" s="3" t="s">
        <v>5</v>
      </c>
      <c r="D32" s="3" t="s">
        <v>31</v>
      </c>
      <c r="E32" s="3">
        <v>31</v>
      </c>
      <c r="F32" s="5">
        <f t="shared" si="0"/>
        <v>77.5</v>
      </c>
      <c r="K32" s="4">
        <v>42032</v>
      </c>
      <c r="L32" s="3" t="s">
        <v>39</v>
      </c>
      <c r="M32" s="3" t="s">
        <v>2</v>
      </c>
      <c r="N32" s="3" t="s">
        <v>35</v>
      </c>
      <c r="O32" s="3">
        <v>13</v>
      </c>
      <c r="P32" s="5">
        <v>52</v>
      </c>
      <c r="W32" s="4">
        <v>42097</v>
      </c>
      <c r="X32" s="3" t="s">
        <v>38</v>
      </c>
      <c r="Y32" s="3" t="s">
        <v>5</v>
      </c>
      <c r="Z32" s="3" t="s">
        <v>28</v>
      </c>
      <c r="AA32" s="3">
        <v>21</v>
      </c>
      <c r="AB32" s="5">
        <v>42</v>
      </c>
    </row>
    <row r="33" spans="1:28" x14ac:dyDescent="0.25">
      <c r="A33" s="4">
        <v>42059</v>
      </c>
      <c r="B33" s="3" t="s">
        <v>26</v>
      </c>
      <c r="C33" s="3" t="s">
        <v>6</v>
      </c>
      <c r="D33" s="3" t="s">
        <v>35</v>
      </c>
      <c r="E33" s="3">
        <v>49</v>
      </c>
      <c r="F33" s="5">
        <f t="shared" si="0"/>
        <v>196</v>
      </c>
      <c r="K33" s="4">
        <v>42173</v>
      </c>
      <c r="L33" s="3" t="s">
        <v>29</v>
      </c>
      <c r="M33" s="3" t="s">
        <v>10</v>
      </c>
      <c r="N33" s="3" t="s">
        <v>36</v>
      </c>
      <c r="O33" s="3">
        <v>17</v>
      </c>
      <c r="P33" s="5">
        <v>25.5</v>
      </c>
      <c r="W33" s="4">
        <v>42140</v>
      </c>
      <c r="X33" s="3" t="s">
        <v>32</v>
      </c>
      <c r="Y33" s="3" t="s">
        <v>10</v>
      </c>
      <c r="Z33" s="3" t="s">
        <v>28</v>
      </c>
      <c r="AA33" s="3">
        <v>16</v>
      </c>
      <c r="AB33" s="5">
        <v>32</v>
      </c>
    </row>
    <row r="34" spans="1:28" x14ac:dyDescent="0.25">
      <c r="A34" s="4">
        <v>42120</v>
      </c>
      <c r="B34" s="3" t="s">
        <v>39</v>
      </c>
      <c r="C34" s="3" t="s">
        <v>10</v>
      </c>
      <c r="D34" s="3" t="s">
        <v>27</v>
      </c>
      <c r="E34" s="3">
        <v>38</v>
      </c>
      <c r="F34" s="5">
        <f t="shared" si="0"/>
        <v>19</v>
      </c>
      <c r="K34" s="4">
        <v>42019</v>
      </c>
      <c r="L34" s="3" t="s">
        <v>39</v>
      </c>
      <c r="M34" s="3" t="s">
        <v>2</v>
      </c>
      <c r="N34" s="3" t="s">
        <v>36</v>
      </c>
      <c r="O34" s="3">
        <v>45</v>
      </c>
      <c r="P34" s="5">
        <v>67.5</v>
      </c>
      <c r="W34" s="4">
        <v>42019</v>
      </c>
      <c r="X34" s="3" t="s">
        <v>29</v>
      </c>
      <c r="Y34" s="3" t="s">
        <v>5</v>
      </c>
      <c r="Z34" s="3" t="s">
        <v>28</v>
      </c>
      <c r="AA34" s="3">
        <v>4</v>
      </c>
      <c r="AB34" s="5">
        <v>8</v>
      </c>
    </row>
    <row r="35" spans="1:28" x14ac:dyDescent="0.25">
      <c r="A35" s="4">
        <v>42026</v>
      </c>
      <c r="B35" s="3" t="s">
        <v>32</v>
      </c>
      <c r="C35" s="3" t="s">
        <v>6</v>
      </c>
      <c r="D35" s="3" t="s">
        <v>27</v>
      </c>
      <c r="E35" s="3">
        <v>31</v>
      </c>
      <c r="F35" s="5">
        <f t="shared" si="0"/>
        <v>15.5</v>
      </c>
      <c r="K35" s="4">
        <v>42017</v>
      </c>
      <c r="L35" s="3" t="s">
        <v>38</v>
      </c>
      <c r="M35" s="3" t="s">
        <v>2</v>
      </c>
      <c r="N35" s="3" t="s">
        <v>36</v>
      </c>
      <c r="O35" s="3">
        <v>11</v>
      </c>
      <c r="P35" s="5">
        <v>16.5</v>
      </c>
      <c r="W35" s="4">
        <v>42095</v>
      </c>
      <c r="X35" s="3" t="s">
        <v>39</v>
      </c>
      <c r="Y35" s="3" t="s">
        <v>19</v>
      </c>
      <c r="Z35" s="3" t="s">
        <v>28</v>
      </c>
      <c r="AA35" s="3">
        <v>5</v>
      </c>
      <c r="AB35" s="5">
        <v>10</v>
      </c>
    </row>
    <row r="36" spans="1:28" x14ac:dyDescent="0.25">
      <c r="A36" s="4">
        <v>42117</v>
      </c>
      <c r="B36" s="3" t="s">
        <v>39</v>
      </c>
      <c r="C36" s="3" t="s">
        <v>10</v>
      </c>
      <c r="D36" s="3" t="s">
        <v>28</v>
      </c>
      <c r="E36" s="3">
        <v>16</v>
      </c>
      <c r="F36" s="5">
        <f t="shared" si="0"/>
        <v>32</v>
      </c>
      <c r="K36" s="4">
        <v>42043</v>
      </c>
      <c r="L36" s="3" t="s">
        <v>38</v>
      </c>
      <c r="M36" s="3" t="s">
        <v>10</v>
      </c>
      <c r="N36" s="3" t="s">
        <v>36</v>
      </c>
      <c r="O36" s="3">
        <v>4</v>
      </c>
      <c r="P36" s="5">
        <v>6</v>
      </c>
      <c r="W36" s="4">
        <v>42127</v>
      </c>
      <c r="X36" s="3" t="s">
        <v>26</v>
      </c>
      <c r="Y36" s="3" t="s">
        <v>10</v>
      </c>
      <c r="Z36" s="3" t="s">
        <v>28</v>
      </c>
      <c r="AA36" s="3">
        <v>50</v>
      </c>
      <c r="AB36" s="5">
        <v>100</v>
      </c>
    </row>
    <row r="37" spans="1:28" x14ac:dyDescent="0.25">
      <c r="A37" s="4">
        <v>42135</v>
      </c>
      <c r="B37" s="3" t="s">
        <v>26</v>
      </c>
      <c r="C37" s="3" t="s">
        <v>5</v>
      </c>
      <c r="D37" s="3" t="s">
        <v>33</v>
      </c>
      <c r="E37" s="3">
        <v>47</v>
      </c>
      <c r="F37" s="5">
        <f t="shared" si="0"/>
        <v>235</v>
      </c>
      <c r="K37" s="4">
        <v>42076</v>
      </c>
      <c r="L37" s="3" t="s">
        <v>32</v>
      </c>
      <c r="M37" s="3" t="s">
        <v>2</v>
      </c>
      <c r="N37" s="3" t="s">
        <v>28</v>
      </c>
      <c r="O37" s="3">
        <v>29</v>
      </c>
      <c r="P37" s="5">
        <v>58</v>
      </c>
      <c r="W37" s="4">
        <v>42178</v>
      </c>
      <c r="X37" s="3" t="s">
        <v>39</v>
      </c>
      <c r="Y37" s="3" t="s">
        <v>10</v>
      </c>
      <c r="Z37" s="3" t="s">
        <v>28</v>
      </c>
      <c r="AA37" s="3">
        <v>44</v>
      </c>
      <c r="AB37" s="5">
        <v>88</v>
      </c>
    </row>
    <row r="38" spans="1:28" x14ac:dyDescent="0.25">
      <c r="A38" s="4">
        <v>42056</v>
      </c>
      <c r="B38" s="3" t="s">
        <v>39</v>
      </c>
      <c r="C38" s="3" t="s">
        <v>5</v>
      </c>
      <c r="D38" s="3" t="s">
        <v>34</v>
      </c>
      <c r="E38" s="3">
        <v>5</v>
      </c>
      <c r="F38" s="5">
        <f t="shared" si="0"/>
        <v>1</v>
      </c>
      <c r="K38" s="4">
        <v>42146</v>
      </c>
      <c r="L38" s="3" t="s">
        <v>39</v>
      </c>
      <c r="M38" s="3" t="s">
        <v>2</v>
      </c>
      <c r="N38" s="3" t="s">
        <v>28</v>
      </c>
      <c r="O38" s="3">
        <v>4</v>
      </c>
      <c r="P38" s="5">
        <v>8</v>
      </c>
      <c r="W38" s="4">
        <v>42018</v>
      </c>
      <c r="X38" s="3" t="s">
        <v>39</v>
      </c>
      <c r="Y38" s="3" t="s">
        <v>19</v>
      </c>
      <c r="Z38" s="3" t="s">
        <v>28</v>
      </c>
      <c r="AA38" s="3">
        <v>13</v>
      </c>
      <c r="AB38" s="5">
        <v>26</v>
      </c>
    </row>
    <row r="39" spans="1:28" x14ac:dyDescent="0.25">
      <c r="A39" s="4">
        <v>42171</v>
      </c>
      <c r="B39" s="3" t="s">
        <v>39</v>
      </c>
      <c r="C39" s="3" t="s">
        <v>6</v>
      </c>
      <c r="D39" s="3" t="s">
        <v>35</v>
      </c>
      <c r="E39" s="3">
        <v>11</v>
      </c>
      <c r="F39" s="5">
        <f t="shared" si="0"/>
        <v>44</v>
      </c>
      <c r="K39" s="4">
        <v>42169</v>
      </c>
      <c r="L39" s="3" t="s">
        <v>38</v>
      </c>
      <c r="M39" s="3" t="s">
        <v>2</v>
      </c>
      <c r="N39" s="3" t="s">
        <v>36</v>
      </c>
      <c r="O39" s="3">
        <v>5</v>
      </c>
      <c r="P39" s="5">
        <v>7.5</v>
      </c>
      <c r="W39" s="4">
        <v>42039</v>
      </c>
      <c r="X39" s="3" t="s">
        <v>26</v>
      </c>
      <c r="Y39" s="3" t="s">
        <v>10</v>
      </c>
      <c r="Z39" s="3" t="s">
        <v>28</v>
      </c>
      <c r="AA39" s="3">
        <v>8</v>
      </c>
      <c r="AB39" s="5">
        <v>16</v>
      </c>
    </row>
    <row r="40" spans="1:28" x14ac:dyDescent="0.25">
      <c r="A40" s="4">
        <v>42174</v>
      </c>
      <c r="B40" s="3" t="s">
        <v>29</v>
      </c>
      <c r="C40" s="3" t="s">
        <v>6</v>
      </c>
      <c r="D40" s="3" t="s">
        <v>33</v>
      </c>
      <c r="E40" s="3">
        <v>21</v>
      </c>
      <c r="F40" s="5">
        <f t="shared" si="0"/>
        <v>105</v>
      </c>
      <c r="K40" s="4">
        <v>42011</v>
      </c>
      <c r="L40" s="3" t="s">
        <v>29</v>
      </c>
      <c r="M40" s="3" t="s">
        <v>6</v>
      </c>
      <c r="N40" s="3" t="s">
        <v>35</v>
      </c>
      <c r="O40" s="3">
        <v>31</v>
      </c>
      <c r="P40" s="5">
        <v>124</v>
      </c>
      <c r="W40" s="4">
        <v>42167</v>
      </c>
      <c r="X40" s="3" t="s">
        <v>26</v>
      </c>
      <c r="Y40" s="3" t="s">
        <v>6</v>
      </c>
      <c r="Z40" s="3" t="s">
        <v>28</v>
      </c>
      <c r="AA40" s="3">
        <v>46</v>
      </c>
      <c r="AB40" s="5">
        <v>92</v>
      </c>
    </row>
    <row r="41" spans="1:28" x14ac:dyDescent="0.25">
      <c r="A41" s="4">
        <v>42167</v>
      </c>
      <c r="B41" s="3" t="s">
        <v>26</v>
      </c>
      <c r="C41" s="3" t="s">
        <v>2</v>
      </c>
      <c r="D41" s="3" t="s">
        <v>35</v>
      </c>
      <c r="E41" s="3">
        <v>49</v>
      </c>
      <c r="F41" s="5">
        <f t="shared" si="0"/>
        <v>196</v>
      </c>
      <c r="K41" s="4">
        <v>42152</v>
      </c>
      <c r="L41" s="3" t="s">
        <v>38</v>
      </c>
      <c r="M41" s="3" t="s">
        <v>10</v>
      </c>
      <c r="N41" s="3" t="s">
        <v>28</v>
      </c>
      <c r="O41" s="3">
        <v>12</v>
      </c>
      <c r="P41" s="5">
        <v>24</v>
      </c>
      <c r="W41" s="4">
        <v>42078</v>
      </c>
      <c r="X41" s="3" t="s">
        <v>37</v>
      </c>
      <c r="Y41" s="3" t="s">
        <v>19</v>
      </c>
      <c r="Z41" s="3" t="s">
        <v>28</v>
      </c>
      <c r="AA41" s="3">
        <v>31</v>
      </c>
      <c r="AB41" s="5">
        <v>62</v>
      </c>
    </row>
    <row r="42" spans="1:28" x14ac:dyDescent="0.25">
      <c r="A42" s="4">
        <v>42066</v>
      </c>
      <c r="B42" s="3" t="s">
        <v>26</v>
      </c>
      <c r="C42" s="3" t="s">
        <v>5</v>
      </c>
      <c r="D42" s="3" t="s">
        <v>28</v>
      </c>
      <c r="E42" s="3">
        <v>44</v>
      </c>
      <c r="F42" s="5">
        <f t="shared" si="0"/>
        <v>88</v>
      </c>
      <c r="K42" s="4">
        <v>42161</v>
      </c>
      <c r="L42" s="3" t="s">
        <v>32</v>
      </c>
      <c r="M42" s="3" t="s">
        <v>6</v>
      </c>
      <c r="N42" s="3" t="s">
        <v>28</v>
      </c>
      <c r="O42" s="3">
        <v>25</v>
      </c>
      <c r="P42" s="5">
        <v>50</v>
      </c>
      <c r="W42" s="4">
        <v>42159</v>
      </c>
      <c r="X42" s="3" t="s">
        <v>32</v>
      </c>
      <c r="Y42" s="3" t="s">
        <v>2</v>
      </c>
      <c r="Z42" s="3" t="s">
        <v>28</v>
      </c>
      <c r="AA42" s="3">
        <v>24</v>
      </c>
      <c r="AB42" s="5">
        <v>48</v>
      </c>
    </row>
    <row r="43" spans="1:28" x14ac:dyDescent="0.25">
      <c r="A43" s="4">
        <v>42040</v>
      </c>
      <c r="B43" s="3" t="s">
        <v>37</v>
      </c>
      <c r="C43" s="3" t="s">
        <v>6</v>
      </c>
      <c r="D43" s="3" t="s">
        <v>36</v>
      </c>
      <c r="E43" s="3">
        <v>27</v>
      </c>
      <c r="F43" s="5">
        <f t="shared" si="0"/>
        <v>40.5</v>
      </c>
      <c r="K43" s="4">
        <v>42118</v>
      </c>
      <c r="L43" s="3" t="s">
        <v>38</v>
      </c>
      <c r="M43" s="3" t="s">
        <v>5</v>
      </c>
      <c r="N43" s="3" t="s">
        <v>35</v>
      </c>
      <c r="O43" s="3">
        <v>48</v>
      </c>
      <c r="P43" s="5">
        <v>192</v>
      </c>
      <c r="W43" s="4">
        <v>42138</v>
      </c>
      <c r="X43" s="3" t="s">
        <v>26</v>
      </c>
      <c r="Y43" s="3" t="s">
        <v>6</v>
      </c>
      <c r="Z43" s="3" t="s">
        <v>28</v>
      </c>
      <c r="AA43" s="3">
        <v>26</v>
      </c>
      <c r="AB43" s="5">
        <v>52</v>
      </c>
    </row>
    <row r="44" spans="1:28" x14ac:dyDescent="0.25">
      <c r="A44" s="4">
        <v>42142</v>
      </c>
      <c r="B44" s="3" t="s">
        <v>32</v>
      </c>
      <c r="C44" s="3" t="s">
        <v>6</v>
      </c>
      <c r="D44" s="3" t="s">
        <v>36</v>
      </c>
      <c r="E44" s="3">
        <v>30</v>
      </c>
      <c r="F44" s="5">
        <f t="shared" si="0"/>
        <v>45</v>
      </c>
      <c r="K44" s="4">
        <v>42141</v>
      </c>
      <c r="L44" s="3" t="s">
        <v>38</v>
      </c>
      <c r="M44" s="3" t="s">
        <v>10</v>
      </c>
      <c r="N44" s="3" t="s">
        <v>35</v>
      </c>
      <c r="O44" s="3">
        <v>32</v>
      </c>
      <c r="P44" s="5">
        <v>128</v>
      </c>
      <c r="W44" s="4">
        <v>42096</v>
      </c>
      <c r="X44" s="3" t="s">
        <v>29</v>
      </c>
      <c r="Y44" s="3" t="s">
        <v>5</v>
      </c>
      <c r="Z44" s="3" t="s">
        <v>28</v>
      </c>
      <c r="AA44" s="3">
        <v>43</v>
      </c>
      <c r="AB44" s="5">
        <v>86</v>
      </c>
    </row>
    <row r="45" spans="1:28" x14ac:dyDescent="0.25">
      <c r="A45" s="4">
        <v>42172</v>
      </c>
      <c r="B45" s="3" t="s">
        <v>26</v>
      </c>
      <c r="C45" s="3" t="s">
        <v>10</v>
      </c>
      <c r="D45" s="3" t="s">
        <v>36</v>
      </c>
      <c r="E45" s="3">
        <v>31</v>
      </c>
      <c r="F45" s="5">
        <f t="shared" si="0"/>
        <v>46.5</v>
      </c>
      <c r="K45" s="4">
        <v>42090</v>
      </c>
      <c r="L45" s="3" t="s">
        <v>26</v>
      </c>
      <c r="M45" s="3" t="s">
        <v>6</v>
      </c>
      <c r="N45" s="3" t="s">
        <v>35</v>
      </c>
      <c r="O45" s="3">
        <v>50</v>
      </c>
      <c r="P45" s="5">
        <v>200</v>
      </c>
      <c r="W45" s="4">
        <v>42054</v>
      </c>
      <c r="X45" s="3" t="s">
        <v>37</v>
      </c>
      <c r="Y45" s="3" t="s">
        <v>19</v>
      </c>
      <c r="Z45" s="3" t="s">
        <v>28</v>
      </c>
      <c r="AA45" s="3">
        <v>1</v>
      </c>
      <c r="AB45" s="5">
        <v>2</v>
      </c>
    </row>
    <row r="46" spans="1:28" x14ac:dyDescent="0.25">
      <c r="A46" s="4">
        <v>42118</v>
      </c>
      <c r="B46" s="3" t="s">
        <v>39</v>
      </c>
      <c r="C46" s="3" t="s">
        <v>6</v>
      </c>
      <c r="D46" s="3" t="s">
        <v>27</v>
      </c>
      <c r="E46" s="3">
        <v>3</v>
      </c>
      <c r="F46" s="5">
        <f t="shared" si="0"/>
        <v>1.5</v>
      </c>
      <c r="K46" s="4">
        <v>42123</v>
      </c>
      <c r="L46" s="3" t="s">
        <v>29</v>
      </c>
      <c r="M46" s="3" t="s">
        <v>6</v>
      </c>
      <c r="N46" s="3" t="s">
        <v>35</v>
      </c>
      <c r="O46" s="3">
        <v>36</v>
      </c>
      <c r="P46" s="5">
        <v>144</v>
      </c>
      <c r="W46" s="4">
        <v>42176</v>
      </c>
      <c r="X46" s="3" t="s">
        <v>32</v>
      </c>
      <c r="Y46" s="3" t="s">
        <v>10</v>
      </c>
      <c r="Z46" s="3" t="s">
        <v>28</v>
      </c>
      <c r="AA46" s="3">
        <v>4</v>
      </c>
      <c r="AB46" s="5">
        <v>8</v>
      </c>
    </row>
    <row r="47" spans="1:28" x14ac:dyDescent="0.25">
      <c r="A47" s="4">
        <v>42180</v>
      </c>
      <c r="B47" s="3" t="s">
        <v>38</v>
      </c>
      <c r="C47" s="3" t="s">
        <v>19</v>
      </c>
      <c r="D47" s="3" t="s">
        <v>28</v>
      </c>
      <c r="E47" s="3">
        <v>9</v>
      </c>
      <c r="F47" s="5">
        <f t="shared" si="0"/>
        <v>18</v>
      </c>
      <c r="K47" s="4">
        <v>42182</v>
      </c>
      <c r="L47" s="3" t="s">
        <v>38</v>
      </c>
      <c r="M47" s="3" t="s">
        <v>6</v>
      </c>
      <c r="N47" s="3" t="s">
        <v>28</v>
      </c>
      <c r="O47" s="3">
        <v>36</v>
      </c>
      <c r="P47" s="5">
        <v>72</v>
      </c>
      <c r="W47" s="4">
        <v>42093</v>
      </c>
      <c r="X47" s="3" t="s">
        <v>39</v>
      </c>
      <c r="Y47" s="3" t="s">
        <v>10</v>
      </c>
      <c r="Z47" s="3" t="s">
        <v>28</v>
      </c>
      <c r="AA47" s="3">
        <v>29</v>
      </c>
      <c r="AB47" s="5">
        <v>58</v>
      </c>
    </row>
    <row r="48" spans="1:28" x14ac:dyDescent="0.25">
      <c r="A48" s="4">
        <v>42114</v>
      </c>
      <c r="B48" s="3" t="s">
        <v>26</v>
      </c>
      <c r="C48" s="3" t="s">
        <v>19</v>
      </c>
      <c r="D48" s="3" t="s">
        <v>36</v>
      </c>
      <c r="E48" s="3">
        <v>50</v>
      </c>
      <c r="F48" s="5">
        <f t="shared" si="0"/>
        <v>75</v>
      </c>
      <c r="K48" s="4">
        <v>42126</v>
      </c>
      <c r="L48" s="3" t="s">
        <v>29</v>
      </c>
      <c r="M48" s="3" t="s">
        <v>2</v>
      </c>
      <c r="N48" s="3" t="s">
        <v>35</v>
      </c>
      <c r="O48" s="3">
        <v>5</v>
      </c>
      <c r="P48" s="5">
        <v>20</v>
      </c>
      <c r="W48" s="4">
        <v>42028</v>
      </c>
      <c r="X48" s="3" t="s">
        <v>37</v>
      </c>
      <c r="Y48" s="3" t="s">
        <v>5</v>
      </c>
      <c r="Z48" s="3" t="s">
        <v>28</v>
      </c>
      <c r="AA48" s="3">
        <v>2</v>
      </c>
      <c r="AB48" s="5">
        <v>4</v>
      </c>
    </row>
    <row r="49" spans="1:28" x14ac:dyDescent="0.25">
      <c r="A49" s="4">
        <v>42026</v>
      </c>
      <c r="B49" s="3" t="s">
        <v>32</v>
      </c>
      <c r="C49" s="3" t="s">
        <v>2</v>
      </c>
      <c r="D49" s="3" t="s">
        <v>33</v>
      </c>
      <c r="E49" s="3">
        <v>24</v>
      </c>
      <c r="F49" s="5">
        <f t="shared" si="0"/>
        <v>120</v>
      </c>
      <c r="K49" s="4">
        <v>42169</v>
      </c>
      <c r="L49" s="3" t="s">
        <v>37</v>
      </c>
      <c r="M49" s="3" t="s">
        <v>5</v>
      </c>
      <c r="N49" s="3" t="s">
        <v>28</v>
      </c>
      <c r="O49" s="3">
        <v>44</v>
      </c>
      <c r="P49" s="5">
        <v>88</v>
      </c>
      <c r="W49" s="4">
        <v>42055</v>
      </c>
      <c r="X49" s="3" t="s">
        <v>38</v>
      </c>
      <c r="Y49" s="3" t="s">
        <v>19</v>
      </c>
      <c r="Z49" s="3" t="s">
        <v>28</v>
      </c>
      <c r="AA49" s="3">
        <v>14</v>
      </c>
      <c r="AB49" s="5">
        <v>28</v>
      </c>
    </row>
    <row r="50" spans="1:28" x14ac:dyDescent="0.25">
      <c r="A50" s="4">
        <v>42087</v>
      </c>
      <c r="B50" s="3" t="s">
        <v>39</v>
      </c>
      <c r="C50" s="3" t="s">
        <v>2</v>
      </c>
      <c r="D50" s="3" t="s">
        <v>36</v>
      </c>
      <c r="E50" s="3">
        <v>29</v>
      </c>
      <c r="F50" s="5">
        <f t="shared" si="0"/>
        <v>43.5</v>
      </c>
      <c r="K50" s="4">
        <v>42132</v>
      </c>
      <c r="L50" s="3" t="s">
        <v>37</v>
      </c>
      <c r="M50" s="3" t="s">
        <v>2</v>
      </c>
      <c r="N50" s="3" t="s">
        <v>35</v>
      </c>
      <c r="O50" s="3">
        <v>22</v>
      </c>
      <c r="P50" s="5">
        <v>88</v>
      </c>
      <c r="W50" s="4">
        <v>42020</v>
      </c>
      <c r="X50" s="3" t="s">
        <v>37</v>
      </c>
      <c r="Y50" s="3" t="s">
        <v>2</v>
      </c>
      <c r="Z50" s="3" t="s">
        <v>28</v>
      </c>
      <c r="AA50" s="3">
        <v>26</v>
      </c>
      <c r="AB50" s="5">
        <v>52</v>
      </c>
    </row>
    <row r="51" spans="1:28" x14ac:dyDescent="0.25">
      <c r="A51" s="4">
        <v>42102</v>
      </c>
      <c r="B51" s="3" t="s">
        <v>26</v>
      </c>
      <c r="C51" s="3" t="s">
        <v>2</v>
      </c>
      <c r="D51" s="3" t="s">
        <v>35</v>
      </c>
      <c r="E51" s="3">
        <v>5</v>
      </c>
      <c r="F51" s="5">
        <f t="shared" si="0"/>
        <v>20</v>
      </c>
      <c r="K51" s="4">
        <v>42180</v>
      </c>
      <c r="L51" s="3" t="s">
        <v>26</v>
      </c>
      <c r="M51" s="3" t="s">
        <v>10</v>
      </c>
      <c r="N51" s="3" t="s">
        <v>35</v>
      </c>
      <c r="O51" s="3">
        <v>22</v>
      </c>
      <c r="P51" s="5">
        <v>88</v>
      </c>
      <c r="W51" s="4">
        <v>42137</v>
      </c>
      <c r="X51" s="3" t="s">
        <v>26</v>
      </c>
      <c r="Y51" s="3" t="s">
        <v>2</v>
      </c>
      <c r="Z51" s="3" t="s">
        <v>28</v>
      </c>
      <c r="AA51" s="3">
        <v>35</v>
      </c>
      <c r="AB51" s="5">
        <v>70</v>
      </c>
    </row>
    <row r="52" spans="1:28" x14ac:dyDescent="0.25">
      <c r="A52" s="4">
        <v>42127</v>
      </c>
      <c r="B52" s="3" t="s">
        <v>37</v>
      </c>
      <c r="C52" s="3" t="s">
        <v>10</v>
      </c>
      <c r="D52" s="3" t="s">
        <v>28</v>
      </c>
      <c r="E52" s="3">
        <v>29</v>
      </c>
      <c r="F52" s="5">
        <f t="shared" si="0"/>
        <v>58</v>
      </c>
      <c r="K52" s="4">
        <v>42046</v>
      </c>
      <c r="L52" s="3" t="s">
        <v>37</v>
      </c>
      <c r="M52" s="3" t="s">
        <v>6</v>
      </c>
      <c r="N52" s="3" t="s">
        <v>35</v>
      </c>
      <c r="O52" s="3">
        <v>49</v>
      </c>
      <c r="P52" s="5">
        <v>196</v>
      </c>
      <c r="W52" s="4">
        <v>42149</v>
      </c>
      <c r="X52" s="3" t="s">
        <v>37</v>
      </c>
      <c r="Y52" s="3" t="s">
        <v>19</v>
      </c>
      <c r="Z52" s="3" t="s">
        <v>28</v>
      </c>
      <c r="AA52" s="3">
        <v>26</v>
      </c>
      <c r="AB52" s="5">
        <v>52</v>
      </c>
    </row>
    <row r="53" spans="1:28" x14ac:dyDescent="0.25">
      <c r="A53" s="4">
        <v>42150</v>
      </c>
      <c r="B53" s="3" t="s">
        <v>32</v>
      </c>
      <c r="C53" s="3" t="s">
        <v>5</v>
      </c>
      <c r="D53" s="3" t="s">
        <v>30</v>
      </c>
      <c r="E53" s="3">
        <v>37</v>
      </c>
      <c r="F53" s="5">
        <f t="shared" si="0"/>
        <v>3.7</v>
      </c>
      <c r="K53" s="4">
        <v>42039</v>
      </c>
      <c r="L53" s="3" t="s">
        <v>37</v>
      </c>
      <c r="M53" s="3" t="s">
        <v>19</v>
      </c>
      <c r="N53" s="3" t="s">
        <v>35</v>
      </c>
      <c r="O53" s="3">
        <v>24</v>
      </c>
      <c r="P53" s="5">
        <v>96</v>
      </c>
      <c r="W53" s="4">
        <v>42183</v>
      </c>
      <c r="X53" s="3" t="s">
        <v>32</v>
      </c>
      <c r="Y53" s="3" t="s">
        <v>6</v>
      </c>
      <c r="Z53" s="3" t="s">
        <v>28</v>
      </c>
      <c r="AA53" s="3">
        <v>50</v>
      </c>
      <c r="AB53" s="5">
        <v>100</v>
      </c>
    </row>
    <row r="54" spans="1:28" x14ac:dyDescent="0.25">
      <c r="A54" s="4">
        <v>42070</v>
      </c>
      <c r="B54" s="3" t="s">
        <v>26</v>
      </c>
      <c r="C54" s="3" t="s">
        <v>6</v>
      </c>
      <c r="D54" s="3" t="s">
        <v>27</v>
      </c>
      <c r="E54" s="3">
        <v>44</v>
      </c>
      <c r="F54" s="5">
        <f t="shared" si="0"/>
        <v>22</v>
      </c>
      <c r="K54" s="4">
        <v>42136</v>
      </c>
      <c r="L54" s="3" t="s">
        <v>38</v>
      </c>
      <c r="M54" s="3" t="s">
        <v>10</v>
      </c>
      <c r="N54" s="3" t="s">
        <v>36</v>
      </c>
      <c r="O54" s="3">
        <v>26</v>
      </c>
      <c r="P54" s="5">
        <v>39</v>
      </c>
      <c r="W54" s="4">
        <v>42064</v>
      </c>
      <c r="X54" s="3" t="s">
        <v>29</v>
      </c>
      <c r="Y54" s="3" t="s">
        <v>6</v>
      </c>
      <c r="Z54" s="3" t="s">
        <v>28</v>
      </c>
      <c r="AA54" s="3">
        <v>17</v>
      </c>
      <c r="AB54" s="5">
        <v>34</v>
      </c>
    </row>
    <row r="55" spans="1:28" x14ac:dyDescent="0.25">
      <c r="A55" s="4">
        <v>42138</v>
      </c>
      <c r="B55" s="3" t="s">
        <v>29</v>
      </c>
      <c r="C55" s="3" t="s">
        <v>10</v>
      </c>
      <c r="D55" s="3" t="s">
        <v>36</v>
      </c>
      <c r="E55" s="3">
        <v>18</v>
      </c>
      <c r="F55" s="5">
        <f t="shared" si="0"/>
        <v>27</v>
      </c>
      <c r="K55" s="4">
        <v>42121</v>
      </c>
      <c r="L55" s="3" t="s">
        <v>39</v>
      </c>
      <c r="M55" s="3" t="s">
        <v>19</v>
      </c>
      <c r="N55" s="3" t="s">
        <v>36</v>
      </c>
      <c r="O55" s="3">
        <v>24</v>
      </c>
      <c r="P55" s="5">
        <v>36</v>
      </c>
      <c r="W55" s="4">
        <v>42057</v>
      </c>
      <c r="X55" s="3" t="s">
        <v>39</v>
      </c>
      <c r="Y55" s="3" t="s">
        <v>2</v>
      </c>
      <c r="Z55" s="3" t="s">
        <v>28</v>
      </c>
      <c r="AA55" s="3">
        <v>30</v>
      </c>
      <c r="AB55" s="5">
        <v>60</v>
      </c>
    </row>
    <row r="56" spans="1:28" x14ac:dyDescent="0.25">
      <c r="A56" s="4">
        <v>42032</v>
      </c>
      <c r="B56" s="3" t="s">
        <v>39</v>
      </c>
      <c r="C56" s="3" t="s">
        <v>2</v>
      </c>
      <c r="D56" s="3" t="s">
        <v>35</v>
      </c>
      <c r="E56" s="3">
        <v>13</v>
      </c>
      <c r="F56" s="5">
        <f t="shared" si="0"/>
        <v>52</v>
      </c>
      <c r="K56" s="4">
        <v>42184</v>
      </c>
      <c r="L56" s="3" t="s">
        <v>38</v>
      </c>
      <c r="M56" s="3" t="s">
        <v>2</v>
      </c>
      <c r="N56" s="3" t="s">
        <v>28</v>
      </c>
      <c r="O56" s="3">
        <v>41</v>
      </c>
      <c r="P56" s="5">
        <v>82</v>
      </c>
      <c r="W56" s="4">
        <v>42119</v>
      </c>
      <c r="X56" s="3" t="s">
        <v>26</v>
      </c>
      <c r="Y56" s="3" t="s">
        <v>10</v>
      </c>
      <c r="Z56" s="3" t="s">
        <v>28</v>
      </c>
      <c r="AA56" s="3">
        <v>1</v>
      </c>
      <c r="AB56" s="5">
        <v>2</v>
      </c>
    </row>
    <row r="57" spans="1:28" x14ac:dyDescent="0.25">
      <c r="A57" s="4">
        <v>42173</v>
      </c>
      <c r="B57" s="3" t="s">
        <v>29</v>
      </c>
      <c r="C57" s="3" t="s">
        <v>10</v>
      </c>
      <c r="D57" s="3" t="s">
        <v>36</v>
      </c>
      <c r="E57" s="3">
        <v>17</v>
      </c>
      <c r="F57" s="5">
        <f t="shared" si="0"/>
        <v>25.5</v>
      </c>
      <c r="K57" s="4">
        <v>42174</v>
      </c>
      <c r="L57" s="3" t="s">
        <v>29</v>
      </c>
      <c r="M57" s="3" t="s">
        <v>5</v>
      </c>
      <c r="N57" s="3" t="s">
        <v>28</v>
      </c>
      <c r="O57" s="3">
        <v>40</v>
      </c>
      <c r="P57" s="5">
        <v>80</v>
      </c>
      <c r="W57" s="4">
        <v>42053</v>
      </c>
      <c r="X57" s="3" t="s">
        <v>32</v>
      </c>
      <c r="Y57" s="3" t="s">
        <v>10</v>
      </c>
      <c r="Z57" s="3" t="s">
        <v>28</v>
      </c>
      <c r="AA57" s="3">
        <v>22</v>
      </c>
      <c r="AB57" s="5">
        <v>44</v>
      </c>
    </row>
    <row r="58" spans="1:28" x14ac:dyDescent="0.25">
      <c r="A58" s="4">
        <v>42019</v>
      </c>
      <c r="B58" s="3" t="s">
        <v>39</v>
      </c>
      <c r="C58" s="3" t="s">
        <v>2</v>
      </c>
      <c r="D58" s="3" t="s">
        <v>36</v>
      </c>
      <c r="E58" s="3">
        <v>45</v>
      </c>
      <c r="F58" s="5">
        <f t="shared" si="0"/>
        <v>67.5</v>
      </c>
      <c r="K58" s="4">
        <v>42013</v>
      </c>
      <c r="L58" s="3" t="s">
        <v>38</v>
      </c>
      <c r="M58" s="3" t="s">
        <v>2</v>
      </c>
      <c r="N58" s="3" t="s">
        <v>28</v>
      </c>
      <c r="O58" s="3">
        <v>29</v>
      </c>
      <c r="P58" s="5">
        <v>58</v>
      </c>
      <c r="W58" s="4">
        <v>42079</v>
      </c>
      <c r="X58" s="3" t="s">
        <v>38</v>
      </c>
      <c r="Y58" s="3" t="s">
        <v>5</v>
      </c>
      <c r="Z58" s="3" t="s">
        <v>28</v>
      </c>
      <c r="AA58" s="3">
        <v>44</v>
      </c>
      <c r="AB58" s="5">
        <v>88</v>
      </c>
    </row>
    <row r="59" spans="1:28" x14ac:dyDescent="0.25">
      <c r="A59" s="4">
        <v>42047</v>
      </c>
      <c r="B59" s="3" t="s">
        <v>37</v>
      </c>
      <c r="C59" s="3" t="s">
        <v>2</v>
      </c>
      <c r="D59" s="3" t="s">
        <v>33</v>
      </c>
      <c r="E59" s="3">
        <v>29</v>
      </c>
      <c r="F59" s="5">
        <f t="shared" si="0"/>
        <v>145</v>
      </c>
      <c r="K59" s="4">
        <v>42093</v>
      </c>
      <c r="L59" s="3" t="s">
        <v>29</v>
      </c>
      <c r="M59" s="3" t="s">
        <v>5</v>
      </c>
      <c r="N59" s="3" t="s">
        <v>28</v>
      </c>
      <c r="O59" s="3">
        <v>15</v>
      </c>
      <c r="P59" s="5">
        <v>30</v>
      </c>
      <c r="W59" s="4">
        <v>42046</v>
      </c>
      <c r="X59" s="3" t="s">
        <v>32</v>
      </c>
      <c r="Y59" s="3" t="s">
        <v>19</v>
      </c>
      <c r="Z59" s="3" t="s">
        <v>28</v>
      </c>
      <c r="AA59" s="3">
        <v>8</v>
      </c>
      <c r="AB59" s="5">
        <v>16</v>
      </c>
    </row>
    <row r="60" spans="1:28" x14ac:dyDescent="0.25">
      <c r="A60" s="4">
        <v>42017</v>
      </c>
      <c r="B60" s="3" t="s">
        <v>38</v>
      </c>
      <c r="C60" s="3" t="s">
        <v>2</v>
      </c>
      <c r="D60" s="3" t="s">
        <v>36</v>
      </c>
      <c r="E60" s="3">
        <v>11</v>
      </c>
      <c r="F60" s="5">
        <f t="shared" si="0"/>
        <v>16.5</v>
      </c>
      <c r="K60" s="4">
        <v>42097</v>
      </c>
      <c r="L60" s="3" t="s">
        <v>38</v>
      </c>
      <c r="M60" s="3" t="s">
        <v>5</v>
      </c>
      <c r="N60" s="3" t="s">
        <v>28</v>
      </c>
      <c r="O60" s="3">
        <v>21</v>
      </c>
      <c r="P60" s="5">
        <v>42</v>
      </c>
      <c r="W60" s="4">
        <v>42170</v>
      </c>
      <c r="X60" s="3" t="s">
        <v>26</v>
      </c>
      <c r="Y60" s="3" t="s">
        <v>19</v>
      </c>
      <c r="Z60" s="3" t="s">
        <v>28</v>
      </c>
      <c r="AA60" s="3">
        <v>3</v>
      </c>
      <c r="AB60" s="5">
        <v>6</v>
      </c>
    </row>
    <row r="61" spans="1:28" x14ac:dyDescent="0.25">
      <c r="A61" s="4">
        <v>42043</v>
      </c>
      <c r="B61" s="3" t="s">
        <v>38</v>
      </c>
      <c r="C61" s="3" t="s">
        <v>10</v>
      </c>
      <c r="D61" s="3" t="s">
        <v>36</v>
      </c>
      <c r="E61" s="3">
        <v>4</v>
      </c>
      <c r="F61" s="5">
        <f t="shared" si="0"/>
        <v>6</v>
      </c>
      <c r="K61" s="4">
        <v>42140</v>
      </c>
      <c r="L61" s="3" t="s">
        <v>32</v>
      </c>
      <c r="M61" s="3" t="s">
        <v>10</v>
      </c>
      <c r="N61" s="3" t="s">
        <v>28</v>
      </c>
      <c r="O61" s="3">
        <v>16</v>
      </c>
      <c r="P61" s="5">
        <v>32</v>
      </c>
      <c r="W61" s="4">
        <v>42040</v>
      </c>
      <c r="X61" s="3" t="s">
        <v>37</v>
      </c>
      <c r="Y61" s="3" t="s">
        <v>19</v>
      </c>
      <c r="Z61" s="3" t="s">
        <v>28</v>
      </c>
      <c r="AA61" s="3">
        <v>24</v>
      </c>
      <c r="AB61" s="5">
        <v>48</v>
      </c>
    </row>
    <row r="62" spans="1:28" x14ac:dyDescent="0.25">
      <c r="A62" s="4">
        <v>42160</v>
      </c>
      <c r="B62" s="3" t="s">
        <v>32</v>
      </c>
      <c r="C62" s="3" t="s">
        <v>6</v>
      </c>
      <c r="D62" s="3" t="s">
        <v>31</v>
      </c>
      <c r="E62" s="3">
        <v>10</v>
      </c>
      <c r="F62" s="5">
        <f t="shared" si="0"/>
        <v>25</v>
      </c>
      <c r="K62" s="4">
        <v>42019</v>
      </c>
      <c r="L62" s="3" t="s">
        <v>29</v>
      </c>
      <c r="M62" s="3" t="s">
        <v>5</v>
      </c>
      <c r="N62" s="3" t="s">
        <v>28</v>
      </c>
      <c r="O62" s="3">
        <v>4</v>
      </c>
      <c r="P62" s="5">
        <v>8</v>
      </c>
      <c r="W62" s="4">
        <v>42168</v>
      </c>
      <c r="X62" s="3" t="s">
        <v>32</v>
      </c>
      <c r="Y62" s="3" t="s">
        <v>2</v>
      </c>
      <c r="Z62" s="3" t="s">
        <v>28</v>
      </c>
      <c r="AA62" s="3">
        <v>39</v>
      </c>
      <c r="AB62" s="5">
        <v>78</v>
      </c>
    </row>
    <row r="63" spans="1:28" x14ac:dyDescent="0.25">
      <c r="A63" s="4">
        <v>42018</v>
      </c>
      <c r="B63" s="3" t="s">
        <v>29</v>
      </c>
      <c r="C63" s="3" t="s">
        <v>10</v>
      </c>
      <c r="D63" s="3" t="s">
        <v>33</v>
      </c>
      <c r="E63" s="3">
        <v>15</v>
      </c>
      <c r="F63" s="5">
        <f t="shared" si="0"/>
        <v>75</v>
      </c>
      <c r="K63" s="4">
        <v>42095</v>
      </c>
      <c r="L63" s="3" t="s">
        <v>39</v>
      </c>
      <c r="M63" s="3" t="s">
        <v>19</v>
      </c>
      <c r="N63" s="3" t="s">
        <v>28</v>
      </c>
      <c r="O63" s="3">
        <v>5</v>
      </c>
      <c r="P63" s="5">
        <v>10</v>
      </c>
      <c r="W63" s="4">
        <v>42102</v>
      </c>
      <c r="X63" s="3" t="s">
        <v>39</v>
      </c>
      <c r="Y63" s="3" t="s">
        <v>6</v>
      </c>
      <c r="Z63" s="3" t="s">
        <v>28</v>
      </c>
      <c r="AA63" s="3">
        <v>27</v>
      </c>
      <c r="AB63" s="5">
        <v>54</v>
      </c>
    </row>
    <row r="64" spans="1:28" x14ac:dyDescent="0.25">
      <c r="A64" s="4">
        <v>42076</v>
      </c>
      <c r="B64" s="3" t="s">
        <v>32</v>
      </c>
      <c r="C64" s="3" t="s">
        <v>2</v>
      </c>
      <c r="D64" s="3" t="s">
        <v>28</v>
      </c>
      <c r="E64" s="3">
        <v>29</v>
      </c>
      <c r="F64" s="5">
        <f t="shared" si="0"/>
        <v>58</v>
      </c>
      <c r="K64" s="4">
        <v>42011</v>
      </c>
      <c r="L64" s="3" t="s">
        <v>38</v>
      </c>
      <c r="M64" s="3" t="s">
        <v>5</v>
      </c>
      <c r="N64" s="3" t="s">
        <v>36</v>
      </c>
      <c r="O64" s="3">
        <v>17</v>
      </c>
      <c r="P64" s="5">
        <v>25.5</v>
      </c>
      <c r="W64" s="4">
        <v>42151</v>
      </c>
      <c r="X64" s="3" t="s">
        <v>32</v>
      </c>
      <c r="Y64" s="3" t="s">
        <v>10</v>
      </c>
      <c r="Z64" s="3" t="s">
        <v>28</v>
      </c>
      <c r="AA64" s="3">
        <v>48</v>
      </c>
      <c r="AB64" s="5">
        <v>96</v>
      </c>
    </row>
    <row r="65" spans="1:28" x14ac:dyDescent="0.25">
      <c r="A65" s="4">
        <v>42032</v>
      </c>
      <c r="B65" s="3" t="s">
        <v>32</v>
      </c>
      <c r="C65" s="3" t="s">
        <v>19</v>
      </c>
      <c r="D65" s="3" t="s">
        <v>27</v>
      </c>
      <c r="E65" s="3">
        <v>9</v>
      </c>
      <c r="F65" s="5">
        <f t="shared" si="0"/>
        <v>4.5</v>
      </c>
      <c r="K65" s="4">
        <v>42138</v>
      </c>
      <c r="L65" s="3" t="s">
        <v>39</v>
      </c>
      <c r="M65" s="3" t="s">
        <v>6</v>
      </c>
      <c r="N65" s="3" t="s">
        <v>36</v>
      </c>
      <c r="O65" s="3">
        <v>23</v>
      </c>
      <c r="P65" s="5">
        <v>34.5</v>
      </c>
      <c r="W65" s="4">
        <v>42136</v>
      </c>
      <c r="X65" s="3" t="s">
        <v>37</v>
      </c>
      <c r="Y65" s="3" t="s">
        <v>5</v>
      </c>
      <c r="Z65" s="3" t="s">
        <v>28</v>
      </c>
      <c r="AA65" s="3">
        <v>5</v>
      </c>
      <c r="AB65" s="5">
        <v>10</v>
      </c>
    </row>
    <row r="66" spans="1:28" x14ac:dyDescent="0.25">
      <c r="A66" s="4">
        <v>42021</v>
      </c>
      <c r="B66" s="3" t="s">
        <v>38</v>
      </c>
      <c r="C66" s="3" t="s">
        <v>6</v>
      </c>
      <c r="D66" s="3" t="s">
        <v>30</v>
      </c>
      <c r="E66" s="3">
        <v>21</v>
      </c>
      <c r="F66" s="5">
        <f t="shared" si="0"/>
        <v>2.1</v>
      </c>
      <c r="K66" s="4">
        <v>42184</v>
      </c>
      <c r="L66" s="3" t="s">
        <v>29</v>
      </c>
      <c r="M66" s="3" t="s">
        <v>6</v>
      </c>
      <c r="N66" s="3" t="s">
        <v>35</v>
      </c>
      <c r="O66" s="3">
        <v>50</v>
      </c>
      <c r="P66" s="5">
        <v>200</v>
      </c>
      <c r="W66" s="4">
        <v>42027</v>
      </c>
      <c r="X66" s="3" t="s">
        <v>37</v>
      </c>
      <c r="Y66" s="3" t="s">
        <v>10</v>
      </c>
      <c r="Z66" s="3" t="s">
        <v>28</v>
      </c>
      <c r="AA66" s="3">
        <v>45</v>
      </c>
      <c r="AB66" s="5">
        <v>90</v>
      </c>
    </row>
    <row r="67" spans="1:28" x14ac:dyDescent="0.25">
      <c r="A67" s="4">
        <v>42077</v>
      </c>
      <c r="B67" s="3" t="s">
        <v>39</v>
      </c>
      <c r="C67" s="3" t="s">
        <v>5</v>
      </c>
      <c r="D67" s="3" t="s">
        <v>34</v>
      </c>
      <c r="E67" s="3">
        <v>35</v>
      </c>
      <c r="F67" s="5">
        <f t="shared" si="0"/>
        <v>7</v>
      </c>
      <c r="K67" s="4">
        <v>42162</v>
      </c>
      <c r="L67" s="3" t="s">
        <v>26</v>
      </c>
      <c r="M67" s="3" t="s">
        <v>19</v>
      </c>
      <c r="N67" s="3" t="s">
        <v>35</v>
      </c>
      <c r="O67" s="3">
        <v>42</v>
      </c>
      <c r="P67" s="5">
        <v>168</v>
      </c>
      <c r="W67" s="4">
        <v>42088</v>
      </c>
      <c r="X67" s="3" t="s">
        <v>38</v>
      </c>
      <c r="Y67" s="3" t="s">
        <v>19</v>
      </c>
      <c r="Z67" s="3" t="s">
        <v>28</v>
      </c>
      <c r="AA67" s="3">
        <v>38</v>
      </c>
      <c r="AB67" s="5">
        <v>76</v>
      </c>
    </row>
    <row r="68" spans="1:28" x14ac:dyDescent="0.25">
      <c r="A68" s="4">
        <v>42070</v>
      </c>
      <c r="B68" s="3" t="s">
        <v>37</v>
      </c>
      <c r="C68" s="3" t="s">
        <v>6</v>
      </c>
      <c r="D68" s="3" t="s">
        <v>34</v>
      </c>
      <c r="E68" s="3">
        <v>21</v>
      </c>
      <c r="F68" s="5">
        <f t="shared" si="0"/>
        <v>4.2</v>
      </c>
      <c r="K68" s="4">
        <v>42127</v>
      </c>
      <c r="L68" s="3" t="s">
        <v>26</v>
      </c>
      <c r="M68" s="3" t="s">
        <v>10</v>
      </c>
      <c r="N68" s="3" t="s">
        <v>28</v>
      </c>
      <c r="O68" s="3">
        <v>50</v>
      </c>
      <c r="P68" s="5">
        <v>100</v>
      </c>
      <c r="W68" s="4">
        <v>42097</v>
      </c>
      <c r="X68" s="3" t="s">
        <v>32</v>
      </c>
      <c r="Y68" s="3" t="s">
        <v>2</v>
      </c>
      <c r="Z68" s="3" t="s">
        <v>28</v>
      </c>
      <c r="AA68" s="3">
        <v>17</v>
      </c>
      <c r="AB68" s="5">
        <v>34</v>
      </c>
    </row>
    <row r="69" spans="1:28" x14ac:dyDescent="0.25">
      <c r="A69" s="4">
        <v>42146</v>
      </c>
      <c r="B69" s="3" t="s">
        <v>39</v>
      </c>
      <c r="C69" s="3" t="s">
        <v>2</v>
      </c>
      <c r="D69" s="3" t="s">
        <v>28</v>
      </c>
      <c r="E69" s="3">
        <v>4</v>
      </c>
      <c r="F69" s="5">
        <f t="shared" si="0"/>
        <v>8</v>
      </c>
      <c r="K69" s="4">
        <v>42100</v>
      </c>
      <c r="L69" s="3" t="s">
        <v>39</v>
      </c>
      <c r="M69" s="3" t="s">
        <v>19</v>
      </c>
      <c r="N69" s="3" t="s">
        <v>35</v>
      </c>
      <c r="O69" s="3">
        <v>20</v>
      </c>
      <c r="P69" s="5">
        <v>80</v>
      </c>
      <c r="W69" s="4">
        <v>42183</v>
      </c>
      <c r="X69" s="3" t="s">
        <v>26</v>
      </c>
      <c r="Y69" s="3" t="s">
        <v>2</v>
      </c>
      <c r="Z69" s="3" t="s">
        <v>28</v>
      </c>
      <c r="AA69" s="3">
        <v>12</v>
      </c>
      <c r="AB69" s="5">
        <v>24</v>
      </c>
    </row>
    <row r="70" spans="1:28" x14ac:dyDescent="0.25">
      <c r="A70" s="4">
        <v>42169</v>
      </c>
      <c r="B70" s="3" t="s">
        <v>38</v>
      </c>
      <c r="C70" s="3" t="s">
        <v>2</v>
      </c>
      <c r="D70" s="3" t="s">
        <v>36</v>
      </c>
      <c r="E70" s="3">
        <v>5</v>
      </c>
      <c r="F70" s="5">
        <f t="shared" si="0"/>
        <v>7.5</v>
      </c>
      <c r="K70" s="4">
        <v>42125</v>
      </c>
      <c r="L70" s="3" t="s">
        <v>37</v>
      </c>
      <c r="M70" s="3" t="s">
        <v>2</v>
      </c>
      <c r="N70" s="3" t="s">
        <v>36</v>
      </c>
      <c r="O70" s="3">
        <v>36</v>
      </c>
      <c r="P70" s="5">
        <v>54</v>
      </c>
      <c r="W70" s="4">
        <v>42053</v>
      </c>
      <c r="X70" s="3" t="s">
        <v>39</v>
      </c>
      <c r="Y70" s="3" t="s">
        <v>2</v>
      </c>
      <c r="Z70" s="3" t="s">
        <v>28</v>
      </c>
      <c r="AA70" s="3">
        <v>46</v>
      </c>
      <c r="AB70" s="5">
        <v>92</v>
      </c>
    </row>
    <row r="71" spans="1:28" x14ac:dyDescent="0.25">
      <c r="A71" s="4">
        <v>42098</v>
      </c>
      <c r="B71" s="3" t="s">
        <v>37</v>
      </c>
      <c r="C71" s="3" t="s">
        <v>2</v>
      </c>
      <c r="D71" s="3" t="s">
        <v>30</v>
      </c>
      <c r="E71" s="3">
        <v>17</v>
      </c>
      <c r="F71" s="5">
        <f t="shared" ref="F71:F134" si="1">E71*VLOOKUP(D71,$R$6:$S$13,2,0)</f>
        <v>1.7000000000000002</v>
      </c>
      <c r="K71" s="4">
        <v>42107</v>
      </c>
      <c r="L71" s="3" t="s">
        <v>39</v>
      </c>
      <c r="M71" s="3" t="s">
        <v>5</v>
      </c>
      <c r="N71" s="3" t="s">
        <v>36</v>
      </c>
      <c r="O71" s="3">
        <v>47</v>
      </c>
      <c r="P71" s="5">
        <v>70.5</v>
      </c>
      <c r="W71" s="4">
        <v>42080</v>
      </c>
      <c r="X71" s="3" t="s">
        <v>38</v>
      </c>
      <c r="Y71" s="3" t="s">
        <v>5</v>
      </c>
      <c r="Z71" s="3" t="s">
        <v>28</v>
      </c>
      <c r="AA71" s="3">
        <v>22</v>
      </c>
      <c r="AB71" s="5">
        <v>44</v>
      </c>
    </row>
    <row r="72" spans="1:28" x14ac:dyDescent="0.25">
      <c r="A72" s="4">
        <v>42080</v>
      </c>
      <c r="B72" s="3" t="s">
        <v>38</v>
      </c>
      <c r="C72" s="3" t="s">
        <v>19</v>
      </c>
      <c r="D72" s="3" t="s">
        <v>27</v>
      </c>
      <c r="E72" s="3">
        <v>2</v>
      </c>
      <c r="F72" s="5">
        <f t="shared" si="1"/>
        <v>1</v>
      </c>
      <c r="K72" s="4">
        <v>42178</v>
      </c>
      <c r="L72" s="3" t="s">
        <v>39</v>
      </c>
      <c r="M72" s="3" t="s">
        <v>10</v>
      </c>
      <c r="N72" s="3" t="s">
        <v>28</v>
      </c>
      <c r="O72" s="3">
        <v>44</v>
      </c>
      <c r="P72" s="5">
        <v>88</v>
      </c>
      <c r="W72" s="4">
        <v>42118</v>
      </c>
      <c r="X72" s="3" t="s">
        <v>26</v>
      </c>
      <c r="Y72" s="3" t="s">
        <v>2</v>
      </c>
      <c r="Z72" s="3" t="s">
        <v>28</v>
      </c>
      <c r="AA72" s="3">
        <v>34</v>
      </c>
      <c r="AB72" s="5">
        <v>68</v>
      </c>
    </row>
    <row r="73" spans="1:28" x14ac:dyDescent="0.25">
      <c r="A73" s="4">
        <v>42132</v>
      </c>
      <c r="B73" s="3" t="s">
        <v>37</v>
      </c>
      <c r="C73" s="3" t="s">
        <v>5</v>
      </c>
      <c r="D73" s="3" t="s">
        <v>30</v>
      </c>
      <c r="E73" s="3">
        <v>11</v>
      </c>
      <c r="F73" s="5">
        <f t="shared" si="1"/>
        <v>1.1000000000000001</v>
      </c>
      <c r="K73" s="4">
        <v>42033</v>
      </c>
      <c r="L73" s="3" t="s">
        <v>37</v>
      </c>
      <c r="M73" s="3" t="s">
        <v>2</v>
      </c>
      <c r="N73" s="3" t="s">
        <v>35</v>
      </c>
      <c r="O73" s="3">
        <v>12</v>
      </c>
      <c r="P73" s="5">
        <v>48</v>
      </c>
      <c r="W73" s="4">
        <v>42180</v>
      </c>
      <c r="X73" s="3" t="s">
        <v>26</v>
      </c>
      <c r="Y73" s="3" t="s">
        <v>6</v>
      </c>
      <c r="Z73" s="3" t="s">
        <v>28</v>
      </c>
      <c r="AA73" s="3">
        <v>4</v>
      </c>
      <c r="AB73" s="5">
        <v>8</v>
      </c>
    </row>
    <row r="74" spans="1:28" x14ac:dyDescent="0.25">
      <c r="A74" s="4">
        <v>42145</v>
      </c>
      <c r="B74" s="3" t="s">
        <v>38</v>
      </c>
      <c r="C74" s="3" t="s">
        <v>10</v>
      </c>
      <c r="D74" s="3" t="s">
        <v>30</v>
      </c>
      <c r="E74" s="3">
        <v>37</v>
      </c>
      <c r="F74" s="5">
        <f t="shared" si="1"/>
        <v>3.7</v>
      </c>
      <c r="K74" s="4">
        <v>42093</v>
      </c>
      <c r="L74" s="3" t="s">
        <v>32</v>
      </c>
      <c r="M74" s="3" t="s">
        <v>6</v>
      </c>
      <c r="N74" s="3" t="s">
        <v>36</v>
      </c>
      <c r="O74" s="3">
        <v>19</v>
      </c>
      <c r="P74" s="5">
        <v>28.5</v>
      </c>
      <c r="W74" s="4">
        <v>42067</v>
      </c>
      <c r="X74" s="3" t="s">
        <v>37</v>
      </c>
      <c r="Y74" s="3" t="s">
        <v>2</v>
      </c>
      <c r="Z74" s="3" t="s">
        <v>28</v>
      </c>
      <c r="AA74" s="3">
        <v>41</v>
      </c>
      <c r="AB74" s="5">
        <v>82</v>
      </c>
    </row>
    <row r="75" spans="1:28" x14ac:dyDescent="0.25">
      <c r="A75" s="4">
        <v>42179</v>
      </c>
      <c r="B75" s="3" t="s">
        <v>37</v>
      </c>
      <c r="C75" s="3" t="s">
        <v>2</v>
      </c>
      <c r="D75" s="3" t="s">
        <v>34</v>
      </c>
      <c r="E75" s="3">
        <v>26</v>
      </c>
      <c r="F75" s="5">
        <f t="shared" si="1"/>
        <v>5.2</v>
      </c>
      <c r="K75" s="4">
        <v>42184</v>
      </c>
      <c r="L75" s="3" t="s">
        <v>32</v>
      </c>
      <c r="M75" s="3" t="s">
        <v>5</v>
      </c>
      <c r="N75" s="3" t="s">
        <v>36</v>
      </c>
      <c r="O75" s="3">
        <v>16</v>
      </c>
      <c r="P75" s="5">
        <v>24</v>
      </c>
      <c r="W75" s="4">
        <v>42057</v>
      </c>
      <c r="X75" s="3" t="s">
        <v>29</v>
      </c>
      <c r="Y75" s="3" t="s">
        <v>2</v>
      </c>
      <c r="Z75" s="3" t="s">
        <v>28</v>
      </c>
      <c r="AA75" s="3">
        <v>28</v>
      </c>
      <c r="AB75" s="5">
        <v>56</v>
      </c>
    </row>
    <row r="76" spans="1:28" x14ac:dyDescent="0.25">
      <c r="A76" s="4">
        <v>42016</v>
      </c>
      <c r="B76" s="3" t="s">
        <v>32</v>
      </c>
      <c r="C76" s="3" t="s">
        <v>19</v>
      </c>
      <c r="D76" s="3" t="s">
        <v>27</v>
      </c>
      <c r="E76" s="3">
        <v>45</v>
      </c>
      <c r="F76" s="5">
        <f t="shared" si="1"/>
        <v>22.5</v>
      </c>
      <c r="K76" s="4">
        <v>42018</v>
      </c>
      <c r="L76" s="3" t="s">
        <v>39</v>
      </c>
      <c r="M76" s="3" t="s">
        <v>19</v>
      </c>
      <c r="N76" s="3" t="s">
        <v>28</v>
      </c>
      <c r="O76" s="3">
        <v>13</v>
      </c>
      <c r="P76" s="5">
        <v>26</v>
      </c>
      <c r="W76" s="4">
        <v>42110</v>
      </c>
      <c r="X76" s="3" t="s">
        <v>39</v>
      </c>
      <c r="Y76" s="3" t="s">
        <v>10</v>
      </c>
      <c r="Z76" s="3" t="s">
        <v>28</v>
      </c>
      <c r="AA76" s="3">
        <v>46</v>
      </c>
      <c r="AB76" s="5">
        <v>92</v>
      </c>
    </row>
    <row r="77" spans="1:28" x14ac:dyDescent="0.25">
      <c r="A77" s="4">
        <v>42011</v>
      </c>
      <c r="B77" s="3" t="s">
        <v>29</v>
      </c>
      <c r="C77" s="3" t="s">
        <v>6</v>
      </c>
      <c r="D77" s="3" t="s">
        <v>35</v>
      </c>
      <c r="E77" s="3">
        <v>31</v>
      </c>
      <c r="F77" s="5">
        <f t="shared" si="1"/>
        <v>124</v>
      </c>
      <c r="K77" s="4">
        <v>42029</v>
      </c>
      <c r="L77" s="3" t="s">
        <v>37</v>
      </c>
      <c r="M77" s="3" t="s">
        <v>2</v>
      </c>
      <c r="N77" s="3" t="s">
        <v>36</v>
      </c>
      <c r="O77" s="3">
        <v>20</v>
      </c>
      <c r="P77" s="5">
        <v>30</v>
      </c>
      <c r="W77" s="4">
        <v>42179</v>
      </c>
      <c r="X77" s="3" t="s">
        <v>38</v>
      </c>
      <c r="Y77" s="3" t="s">
        <v>2</v>
      </c>
      <c r="Z77" s="3" t="s">
        <v>28</v>
      </c>
      <c r="AA77" s="3">
        <v>17</v>
      </c>
      <c r="AB77" s="5">
        <v>34</v>
      </c>
    </row>
    <row r="78" spans="1:28" x14ac:dyDescent="0.25">
      <c r="A78" s="4">
        <v>42107</v>
      </c>
      <c r="B78" s="3" t="s">
        <v>39</v>
      </c>
      <c r="C78" s="3" t="s">
        <v>6</v>
      </c>
      <c r="D78" s="3" t="s">
        <v>30</v>
      </c>
      <c r="E78" s="3">
        <v>25</v>
      </c>
      <c r="F78" s="5">
        <f t="shared" si="1"/>
        <v>2.5</v>
      </c>
      <c r="K78" s="4">
        <v>42083</v>
      </c>
      <c r="L78" s="3" t="s">
        <v>38</v>
      </c>
      <c r="M78" s="3" t="s">
        <v>5</v>
      </c>
      <c r="N78" s="3" t="s">
        <v>36</v>
      </c>
      <c r="O78" s="3">
        <v>34</v>
      </c>
      <c r="P78" s="5">
        <v>51</v>
      </c>
      <c r="W78" s="4">
        <v>42042</v>
      </c>
      <c r="X78" s="3" t="s">
        <v>39</v>
      </c>
      <c r="Y78" s="3" t="s">
        <v>10</v>
      </c>
      <c r="Z78" s="3" t="s">
        <v>28</v>
      </c>
      <c r="AA78" s="3">
        <v>37</v>
      </c>
      <c r="AB78" s="5">
        <v>74</v>
      </c>
    </row>
    <row r="79" spans="1:28" x14ac:dyDescent="0.25">
      <c r="A79" s="4">
        <v>42152</v>
      </c>
      <c r="B79" s="3" t="s">
        <v>38</v>
      </c>
      <c r="C79" s="3" t="s">
        <v>10</v>
      </c>
      <c r="D79" s="3" t="s">
        <v>28</v>
      </c>
      <c r="E79" s="3">
        <v>12</v>
      </c>
      <c r="F79" s="5">
        <f t="shared" si="1"/>
        <v>24</v>
      </c>
      <c r="K79" s="4">
        <v>42097</v>
      </c>
      <c r="L79" s="3" t="s">
        <v>29</v>
      </c>
      <c r="M79" s="3" t="s">
        <v>5</v>
      </c>
      <c r="N79" s="3" t="s">
        <v>36</v>
      </c>
      <c r="O79" s="3">
        <v>33</v>
      </c>
      <c r="P79" s="5">
        <v>49.5</v>
      </c>
      <c r="W79" s="4">
        <v>42181</v>
      </c>
      <c r="X79" s="3" t="s">
        <v>37</v>
      </c>
      <c r="Y79" s="3" t="s">
        <v>10</v>
      </c>
      <c r="Z79" s="3" t="s">
        <v>28</v>
      </c>
      <c r="AA79" s="3">
        <v>41</v>
      </c>
      <c r="AB79" s="5">
        <v>82</v>
      </c>
    </row>
    <row r="80" spans="1:28" x14ac:dyDescent="0.25">
      <c r="A80" s="4">
        <v>42161</v>
      </c>
      <c r="B80" s="3" t="s">
        <v>32</v>
      </c>
      <c r="C80" s="3" t="s">
        <v>6</v>
      </c>
      <c r="D80" s="3" t="s">
        <v>28</v>
      </c>
      <c r="E80" s="3">
        <v>25</v>
      </c>
      <c r="F80" s="5">
        <f t="shared" si="1"/>
        <v>50</v>
      </c>
      <c r="K80" s="4">
        <v>42039</v>
      </c>
      <c r="L80" s="3" t="s">
        <v>26</v>
      </c>
      <c r="M80" s="3" t="s">
        <v>10</v>
      </c>
      <c r="N80" s="3" t="s">
        <v>28</v>
      </c>
      <c r="O80" s="3">
        <v>8</v>
      </c>
      <c r="P80" s="5">
        <v>16</v>
      </c>
      <c r="W80" s="4">
        <v>42115</v>
      </c>
      <c r="X80" s="3" t="s">
        <v>26</v>
      </c>
      <c r="Y80" s="3" t="s">
        <v>10</v>
      </c>
      <c r="Z80" s="3" t="s">
        <v>28</v>
      </c>
      <c r="AA80" s="3">
        <v>48</v>
      </c>
      <c r="AB80" s="5">
        <v>96</v>
      </c>
    </row>
    <row r="81" spans="1:28" x14ac:dyDescent="0.25">
      <c r="A81" s="4">
        <v>42118</v>
      </c>
      <c r="B81" s="3" t="s">
        <v>38</v>
      </c>
      <c r="C81" s="3" t="s">
        <v>5</v>
      </c>
      <c r="D81" s="3" t="s">
        <v>35</v>
      </c>
      <c r="E81" s="3">
        <v>48</v>
      </c>
      <c r="F81" s="5">
        <f t="shared" si="1"/>
        <v>192</v>
      </c>
      <c r="K81" s="4">
        <v>42167</v>
      </c>
      <c r="L81" s="3" t="s">
        <v>26</v>
      </c>
      <c r="M81" s="3" t="s">
        <v>6</v>
      </c>
      <c r="N81" s="3" t="s">
        <v>28</v>
      </c>
      <c r="O81" s="3">
        <v>46</v>
      </c>
      <c r="P81" s="5">
        <v>92</v>
      </c>
      <c r="W81" s="4">
        <v>42057</v>
      </c>
      <c r="X81" s="3" t="s">
        <v>38</v>
      </c>
      <c r="Y81" s="3" t="s">
        <v>6</v>
      </c>
      <c r="Z81" s="3" t="s">
        <v>28</v>
      </c>
      <c r="AA81" s="3">
        <v>41</v>
      </c>
      <c r="AB81" s="5">
        <v>82</v>
      </c>
    </row>
    <row r="82" spans="1:28" x14ac:dyDescent="0.25">
      <c r="A82" s="4">
        <v>42141</v>
      </c>
      <c r="B82" s="3" t="s">
        <v>38</v>
      </c>
      <c r="C82" s="3" t="s">
        <v>10</v>
      </c>
      <c r="D82" s="3" t="s">
        <v>35</v>
      </c>
      <c r="E82" s="3">
        <v>32</v>
      </c>
      <c r="F82" s="5">
        <f t="shared" si="1"/>
        <v>128</v>
      </c>
      <c r="K82" s="4">
        <v>42078</v>
      </c>
      <c r="L82" s="3" t="s">
        <v>37</v>
      </c>
      <c r="M82" s="3" t="s">
        <v>19</v>
      </c>
      <c r="N82" s="3" t="s">
        <v>28</v>
      </c>
      <c r="O82" s="3">
        <v>31</v>
      </c>
      <c r="P82" s="5">
        <v>62</v>
      </c>
    </row>
    <row r="83" spans="1:28" x14ac:dyDescent="0.25">
      <c r="A83" s="4">
        <v>42064</v>
      </c>
      <c r="B83" s="3" t="s">
        <v>29</v>
      </c>
      <c r="C83" s="3" t="s">
        <v>5</v>
      </c>
      <c r="D83" s="3" t="s">
        <v>33</v>
      </c>
      <c r="E83" s="3">
        <v>4</v>
      </c>
      <c r="F83" s="5">
        <f t="shared" si="1"/>
        <v>20</v>
      </c>
      <c r="K83" s="4">
        <v>42157</v>
      </c>
      <c r="L83" s="3" t="s">
        <v>39</v>
      </c>
      <c r="M83" s="3" t="s">
        <v>6</v>
      </c>
      <c r="N83" s="3" t="s">
        <v>35</v>
      </c>
      <c r="O83" s="3">
        <v>3</v>
      </c>
      <c r="P83" s="5">
        <v>12</v>
      </c>
    </row>
    <row r="84" spans="1:28" x14ac:dyDescent="0.25">
      <c r="A84" s="4">
        <v>42141</v>
      </c>
      <c r="B84" s="3" t="s">
        <v>26</v>
      </c>
      <c r="C84" s="3" t="s">
        <v>6</v>
      </c>
      <c r="D84" s="3" t="s">
        <v>33</v>
      </c>
      <c r="E84" s="3">
        <v>35</v>
      </c>
      <c r="F84" s="5">
        <f t="shared" si="1"/>
        <v>175</v>
      </c>
      <c r="K84" s="4">
        <v>42159</v>
      </c>
      <c r="L84" s="3" t="s">
        <v>32</v>
      </c>
      <c r="M84" s="3" t="s">
        <v>2</v>
      </c>
      <c r="N84" s="3" t="s">
        <v>28</v>
      </c>
      <c r="O84" s="3">
        <v>24</v>
      </c>
      <c r="P84" s="5">
        <v>48</v>
      </c>
    </row>
    <row r="85" spans="1:28" x14ac:dyDescent="0.25">
      <c r="A85" s="4">
        <v>42090</v>
      </c>
      <c r="B85" s="3" t="s">
        <v>26</v>
      </c>
      <c r="C85" s="3" t="s">
        <v>6</v>
      </c>
      <c r="D85" s="3" t="s">
        <v>35</v>
      </c>
      <c r="E85" s="3">
        <v>50</v>
      </c>
      <c r="F85" s="5">
        <f t="shared" si="1"/>
        <v>200</v>
      </c>
      <c r="K85" s="4">
        <v>42122</v>
      </c>
      <c r="L85" s="3" t="s">
        <v>26</v>
      </c>
      <c r="M85" s="3" t="s">
        <v>10</v>
      </c>
      <c r="N85" s="3" t="s">
        <v>36</v>
      </c>
      <c r="O85" s="3">
        <v>32</v>
      </c>
      <c r="P85" s="5">
        <v>48</v>
      </c>
    </row>
    <row r="86" spans="1:28" x14ac:dyDescent="0.25">
      <c r="A86" s="4">
        <v>42052</v>
      </c>
      <c r="B86" s="3" t="s">
        <v>39</v>
      </c>
      <c r="C86" s="3" t="s">
        <v>2</v>
      </c>
      <c r="D86" s="3" t="s">
        <v>30</v>
      </c>
      <c r="E86" s="3">
        <v>27</v>
      </c>
      <c r="F86" s="5">
        <f t="shared" si="1"/>
        <v>2.7</v>
      </c>
      <c r="K86" s="4">
        <v>42158</v>
      </c>
      <c r="L86" s="3" t="s">
        <v>32</v>
      </c>
      <c r="M86" s="3" t="s">
        <v>10</v>
      </c>
      <c r="N86" s="3" t="s">
        <v>35</v>
      </c>
      <c r="O86" s="3">
        <v>17</v>
      </c>
      <c r="P86" s="5">
        <v>68</v>
      </c>
    </row>
    <row r="87" spans="1:28" x14ac:dyDescent="0.25">
      <c r="A87" s="4">
        <v>42123</v>
      </c>
      <c r="B87" s="3" t="s">
        <v>29</v>
      </c>
      <c r="C87" s="3" t="s">
        <v>6</v>
      </c>
      <c r="D87" s="3" t="s">
        <v>35</v>
      </c>
      <c r="E87" s="3">
        <v>36</v>
      </c>
      <c r="F87" s="5">
        <f t="shared" si="1"/>
        <v>144</v>
      </c>
      <c r="K87" s="4">
        <v>42152</v>
      </c>
      <c r="L87" s="3" t="s">
        <v>37</v>
      </c>
      <c r="M87" s="3" t="s">
        <v>5</v>
      </c>
      <c r="N87" s="3" t="s">
        <v>36</v>
      </c>
      <c r="O87" s="3">
        <v>6</v>
      </c>
      <c r="P87" s="5">
        <v>9</v>
      </c>
    </row>
    <row r="88" spans="1:28" x14ac:dyDescent="0.25">
      <c r="A88" s="4">
        <v>42182</v>
      </c>
      <c r="B88" s="3" t="s">
        <v>38</v>
      </c>
      <c r="C88" s="3" t="s">
        <v>6</v>
      </c>
      <c r="D88" s="3" t="s">
        <v>28</v>
      </c>
      <c r="E88" s="3">
        <v>36</v>
      </c>
      <c r="F88" s="5">
        <f t="shared" si="1"/>
        <v>72</v>
      </c>
      <c r="K88" s="4">
        <v>42124</v>
      </c>
      <c r="L88" s="3" t="s">
        <v>26</v>
      </c>
      <c r="M88" s="3" t="s">
        <v>19</v>
      </c>
      <c r="N88" s="3" t="s">
        <v>36</v>
      </c>
      <c r="O88" s="3">
        <v>28</v>
      </c>
      <c r="P88" s="5">
        <v>42</v>
      </c>
    </row>
    <row r="89" spans="1:28" x14ac:dyDescent="0.25">
      <c r="A89" s="4">
        <v>42126</v>
      </c>
      <c r="B89" s="3" t="s">
        <v>29</v>
      </c>
      <c r="C89" s="3" t="s">
        <v>2</v>
      </c>
      <c r="D89" s="3" t="s">
        <v>35</v>
      </c>
      <c r="E89" s="3">
        <v>5</v>
      </c>
      <c r="F89" s="5">
        <f t="shared" si="1"/>
        <v>20</v>
      </c>
      <c r="K89" s="4">
        <v>42153</v>
      </c>
      <c r="L89" s="3" t="s">
        <v>39</v>
      </c>
      <c r="M89" s="3" t="s">
        <v>6</v>
      </c>
      <c r="N89" s="3" t="s">
        <v>35</v>
      </c>
      <c r="O89" s="3">
        <v>26</v>
      </c>
      <c r="P89" s="5">
        <v>104</v>
      </c>
    </row>
    <row r="90" spans="1:28" x14ac:dyDescent="0.25">
      <c r="A90" s="4">
        <v>42050</v>
      </c>
      <c r="B90" s="3" t="s">
        <v>38</v>
      </c>
      <c r="C90" s="3" t="s">
        <v>19</v>
      </c>
      <c r="D90" s="3" t="s">
        <v>27</v>
      </c>
      <c r="E90" s="3">
        <v>11</v>
      </c>
      <c r="F90" s="5">
        <f t="shared" si="1"/>
        <v>5.5</v>
      </c>
      <c r="K90" s="4">
        <v>42138</v>
      </c>
      <c r="L90" s="3" t="s">
        <v>26</v>
      </c>
      <c r="M90" s="3" t="s">
        <v>6</v>
      </c>
      <c r="N90" s="3" t="s">
        <v>28</v>
      </c>
      <c r="O90" s="3">
        <v>26</v>
      </c>
      <c r="P90" s="5">
        <v>52</v>
      </c>
    </row>
    <row r="91" spans="1:28" x14ac:dyDescent="0.25">
      <c r="A91" s="4">
        <v>42072</v>
      </c>
      <c r="B91" s="3" t="s">
        <v>39</v>
      </c>
      <c r="C91" s="3" t="s">
        <v>10</v>
      </c>
      <c r="D91" s="3" t="s">
        <v>33</v>
      </c>
      <c r="E91" s="3">
        <v>7</v>
      </c>
      <c r="F91" s="5">
        <f t="shared" si="1"/>
        <v>35</v>
      </c>
      <c r="K91" s="4">
        <v>42122</v>
      </c>
      <c r="L91" s="3" t="s">
        <v>29</v>
      </c>
      <c r="M91" s="3" t="s">
        <v>2</v>
      </c>
      <c r="N91" s="3" t="s">
        <v>35</v>
      </c>
      <c r="O91" s="3">
        <v>22</v>
      </c>
      <c r="P91" s="5">
        <v>88</v>
      </c>
    </row>
    <row r="92" spans="1:28" x14ac:dyDescent="0.25">
      <c r="A92" s="4">
        <v>42035</v>
      </c>
      <c r="B92" s="3" t="s">
        <v>37</v>
      </c>
      <c r="C92" s="3" t="s">
        <v>5</v>
      </c>
      <c r="D92" s="3" t="s">
        <v>33</v>
      </c>
      <c r="E92" s="3">
        <v>40</v>
      </c>
      <c r="F92" s="5">
        <f t="shared" si="1"/>
        <v>200</v>
      </c>
      <c r="K92" s="4">
        <v>42014</v>
      </c>
      <c r="L92" s="3" t="s">
        <v>37</v>
      </c>
      <c r="M92" s="3" t="s">
        <v>10</v>
      </c>
      <c r="N92" s="3" t="s">
        <v>35</v>
      </c>
      <c r="O92" s="3">
        <v>11</v>
      </c>
      <c r="P92" s="5">
        <v>44</v>
      </c>
    </row>
    <row r="93" spans="1:28" x14ac:dyDescent="0.25">
      <c r="A93" s="4">
        <v>42169</v>
      </c>
      <c r="B93" s="3" t="s">
        <v>37</v>
      </c>
      <c r="C93" s="3" t="s">
        <v>5</v>
      </c>
      <c r="D93" s="3" t="s">
        <v>28</v>
      </c>
      <c r="E93" s="3">
        <v>44</v>
      </c>
      <c r="F93" s="5">
        <f t="shared" si="1"/>
        <v>88</v>
      </c>
      <c r="K93" s="4">
        <v>42147</v>
      </c>
      <c r="L93" s="3" t="s">
        <v>26</v>
      </c>
      <c r="M93" s="3" t="s">
        <v>6</v>
      </c>
      <c r="N93" s="3" t="s">
        <v>36</v>
      </c>
      <c r="O93" s="3">
        <v>49</v>
      </c>
      <c r="P93" s="5">
        <v>73.5</v>
      </c>
    </row>
    <row r="94" spans="1:28" x14ac:dyDescent="0.25">
      <c r="A94" s="4">
        <v>42133</v>
      </c>
      <c r="B94" s="3" t="s">
        <v>39</v>
      </c>
      <c r="C94" s="3" t="s">
        <v>2</v>
      </c>
      <c r="D94" s="3" t="s">
        <v>34</v>
      </c>
      <c r="E94" s="3">
        <v>50</v>
      </c>
      <c r="F94" s="5">
        <f t="shared" si="1"/>
        <v>10</v>
      </c>
      <c r="K94" s="4">
        <v>42086</v>
      </c>
      <c r="L94" s="3" t="s">
        <v>38</v>
      </c>
      <c r="M94" s="3" t="s">
        <v>6</v>
      </c>
      <c r="N94" s="3" t="s">
        <v>35</v>
      </c>
      <c r="O94" s="3">
        <v>18</v>
      </c>
      <c r="P94" s="5">
        <v>72</v>
      </c>
    </row>
    <row r="95" spans="1:28" x14ac:dyDescent="0.25">
      <c r="A95" s="4">
        <v>42132</v>
      </c>
      <c r="B95" s="3" t="s">
        <v>37</v>
      </c>
      <c r="C95" s="3" t="s">
        <v>2</v>
      </c>
      <c r="D95" s="3" t="s">
        <v>35</v>
      </c>
      <c r="E95" s="3">
        <v>22</v>
      </c>
      <c r="F95" s="5">
        <f t="shared" si="1"/>
        <v>88</v>
      </c>
      <c r="K95" s="4">
        <v>42105</v>
      </c>
      <c r="L95" s="3" t="s">
        <v>39</v>
      </c>
      <c r="M95" s="3" t="s">
        <v>6</v>
      </c>
      <c r="N95" s="3" t="s">
        <v>36</v>
      </c>
      <c r="O95" s="3">
        <v>5</v>
      </c>
      <c r="P95" s="5">
        <v>7.5</v>
      </c>
    </row>
    <row r="96" spans="1:28" x14ac:dyDescent="0.25">
      <c r="A96" s="4">
        <v>42091</v>
      </c>
      <c r="B96" s="3" t="s">
        <v>37</v>
      </c>
      <c r="C96" s="3" t="s">
        <v>10</v>
      </c>
      <c r="D96" s="3" t="s">
        <v>27</v>
      </c>
      <c r="E96" s="3">
        <v>35</v>
      </c>
      <c r="F96" s="5">
        <f t="shared" si="1"/>
        <v>17.5</v>
      </c>
      <c r="K96" s="4">
        <v>42096</v>
      </c>
      <c r="L96" s="3" t="s">
        <v>29</v>
      </c>
      <c r="M96" s="3" t="s">
        <v>5</v>
      </c>
      <c r="N96" s="3" t="s">
        <v>28</v>
      </c>
      <c r="O96" s="3">
        <v>43</v>
      </c>
      <c r="P96" s="5">
        <v>86</v>
      </c>
    </row>
    <row r="97" spans="1:16" x14ac:dyDescent="0.25">
      <c r="A97" s="4">
        <v>42180</v>
      </c>
      <c r="B97" s="3" t="s">
        <v>26</v>
      </c>
      <c r="C97" s="3" t="s">
        <v>10</v>
      </c>
      <c r="D97" s="3" t="s">
        <v>35</v>
      </c>
      <c r="E97" s="3">
        <v>22</v>
      </c>
      <c r="F97" s="5">
        <f t="shared" si="1"/>
        <v>88</v>
      </c>
      <c r="K97" s="4">
        <v>42130</v>
      </c>
      <c r="L97" s="3" t="s">
        <v>38</v>
      </c>
      <c r="M97" s="3" t="s">
        <v>10</v>
      </c>
      <c r="N97" s="3" t="s">
        <v>36</v>
      </c>
      <c r="O97" s="3">
        <v>45</v>
      </c>
      <c r="P97" s="5">
        <v>67.5</v>
      </c>
    </row>
    <row r="98" spans="1:16" x14ac:dyDescent="0.25">
      <c r="A98" s="4">
        <v>42172</v>
      </c>
      <c r="B98" s="3" t="s">
        <v>26</v>
      </c>
      <c r="C98" s="3" t="s">
        <v>5</v>
      </c>
      <c r="D98" s="3" t="s">
        <v>30</v>
      </c>
      <c r="E98" s="3">
        <v>6</v>
      </c>
      <c r="F98" s="5">
        <f t="shared" si="1"/>
        <v>0.60000000000000009</v>
      </c>
      <c r="K98" s="4">
        <v>42025</v>
      </c>
      <c r="L98" s="3" t="s">
        <v>32</v>
      </c>
      <c r="M98" s="3" t="s">
        <v>10</v>
      </c>
      <c r="N98" s="3" t="s">
        <v>35</v>
      </c>
      <c r="O98" s="3">
        <v>42</v>
      </c>
      <c r="P98" s="5">
        <v>168</v>
      </c>
    </row>
    <row r="99" spans="1:16" x14ac:dyDescent="0.25">
      <c r="A99" s="4">
        <v>42046</v>
      </c>
      <c r="B99" s="3" t="s">
        <v>37</v>
      </c>
      <c r="C99" s="3" t="s">
        <v>6</v>
      </c>
      <c r="D99" s="3" t="s">
        <v>35</v>
      </c>
      <c r="E99" s="3">
        <v>49</v>
      </c>
      <c r="F99" s="5">
        <f t="shared" si="1"/>
        <v>196</v>
      </c>
      <c r="K99" s="4">
        <v>42122</v>
      </c>
      <c r="L99" s="3" t="s">
        <v>39</v>
      </c>
      <c r="M99" s="3" t="s">
        <v>2</v>
      </c>
      <c r="N99" s="3" t="s">
        <v>36</v>
      </c>
      <c r="O99" s="3">
        <v>3</v>
      </c>
      <c r="P99" s="5">
        <v>4.5</v>
      </c>
    </row>
    <row r="100" spans="1:16" x14ac:dyDescent="0.25">
      <c r="A100" s="4">
        <v>42039</v>
      </c>
      <c r="B100" s="3" t="s">
        <v>37</v>
      </c>
      <c r="C100" s="3" t="s">
        <v>19</v>
      </c>
      <c r="D100" s="3" t="s">
        <v>35</v>
      </c>
      <c r="E100" s="3">
        <v>24</v>
      </c>
      <c r="F100" s="5">
        <f t="shared" si="1"/>
        <v>96</v>
      </c>
      <c r="K100" s="4">
        <v>42054</v>
      </c>
      <c r="L100" s="3" t="s">
        <v>37</v>
      </c>
      <c r="M100" s="3" t="s">
        <v>19</v>
      </c>
      <c r="N100" s="3" t="s">
        <v>28</v>
      </c>
      <c r="O100" s="3">
        <v>1</v>
      </c>
      <c r="P100" s="5">
        <v>2</v>
      </c>
    </row>
    <row r="101" spans="1:16" x14ac:dyDescent="0.25">
      <c r="A101" s="4">
        <v>42114</v>
      </c>
      <c r="B101" s="3" t="s">
        <v>26</v>
      </c>
      <c r="C101" s="3" t="s">
        <v>10</v>
      </c>
      <c r="D101" s="3" t="s">
        <v>31</v>
      </c>
      <c r="E101" s="3">
        <v>2</v>
      </c>
      <c r="F101" s="5">
        <f t="shared" si="1"/>
        <v>5</v>
      </c>
      <c r="K101" s="4">
        <v>42154</v>
      </c>
      <c r="L101" s="3" t="s">
        <v>38</v>
      </c>
      <c r="M101" s="3" t="s">
        <v>5</v>
      </c>
      <c r="N101" s="3" t="s">
        <v>35</v>
      </c>
      <c r="O101" s="3">
        <v>32</v>
      </c>
      <c r="P101" s="5">
        <v>128</v>
      </c>
    </row>
    <row r="102" spans="1:16" x14ac:dyDescent="0.25">
      <c r="A102" s="4">
        <v>42165</v>
      </c>
      <c r="B102" s="3" t="s">
        <v>37</v>
      </c>
      <c r="C102" s="3" t="s">
        <v>2</v>
      </c>
      <c r="D102" s="3" t="s">
        <v>34</v>
      </c>
      <c r="E102" s="3">
        <v>20</v>
      </c>
      <c r="F102" s="5">
        <f t="shared" si="1"/>
        <v>4</v>
      </c>
      <c r="K102" s="4">
        <v>42152</v>
      </c>
      <c r="L102" s="3" t="s">
        <v>37</v>
      </c>
      <c r="M102" s="3" t="s">
        <v>10</v>
      </c>
      <c r="N102" s="3" t="s">
        <v>36</v>
      </c>
      <c r="O102" s="3">
        <v>11</v>
      </c>
      <c r="P102" s="5">
        <v>16.5</v>
      </c>
    </row>
    <row r="103" spans="1:16" x14ac:dyDescent="0.25">
      <c r="A103" s="4">
        <v>42136</v>
      </c>
      <c r="B103" s="3" t="s">
        <v>38</v>
      </c>
      <c r="C103" s="3" t="s">
        <v>10</v>
      </c>
      <c r="D103" s="3" t="s">
        <v>36</v>
      </c>
      <c r="E103" s="3">
        <v>26</v>
      </c>
      <c r="F103" s="5">
        <f t="shared" si="1"/>
        <v>39</v>
      </c>
      <c r="K103" s="4">
        <v>42009</v>
      </c>
      <c r="L103" s="3" t="s">
        <v>32</v>
      </c>
      <c r="M103" s="3" t="s">
        <v>2</v>
      </c>
      <c r="N103" s="3" t="s">
        <v>35</v>
      </c>
      <c r="O103" s="3">
        <v>19</v>
      </c>
      <c r="P103" s="5">
        <v>76</v>
      </c>
    </row>
    <row r="104" spans="1:16" x14ac:dyDescent="0.25">
      <c r="A104" s="4">
        <v>42121</v>
      </c>
      <c r="B104" s="3" t="s">
        <v>39</v>
      </c>
      <c r="C104" s="3" t="s">
        <v>19</v>
      </c>
      <c r="D104" s="3" t="s">
        <v>36</v>
      </c>
      <c r="E104" s="3">
        <v>24</v>
      </c>
      <c r="F104" s="5">
        <f t="shared" si="1"/>
        <v>36</v>
      </c>
      <c r="K104" s="4">
        <v>42176</v>
      </c>
      <c r="L104" s="3" t="s">
        <v>32</v>
      </c>
      <c r="M104" s="3" t="s">
        <v>10</v>
      </c>
      <c r="N104" s="3" t="s">
        <v>28</v>
      </c>
      <c r="O104" s="3">
        <v>4</v>
      </c>
      <c r="P104" s="5">
        <v>8</v>
      </c>
    </row>
    <row r="105" spans="1:16" x14ac:dyDescent="0.25">
      <c r="A105" s="4">
        <v>42184</v>
      </c>
      <c r="B105" s="3" t="s">
        <v>38</v>
      </c>
      <c r="C105" s="3" t="s">
        <v>2</v>
      </c>
      <c r="D105" s="3" t="s">
        <v>28</v>
      </c>
      <c r="E105" s="3">
        <v>41</v>
      </c>
      <c r="F105" s="5">
        <f t="shared" si="1"/>
        <v>82</v>
      </c>
      <c r="K105" s="4">
        <v>42093</v>
      </c>
      <c r="L105" s="3" t="s">
        <v>39</v>
      </c>
      <c r="M105" s="3" t="s">
        <v>10</v>
      </c>
      <c r="N105" s="3" t="s">
        <v>28</v>
      </c>
      <c r="O105" s="3">
        <v>29</v>
      </c>
      <c r="P105" s="5">
        <v>58</v>
      </c>
    </row>
    <row r="106" spans="1:16" x14ac:dyDescent="0.25">
      <c r="A106" s="4">
        <v>42026</v>
      </c>
      <c r="B106" s="3" t="s">
        <v>26</v>
      </c>
      <c r="C106" s="3" t="s">
        <v>2</v>
      </c>
      <c r="D106" s="3" t="s">
        <v>31</v>
      </c>
      <c r="E106" s="3">
        <v>27</v>
      </c>
      <c r="F106" s="5">
        <f t="shared" si="1"/>
        <v>67.5</v>
      </c>
      <c r="K106" s="4">
        <v>42005</v>
      </c>
      <c r="L106" s="3" t="s">
        <v>37</v>
      </c>
      <c r="M106" s="3" t="s">
        <v>5</v>
      </c>
      <c r="N106" s="3" t="s">
        <v>35</v>
      </c>
      <c r="O106" s="3">
        <v>40</v>
      </c>
      <c r="P106" s="5">
        <v>160</v>
      </c>
    </row>
    <row r="107" spans="1:16" x14ac:dyDescent="0.25">
      <c r="A107" s="4">
        <v>42039</v>
      </c>
      <c r="B107" s="3" t="s">
        <v>29</v>
      </c>
      <c r="C107" s="3" t="s">
        <v>6</v>
      </c>
      <c r="D107" s="3" t="s">
        <v>31</v>
      </c>
      <c r="E107" s="3">
        <v>29</v>
      </c>
      <c r="F107" s="5">
        <f t="shared" si="1"/>
        <v>72.5</v>
      </c>
      <c r="K107" s="4">
        <v>42028</v>
      </c>
      <c r="L107" s="3" t="s">
        <v>37</v>
      </c>
      <c r="M107" s="3" t="s">
        <v>5</v>
      </c>
      <c r="N107" s="3" t="s">
        <v>28</v>
      </c>
      <c r="O107" s="3">
        <v>2</v>
      </c>
      <c r="P107" s="5">
        <v>4</v>
      </c>
    </row>
    <row r="108" spans="1:16" x14ac:dyDescent="0.25">
      <c r="A108" s="4">
        <v>42174</v>
      </c>
      <c r="B108" s="3" t="s">
        <v>29</v>
      </c>
      <c r="C108" s="3" t="s">
        <v>5</v>
      </c>
      <c r="D108" s="3" t="s">
        <v>28</v>
      </c>
      <c r="E108" s="3">
        <v>40</v>
      </c>
      <c r="F108" s="5">
        <f t="shared" si="1"/>
        <v>80</v>
      </c>
      <c r="K108" s="4">
        <v>42038</v>
      </c>
      <c r="L108" s="3" t="s">
        <v>32</v>
      </c>
      <c r="M108" s="3" t="s">
        <v>5</v>
      </c>
      <c r="N108" s="3" t="s">
        <v>35</v>
      </c>
      <c r="O108" s="3">
        <v>41</v>
      </c>
      <c r="P108" s="5">
        <v>164</v>
      </c>
    </row>
    <row r="109" spans="1:16" x14ac:dyDescent="0.25">
      <c r="A109" s="4">
        <v>42130</v>
      </c>
      <c r="B109" s="3" t="s">
        <v>37</v>
      </c>
      <c r="C109" s="3" t="s">
        <v>19</v>
      </c>
      <c r="D109" s="3" t="s">
        <v>34</v>
      </c>
      <c r="E109" s="3">
        <v>32</v>
      </c>
      <c r="F109" s="5">
        <f t="shared" si="1"/>
        <v>6.4</v>
      </c>
      <c r="K109" s="4">
        <v>42014</v>
      </c>
      <c r="L109" s="3" t="s">
        <v>38</v>
      </c>
      <c r="M109" s="3" t="s">
        <v>10</v>
      </c>
      <c r="N109" s="3" t="s">
        <v>36</v>
      </c>
      <c r="O109" s="3">
        <v>11</v>
      </c>
      <c r="P109" s="5">
        <v>16.5</v>
      </c>
    </row>
    <row r="110" spans="1:16" x14ac:dyDescent="0.25">
      <c r="A110" s="4">
        <v>42013</v>
      </c>
      <c r="B110" s="3" t="s">
        <v>38</v>
      </c>
      <c r="C110" s="3" t="s">
        <v>2</v>
      </c>
      <c r="D110" s="3" t="s">
        <v>28</v>
      </c>
      <c r="E110" s="3">
        <v>29</v>
      </c>
      <c r="F110" s="5">
        <f t="shared" si="1"/>
        <v>58</v>
      </c>
      <c r="K110" s="4">
        <v>42048</v>
      </c>
      <c r="L110" s="3" t="s">
        <v>26</v>
      </c>
      <c r="M110" s="3" t="s">
        <v>19</v>
      </c>
      <c r="N110" s="3" t="s">
        <v>35</v>
      </c>
      <c r="O110" s="3">
        <v>15</v>
      </c>
      <c r="P110" s="5">
        <v>60</v>
      </c>
    </row>
    <row r="111" spans="1:16" x14ac:dyDescent="0.25">
      <c r="A111" s="4">
        <v>42068</v>
      </c>
      <c r="B111" s="3" t="s">
        <v>32</v>
      </c>
      <c r="C111" s="3" t="s">
        <v>6</v>
      </c>
      <c r="D111" s="3" t="s">
        <v>31</v>
      </c>
      <c r="E111" s="3">
        <v>19</v>
      </c>
      <c r="F111" s="5">
        <f t="shared" si="1"/>
        <v>47.5</v>
      </c>
      <c r="K111" s="4">
        <v>42055</v>
      </c>
      <c r="L111" s="3" t="s">
        <v>38</v>
      </c>
      <c r="M111" s="3" t="s">
        <v>19</v>
      </c>
      <c r="N111" s="3" t="s">
        <v>28</v>
      </c>
      <c r="O111" s="3">
        <v>14</v>
      </c>
      <c r="P111" s="5">
        <v>28</v>
      </c>
    </row>
    <row r="112" spans="1:16" x14ac:dyDescent="0.25">
      <c r="A112" s="4">
        <v>42093</v>
      </c>
      <c r="B112" s="3" t="s">
        <v>29</v>
      </c>
      <c r="C112" s="3" t="s">
        <v>5</v>
      </c>
      <c r="D112" s="3" t="s">
        <v>28</v>
      </c>
      <c r="E112" s="3">
        <v>15</v>
      </c>
      <c r="F112" s="5">
        <f t="shared" si="1"/>
        <v>30</v>
      </c>
      <c r="K112" s="4">
        <v>42016</v>
      </c>
      <c r="L112" s="3" t="s">
        <v>38</v>
      </c>
      <c r="M112" s="3" t="s">
        <v>6</v>
      </c>
      <c r="N112" s="3" t="s">
        <v>35</v>
      </c>
      <c r="O112" s="3">
        <v>49</v>
      </c>
      <c r="P112" s="5">
        <v>196</v>
      </c>
    </row>
    <row r="113" spans="1:16" x14ac:dyDescent="0.25">
      <c r="A113" s="4">
        <v>42178</v>
      </c>
      <c r="B113" s="3" t="s">
        <v>37</v>
      </c>
      <c r="C113" s="3" t="s">
        <v>6</v>
      </c>
      <c r="D113" s="3" t="s">
        <v>30</v>
      </c>
      <c r="E113" s="3">
        <v>24</v>
      </c>
      <c r="F113" s="5">
        <f t="shared" si="1"/>
        <v>2.4000000000000004</v>
      </c>
      <c r="K113" s="4">
        <v>42020</v>
      </c>
      <c r="L113" s="3" t="s">
        <v>37</v>
      </c>
      <c r="M113" s="3" t="s">
        <v>2</v>
      </c>
      <c r="N113" s="3" t="s">
        <v>28</v>
      </c>
      <c r="O113" s="3">
        <v>26</v>
      </c>
      <c r="P113" s="5">
        <v>52</v>
      </c>
    </row>
    <row r="114" spans="1:16" x14ac:dyDescent="0.25">
      <c r="A114" s="4">
        <v>42097</v>
      </c>
      <c r="B114" s="3" t="s">
        <v>38</v>
      </c>
      <c r="C114" s="3" t="s">
        <v>5</v>
      </c>
      <c r="D114" s="3" t="s">
        <v>28</v>
      </c>
      <c r="E114" s="3">
        <v>21</v>
      </c>
      <c r="F114" s="5">
        <f t="shared" si="1"/>
        <v>42</v>
      </c>
      <c r="K114" s="4">
        <v>42137</v>
      </c>
      <c r="L114" s="3" t="s">
        <v>26</v>
      </c>
      <c r="M114" s="3" t="s">
        <v>2</v>
      </c>
      <c r="N114" s="3" t="s">
        <v>28</v>
      </c>
      <c r="O114" s="3">
        <v>35</v>
      </c>
      <c r="P114" s="5">
        <v>70</v>
      </c>
    </row>
    <row r="115" spans="1:16" x14ac:dyDescent="0.25">
      <c r="A115" s="4">
        <v>42140</v>
      </c>
      <c r="B115" s="3" t="s">
        <v>32</v>
      </c>
      <c r="C115" s="3" t="s">
        <v>10</v>
      </c>
      <c r="D115" s="3" t="s">
        <v>28</v>
      </c>
      <c r="E115" s="3">
        <v>16</v>
      </c>
      <c r="F115" s="5">
        <f t="shared" si="1"/>
        <v>32</v>
      </c>
      <c r="K115" s="4">
        <v>42149</v>
      </c>
      <c r="L115" s="3" t="s">
        <v>37</v>
      </c>
      <c r="M115" s="3" t="s">
        <v>19</v>
      </c>
      <c r="N115" s="3" t="s">
        <v>28</v>
      </c>
      <c r="O115" s="3">
        <v>26</v>
      </c>
      <c r="P115" s="5">
        <v>52</v>
      </c>
    </row>
    <row r="116" spans="1:16" x14ac:dyDescent="0.25">
      <c r="A116" s="4">
        <v>42010</v>
      </c>
      <c r="B116" s="3" t="s">
        <v>38</v>
      </c>
      <c r="C116" s="3" t="s">
        <v>19</v>
      </c>
      <c r="D116" s="3" t="s">
        <v>31</v>
      </c>
      <c r="E116" s="3">
        <v>44</v>
      </c>
      <c r="F116" s="5">
        <f t="shared" si="1"/>
        <v>110</v>
      </c>
      <c r="K116" s="4">
        <v>42183</v>
      </c>
      <c r="L116" s="3" t="s">
        <v>32</v>
      </c>
      <c r="M116" s="3" t="s">
        <v>6</v>
      </c>
      <c r="N116" s="3" t="s">
        <v>28</v>
      </c>
      <c r="O116" s="3">
        <v>50</v>
      </c>
      <c r="P116" s="5">
        <v>100</v>
      </c>
    </row>
    <row r="117" spans="1:16" x14ac:dyDescent="0.25">
      <c r="A117" s="4">
        <v>42019</v>
      </c>
      <c r="B117" s="3" t="s">
        <v>29</v>
      </c>
      <c r="C117" s="3" t="s">
        <v>5</v>
      </c>
      <c r="D117" s="3" t="s">
        <v>28</v>
      </c>
      <c r="E117" s="3">
        <v>4</v>
      </c>
      <c r="F117" s="5">
        <f t="shared" si="1"/>
        <v>8</v>
      </c>
      <c r="K117" s="4">
        <v>42064</v>
      </c>
      <c r="L117" s="3" t="s">
        <v>29</v>
      </c>
      <c r="M117" s="3" t="s">
        <v>6</v>
      </c>
      <c r="N117" s="3" t="s">
        <v>28</v>
      </c>
      <c r="O117" s="3">
        <v>17</v>
      </c>
      <c r="P117" s="5">
        <v>34</v>
      </c>
    </row>
    <row r="118" spans="1:16" x14ac:dyDescent="0.25">
      <c r="A118" s="4">
        <v>42095</v>
      </c>
      <c r="B118" s="3" t="s">
        <v>39</v>
      </c>
      <c r="C118" s="3" t="s">
        <v>19</v>
      </c>
      <c r="D118" s="3" t="s">
        <v>28</v>
      </c>
      <c r="E118" s="3">
        <v>5</v>
      </c>
      <c r="F118" s="5">
        <f t="shared" si="1"/>
        <v>10</v>
      </c>
      <c r="K118" s="4">
        <v>42041</v>
      </c>
      <c r="L118" s="3" t="s">
        <v>37</v>
      </c>
      <c r="M118" s="3" t="s">
        <v>5</v>
      </c>
      <c r="N118" s="3" t="s">
        <v>35</v>
      </c>
      <c r="O118" s="3">
        <v>41</v>
      </c>
      <c r="P118" s="5">
        <v>164</v>
      </c>
    </row>
    <row r="119" spans="1:16" x14ac:dyDescent="0.25">
      <c r="A119" s="4">
        <v>42089</v>
      </c>
      <c r="B119" s="3" t="s">
        <v>39</v>
      </c>
      <c r="C119" s="3" t="s">
        <v>19</v>
      </c>
      <c r="D119" s="3" t="s">
        <v>33</v>
      </c>
      <c r="E119" s="3">
        <v>1</v>
      </c>
      <c r="F119" s="5">
        <f t="shared" si="1"/>
        <v>5</v>
      </c>
      <c r="K119" s="4">
        <v>42008</v>
      </c>
      <c r="L119" s="3" t="s">
        <v>39</v>
      </c>
      <c r="M119" s="3" t="s">
        <v>6</v>
      </c>
      <c r="N119" s="3" t="s">
        <v>35</v>
      </c>
      <c r="O119" s="3">
        <v>38</v>
      </c>
      <c r="P119" s="5">
        <v>152</v>
      </c>
    </row>
    <row r="120" spans="1:16" x14ac:dyDescent="0.25">
      <c r="A120" s="4">
        <v>42175</v>
      </c>
      <c r="B120" s="3" t="s">
        <v>37</v>
      </c>
      <c r="C120" s="3" t="s">
        <v>19</v>
      </c>
      <c r="D120" s="3" t="s">
        <v>30</v>
      </c>
      <c r="E120" s="3">
        <v>43</v>
      </c>
      <c r="F120" s="5">
        <f t="shared" si="1"/>
        <v>4.3</v>
      </c>
      <c r="K120" s="4">
        <v>42055</v>
      </c>
      <c r="L120" s="3" t="s">
        <v>29</v>
      </c>
      <c r="M120" s="3" t="s">
        <v>2</v>
      </c>
      <c r="N120" s="3" t="s">
        <v>35</v>
      </c>
      <c r="O120" s="3">
        <v>44</v>
      </c>
      <c r="P120" s="5">
        <v>176</v>
      </c>
    </row>
    <row r="121" spans="1:16" x14ac:dyDescent="0.25">
      <c r="A121" s="4">
        <v>42138</v>
      </c>
      <c r="B121" s="3" t="s">
        <v>26</v>
      </c>
      <c r="C121" s="3" t="s">
        <v>5</v>
      </c>
      <c r="D121" s="3" t="s">
        <v>33</v>
      </c>
      <c r="E121" s="3">
        <v>34</v>
      </c>
      <c r="F121" s="5">
        <f t="shared" si="1"/>
        <v>170</v>
      </c>
      <c r="K121" s="4">
        <v>42057</v>
      </c>
      <c r="L121" s="3" t="s">
        <v>39</v>
      </c>
      <c r="M121" s="3" t="s">
        <v>2</v>
      </c>
      <c r="N121" s="3" t="s">
        <v>28</v>
      </c>
      <c r="O121" s="3">
        <v>30</v>
      </c>
      <c r="P121" s="5">
        <v>60</v>
      </c>
    </row>
    <row r="122" spans="1:16" x14ac:dyDescent="0.25">
      <c r="A122" s="4">
        <v>42143</v>
      </c>
      <c r="B122" s="3" t="s">
        <v>29</v>
      </c>
      <c r="C122" s="3" t="s">
        <v>2</v>
      </c>
      <c r="D122" s="3" t="s">
        <v>31</v>
      </c>
      <c r="E122" s="3">
        <v>20</v>
      </c>
      <c r="F122" s="5">
        <f t="shared" si="1"/>
        <v>50</v>
      </c>
      <c r="K122" s="4">
        <v>42025</v>
      </c>
      <c r="L122" s="3" t="s">
        <v>29</v>
      </c>
      <c r="M122" s="3" t="s">
        <v>6</v>
      </c>
      <c r="N122" s="3" t="s">
        <v>36</v>
      </c>
      <c r="O122" s="3">
        <v>39</v>
      </c>
      <c r="P122" s="5">
        <v>58.5</v>
      </c>
    </row>
    <row r="123" spans="1:16" x14ac:dyDescent="0.25">
      <c r="A123" s="4">
        <v>42011</v>
      </c>
      <c r="B123" s="3" t="s">
        <v>38</v>
      </c>
      <c r="C123" s="3" t="s">
        <v>5</v>
      </c>
      <c r="D123" s="3" t="s">
        <v>36</v>
      </c>
      <c r="E123" s="3">
        <v>17</v>
      </c>
      <c r="F123" s="5">
        <f t="shared" si="1"/>
        <v>25.5</v>
      </c>
      <c r="K123" s="4">
        <v>42146</v>
      </c>
      <c r="L123" s="3" t="s">
        <v>39</v>
      </c>
      <c r="M123" s="3" t="s">
        <v>2</v>
      </c>
      <c r="N123" s="3" t="s">
        <v>35</v>
      </c>
      <c r="O123" s="3">
        <v>24</v>
      </c>
      <c r="P123" s="5">
        <v>96</v>
      </c>
    </row>
    <row r="124" spans="1:16" x14ac:dyDescent="0.25">
      <c r="A124" s="4">
        <v>42138</v>
      </c>
      <c r="B124" s="3" t="s">
        <v>39</v>
      </c>
      <c r="C124" s="3" t="s">
        <v>6</v>
      </c>
      <c r="D124" s="3" t="s">
        <v>36</v>
      </c>
      <c r="E124" s="3">
        <v>23</v>
      </c>
      <c r="F124" s="5">
        <f t="shared" si="1"/>
        <v>34.5</v>
      </c>
      <c r="K124" s="4">
        <v>42119</v>
      </c>
      <c r="L124" s="3" t="s">
        <v>26</v>
      </c>
      <c r="M124" s="3" t="s">
        <v>10</v>
      </c>
      <c r="N124" s="3" t="s">
        <v>28</v>
      </c>
      <c r="O124" s="3">
        <v>1</v>
      </c>
      <c r="P124" s="5">
        <v>2</v>
      </c>
    </row>
    <row r="125" spans="1:16" x14ac:dyDescent="0.25">
      <c r="A125" s="4">
        <v>42166</v>
      </c>
      <c r="B125" s="3" t="s">
        <v>37</v>
      </c>
      <c r="C125" s="3" t="s">
        <v>19</v>
      </c>
      <c r="D125" s="3" t="s">
        <v>30</v>
      </c>
      <c r="E125" s="3">
        <v>22</v>
      </c>
      <c r="F125" s="5">
        <f t="shared" si="1"/>
        <v>2.2000000000000002</v>
      </c>
      <c r="K125" s="4">
        <v>42177</v>
      </c>
      <c r="L125" s="3" t="s">
        <v>26</v>
      </c>
      <c r="M125" s="3" t="s">
        <v>5</v>
      </c>
      <c r="N125" s="3" t="s">
        <v>36</v>
      </c>
      <c r="O125" s="3">
        <v>32</v>
      </c>
      <c r="P125" s="5">
        <v>48</v>
      </c>
    </row>
    <row r="126" spans="1:16" x14ac:dyDescent="0.25">
      <c r="A126" s="4">
        <v>42043</v>
      </c>
      <c r="B126" s="3" t="s">
        <v>39</v>
      </c>
      <c r="C126" s="3" t="s">
        <v>6</v>
      </c>
      <c r="D126" s="3" t="s">
        <v>33</v>
      </c>
      <c r="E126" s="3">
        <v>40</v>
      </c>
      <c r="F126" s="5">
        <f t="shared" si="1"/>
        <v>200</v>
      </c>
      <c r="K126" s="4">
        <v>42095</v>
      </c>
      <c r="L126" s="3" t="s">
        <v>38</v>
      </c>
      <c r="M126" s="3" t="s">
        <v>10</v>
      </c>
      <c r="N126" s="3" t="s">
        <v>35</v>
      </c>
      <c r="O126" s="3">
        <v>9</v>
      </c>
      <c r="P126" s="5">
        <v>36</v>
      </c>
    </row>
    <row r="127" spans="1:16" x14ac:dyDescent="0.25">
      <c r="A127" s="4">
        <v>42184</v>
      </c>
      <c r="B127" s="3" t="s">
        <v>29</v>
      </c>
      <c r="C127" s="3" t="s">
        <v>6</v>
      </c>
      <c r="D127" s="3" t="s">
        <v>35</v>
      </c>
      <c r="E127" s="3">
        <v>50</v>
      </c>
      <c r="F127" s="5">
        <f t="shared" si="1"/>
        <v>200</v>
      </c>
      <c r="K127" s="4">
        <v>42025</v>
      </c>
      <c r="L127" s="3" t="s">
        <v>38</v>
      </c>
      <c r="M127" s="3" t="s">
        <v>19</v>
      </c>
      <c r="N127" s="3" t="s">
        <v>35</v>
      </c>
      <c r="O127" s="3">
        <v>23</v>
      </c>
      <c r="P127" s="5">
        <v>92</v>
      </c>
    </row>
    <row r="128" spans="1:16" x14ac:dyDescent="0.25">
      <c r="A128" s="4">
        <v>42176</v>
      </c>
      <c r="B128" s="3" t="s">
        <v>39</v>
      </c>
      <c r="C128" s="3" t="s">
        <v>5</v>
      </c>
      <c r="D128" s="3" t="s">
        <v>30</v>
      </c>
      <c r="E128" s="3">
        <v>29</v>
      </c>
      <c r="F128" s="5">
        <f t="shared" si="1"/>
        <v>2.9000000000000004</v>
      </c>
      <c r="K128" s="4">
        <v>42086</v>
      </c>
      <c r="L128" s="3" t="s">
        <v>29</v>
      </c>
      <c r="M128" s="3" t="s">
        <v>2</v>
      </c>
      <c r="N128" s="3" t="s">
        <v>35</v>
      </c>
      <c r="O128" s="3">
        <v>49</v>
      </c>
      <c r="P128" s="5">
        <v>196</v>
      </c>
    </row>
    <row r="129" spans="1:16" x14ac:dyDescent="0.25">
      <c r="A129" s="4">
        <v>42062</v>
      </c>
      <c r="B129" s="3" t="s">
        <v>38</v>
      </c>
      <c r="C129" s="3" t="s">
        <v>10</v>
      </c>
      <c r="D129" s="3" t="s">
        <v>34</v>
      </c>
      <c r="E129" s="3">
        <v>17</v>
      </c>
      <c r="F129" s="5">
        <f t="shared" si="1"/>
        <v>3.4000000000000004</v>
      </c>
      <c r="K129" s="4">
        <v>42053</v>
      </c>
      <c r="L129" s="3" t="s">
        <v>32</v>
      </c>
      <c r="M129" s="3" t="s">
        <v>10</v>
      </c>
      <c r="N129" s="3" t="s">
        <v>28</v>
      </c>
      <c r="O129" s="3">
        <v>22</v>
      </c>
      <c r="P129" s="5">
        <v>44</v>
      </c>
    </row>
    <row r="130" spans="1:16" x14ac:dyDescent="0.25">
      <c r="A130" s="4">
        <v>42162</v>
      </c>
      <c r="B130" s="3" t="s">
        <v>26</v>
      </c>
      <c r="C130" s="3" t="s">
        <v>19</v>
      </c>
      <c r="D130" s="3" t="s">
        <v>35</v>
      </c>
      <c r="E130" s="3">
        <v>42</v>
      </c>
      <c r="F130" s="5">
        <f t="shared" si="1"/>
        <v>168</v>
      </c>
      <c r="K130" s="4">
        <v>42079</v>
      </c>
      <c r="L130" s="3" t="s">
        <v>38</v>
      </c>
      <c r="M130" s="3" t="s">
        <v>5</v>
      </c>
      <c r="N130" s="3" t="s">
        <v>28</v>
      </c>
      <c r="O130" s="3">
        <v>44</v>
      </c>
      <c r="P130" s="5">
        <v>88</v>
      </c>
    </row>
    <row r="131" spans="1:16" x14ac:dyDescent="0.25">
      <c r="A131" s="4">
        <v>42127</v>
      </c>
      <c r="B131" s="3" t="s">
        <v>26</v>
      </c>
      <c r="C131" s="3" t="s">
        <v>10</v>
      </c>
      <c r="D131" s="3" t="s">
        <v>28</v>
      </c>
      <c r="E131" s="3">
        <v>50</v>
      </c>
      <c r="F131" s="5">
        <f t="shared" si="1"/>
        <v>100</v>
      </c>
      <c r="K131" s="4">
        <v>42170</v>
      </c>
      <c r="L131" s="3" t="s">
        <v>39</v>
      </c>
      <c r="M131" s="3" t="s">
        <v>10</v>
      </c>
      <c r="N131" s="3" t="s">
        <v>36</v>
      </c>
      <c r="O131" s="3">
        <v>29</v>
      </c>
      <c r="P131" s="5">
        <v>43.5</v>
      </c>
    </row>
    <row r="132" spans="1:16" x14ac:dyDescent="0.25">
      <c r="A132" s="4">
        <v>42100</v>
      </c>
      <c r="B132" s="3" t="s">
        <v>39</v>
      </c>
      <c r="C132" s="3" t="s">
        <v>19</v>
      </c>
      <c r="D132" s="3" t="s">
        <v>35</v>
      </c>
      <c r="E132" s="3">
        <v>20</v>
      </c>
      <c r="F132" s="5">
        <f t="shared" si="1"/>
        <v>80</v>
      </c>
      <c r="K132" s="4">
        <v>42027</v>
      </c>
      <c r="L132" s="3" t="s">
        <v>26</v>
      </c>
      <c r="M132" s="3" t="s">
        <v>10</v>
      </c>
      <c r="N132" s="3" t="s">
        <v>36</v>
      </c>
      <c r="O132" s="3">
        <v>13</v>
      </c>
      <c r="P132" s="5">
        <v>19.5</v>
      </c>
    </row>
    <row r="133" spans="1:16" x14ac:dyDescent="0.25">
      <c r="A133" s="4">
        <v>42164</v>
      </c>
      <c r="B133" s="3" t="s">
        <v>32</v>
      </c>
      <c r="C133" s="3" t="s">
        <v>2</v>
      </c>
      <c r="D133" s="3" t="s">
        <v>30</v>
      </c>
      <c r="E133" s="3">
        <v>7</v>
      </c>
      <c r="F133" s="5">
        <f t="shared" si="1"/>
        <v>0.70000000000000007</v>
      </c>
      <c r="K133" s="4">
        <v>42066</v>
      </c>
      <c r="L133" s="3" t="s">
        <v>29</v>
      </c>
      <c r="M133" s="3" t="s">
        <v>2</v>
      </c>
      <c r="N133" s="3" t="s">
        <v>36</v>
      </c>
      <c r="O133" s="3">
        <v>40</v>
      </c>
      <c r="P133" s="5">
        <v>60</v>
      </c>
    </row>
    <row r="134" spans="1:16" x14ac:dyDescent="0.25">
      <c r="A134" s="4">
        <v>42074</v>
      </c>
      <c r="B134" s="3" t="s">
        <v>26</v>
      </c>
      <c r="C134" s="3" t="s">
        <v>6</v>
      </c>
      <c r="D134" s="3" t="s">
        <v>34</v>
      </c>
      <c r="E134" s="3">
        <v>23</v>
      </c>
      <c r="F134" s="5">
        <f t="shared" si="1"/>
        <v>4.6000000000000005</v>
      </c>
      <c r="K134" s="4">
        <v>42131</v>
      </c>
      <c r="L134" s="3" t="s">
        <v>29</v>
      </c>
      <c r="M134" s="3" t="s">
        <v>5</v>
      </c>
      <c r="N134" s="3" t="s">
        <v>36</v>
      </c>
      <c r="O134" s="3">
        <v>40</v>
      </c>
      <c r="P134" s="5">
        <v>60</v>
      </c>
    </row>
    <row r="135" spans="1:16" x14ac:dyDescent="0.25">
      <c r="A135" s="4">
        <v>42168</v>
      </c>
      <c r="B135" s="3" t="s">
        <v>29</v>
      </c>
      <c r="C135" s="3" t="s">
        <v>10</v>
      </c>
      <c r="D135" s="3" t="s">
        <v>30</v>
      </c>
      <c r="E135" s="3">
        <v>41</v>
      </c>
      <c r="F135" s="5">
        <f t="shared" ref="F135:F198" si="2">E135*VLOOKUP(D135,$R$6:$S$13,2,0)</f>
        <v>4.1000000000000005</v>
      </c>
      <c r="K135" s="4">
        <v>42013</v>
      </c>
      <c r="L135" s="3" t="s">
        <v>38</v>
      </c>
      <c r="M135" s="3" t="s">
        <v>6</v>
      </c>
      <c r="N135" s="3" t="s">
        <v>35</v>
      </c>
      <c r="O135" s="3">
        <v>5</v>
      </c>
      <c r="P135" s="5">
        <v>20</v>
      </c>
    </row>
    <row r="136" spans="1:16" x14ac:dyDescent="0.25">
      <c r="A136" s="4">
        <v>42067</v>
      </c>
      <c r="B136" s="3" t="s">
        <v>32</v>
      </c>
      <c r="C136" s="3" t="s">
        <v>10</v>
      </c>
      <c r="D136" s="3" t="s">
        <v>33</v>
      </c>
      <c r="E136" s="3">
        <v>10</v>
      </c>
      <c r="F136" s="5">
        <f t="shared" si="2"/>
        <v>50</v>
      </c>
      <c r="K136" s="4">
        <v>42106</v>
      </c>
      <c r="L136" s="3" t="s">
        <v>29</v>
      </c>
      <c r="M136" s="3" t="s">
        <v>19</v>
      </c>
      <c r="N136" s="3" t="s">
        <v>35</v>
      </c>
      <c r="O136" s="3">
        <v>47</v>
      </c>
      <c r="P136" s="5">
        <v>188</v>
      </c>
    </row>
    <row r="137" spans="1:16" x14ac:dyDescent="0.25">
      <c r="A137" s="4">
        <v>42133</v>
      </c>
      <c r="B137" s="3" t="s">
        <v>32</v>
      </c>
      <c r="C137" s="3" t="s">
        <v>6</v>
      </c>
      <c r="D137" s="3" t="s">
        <v>27</v>
      </c>
      <c r="E137" s="3">
        <v>50</v>
      </c>
      <c r="F137" s="5">
        <f t="shared" si="2"/>
        <v>25</v>
      </c>
      <c r="K137" s="4">
        <v>42157</v>
      </c>
      <c r="L137" s="3" t="s">
        <v>32</v>
      </c>
      <c r="M137" s="3" t="s">
        <v>6</v>
      </c>
      <c r="N137" s="3" t="s">
        <v>36</v>
      </c>
      <c r="O137" s="3">
        <v>27</v>
      </c>
      <c r="P137" s="5">
        <v>40.5</v>
      </c>
    </row>
    <row r="138" spans="1:16" x14ac:dyDescent="0.25">
      <c r="A138" s="4">
        <v>42161</v>
      </c>
      <c r="B138" s="3" t="s">
        <v>38</v>
      </c>
      <c r="C138" s="3" t="s">
        <v>19</v>
      </c>
      <c r="D138" s="3" t="s">
        <v>34</v>
      </c>
      <c r="E138" s="3">
        <v>6</v>
      </c>
      <c r="F138" s="5">
        <f t="shared" si="2"/>
        <v>1.2000000000000002</v>
      </c>
      <c r="K138" s="4">
        <v>42128</v>
      </c>
      <c r="L138" s="3" t="s">
        <v>26</v>
      </c>
      <c r="M138" s="3" t="s">
        <v>5</v>
      </c>
      <c r="N138" s="3" t="s">
        <v>36</v>
      </c>
      <c r="O138" s="3">
        <v>8</v>
      </c>
      <c r="P138" s="5">
        <v>12</v>
      </c>
    </row>
    <row r="139" spans="1:16" x14ac:dyDescent="0.25">
      <c r="A139" s="4">
        <v>42032</v>
      </c>
      <c r="B139" s="3" t="s">
        <v>37</v>
      </c>
      <c r="C139" s="3" t="s">
        <v>2</v>
      </c>
      <c r="D139" s="3" t="s">
        <v>31</v>
      </c>
      <c r="E139" s="3">
        <v>37</v>
      </c>
      <c r="F139" s="5">
        <f t="shared" si="2"/>
        <v>92.5</v>
      </c>
      <c r="K139" s="4">
        <v>42046</v>
      </c>
      <c r="L139" s="3" t="s">
        <v>32</v>
      </c>
      <c r="M139" s="3" t="s">
        <v>19</v>
      </c>
      <c r="N139" s="3" t="s">
        <v>28</v>
      </c>
      <c r="O139" s="3">
        <v>8</v>
      </c>
      <c r="P139" s="5">
        <v>16</v>
      </c>
    </row>
    <row r="140" spans="1:16" x14ac:dyDescent="0.25">
      <c r="A140" s="4">
        <v>42117</v>
      </c>
      <c r="B140" s="3" t="s">
        <v>26</v>
      </c>
      <c r="C140" s="3" t="s">
        <v>2</v>
      </c>
      <c r="D140" s="3" t="s">
        <v>30</v>
      </c>
      <c r="E140" s="3">
        <v>2</v>
      </c>
      <c r="F140" s="5">
        <f t="shared" si="2"/>
        <v>0.2</v>
      </c>
      <c r="K140" s="4">
        <v>42128</v>
      </c>
      <c r="L140" s="3" t="s">
        <v>26</v>
      </c>
      <c r="M140" s="3" t="s">
        <v>10</v>
      </c>
      <c r="N140" s="3" t="s">
        <v>36</v>
      </c>
      <c r="O140" s="3">
        <v>41</v>
      </c>
      <c r="P140" s="5">
        <v>61.5</v>
      </c>
    </row>
    <row r="141" spans="1:16" x14ac:dyDescent="0.25">
      <c r="A141" s="4">
        <v>42125</v>
      </c>
      <c r="B141" s="3" t="s">
        <v>37</v>
      </c>
      <c r="C141" s="3" t="s">
        <v>2</v>
      </c>
      <c r="D141" s="3" t="s">
        <v>36</v>
      </c>
      <c r="E141" s="3">
        <v>36</v>
      </c>
      <c r="F141" s="5">
        <f t="shared" si="2"/>
        <v>54</v>
      </c>
      <c r="K141" s="4">
        <v>42170</v>
      </c>
      <c r="L141" s="3" t="s">
        <v>26</v>
      </c>
      <c r="M141" s="3" t="s">
        <v>19</v>
      </c>
      <c r="N141" s="3" t="s">
        <v>28</v>
      </c>
      <c r="O141" s="3">
        <v>3</v>
      </c>
      <c r="P141" s="5">
        <v>6</v>
      </c>
    </row>
    <row r="142" spans="1:16" x14ac:dyDescent="0.25">
      <c r="A142" s="4">
        <v>42153</v>
      </c>
      <c r="B142" s="3" t="s">
        <v>38</v>
      </c>
      <c r="C142" s="3" t="s">
        <v>5</v>
      </c>
      <c r="D142" s="3" t="s">
        <v>30</v>
      </c>
      <c r="E142" s="3">
        <v>28</v>
      </c>
      <c r="F142" s="5">
        <f t="shared" si="2"/>
        <v>2.8000000000000003</v>
      </c>
      <c r="K142" s="4">
        <v>42098</v>
      </c>
      <c r="L142" s="3" t="s">
        <v>37</v>
      </c>
      <c r="M142" s="3" t="s">
        <v>19</v>
      </c>
      <c r="N142" s="3" t="s">
        <v>36</v>
      </c>
      <c r="O142" s="3">
        <v>33</v>
      </c>
      <c r="P142" s="5">
        <v>49.5</v>
      </c>
    </row>
    <row r="143" spans="1:16" x14ac:dyDescent="0.25">
      <c r="A143" s="4">
        <v>42149</v>
      </c>
      <c r="B143" s="3" t="s">
        <v>32</v>
      </c>
      <c r="C143" s="3" t="s">
        <v>10</v>
      </c>
      <c r="D143" s="3" t="s">
        <v>33</v>
      </c>
      <c r="E143" s="3">
        <v>10</v>
      </c>
      <c r="F143" s="5">
        <f t="shared" si="2"/>
        <v>50</v>
      </c>
      <c r="K143" s="4">
        <v>42011</v>
      </c>
      <c r="L143" s="3" t="s">
        <v>32</v>
      </c>
      <c r="M143" s="3" t="s">
        <v>10</v>
      </c>
      <c r="N143" s="3" t="s">
        <v>36</v>
      </c>
      <c r="O143" s="3">
        <v>30</v>
      </c>
      <c r="P143" s="5">
        <v>45</v>
      </c>
    </row>
    <row r="144" spans="1:16" x14ac:dyDescent="0.25">
      <c r="A144" s="4">
        <v>42107</v>
      </c>
      <c r="B144" s="3" t="s">
        <v>39</v>
      </c>
      <c r="C144" s="3" t="s">
        <v>5</v>
      </c>
      <c r="D144" s="3" t="s">
        <v>36</v>
      </c>
      <c r="E144" s="3">
        <v>47</v>
      </c>
      <c r="F144" s="5">
        <f t="shared" si="2"/>
        <v>70.5</v>
      </c>
      <c r="K144" s="4">
        <v>42040</v>
      </c>
      <c r="L144" s="3" t="s">
        <v>37</v>
      </c>
      <c r="M144" s="3" t="s">
        <v>19</v>
      </c>
      <c r="N144" s="3" t="s">
        <v>28</v>
      </c>
      <c r="O144" s="3">
        <v>24</v>
      </c>
      <c r="P144" s="5">
        <v>48</v>
      </c>
    </row>
    <row r="145" spans="1:16" x14ac:dyDescent="0.25">
      <c r="A145" s="4">
        <v>42178</v>
      </c>
      <c r="B145" s="3" t="s">
        <v>39</v>
      </c>
      <c r="C145" s="3" t="s">
        <v>10</v>
      </c>
      <c r="D145" s="3" t="s">
        <v>28</v>
      </c>
      <c r="E145" s="3">
        <v>44</v>
      </c>
      <c r="F145" s="5">
        <f t="shared" si="2"/>
        <v>88</v>
      </c>
      <c r="K145" s="4">
        <v>42054</v>
      </c>
      <c r="L145" s="3" t="s">
        <v>37</v>
      </c>
      <c r="M145" s="3" t="s">
        <v>19</v>
      </c>
      <c r="N145" s="3" t="s">
        <v>35</v>
      </c>
      <c r="O145" s="3">
        <v>44</v>
      </c>
      <c r="P145" s="5">
        <v>176</v>
      </c>
    </row>
    <row r="146" spans="1:16" x14ac:dyDescent="0.25">
      <c r="A146" s="4">
        <v>42033</v>
      </c>
      <c r="B146" s="3" t="s">
        <v>37</v>
      </c>
      <c r="C146" s="3" t="s">
        <v>2</v>
      </c>
      <c r="D146" s="3" t="s">
        <v>35</v>
      </c>
      <c r="E146" s="3">
        <v>12</v>
      </c>
      <c r="F146" s="5">
        <f t="shared" si="2"/>
        <v>48</v>
      </c>
      <c r="K146" s="4">
        <v>42009</v>
      </c>
      <c r="L146" s="3" t="s">
        <v>38</v>
      </c>
      <c r="M146" s="3" t="s">
        <v>2</v>
      </c>
      <c r="N146" s="3" t="s">
        <v>35</v>
      </c>
      <c r="O146" s="3">
        <v>45</v>
      </c>
      <c r="P146" s="5">
        <v>180</v>
      </c>
    </row>
    <row r="147" spans="1:16" x14ac:dyDescent="0.25">
      <c r="A147" s="4">
        <v>42132</v>
      </c>
      <c r="B147" s="3" t="s">
        <v>29</v>
      </c>
      <c r="C147" s="3" t="s">
        <v>2</v>
      </c>
      <c r="D147" s="3" t="s">
        <v>27</v>
      </c>
      <c r="E147" s="3">
        <v>14</v>
      </c>
      <c r="F147" s="5">
        <f t="shared" si="2"/>
        <v>7</v>
      </c>
      <c r="K147" s="4">
        <v>42077</v>
      </c>
      <c r="L147" s="3" t="s">
        <v>38</v>
      </c>
      <c r="M147" s="3" t="s">
        <v>10</v>
      </c>
      <c r="N147" s="3" t="s">
        <v>35</v>
      </c>
      <c r="O147" s="3">
        <v>48</v>
      </c>
      <c r="P147" s="5">
        <v>192</v>
      </c>
    </row>
    <row r="148" spans="1:16" x14ac:dyDescent="0.25">
      <c r="A148" s="4">
        <v>42006</v>
      </c>
      <c r="B148" s="3" t="s">
        <v>32</v>
      </c>
      <c r="C148" s="3" t="s">
        <v>6</v>
      </c>
      <c r="D148" s="3" t="s">
        <v>34</v>
      </c>
      <c r="E148" s="3">
        <v>44</v>
      </c>
      <c r="F148" s="5">
        <f t="shared" si="2"/>
        <v>8.8000000000000007</v>
      </c>
      <c r="K148" s="4">
        <v>42168</v>
      </c>
      <c r="L148" s="3" t="s">
        <v>32</v>
      </c>
      <c r="M148" s="3" t="s">
        <v>2</v>
      </c>
      <c r="N148" s="3" t="s">
        <v>28</v>
      </c>
      <c r="O148" s="3">
        <v>39</v>
      </c>
      <c r="P148" s="5">
        <v>78</v>
      </c>
    </row>
    <row r="149" spans="1:16" x14ac:dyDescent="0.25">
      <c r="A149" s="4">
        <v>42173</v>
      </c>
      <c r="B149" s="3" t="s">
        <v>29</v>
      </c>
      <c r="C149" s="3" t="s">
        <v>10</v>
      </c>
      <c r="D149" s="3" t="s">
        <v>31</v>
      </c>
      <c r="E149" s="3">
        <v>12</v>
      </c>
      <c r="F149" s="5">
        <f t="shared" si="2"/>
        <v>30</v>
      </c>
      <c r="K149" s="4">
        <v>42102</v>
      </c>
      <c r="L149" s="3" t="s">
        <v>39</v>
      </c>
      <c r="M149" s="3" t="s">
        <v>6</v>
      </c>
      <c r="N149" s="3" t="s">
        <v>28</v>
      </c>
      <c r="O149" s="3">
        <v>27</v>
      </c>
      <c r="P149" s="5">
        <v>54</v>
      </c>
    </row>
    <row r="150" spans="1:16" x14ac:dyDescent="0.25">
      <c r="A150" s="4">
        <v>42093</v>
      </c>
      <c r="B150" s="3" t="s">
        <v>26</v>
      </c>
      <c r="C150" s="3" t="s">
        <v>19</v>
      </c>
      <c r="D150" s="3" t="s">
        <v>31</v>
      </c>
      <c r="E150" s="3">
        <v>35</v>
      </c>
      <c r="F150" s="5">
        <f t="shared" si="2"/>
        <v>87.5</v>
      </c>
      <c r="K150" s="4">
        <v>42071</v>
      </c>
      <c r="L150" s="3" t="s">
        <v>37</v>
      </c>
      <c r="M150" s="3" t="s">
        <v>6</v>
      </c>
      <c r="N150" s="3" t="s">
        <v>36</v>
      </c>
      <c r="O150" s="3">
        <v>10</v>
      </c>
      <c r="P150" s="5">
        <v>15</v>
      </c>
    </row>
    <row r="151" spans="1:16" x14ac:dyDescent="0.25">
      <c r="A151" s="4">
        <v>42093</v>
      </c>
      <c r="B151" s="3" t="s">
        <v>32</v>
      </c>
      <c r="C151" s="3" t="s">
        <v>6</v>
      </c>
      <c r="D151" s="3" t="s">
        <v>36</v>
      </c>
      <c r="E151" s="3">
        <v>19</v>
      </c>
      <c r="F151" s="5">
        <f t="shared" si="2"/>
        <v>28.5</v>
      </c>
      <c r="K151" s="4">
        <v>42086</v>
      </c>
      <c r="L151" s="3" t="s">
        <v>37</v>
      </c>
      <c r="M151" s="3" t="s">
        <v>5</v>
      </c>
      <c r="N151" s="3" t="s">
        <v>36</v>
      </c>
      <c r="O151" s="3">
        <v>34</v>
      </c>
      <c r="P151" s="5">
        <v>51</v>
      </c>
    </row>
    <row r="152" spans="1:16" x14ac:dyDescent="0.25">
      <c r="A152" s="4">
        <v>42033</v>
      </c>
      <c r="B152" s="3" t="s">
        <v>38</v>
      </c>
      <c r="C152" s="3" t="s">
        <v>10</v>
      </c>
      <c r="D152" s="3" t="s">
        <v>34</v>
      </c>
      <c r="E152" s="3">
        <v>9</v>
      </c>
      <c r="F152" s="5">
        <f t="shared" si="2"/>
        <v>1.8</v>
      </c>
      <c r="K152" s="4">
        <v>42151</v>
      </c>
      <c r="L152" s="3" t="s">
        <v>32</v>
      </c>
      <c r="M152" s="3" t="s">
        <v>10</v>
      </c>
      <c r="N152" s="3" t="s">
        <v>28</v>
      </c>
      <c r="O152" s="3">
        <v>48</v>
      </c>
      <c r="P152" s="5">
        <v>96</v>
      </c>
    </row>
    <row r="153" spans="1:16" x14ac:dyDescent="0.25">
      <c r="A153" s="4">
        <v>42184</v>
      </c>
      <c r="B153" s="3" t="s">
        <v>32</v>
      </c>
      <c r="C153" s="3" t="s">
        <v>5</v>
      </c>
      <c r="D153" s="3" t="s">
        <v>36</v>
      </c>
      <c r="E153" s="3">
        <v>16</v>
      </c>
      <c r="F153" s="5">
        <f t="shared" si="2"/>
        <v>24</v>
      </c>
      <c r="K153" s="4">
        <v>42157</v>
      </c>
      <c r="L153" s="3" t="s">
        <v>38</v>
      </c>
      <c r="M153" s="3" t="s">
        <v>19</v>
      </c>
      <c r="N153" s="3" t="s">
        <v>35</v>
      </c>
      <c r="O153" s="3">
        <v>6</v>
      </c>
      <c r="P153" s="5">
        <v>24</v>
      </c>
    </row>
    <row r="154" spans="1:16" x14ac:dyDescent="0.25">
      <c r="A154" s="4">
        <v>42072</v>
      </c>
      <c r="B154" s="3" t="s">
        <v>37</v>
      </c>
      <c r="C154" s="3" t="s">
        <v>2</v>
      </c>
      <c r="D154" s="3" t="s">
        <v>31</v>
      </c>
      <c r="E154" s="3">
        <v>39</v>
      </c>
      <c r="F154" s="5">
        <f t="shared" si="2"/>
        <v>97.5</v>
      </c>
      <c r="K154" s="4">
        <v>42107</v>
      </c>
      <c r="L154" s="3" t="s">
        <v>26</v>
      </c>
      <c r="M154" s="3" t="s">
        <v>19</v>
      </c>
      <c r="N154" s="3" t="s">
        <v>35</v>
      </c>
      <c r="O154" s="3">
        <v>50</v>
      </c>
      <c r="P154" s="5">
        <v>200</v>
      </c>
    </row>
    <row r="155" spans="1:16" x14ac:dyDescent="0.25">
      <c r="A155" s="4">
        <v>42131</v>
      </c>
      <c r="B155" s="3" t="s">
        <v>39</v>
      </c>
      <c r="C155" s="3" t="s">
        <v>5</v>
      </c>
      <c r="D155" s="3" t="s">
        <v>34</v>
      </c>
      <c r="E155" s="3">
        <v>25</v>
      </c>
      <c r="F155" s="5">
        <f t="shared" si="2"/>
        <v>5</v>
      </c>
      <c r="K155" s="4">
        <v>42136</v>
      </c>
      <c r="L155" s="3" t="s">
        <v>37</v>
      </c>
      <c r="M155" s="3" t="s">
        <v>5</v>
      </c>
      <c r="N155" s="3" t="s">
        <v>28</v>
      </c>
      <c r="O155" s="3">
        <v>5</v>
      </c>
      <c r="P155" s="5">
        <v>10</v>
      </c>
    </row>
    <row r="156" spans="1:16" x14ac:dyDescent="0.25">
      <c r="A156" s="4">
        <v>42018</v>
      </c>
      <c r="B156" s="3" t="s">
        <v>39</v>
      </c>
      <c r="C156" s="3" t="s">
        <v>19</v>
      </c>
      <c r="D156" s="3" t="s">
        <v>28</v>
      </c>
      <c r="E156" s="3">
        <v>13</v>
      </c>
      <c r="F156" s="5">
        <f t="shared" si="2"/>
        <v>26</v>
      </c>
      <c r="K156" s="4">
        <v>42101</v>
      </c>
      <c r="L156" s="3" t="s">
        <v>32</v>
      </c>
      <c r="M156" s="3" t="s">
        <v>2</v>
      </c>
      <c r="N156" s="3" t="s">
        <v>36</v>
      </c>
      <c r="O156" s="3">
        <v>26</v>
      </c>
      <c r="P156" s="5">
        <v>39</v>
      </c>
    </row>
    <row r="157" spans="1:16" x14ac:dyDescent="0.25">
      <c r="A157" s="4">
        <v>42128</v>
      </c>
      <c r="B157" s="3" t="s">
        <v>39</v>
      </c>
      <c r="C157" s="3" t="s">
        <v>10</v>
      </c>
      <c r="D157" s="3" t="s">
        <v>27</v>
      </c>
      <c r="E157" s="3">
        <v>40</v>
      </c>
      <c r="F157" s="5">
        <f t="shared" si="2"/>
        <v>20</v>
      </c>
      <c r="K157" s="4">
        <v>42067</v>
      </c>
      <c r="L157" s="3" t="s">
        <v>39</v>
      </c>
      <c r="M157" s="3" t="s">
        <v>6</v>
      </c>
      <c r="N157" s="3" t="s">
        <v>36</v>
      </c>
      <c r="O157" s="3">
        <v>9</v>
      </c>
      <c r="P157" s="5">
        <v>13.5</v>
      </c>
    </row>
    <row r="158" spans="1:16" x14ac:dyDescent="0.25">
      <c r="A158" s="4">
        <v>42029</v>
      </c>
      <c r="B158" s="3" t="s">
        <v>37</v>
      </c>
      <c r="C158" s="3" t="s">
        <v>2</v>
      </c>
      <c r="D158" s="3" t="s">
        <v>36</v>
      </c>
      <c r="E158" s="3">
        <v>20</v>
      </c>
      <c r="F158" s="5">
        <f t="shared" si="2"/>
        <v>30</v>
      </c>
      <c r="K158" s="4">
        <v>42166</v>
      </c>
      <c r="L158" s="3" t="s">
        <v>39</v>
      </c>
      <c r="M158" s="3" t="s">
        <v>6</v>
      </c>
      <c r="N158" s="3" t="s">
        <v>36</v>
      </c>
      <c r="O158" s="3">
        <v>13</v>
      </c>
      <c r="P158" s="5">
        <v>19.5</v>
      </c>
    </row>
    <row r="159" spans="1:16" x14ac:dyDescent="0.25">
      <c r="A159" s="4">
        <v>42133</v>
      </c>
      <c r="B159" s="3" t="s">
        <v>38</v>
      </c>
      <c r="C159" s="3" t="s">
        <v>5</v>
      </c>
      <c r="D159" s="3" t="s">
        <v>34</v>
      </c>
      <c r="E159" s="3">
        <v>24</v>
      </c>
      <c r="F159" s="5">
        <f t="shared" si="2"/>
        <v>4.8000000000000007</v>
      </c>
      <c r="K159" s="4">
        <v>42182</v>
      </c>
      <c r="L159" s="3" t="s">
        <v>37</v>
      </c>
      <c r="M159" s="3" t="s">
        <v>19</v>
      </c>
      <c r="N159" s="3" t="s">
        <v>35</v>
      </c>
      <c r="O159" s="3">
        <v>9</v>
      </c>
      <c r="P159" s="5">
        <v>36</v>
      </c>
    </row>
    <row r="160" spans="1:16" x14ac:dyDescent="0.25">
      <c r="A160" s="4">
        <v>42079</v>
      </c>
      <c r="B160" s="3" t="s">
        <v>26</v>
      </c>
      <c r="C160" s="3" t="s">
        <v>2</v>
      </c>
      <c r="D160" s="3" t="s">
        <v>30</v>
      </c>
      <c r="E160" s="3">
        <v>47</v>
      </c>
      <c r="F160" s="5">
        <f t="shared" si="2"/>
        <v>4.7</v>
      </c>
      <c r="K160" s="4">
        <v>42025</v>
      </c>
      <c r="L160" s="3" t="s">
        <v>32</v>
      </c>
      <c r="M160" s="3" t="s">
        <v>6</v>
      </c>
      <c r="N160" s="3" t="s">
        <v>35</v>
      </c>
      <c r="O160" s="3">
        <v>22</v>
      </c>
      <c r="P160" s="5">
        <v>88</v>
      </c>
    </row>
    <row r="161" spans="1:16" x14ac:dyDescent="0.25">
      <c r="A161" s="4">
        <v>42112</v>
      </c>
      <c r="B161" s="3" t="s">
        <v>32</v>
      </c>
      <c r="C161" s="3" t="s">
        <v>6</v>
      </c>
      <c r="D161" s="3" t="s">
        <v>34</v>
      </c>
      <c r="E161" s="3">
        <v>4</v>
      </c>
      <c r="F161" s="5">
        <f t="shared" si="2"/>
        <v>0.8</v>
      </c>
      <c r="K161" s="4">
        <v>42019</v>
      </c>
      <c r="L161" s="3" t="s">
        <v>29</v>
      </c>
      <c r="M161" s="3" t="s">
        <v>5</v>
      </c>
      <c r="N161" s="3" t="s">
        <v>36</v>
      </c>
      <c r="O161" s="3">
        <v>23</v>
      </c>
      <c r="P161" s="5">
        <v>34.5</v>
      </c>
    </row>
    <row r="162" spans="1:16" x14ac:dyDescent="0.25">
      <c r="A162" s="4">
        <v>42083</v>
      </c>
      <c r="B162" s="3" t="s">
        <v>38</v>
      </c>
      <c r="C162" s="3" t="s">
        <v>5</v>
      </c>
      <c r="D162" s="3" t="s">
        <v>36</v>
      </c>
      <c r="E162" s="3">
        <v>34</v>
      </c>
      <c r="F162" s="5">
        <f t="shared" si="2"/>
        <v>51</v>
      </c>
      <c r="K162" s="4">
        <v>42110</v>
      </c>
      <c r="L162" s="3" t="s">
        <v>32</v>
      </c>
      <c r="M162" s="3" t="s">
        <v>6</v>
      </c>
      <c r="N162" s="3" t="s">
        <v>36</v>
      </c>
      <c r="O162" s="3">
        <v>20</v>
      </c>
      <c r="P162" s="5">
        <v>30</v>
      </c>
    </row>
    <row r="163" spans="1:16" x14ac:dyDescent="0.25">
      <c r="A163" s="4">
        <v>42136</v>
      </c>
      <c r="B163" s="3" t="s">
        <v>29</v>
      </c>
      <c r="C163" s="3" t="s">
        <v>5</v>
      </c>
      <c r="D163" s="3" t="s">
        <v>34</v>
      </c>
      <c r="E163" s="3">
        <v>26</v>
      </c>
      <c r="F163" s="5">
        <f t="shared" si="2"/>
        <v>5.2</v>
      </c>
      <c r="K163" s="4">
        <v>42027</v>
      </c>
      <c r="L163" s="3" t="s">
        <v>37</v>
      </c>
      <c r="M163" s="3" t="s">
        <v>10</v>
      </c>
      <c r="N163" s="3" t="s">
        <v>28</v>
      </c>
      <c r="O163" s="3">
        <v>45</v>
      </c>
      <c r="P163" s="5">
        <v>90</v>
      </c>
    </row>
    <row r="164" spans="1:16" x14ac:dyDescent="0.25">
      <c r="A164" s="4">
        <v>42016</v>
      </c>
      <c r="B164" s="3" t="s">
        <v>26</v>
      </c>
      <c r="C164" s="3" t="s">
        <v>5</v>
      </c>
      <c r="D164" s="3" t="s">
        <v>30</v>
      </c>
      <c r="E164" s="3">
        <v>8</v>
      </c>
      <c r="F164" s="5">
        <f t="shared" si="2"/>
        <v>0.8</v>
      </c>
      <c r="K164" s="4">
        <v>42088</v>
      </c>
      <c r="L164" s="3" t="s">
        <v>38</v>
      </c>
      <c r="M164" s="3" t="s">
        <v>19</v>
      </c>
      <c r="N164" s="3" t="s">
        <v>28</v>
      </c>
      <c r="O164" s="3">
        <v>38</v>
      </c>
      <c r="P164" s="5">
        <v>76</v>
      </c>
    </row>
    <row r="165" spans="1:16" x14ac:dyDescent="0.25">
      <c r="A165" s="4">
        <v>42097</v>
      </c>
      <c r="B165" s="3" t="s">
        <v>29</v>
      </c>
      <c r="C165" s="3" t="s">
        <v>5</v>
      </c>
      <c r="D165" s="3" t="s">
        <v>36</v>
      </c>
      <c r="E165" s="3">
        <v>33</v>
      </c>
      <c r="F165" s="5">
        <f t="shared" si="2"/>
        <v>49.5</v>
      </c>
      <c r="K165" s="4">
        <v>42097</v>
      </c>
      <c r="L165" s="3" t="s">
        <v>32</v>
      </c>
      <c r="M165" s="3" t="s">
        <v>2</v>
      </c>
      <c r="N165" s="3" t="s">
        <v>28</v>
      </c>
      <c r="O165" s="3">
        <v>17</v>
      </c>
      <c r="P165" s="5">
        <v>34</v>
      </c>
    </row>
    <row r="166" spans="1:16" x14ac:dyDescent="0.25">
      <c r="A166" s="4">
        <v>42150</v>
      </c>
      <c r="B166" s="3" t="s">
        <v>26</v>
      </c>
      <c r="C166" s="3" t="s">
        <v>19</v>
      </c>
      <c r="D166" s="3" t="s">
        <v>30</v>
      </c>
      <c r="E166" s="3">
        <v>40</v>
      </c>
      <c r="F166" s="5">
        <f t="shared" si="2"/>
        <v>4</v>
      </c>
      <c r="K166" s="4">
        <v>42130</v>
      </c>
      <c r="L166" s="3" t="s">
        <v>37</v>
      </c>
      <c r="M166" s="3" t="s">
        <v>19</v>
      </c>
      <c r="N166" s="3" t="s">
        <v>35</v>
      </c>
      <c r="O166" s="3">
        <v>31</v>
      </c>
      <c r="P166" s="5">
        <v>124</v>
      </c>
    </row>
    <row r="167" spans="1:16" x14ac:dyDescent="0.25">
      <c r="A167" s="4">
        <v>42039</v>
      </c>
      <c r="B167" s="3" t="s">
        <v>26</v>
      </c>
      <c r="C167" s="3" t="s">
        <v>10</v>
      </c>
      <c r="D167" s="3" t="s">
        <v>28</v>
      </c>
      <c r="E167" s="3">
        <v>8</v>
      </c>
      <c r="F167" s="5">
        <f t="shared" si="2"/>
        <v>16</v>
      </c>
      <c r="K167" s="4">
        <v>42019</v>
      </c>
      <c r="L167" s="3" t="s">
        <v>39</v>
      </c>
      <c r="M167" s="3" t="s">
        <v>19</v>
      </c>
      <c r="N167" s="3" t="s">
        <v>36</v>
      </c>
      <c r="O167" s="3">
        <v>42</v>
      </c>
      <c r="P167" s="5">
        <v>63</v>
      </c>
    </row>
    <row r="168" spans="1:16" x14ac:dyDescent="0.25">
      <c r="A168" s="4">
        <v>42147</v>
      </c>
      <c r="B168" s="3" t="s">
        <v>32</v>
      </c>
      <c r="C168" s="3" t="s">
        <v>10</v>
      </c>
      <c r="D168" s="3" t="s">
        <v>27</v>
      </c>
      <c r="E168" s="3">
        <v>40</v>
      </c>
      <c r="F168" s="5">
        <f t="shared" si="2"/>
        <v>20</v>
      </c>
      <c r="K168" s="4">
        <v>42093</v>
      </c>
      <c r="L168" s="3" t="s">
        <v>32</v>
      </c>
      <c r="M168" s="3" t="s">
        <v>6</v>
      </c>
      <c r="N168" s="3" t="s">
        <v>35</v>
      </c>
      <c r="O168" s="3">
        <v>11</v>
      </c>
      <c r="P168" s="5">
        <v>44</v>
      </c>
    </row>
    <row r="169" spans="1:16" x14ac:dyDescent="0.25">
      <c r="A169" s="4">
        <v>42172</v>
      </c>
      <c r="B169" s="3" t="s">
        <v>39</v>
      </c>
      <c r="C169" s="3" t="s">
        <v>10</v>
      </c>
      <c r="D169" s="3" t="s">
        <v>34</v>
      </c>
      <c r="E169" s="3">
        <v>48</v>
      </c>
      <c r="F169" s="5">
        <f t="shared" si="2"/>
        <v>9.6000000000000014</v>
      </c>
      <c r="K169" s="4">
        <v>42110</v>
      </c>
      <c r="L169" s="3" t="s">
        <v>38</v>
      </c>
      <c r="M169" s="3" t="s">
        <v>2</v>
      </c>
      <c r="N169" s="3" t="s">
        <v>36</v>
      </c>
      <c r="O169" s="3">
        <v>36</v>
      </c>
      <c r="P169" s="5">
        <v>54</v>
      </c>
    </row>
    <row r="170" spans="1:16" x14ac:dyDescent="0.25">
      <c r="A170" s="4">
        <v>42170</v>
      </c>
      <c r="B170" s="3" t="s">
        <v>26</v>
      </c>
      <c r="C170" s="3" t="s">
        <v>6</v>
      </c>
      <c r="D170" s="3" t="s">
        <v>30</v>
      </c>
      <c r="E170" s="3">
        <v>7</v>
      </c>
      <c r="F170" s="5">
        <f t="shared" si="2"/>
        <v>0.70000000000000007</v>
      </c>
      <c r="K170" s="4">
        <v>42040</v>
      </c>
      <c r="L170" s="3" t="s">
        <v>37</v>
      </c>
      <c r="M170" s="3" t="s">
        <v>10</v>
      </c>
      <c r="N170" s="3" t="s">
        <v>36</v>
      </c>
      <c r="O170" s="3">
        <v>46</v>
      </c>
      <c r="P170" s="5">
        <v>69</v>
      </c>
    </row>
    <row r="171" spans="1:16" x14ac:dyDescent="0.25">
      <c r="A171" s="4">
        <v>42139</v>
      </c>
      <c r="B171" s="3" t="s">
        <v>37</v>
      </c>
      <c r="C171" s="3" t="s">
        <v>10</v>
      </c>
      <c r="D171" s="3" t="s">
        <v>27</v>
      </c>
      <c r="E171" s="3">
        <v>47</v>
      </c>
      <c r="F171" s="5">
        <f t="shared" si="2"/>
        <v>23.5</v>
      </c>
      <c r="K171" s="4">
        <v>42183</v>
      </c>
      <c r="L171" s="3" t="s">
        <v>26</v>
      </c>
      <c r="M171" s="3" t="s">
        <v>2</v>
      </c>
      <c r="N171" s="3" t="s">
        <v>28</v>
      </c>
      <c r="O171" s="3">
        <v>12</v>
      </c>
      <c r="P171" s="5">
        <v>24</v>
      </c>
    </row>
    <row r="172" spans="1:16" x14ac:dyDescent="0.25">
      <c r="A172" s="4">
        <v>42167</v>
      </c>
      <c r="B172" s="3" t="s">
        <v>26</v>
      </c>
      <c r="C172" s="3" t="s">
        <v>6</v>
      </c>
      <c r="D172" s="3" t="s">
        <v>28</v>
      </c>
      <c r="E172" s="3">
        <v>46</v>
      </c>
      <c r="F172" s="5">
        <f t="shared" si="2"/>
        <v>92</v>
      </c>
      <c r="K172" s="4">
        <v>42061</v>
      </c>
      <c r="L172" s="3" t="s">
        <v>38</v>
      </c>
      <c r="M172" s="3" t="s">
        <v>6</v>
      </c>
      <c r="N172" s="3" t="s">
        <v>35</v>
      </c>
      <c r="O172" s="3">
        <v>11</v>
      </c>
      <c r="P172" s="5">
        <v>44</v>
      </c>
    </row>
    <row r="173" spans="1:16" x14ac:dyDescent="0.25">
      <c r="A173" s="4">
        <v>42078</v>
      </c>
      <c r="B173" s="3" t="s">
        <v>37</v>
      </c>
      <c r="C173" s="3" t="s">
        <v>19</v>
      </c>
      <c r="D173" s="3" t="s">
        <v>28</v>
      </c>
      <c r="E173" s="3">
        <v>31</v>
      </c>
      <c r="F173" s="5">
        <f t="shared" si="2"/>
        <v>62</v>
      </c>
      <c r="K173" s="4">
        <v>42157</v>
      </c>
      <c r="L173" s="3" t="s">
        <v>39</v>
      </c>
      <c r="M173" s="3" t="s">
        <v>10</v>
      </c>
      <c r="N173" s="3" t="s">
        <v>35</v>
      </c>
      <c r="O173" s="3">
        <v>31</v>
      </c>
      <c r="P173" s="5">
        <v>124</v>
      </c>
    </row>
    <row r="174" spans="1:16" x14ac:dyDescent="0.25">
      <c r="A174" s="4">
        <v>42127</v>
      </c>
      <c r="B174" s="3" t="s">
        <v>29</v>
      </c>
      <c r="C174" s="3" t="s">
        <v>10</v>
      </c>
      <c r="D174" s="3" t="s">
        <v>27</v>
      </c>
      <c r="E174" s="3">
        <v>41</v>
      </c>
      <c r="F174" s="5">
        <f t="shared" si="2"/>
        <v>20.5</v>
      </c>
      <c r="K174" s="4">
        <v>42031</v>
      </c>
      <c r="L174" s="3" t="s">
        <v>39</v>
      </c>
      <c r="M174" s="3" t="s">
        <v>19</v>
      </c>
      <c r="N174" s="3" t="s">
        <v>36</v>
      </c>
      <c r="O174" s="3">
        <v>4</v>
      </c>
      <c r="P174" s="5">
        <v>6</v>
      </c>
    </row>
    <row r="175" spans="1:16" x14ac:dyDescent="0.25">
      <c r="A175" s="4">
        <v>42040</v>
      </c>
      <c r="B175" s="3" t="s">
        <v>26</v>
      </c>
      <c r="C175" s="3" t="s">
        <v>5</v>
      </c>
      <c r="D175" s="3" t="s">
        <v>27</v>
      </c>
      <c r="E175" s="3">
        <v>43</v>
      </c>
      <c r="F175" s="5">
        <f t="shared" si="2"/>
        <v>21.5</v>
      </c>
      <c r="K175" s="4">
        <v>42111</v>
      </c>
      <c r="L175" s="3" t="s">
        <v>29</v>
      </c>
      <c r="M175" s="3" t="s">
        <v>2</v>
      </c>
      <c r="N175" s="3" t="s">
        <v>36</v>
      </c>
      <c r="O175" s="3">
        <v>28</v>
      </c>
      <c r="P175" s="5">
        <v>42</v>
      </c>
    </row>
    <row r="176" spans="1:16" x14ac:dyDescent="0.25">
      <c r="A176" s="4">
        <v>42157</v>
      </c>
      <c r="B176" s="3" t="s">
        <v>39</v>
      </c>
      <c r="C176" s="3" t="s">
        <v>6</v>
      </c>
      <c r="D176" s="3" t="s">
        <v>35</v>
      </c>
      <c r="E176" s="3">
        <v>3</v>
      </c>
      <c r="F176" s="5">
        <f t="shared" si="2"/>
        <v>12</v>
      </c>
      <c r="K176" s="4">
        <v>42053</v>
      </c>
      <c r="L176" s="3" t="s">
        <v>39</v>
      </c>
      <c r="M176" s="3" t="s">
        <v>2</v>
      </c>
      <c r="N176" s="3" t="s">
        <v>28</v>
      </c>
      <c r="O176" s="3">
        <v>46</v>
      </c>
      <c r="P176" s="5">
        <v>92</v>
      </c>
    </row>
    <row r="177" spans="1:16" x14ac:dyDescent="0.25">
      <c r="A177" s="4">
        <v>42112</v>
      </c>
      <c r="B177" s="3" t="s">
        <v>37</v>
      </c>
      <c r="C177" s="3" t="s">
        <v>6</v>
      </c>
      <c r="D177" s="3" t="s">
        <v>33</v>
      </c>
      <c r="E177" s="3">
        <v>18</v>
      </c>
      <c r="F177" s="5">
        <f t="shared" si="2"/>
        <v>90</v>
      </c>
      <c r="K177" s="4">
        <v>42023</v>
      </c>
      <c r="L177" s="3" t="s">
        <v>37</v>
      </c>
      <c r="M177" s="3" t="s">
        <v>19</v>
      </c>
      <c r="N177" s="3" t="s">
        <v>35</v>
      </c>
      <c r="O177" s="3">
        <v>45</v>
      </c>
      <c r="P177" s="5">
        <v>180</v>
      </c>
    </row>
    <row r="178" spans="1:16" x14ac:dyDescent="0.25">
      <c r="A178" s="4">
        <v>42014</v>
      </c>
      <c r="B178" s="3" t="s">
        <v>37</v>
      </c>
      <c r="C178" s="3" t="s">
        <v>5</v>
      </c>
      <c r="D178" s="3" t="s">
        <v>34</v>
      </c>
      <c r="E178" s="3">
        <v>12</v>
      </c>
      <c r="F178" s="5">
        <f t="shared" si="2"/>
        <v>2.4000000000000004</v>
      </c>
      <c r="K178" s="4">
        <v>42006</v>
      </c>
      <c r="L178" s="3" t="s">
        <v>29</v>
      </c>
      <c r="M178" s="3" t="s">
        <v>19</v>
      </c>
      <c r="N178" s="3" t="s">
        <v>36</v>
      </c>
      <c r="O178" s="3">
        <v>37</v>
      </c>
      <c r="P178" s="5">
        <v>55.5</v>
      </c>
    </row>
    <row r="179" spans="1:16" x14ac:dyDescent="0.25">
      <c r="A179" s="4">
        <v>42159</v>
      </c>
      <c r="B179" s="3" t="s">
        <v>32</v>
      </c>
      <c r="C179" s="3" t="s">
        <v>2</v>
      </c>
      <c r="D179" s="3" t="s">
        <v>28</v>
      </c>
      <c r="E179" s="3">
        <v>24</v>
      </c>
      <c r="F179" s="5">
        <f t="shared" si="2"/>
        <v>48</v>
      </c>
      <c r="K179" s="4">
        <v>42132</v>
      </c>
      <c r="L179" s="3" t="s">
        <v>37</v>
      </c>
      <c r="M179" s="3" t="s">
        <v>5</v>
      </c>
      <c r="N179" s="3" t="s">
        <v>36</v>
      </c>
      <c r="O179" s="3">
        <v>31</v>
      </c>
      <c r="P179" s="5">
        <v>46.5</v>
      </c>
    </row>
    <row r="180" spans="1:16" x14ac:dyDescent="0.25">
      <c r="A180" s="4">
        <v>42018</v>
      </c>
      <c r="B180" s="3" t="s">
        <v>38</v>
      </c>
      <c r="C180" s="3" t="s">
        <v>2</v>
      </c>
      <c r="D180" s="3" t="s">
        <v>30</v>
      </c>
      <c r="E180" s="3">
        <v>31</v>
      </c>
      <c r="F180" s="5">
        <f t="shared" si="2"/>
        <v>3.1</v>
      </c>
      <c r="K180" s="4">
        <v>42005</v>
      </c>
      <c r="L180" s="3" t="s">
        <v>38</v>
      </c>
      <c r="M180" s="3" t="s">
        <v>2</v>
      </c>
      <c r="N180" s="3" t="s">
        <v>35</v>
      </c>
      <c r="O180" s="3">
        <v>30</v>
      </c>
      <c r="P180" s="5">
        <v>120</v>
      </c>
    </row>
    <row r="181" spans="1:16" x14ac:dyDescent="0.25">
      <c r="A181" s="4">
        <v>42122</v>
      </c>
      <c r="B181" s="3" t="s">
        <v>26</v>
      </c>
      <c r="C181" s="3" t="s">
        <v>10</v>
      </c>
      <c r="D181" s="3" t="s">
        <v>36</v>
      </c>
      <c r="E181" s="3">
        <v>32</v>
      </c>
      <c r="F181" s="5">
        <f t="shared" si="2"/>
        <v>48</v>
      </c>
      <c r="K181" s="4">
        <v>42080</v>
      </c>
      <c r="L181" s="3" t="s">
        <v>38</v>
      </c>
      <c r="M181" s="3" t="s">
        <v>5</v>
      </c>
      <c r="N181" s="3" t="s">
        <v>28</v>
      </c>
      <c r="O181" s="3">
        <v>22</v>
      </c>
      <c r="P181" s="5">
        <v>44</v>
      </c>
    </row>
    <row r="182" spans="1:16" x14ac:dyDescent="0.25">
      <c r="A182" s="4">
        <v>42158</v>
      </c>
      <c r="B182" s="3" t="s">
        <v>32</v>
      </c>
      <c r="C182" s="3" t="s">
        <v>10</v>
      </c>
      <c r="D182" s="3" t="s">
        <v>35</v>
      </c>
      <c r="E182" s="3">
        <v>17</v>
      </c>
      <c r="F182" s="5">
        <f t="shared" si="2"/>
        <v>68</v>
      </c>
      <c r="K182" s="4">
        <v>42118</v>
      </c>
      <c r="L182" s="3" t="s">
        <v>26</v>
      </c>
      <c r="M182" s="3" t="s">
        <v>2</v>
      </c>
      <c r="N182" s="3" t="s">
        <v>28</v>
      </c>
      <c r="O182" s="3">
        <v>34</v>
      </c>
      <c r="P182" s="5">
        <v>68</v>
      </c>
    </row>
    <row r="183" spans="1:16" x14ac:dyDescent="0.25">
      <c r="A183" s="4">
        <v>42007</v>
      </c>
      <c r="B183" s="3" t="s">
        <v>39</v>
      </c>
      <c r="C183" s="3" t="s">
        <v>6</v>
      </c>
      <c r="D183" s="3" t="s">
        <v>34</v>
      </c>
      <c r="E183" s="3">
        <v>5</v>
      </c>
      <c r="F183" s="5">
        <f t="shared" si="2"/>
        <v>1</v>
      </c>
      <c r="K183" s="4">
        <v>42040</v>
      </c>
      <c r="L183" s="3" t="s">
        <v>37</v>
      </c>
      <c r="M183" s="3" t="s">
        <v>2</v>
      </c>
      <c r="N183" s="3" t="s">
        <v>35</v>
      </c>
      <c r="O183" s="3">
        <v>33</v>
      </c>
      <c r="P183" s="5">
        <v>132</v>
      </c>
    </row>
    <row r="184" spans="1:16" x14ac:dyDescent="0.25">
      <c r="A184" s="4">
        <v>42152</v>
      </c>
      <c r="B184" s="3" t="s">
        <v>37</v>
      </c>
      <c r="C184" s="3" t="s">
        <v>5</v>
      </c>
      <c r="D184" s="3" t="s">
        <v>36</v>
      </c>
      <c r="E184" s="3">
        <v>6</v>
      </c>
      <c r="F184" s="5">
        <f t="shared" si="2"/>
        <v>9</v>
      </c>
      <c r="K184" s="4">
        <v>42023</v>
      </c>
      <c r="L184" s="3" t="s">
        <v>29</v>
      </c>
      <c r="M184" s="3" t="s">
        <v>6</v>
      </c>
      <c r="N184" s="3" t="s">
        <v>35</v>
      </c>
      <c r="O184" s="3">
        <v>46</v>
      </c>
      <c r="P184" s="5">
        <v>184</v>
      </c>
    </row>
    <row r="185" spans="1:16" x14ac:dyDescent="0.25">
      <c r="A185" s="4">
        <v>42124</v>
      </c>
      <c r="B185" s="3" t="s">
        <v>26</v>
      </c>
      <c r="C185" s="3" t="s">
        <v>19</v>
      </c>
      <c r="D185" s="3" t="s">
        <v>36</v>
      </c>
      <c r="E185" s="3">
        <v>28</v>
      </c>
      <c r="F185" s="5">
        <f t="shared" si="2"/>
        <v>42</v>
      </c>
      <c r="K185" s="4">
        <v>42180</v>
      </c>
      <c r="L185" s="3" t="s">
        <v>26</v>
      </c>
      <c r="M185" s="3" t="s">
        <v>6</v>
      </c>
      <c r="N185" s="3" t="s">
        <v>28</v>
      </c>
      <c r="O185" s="3">
        <v>4</v>
      </c>
      <c r="P185" s="5">
        <v>8</v>
      </c>
    </row>
    <row r="186" spans="1:16" x14ac:dyDescent="0.25">
      <c r="A186" s="4">
        <v>42084</v>
      </c>
      <c r="B186" s="3" t="s">
        <v>26</v>
      </c>
      <c r="C186" s="3" t="s">
        <v>6</v>
      </c>
      <c r="D186" s="3" t="s">
        <v>31</v>
      </c>
      <c r="E186" s="3">
        <v>36</v>
      </c>
      <c r="F186" s="5">
        <f t="shared" si="2"/>
        <v>90</v>
      </c>
      <c r="K186" s="4">
        <v>42044</v>
      </c>
      <c r="L186" s="3" t="s">
        <v>38</v>
      </c>
      <c r="M186" s="3" t="s">
        <v>5</v>
      </c>
      <c r="N186" s="3" t="s">
        <v>35</v>
      </c>
      <c r="O186" s="3">
        <v>23</v>
      </c>
      <c r="P186" s="5">
        <v>92</v>
      </c>
    </row>
    <row r="187" spans="1:16" x14ac:dyDescent="0.25">
      <c r="A187" s="4">
        <v>42116</v>
      </c>
      <c r="B187" s="3" t="s">
        <v>32</v>
      </c>
      <c r="C187" s="3" t="s">
        <v>10</v>
      </c>
      <c r="D187" s="3" t="s">
        <v>30</v>
      </c>
      <c r="E187" s="3">
        <v>30</v>
      </c>
      <c r="F187" s="5">
        <f t="shared" si="2"/>
        <v>3</v>
      </c>
      <c r="K187" s="4">
        <v>42032</v>
      </c>
      <c r="L187" s="3" t="s">
        <v>29</v>
      </c>
      <c r="M187" s="3" t="s">
        <v>10</v>
      </c>
      <c r="N187" s="3" t="s">
        <v>36</v>
      </c>
      <c r="O187" s="3">
        <v>10</v>
      </c>
      <c r="P187" s="5">
        <v>15</v>
      </c>
    </row>
    <row r="188" spans="1:16" x14ac:dyDescent="0.25">
      <c r="A188" s="4">
        <v>42153</v>
      </c>
      <c r="B188" s="3" t="s">
        <v>39</v>
      </c>
      <c r="C188" s="3" t="s">
        <v>6</v>
      </c>
      <c r="D188" s="3" t="s">
        <v>35</v>
      </c>
      <c r="E188" s="3">
        <v>26</v>
      </c>
      <c r="F188" s="5">
        <f t="shared" si="2"/>
        <v>104</v>
      </c>
      <c r="K188" s="4">
        <v>42067</v>
      </c>
      <c r="L188" s="3" t="s">
        <v>37</v>
      </c>
      <c r="M188" s="3" t="s">
        <v>2</v>
      </c>
      <c r="N188" s="3" t="s">
        <v>28</v>
      </c>
      <c r="O188" s="3">
        <v>41</v>
      </c>
      <c r="P188" s="5">
        <v>82</v>
      </c>
    </row>
    <row r="189" spans="1:16" x14ac:dyDescent="0.25">
      <c r="A189" s="4">
        <v>42006</v>
      </c>
      <c r="B189" s="3" t="s">
        <v>38</v>
      </c>
      <c r="C189" s="3" t="s">
        <v>10</v>
      </c>
      <c r="D189" s="3" t="s">
        <v>34</v>
      </c>
      <c r="E189" s="3">
        <v>33</v>
      </c>
      <c r="F189" s="5">
        <f t="shared" si="2"/>
        <v>6.6000000000000005</v>
      </c>
      <c r="K189" s="4">
        <v>42128</v>
      </c>
      <c r="L189" s="3" t="s">
        <v>32</v>
      </c>
      <c r="M189" s="3" t="s">
        <v>19</v>
      </c>
      <c r="N189" s="3" t="s">
        <v>36</v>
      </c>
      <c r="O189" s="3">
        <v>41</v>
      </c>
      <c r="P189" s="5">
        <v>61.5</v>
      </c>
    </row>
    <row r="190" spans="1:16" x14ac:dyDescent="0.25">
      <c r="A190" s="4">
        <v>42138</v>
      </c>
      <c r="B190" s="3" t="s">
        <v>26</v>
      </c>
      <c r="C190" s="3" t="s">
        <v>6</v>
      </c>
      <c r="D190" s="3" t="s">
        <v>28</v>
      </c>
      <c r="E190" s="3">
        <v>26</v>
      </c>
      <c r="F190" s="5">
        <f t="shared" si="2"/>
        <v>52</v>
      </c>
      <c r="K190" s="4">
        <v>42162</v>
      </c>
      <c r="L190" s="3" t="s">
        <v>37</v>
      </c>
      <c r="M190" s="3" t="s">
        <v>5</v>
      </c>
      <c r="N190" s="3" t="s">
        <v>35</v>
      </c>
      <c r="O190" s="3">
        <v>3</v>
      </c>
      <c r="P190" s="5">
        <v>12</v>
      </c>
    </row>
    <row r="191" spans="1:16" x14ac:dyDescent="0.25">
      <c r="A191" s="4">
        <v>42054</v>
      </c>
      <c r="B191" s="3" t="s">
        <v>38</v>
      </c>
      <c r="C191" s="3" t="s">
        <v>6</v>
      </c>
      <c r="D191" s="3" t="s">
        <v>27</v>
      </c>
      <c r="E191" s="3">
        <v>17</v>
      </c>
      <c r="F191" s="5">
        <f t="shared" si="2"/>
        <v>8.5</v>
      </c>
      <c r="K191" s="4">
        <v>42057</v>
      </c>
      <c r="L191" s="3" t="s">
        <v>29</v>
      </c>
      <c r="M191" s="3" t="s">
        <v>2</v>
      </c>
      <c r="N191" s="3" t="s">
        <v>28</v>
      </c>
      <c r="O191" s="3">
        <v>28</v>
      </c>
      <c r="P191" s="5">
        <v>56</v>
      </c>
    </row>
    <row r="192" spans="1:16" x14ac:dyDescent="0.25">
      <c r="A192" s="4">
        <v>42030</v>
      </c>
      <c r="B192" s="3" t="s">
        <v>26</v>
      </c>
      <c r="C192" s="3" t="s">
        <v>19</v>
      </c>
      <c r="D192" s="3" t="s">
        <v>31</v>
      </c>
      <c r="E192" s="3">
        <v>7</v>
      </c>
      <c r="F192" s="5">
        <f t="shared" si="2"/>
        <v>17.5</v>
      </c>
      <c r="K192" s="4">
        <v>42149</v>
      </c>
      <c r="L192" s="3" t="s">
        <v>39</v>
      </c>
      <c r="M192" s="3" t="s">
        <v>10</v>
      </c>
      <c r="N192" s="3" t="s">
        <v>36</v>
      </c>
      <c r="O192" s="3">
        <v>19</v>
      </c>
      <c r="P192" s="5">
        <v>28.5</v>
      </c>
    </row>
    <row r="193" spans="1:16" x14ac:dyDescent="0.25">
      <c r="A193" s="4">
        <v>42119</v>
      </c>
      <c r="B193" s="3" t="s">
        <v>38</v>
      </c>
      <c r="C193" s="3" t="s">
        <v>2</v>
      </c>
      <c r="D193" s="3" t="s">
        <v>34</v>
      </c>
      <c r="E193" s="3">
        <v>35</v>
      </c>
      <c r="F193" s="5">
        <f t="shared" si="2"/>
        <v>7</v>
      </c>
      <c r="K193" s="4">
        <v>42015</v>
      </c>
      <c r="L193" s="3" t="s">
        <v>32</v>
      </c>
      <c r="M193" s="3" t="s">
        <v>10</v>
      </c>
      <c r="N193" s="3" t="s">
        <v>36</v>
      </c>
      <c r="O193" s="3">
        <v>15</v>
      </c>
      <c r="P193" s="5">
        <v>22.5</v>
      </c>
    </row>
    <row r="194" spans="1:16" x14ac:dyDescent="0.25">
      <c r="A194" s="4">
        <v>42109</v>
      </c>
      <c r="B194" s="3" t="s">
        <v>29</v>
      </c>
      <c r="C194" s="3" t="s">
        <v>5</v>
      </c>
      <c r="D194" s="3" t="s">
        <v>34</v>
      </c>
      <c r="E194" s="3">
        <v>12</v>
      </c>
      <c r="F194" s="5">
        <f t="shared" si="2"/>
        <v>2.4000000000000004</v>
      </c>
      <c r="K194" s="4">
        <v>42110</v>
      </c>
      <c r="L194" s="3" t="s">
        <v>39</v>
      </c>
      <c r="M194" s="3" t="s">
        <v>10</v>
      </c>
      <c r="N194" s="3" t="s">
        <v>28</v>
      </c>
      <c r="O194" s="3">
        <v>46</v>
      </c>
      <c r="P194" s="5">
        <v>92</v>
      </c>
    </row>
    <row r="195" spans="1:16" x14ac:dyDescent="0.25">
      <c r="A195" s="4">
        <v>42122</v>
      </c>
      <c r="B195" s="3" t="s">
        <v>29</v>
      </c>
      <c r="C195" s="3" t="s">
        <v>2</v>
      </c>
      <c r="D195" s="3" t="s">
        <v>35</v>
      </c>
      <c r="E195" s="3">
        <v>22</v>
      </c>
      <c r="F195" s="5">
        <f t="shared" si="2"/>
        <v>88</v>
      </c>
      <c r="K195" s="4">
        <v>42179</v>
      </c>
      <c r="L195" s="3" t="s">
        <v>38</v>
      </c>
      <c r="M195" s="3" t="s">
        <v>2</v>
      </c>
      <c r="N195" s="3" t="s">
        <v>28</v>
      </c>
      <c r="O195" s="3">
        <v>17</v>
      </c>
      <c r="P195" s="5">
        <v>34</v>
      </c>
    </row>
    <row r="196" spans="1:16" x14ac:dyDescent="0.25">
      <c r="A196" s="4">
        <v>42014</v>
      </c>
      <c r="B196" s="3" t="s">
        <v>37</v>
      </c>
      <c r="C196" s="3" t="s">
        <v>10</v>
      </c>
      <c r="D196" s="3" t="s">
        <v>35</v>
      </c>
      <c r="E196" s="3">
        <v>11</v>
      </c>
      <c r="F196" s="5">
        <f t="shared" si="2"/>
        <v>44</v>
      </c>
      <c r="K196" s="4">
        <v>42068</v>
      </c>
      <c r="L196" s="3" t="s">
        <v>26</v>
      </c>
      <c r="M196" s="3" t="s">
        <v>10</v>
      </c>
      <c r="N196" s="3" t="s">
        <v>36</v>
      </c>
      <c r="O196" s="3">
        <v>34</v>
      </c>
      <c r="P196" s="5">
        <v>51</v>
      </c>
    </row>
    <row r="197" spans="1:16" x14ac:dyDescent="0.25">
      <c r="A197" s="4">
        <v>42173</v>
      </c>
      <c r="B197" s="3" t="s">
        <v>39</v>
      </c>
      <c r="C197" s="3" t="s">
        <v>6</v>
      </c>
      <c r="D197" s="3" t="s">
        <v>33</v>
      </c>
      <c r="E197" s="3">
        <v>18</v>
      </c>
      <c r="F197" s="5">
        <f t="shared" si="2"/>
        <v>90</v>
      </c>
      <c r="K197" s="4">
        <v>42042</v>
      </c>
      <c r="L197" s="3" t="s">
        <v>39</v>
      </c>
      <c r="M197" s="3" t="s">
        <v>10</v>
      </c>
      <c r="N197" s="3" t="s">
        <v>28</v>
      </c>
      <c r="O197" s="3">
        <v>37</v>
      </c>
      <c r="P197" s="5">
        <v>74</v>
      </c>
    </row>
    <row r="198" spans="1:16" x14ac:dyDescent="0.25">
      <c r="A198" s="4">
        <v>42147</v>
      </c>
      <c r="B198" s="3" t="s">
        <v>26</v>
      </c>
      <c r="C198" s="3" t="s">
        <v>6</v>
      </c>
      <c r="D198" s="3" t="s">
        <v>36</v>
      </c>
      <c r="E198" s="3">
        <v>49</v>
      </c>
      <c r="F198" s="5">
        <f t="shared" si="2"/>
        <v>73.5</v>
      </c>
      <c r="K198" s="4">
        <v>42016</v>
      </c>
      <c r="L198" s="3" t="s">
        <v>32</v>
      </c>
      <c r="M198" s="3" t="s">
        <v>10</v>
      </c>
      <c r="N198" s="3" t="s">
        <v>36</v>
      </c>
      <c r="O198" s="3">
        <v>31</v>
      </c>
      <c r="P198" s="5">
        <v>46.5</v>
      </c>
    </row>
    <row r="199" spans="1:16" x14ac:dyDescent="0.25">
      <c r="A199" s="4">
        <v>42138</v>
      </c>
      <c r="B199" s="3" t="s">
        <v>37</v>
      </c>
      <c r="C199" s="3" t="s">
        <v>2</v>
      </c>
      <c r="D199" s="3" t="s">
        <v>33</v>
      </c>
      <c r="E199" s="3">
        <v>8</v>
      </c>
      <c r="F199" s="5">
        <f t="shared" ref="F199:F262" si="3">E199*VLOOKUP(D199,$R$6:$S$13,2,0)</f>
        <v>40</v>
      </c>
      <c r="K199" s="4">
        <v>42126</v>
      </c>
      <c r="L199" s="3" t="s">
        <v>26</v>
      </c>
      <c r="M199" s="3" t="s">
        <v>10</v>
      </c>
      <c r="N199" s="3" t="s">
        <v>36</v>
      </c>
      <c r="O199" s="3">
        <v>32</v>
      </c>
      <c r="P199" s="5">
        <v>48</v>
      </c>
    </row>
    <row r="200" spans="1:16" x14ac:dyDescent="0.25">
      <c r="A200" s="4">
        <v>42086</v>
      </c>
      <c r="B200" s="3" t="s">
        <v>38</v>
      </c>
      <c r="C200" s="3" t="s">
        <v>6</v>
      </c>
      <c r="D200" s="3" t="s">
        <v>35</v>
      </c>
      <c r="E200" s="3">
        <v>18</v>
      </c>
      <c r="F200" s="5">
        <f t="shared" si="3"/>
        <v>72</v>
      </c>
      <c r="K200" s="4">
        <v>42026</v>
      </c>
      <c r="L200" s="3" t="s">
        <v>29</v>
      </c>
      <c r="M200" s="3" t="s">
        <v>2</v>
      </c>
      <c r="N200" s="3" t="s">
        <v>36</v>
      </c>
      <c r="O200" s="3">
        <v>32</v>
      </c>
      <c r="P200" s="5">
        <v>48</v>
      </c>
    </row>
    <row r="201" spans="1:16" x14ac:dyDescent="0.25">
      <c r="A201" s="4">
        <v>42105</v>
      </c>
      <c r="B201" s="3" t="s">
        <v>39</v>
      </c>
      <c r="C201" s="3" t="s">
        <v>6</v>
      </c>
      <c r="D201" s="3" t="s">
        <v>36</v>
      </c>
      <c r="E201" s="3">
        <v>5</v>
      </c>
      <c r="F201" s="5">
        <f t="shared" si="3"/>
        <v>7.5</v>
      </c>
      <c r="K201" s="4">
        <v>42140</v>
      </c>
      <c r="L201" s="3" t="s">
        <v>37</v>
      </c>
      <c r="M201" s="3" t="s">
        <v>19</v>
      </c>
      <c r="N201" s="3" t="s">
        <v>36</v>
      </c>
      <c r="O201" s="3">
        <v>42</v>
      </c>
      <c r="P201" s="5">
        <v>63</v>
      </c>
    </row>
    <row r="202" spans="1:16" x14ac:dyDescent="0.25">
      <c r="A202" s="4">
        <v>42096</v>
      </c>
      <c r="B202" s="3" t="s">
        <v>29</v>
      </c>
      <c r="C202" s="3" t="s">
        <v>5</v>
      </c>
      <c r="D202" s="3" t="s">
        <v>28</v>
      </c>
      <c r="E202" s="3">
        <v>43</v>
      </c>
      <c r="F202" s="5">
        <f t="shared" si="3"/>
        <v>86</v>
      </c>
      <c r="K202" s="4">
        <v>42041</v>
      </c>
      <c r="L202" s="3" t="s">
        <v>39</v>
      </c>
      <c r="M202" s="3" t="s">
        <v>6</v>
      </c>
      <c r="N202" s="3" t="s">
        <v>36</v>
      </c>
      <c r="O202" s="3">
        <v>13</v>
      </c>
      <c r="P202" s="5">
        <v>19.5</v>
      </c>
    </row>
    <row r="203" spans="1:16" x14ac:dyDescent="0.25">
      <c r="A203" s="4">
        <v>42130</v>
      </c>
      <c r="B203" s="3" t="s">
        <v>38</v>
      </c>
      <c r="C203" s="3" t="s">
        <v>10</v>
      </c>
      <c r="D203" s="3" t="s">
        <v>36</v>
      </c>
      <c r="E203" s="3">
        <v>45</v>
      </c>
      <c r="F203" s="5">
        <f t="shared" si="3"/>
        <v>67.5</v>
      </c>
      <c r="K203" s="4">
        <v>42138</v>
      </c>
      <c r="L203" s="3" t="s">
        <v>39</v>
      </c>
      <c r="M203" s="3" t="s">
        <v>5</v>
      </c>
      <c r="N203" s="3" t="s">
        <v>36</v>
      </c>
      <c r="O203" s="3">
        <v>6</v>
      </c>
      <c r="P203" s="5">
        <v>9</v>
      </c>
    </row>
    <row r="204" spans="1:16" x14ac:dyDescent="0.25">
      <c r="A204" s="4">
        <v>42094</v>
      </c>
      <c r="B204" s="3" t="s">
        <v>32</v>
      </c>
      <c r="C204" s="3" t="s">
        <v>10</v>
      </c>
      <c r="D204" s="3" t="s">
        <v>33</v>
      </c>
      <c r="E204" s="3">
        <v>41</v>
      </c>
      <c r="F204" s="5">
        <f t="shared" si="3"/>
        <v>205</v>
      </c>
      <c r="K204" s="4">
        <v>42181</v>
      </c>
      <c r="L204" s="3" t="s">
        <v>37</v>
      </c>
      <c r="M204" s="3" t="s">
        <v>10</v>
      </c>
      <c r="N204" s="3" t="s">
        <v>28</v>
      </c>
      <c r="O204" s="3">
        <v>41</v>
      </c>
      <c r="P204" s="5">
        <v>82</v>
      </c>
    </row>
    <row r="205" spans="1:16" x14ac:dyDescent="0.25">
      <c r="A205" s="4">
        <v>42025</v>
      </c>
      <c r="B205" s="3" t="s">
        <v>32</v>
      </c>
      <c r="C205" s="3" t="s">
        <v>10</v>
      </c>
      <c r="D205" s="3" t="s">
        <v>35</v>
      </c>
      <c r="E205" s="3">
        <v>42</v>
      </c>
      <c r="F205" s="5">
        <f t="shared" si="3"/>
        <v>168</v>
      </c>
      <c r="K205" s="4">
        <v>42028</v>
      </c>
      <c r="L205" s="3" t="s">
        <v>29</v>
      </c>
      <c r="M205" s="3" t="s">
        <v>6</v>
      </c>
      <c r="N205" s="3" t="s">
        <v>36</v>
      </c>
      <c r="O205" s="3">
        <v>22</v>
      </c>
      <c r="P205" s="5">
        <v>33</v>
      </c>
    </row>
    <row r="206" spans="1:16" x14ac:dyDescent="0.25">
      <c r="A206" s="4">
        <v>42122</v>
      </c>
      <c r="B206" s="3" t="s">
        <v>39</v>
      </c>
      <c r="C206" s="3" t="s">
        <v>2</v>
      </c>
      <c r="D206" s="3" t="s">
        <v>36</v>
      </c>
      <c r="E206" s="3">
        <v>3</v>
      </c>
      <c r="F206" s="5">
        <f t="shared" si="3"/>
        <v>4.5</v>
      </c>
      <c r="K206" s="4">
        <v>42093</v>
      </c>
      <c r="L206" s="3" t="s">
        <v>37</v>
      </c>
      <c r="M206" s="3" t="s">
        <v>6</v>
      </c>
      <c r="N206" s="3" t="s">
        <v>36</v>
      </c>
      <c r="O206" s="3">
        <v>23</v>
      </c>
      <c r="P206" s="5">
        <v>34.5</v>
      </c>
    </row>
    <row r="207" spans="1:16" x14ac:dyDescent="0.25">
      <c r="A207" s="4">
        <v>42014</v>
      </c>
      <c r="B207" s="3" t="s">
        <v>37</v>
      </c>
      <c r="C207" s="3" t="s">
        <v>5</v>
      </c>
      <c r="D207" s="3" t="s">
        <v>31</v>
      </c>
      <c r="E207" s="3">
        <v>28</v>
      </c>
      <c r="F207" s="5">
        <f t="shared" si="3"/>
        <v>70</v>
      </c>
      <c r="K207" s="4">
        <v>42115</v>
      </c>
      <c r="L207" s="3" t="s">
        <v>26</v>
      </c>
      <c r="M207" s="3" t="s">
        <v>10</v>
      </c>
      <c r="N207" s="3" t="s">
        <v>28</v>
      </c>
      <c r="O207" s="3">
        <v>48</v>
      </c>
      <c r="P207" s="5">
        <v>96</v>
      </c>
    </row>
    <row r="208" spans="1:16" x14ac:dyDescent="0.25">
      <c r="A208" s="4">
        <v>42054</v>
      </c>
      <c r="B208" s="3" t="s">
        <v>37</v>
      </c>
      <c r="C208" s="3" t="s">
        <v>19</v>
      </c>
      <c r="D208" s="3" t="s">
        <v>28</v>
      </c>
      <c r="E208" s="3">
        <v>1</v>
      </c>
      <c r="F208" s="5">
        <f t="shared" si="3"/>
        <v>2</v>
      </c>
      <c r="K208" s="4">
        <v>42135</v>
      </c>
      <c r="L208" s="3" t="s">
        <v>38</v>
      </c>
      <c r="M208" s="3" t="s">
        <v>6</v>
      </c>
      <c r="N208" s="3" t="s">
        <v>36</v>
      </c>
      <c r="O208" s="3">
        <v>18</v>
      </c>
      <c r="P208" s="5">
        <v>27</v>
      </c>
    </row>
    <row r="209" spans="1:16" x14ac:dyDescent="0.25">
      <c r="A209" s="4">
        <v>42060</v>
      </c>
      <c r="B209" s="3" t="s">
        <v>38</v>
      </c>
      <c r="C209" s="3" t="s">
        <v>6</v>
      </c>
      <c r="D209" s="3" t="s">
        <v>27</v>
      </c>
      <c r="E209" s="3">
        <v>14</v>
      </c>
      <c r="F209" s="5">
        <f t="shared" si="3"/>
        <v>7</v>
      </c>
      <c r="K209" s="4">
        <v>42057</v>
      </c>
      <c r="L209" s="3" t="s">
        <v>38</v>
      </c>
      <c r="M209" s="3" t="s">
        <v>6</v>
      </c>
      <c r="N209" s="3" t="s">
        <v>28</v>
      </c>
      <c r="O209" s="3">
        <v>41</v>
      </c>
      <c r="P209" s="5">
        <v>82</v>
      </c>
    </row>
    <row r="210" spans="1:16" x14ac:dyDescent="0.25">
      <c r="A210" s="4">
        <v>42154</v>
      </c>
      <c r="B210" s="3" t="s">
        <v>38</v>
      </c>
      <c r="C210" s="3" t="s">
        <v>5</v>
      </c>
      <c r="D210" s="3" t="s">
        <v>35</v>
      </c>
      <c r="E210" s="3">
        <v>32</v>
      </c>
      <c r="F210" s="5">
        <f t="shared" si="3"/>
        <v>128</v>
      </c>
    </row>
    <row r="211" spans="1:16" x14ac:dyDescent="0.25">
      <c r="A211" s="4">
        <v>42152</v>
      </c>
      <c r="B211" s="3" t="s">
        <v>37</v>
      </c>
      <c r="C211" s="3" t="s">
        <v>10</v>
      </c>
      <c r="D211" s="3" t="s">
        <v>36</v>
      </c>
      <c r="E211" s="3">
        <v>11</v>
      </c>
      <c r="F211" s="5">
        <f t="shared" si="3"/>
        <v>16.5</v>
      </c>
    </row>
    <row r="212" spans="1:16" x14ac:dyDescent="0.25">
      <c r="A212" s="4">
        <v>42009</v>
      </c>
      <c r="B212" s="3" t="s">
        <v>32</v>
      </c>
      <c r="C212" s="3" t="s">
        <v>2</v>
      </c>
      <c r="D212" s="3" t="s">
        <v>35</v>
      </c>
      <c r="E212" s="3">
        <v>19</v>
      </c>
      <c r="F212" s="5">
        <f t="shared" si="3"/>
        <v>76</v>
      </c>
    </row>
    <row r="213" spans="1:16" x14ac:dyDescent="0.25">
      <c r="A213" s="4">
        <v>42176</v>
      </c>
      <c r="B213" s="3" t="s">
        <v>32</v>
      </c>
      <c r="C213" s="3" t="s">
        <v>10</v>
      </c>
      <c r="D213" s="3" t="s">
        <v>28</v>
      </c>
      <c r="E213" s="3">
        <v>4</v>
      </c>
      <c r="F213" s="5">
        <f t="shared" si="3"/>
        <v>8</v>
      </c>
    </row>
    <row r="214" spans="1:16" x14ac:dyDescent="0.25">
      <c r="A214" s="4">
        <v>42111</v>
      </c>
      <c r="B214" s="3" t="s">
        <v>39</v>
      </c>
      <c r="C214" s="3" t="s">
        <v>6</v>
      </c>
      <c r="D214" s="3" t="s">
        <v>34</v>
      </c>
      <c r="E214" s="3">
        <v>32</v>
      </c>
      <c r="F214" s="5">
        <f t="shared" si="3"/>
        <v>6.4</v>
      </c>
    </row>
    <row r="215" spans="1:16" x14ac:dyDescent="0.25">
      <c r="A215" s="4">
        <v>42093</v>
      </c>
      <c r="B215" s="3" t="s">
        <v>39</v>
      </c>
      <c r="C215" s="3" t="s">
        <v>10</v>
      </c>
      <c r="D215" s="3" t="s">
        <v>28</v>
      </c>
      <c r="E215" s="3">
        <v>29</v>
      </c>
      <c r="F215" s="5">
        <f t="shared" si="3"/>
        <v>58</v>
      </c>
    </row>
    <row r="216" spans="1:16" x14ac:dyDescent="0.25">
      <c r="A216" s="4">
        <v>42005</v>
      </c>
      <c r="B216" s="3" t="s">
        <v>37</v>
      </c>
      <c r="C216" s="3" t="s">
        <v>5</v>
      </c>
      <c r="D216" s="3" t="s">
        <v>35</v>
      </c>
      <c r="E216" s="3">
        <v>40</v>
      </c>
      <c r="F216" s="5">
        <f t="shared" si="3"/>
        <v>160</v>
      </c>
    </row>
    <row r="217" spans="1:16" x14ac:dyDescent="0.25">
      <c r="A217" s="4">
        <v>42008</v>
      </c>
      <c r="B217" s="3" t="s">
        <v>37</v>
      </c>
      <c r="C217" s="3" t="s">
        <v>6</v>
      </c>
      <c r="D217" s="3" t="s">
        <v>33</v>
      </c>
      <c r="E217" s="3">
        <v>38</v>
      </c>
      <c r="F217" s="5">
        <f t="shared" si="3"/>
        <v>190</v>
      </c>
    </row>
    <row r="218" spans="1:16" x14ac:dyDescent="0.25">
      <c r="A218" s="4">
        <v>42151</v>
      </c>
      <c r="B218" s="3" t="s">
        <v>32</v>
      </c>
      <c r="C218" s="3" t="s">
        <v>19</v>
      </c>
      <c r="D218" s="3" t="s">
        <v>33</v>
      </c>
      <c r="E218" s="3">
        <v>13</v>
      </c>
      <c r="F218" s="5">
        <f t="shared" si="3"/>
        <v>65</v>
      </c>
    </row>
    <row r="219" spans="1:16" x14ac:dyDescent="0.25">
      <c r="A219" s="4">
        <v>42026</v>
      </c>
      <c r="B219" s="3" t="s">
        <v>32</v>
      </c>
      <c r="C219" s="3" t="s">
        <v>2</v>
      </c>
      <c r="D219" s="3" t="s">
        <v>34</v>
      </c>
      <c r="E219" s="3">
        <v>19</v>
      </c>
      <c r="F219" s="5">
        <f t="shared" si="3"/>
        <v>3.8000000000000003</v>
      </c>
    </row>
    <row r="220" spans="1:16" x14ac:dyDescent="0.25">
      <c r="A220" s="4">
        <v>42028</v>
      </c>
      <c r="B220" s="3" t="s">
        <v>37</v>
      </c>
      <c r="C220" s="3" t="s">
        <v>5</v>
      </c>
      <c r="D220" s="3" t="s">
        <v>28</v>
      </c>
      <c r="E220" s="3">
        <v>2</v>
      </c>
      <c r="F220" s="5">
        <f t="shared" si="3"/>
        <v>4</v>
      </c>
    </row>
    <row r="221" spans="1:16" x14ac:dyDescent="0.25">
      <c r="A221" s="4">
        <v>42105</v>
      </c>
      <c r="B221" s="3" t="s">
        <v>32</v>
      </c>
      <c r="C221" s="3" t="s">
        <v>10</v>
      </c>
      <c r="D221" s="3" t="s">
        <v>27</v>
      </c>
      <c r="E221" s="3">
        <v>46</v>
      </c>
      <c r="F221" s="5">
        <f t="shared" si="3"/>
        <v>23</v>
      </c>
    </row>
    <row r="222" spans="1:16" x14ac:dyDescent="0.25">
      <c r="A222" s="4">
        <v>42038</v>
      </c>
      <c r="B222" s="3" t="s">
        <v>32</v>
      </c>
      <c r="C222" s="3" t="s">
        <v>5</v>
      </c>
      <c r="D222" s="3" t="s">
        <v>35</v>
      </c>
      <c r="E222" s="3">
        <v>41</v>
      </c>
      <c r="F222" s="5">
        <f t="shared" si="3"/>
        <v>164</v>
      </c>
    </row>
    <row r="223" spans="1:16" x14ac:dyDescent="0.25">
      <c r="A223" s="4">
        <v>42014</v>
      </c>
      <c r="B223" s="3" t="s">
        <v>38</v>
      </c>
      <c r="C223" s="3" t="s">
        <v>10</v>
      </c>
      <c r="D223" s="3" t="s">
        <v>36</v>
      </c>
      <c r="E223" s="3">
        <v>11</v>
      </c>
      <c r="F223" s="5">
        <f t="shared" si="3"/>
        <v>16.5</v>
      </c>
    </row>
    <row r="224" spans="1:16" x14ac:dyDescent="0.25">
      <c r="A224" s="4">
        <v>42005</v>
      </c>
      <c r="B224" s="3" t="s">
        <v>38</v>
      </c>
      <c r="C224" s="3" t="s">
        <v>10</v>
      </c>
      <c r="D224" s="3" t="s">
        <v>34</v>
      </c>
      <c r="E224" s="3">
        <v>21</v>
      </c>
      <c r="F224" s="5">
        <f t="shared" si="3"/>
        <v>4.2</v>
      </c>
    </row>
    <row r="225" spans="1:6" x14ac:dyDescent="0.25">
      <c r="A225" s="4">
        <v>42117</v>
      </c>
      <c r="B225" s="3" t="s">
        <v>32</v>
      </c>
      <c r="C225" s="3" t="s">
        <v>6</v>
      </c>
      <c r="D225" s="3" t="s">
        <v>31</v>
      </c>
      <c r="E225" s="3">
        <v>8</v>
      </c>
      <c r="F225" s="5">
        <f t="shared" si="3"/>
        <v>20</v>
      </c>
    </row>
    <row r="226" spans="1:6" x14ac:dyDescent="0.25">
      <c r="A226" s="4">
        <v>42048</v>
      </c>
      <c r="B226" s="3" t="s">
        <v>26</v>
      </c>
      <c r="C226" s="3" t="s">
        <v>19</v>
      </c>
      <c r="D226" s="3" t="s">
        <v>35</v>
      </c>
      <c r="E226" s="3">
        <v>15</v>
      </c>
      <c r="F226" s="5">
        <f t="shared" si="3"/>
        <v>60</v>
      </c>
    </row>
    <row r="227" spans="1:6" x14ac:dyDescent="0.25">
      <c r="A227" s="4">
        <v>42152</v>
      </c>
      <c r="B227" s="3" t="s">
        <v>37</v>
      </c>
      <c r="C227" s="3" t="s">
        <v>2</v>
      </c>
      <c r="D227" s="3" t="s">
        <v>30</v>
      </c>
      <c r="E227" s="3">
        <v>15</v>
      </c>
      <c r="F227" s="5">
        <f t="shared" si="3"/>
        <v>1.5</v>
      </c>
    </row>
    <row r="228" spans="1:6" x14ac:dyDescent="0.25">
      <c r="A228" s="4">
        <v>42055</v>
      </c>
      <c r="B228" s="3" t="s">
        <v>38</v>
      </c>
      <c r="C228" s="3" t="s">
        <v>19</v>
      </c>
      <c r="D228" s="3" t="s">
        <v>28</v>
      </c>
      <c r="E228" s="3">
        <v>14</v>
      </c>
      <c r="F228" s="5">
        <f t="shared" si="3"/>
        <v>28</v>
      </c>
    </row>
    <row r="229" spans="1:6" x14ac:dyDescent="0.25">
      <c r="A229" s="4">
        <v>42016</v>
      </c>
      <c r="B229" s="3" t="s">
        <v>38</v>
      </c>
      <c r="C229" s="3" t="s">
        <v>6</v>
      </c>
      <c r="D229" s="3" t="s">
        <v>35</v>
      </c>
      <c r="E229" s="3">
        <v>49</v>
      </c>
      <c r="F229" s="5">
        <f t="shared" si="3"/>
        <v>196</v>
      </c>
    </row>
    <row r="230" spans="1:6" x14ac:dyDescent="0.25">
      <c r="A230" s="4">
        <v>42075</v>
      </c>
      <c r="B230" s="3" t="s">
        <v>37</v>
      </c>
      <c r="C230" s="3" t="s">
        <v>2</v>
      </c>
      <c r="D230" s="3" t="s">
        <v>31</v>
      </c>
      <c r="E230" s="3">
        <v>5</v>
      </c>
      <c r="F230" s="5">
        <f t="shared" si="3"/>
        <v>12.5</v>
      </c>
    </row>
    <row r="231" spans="1:6" x14ac:dyDescent="0.25">
      <c r="A231" s="4">
        <v>42128</v>
      </c>
      <c r="B231" s="3" t="s">
        <v>39</v>
      </c>
      <c r="C231" s="3" t="s">
        <v>6</v>
      </c>
      <c r="D231" s="3" t="s">
        <v>34</v>
      </c>
      <c r="E231" s="3">
        <v>19</v>
      </c>
      <c r="F231" s="5">
        <f t="shared" si="3"/>
        <v>3.8000000000000003</v>
      </c>
    </row>
    <row r="232" spans="1:6" x14ac:dyDescent="0.25">
      <c r="A232" s="4">
        <v>42122</v>
      </c>
      <c r="B232" s="3" t="s">
        <v>32</v>
      </c>
      <c r="C232" s="3" t="s">
        <v>10</v>
      </c>
      <c r="D232" s="3" t="s">
        <v>34</v>
      </c>
      <c r="E232" s="3">
        <v>22</v>
      </c>
      <c r="F232" s="5">
        <f t="shared" si="3"/>
        <v>4.4000000000000004</v>
      </c>
    </row>
    <row r="233" spans="1:6" x14ac:dyDescent="0.25">
      <c r="A233" s="4">
        <v>42151</v>
      </c>
      <c r="B233" s="3" t="s">
        <v>37</v>
      </c>
      <c r="C233" s="3" t="s">
        <v>19</v>
      </c>
      <c r="D233" s="3" t="s">
        <v>31</v>
      </c>
      <c r="E233" s="3">
        <v>28</v>
      </c>
      <c r="F233" s="5">
        <f t="shared" si="3"/>
        <v>70</v>
      </c>
    </row>
    <row r="234" spans="1:6" x14ac:dyDescent="0.25">
      <c r="A234" s="4">
        <v>42020</v>
      </c>
      <c r="B234" s="3" t="s">
        <v>37</v>
      </c>
      <c r="C234" s="3" t="s">
        <v>2</v>
      </c>
      <c r="D234" s="3" t="s">
        <v>28</v>
      </c>
      <c r="E234" s="3">
        <v>26</v>
      </c>
      <c r="F234" s="5">
        <f t="shared" si="3"/>
        <v>52</v>
      </c>
    </row>
    <row r="235" spans="1:6" x14ac:dyDescent="0.25">
      <c r="A235" s="4">
        <v>42087</v>
      </c>
      <c r="B235" s="3" t="s">
        <v>39</v>
      </c>
      <c r="C235" s="3" t="s">
        <v>6</v>
      </c>
      <c r="D235" s="3" t="s">
        <v>33</v>
      </c>
      <c r="E235" s="3">
        <v>23</v>
      </c>
      <c r="F235" s="5">
        <f t="shared" si="3"/>
        <v>115</v>
      </c>
    </row>
    <row r="236" spans="1:6" x14ac:dyDescent="0.25">
      <c r="A236" s="4">
        <v>42030</v>
      </c>
      <c r="B236" s="3" t="s">
        <v>39</v>
      </c>
      <c r="C236" s="3" t="s">
        <v>10</v>
      </c>
      <c r="D236" s="3" t="s">
        <v>34</v>
      </c>
      <c r="E236" s="3">
        <v>39</v>
      </c>
      <c r="F236" s="5">
        <f t="shared" si="3"/>
        <v>7.8000000000000007</v>
      </c>
    </row>
    <row r="237" spans="1:6" x14ac:dyDescent="0.25">
      <c r="A237" s="4">
        <v>42104</v>
      </c>
      <c r="B237" s="3" t="s">
        <v>29</v>
      </c>
      <c r="C237" s="3" t="s">
        <v>19</v>
      </c>
      <c r="D237" s="3" t="s">
        <v>27</v>
      </c>
      <c r="E237" s="3">
        <v>14</v>
      </c>
      <c r="F237" s="5">
        <f t="shared" si="3"/>
        <v>7</v>
      </c>
    </row>
    <row r="238" spans="1:6" x14ac:dyDescent="0.25">
      <c r="A238" s="4">
        <v>42137</v>
      </c>
      <c r="B238" s="3" t="s">
        <v>26</v>
      </c>
      <c r="C238" s="3" t="s">
        <v>2</v>
      </c>
      <c r="D238" s="3" t="s">
        <v>28</v>
      </c>
      <c r="E238" s="3">
        <v>35</v>
      </c>
      <c r="F238" s="5">
        <f t="shared" si="3"/>
        <v>70</v>
      </c>
    </row>
    <row r="239" spans="1:6" x14ac:dyDescent="0.25">
      <c r="A239" s="4">
        <v>42149</v>
      </c>
      <c r="B239" s="3" t="s">
        <v>37</v>
      </c>
      <c r="C239" s="3" t="s">
        <v>19</v>
      </c>
      <c r="D239" s="3" t="s">
        <v>28</v>
      </c>
      <c r="E239" s="3">
        <v>26</v>
      </c>
      <c r="F239" s="5">
        <f t="shared" si="3"/>
        <v>52</v>
      </c>
    </row>
    <row r="240" spans="1:6" x14ac:dyDescent="0.25">
      <c r="A240" s="4">
        <v>42108</v>
      </c>
      <c r="B240" s="3" t="s">
        <v>37</v>
      </c>
      <c r="C240" s="3" t="s">
        <v>10</v>
      </c>
      <c r="D240" s="3" t="s">
        <v>34</v>
      </c>
      <c r="E240" s="3">
        <v>26</v>
      </c>
      <c r="F240" s="5">
        <f t="shared" si="3"/>
        <v>5.2</v>
      </c>
    </row>
    <row r="241" spans="1:6" x14ac:dyDescent="0.25">
      <c r="A241" s="4">
        <v>42183</v>
      </c>
      <c r="B241" s="3" t="s">
        <v>32</v>
      </c>
      <c r="C241" s="3" t="s">
        <v>6</v>
      </c>
      <c r="D241" s="3" t="s">
        <v>28</v>
      </c>
      <c r="E241" s="3">
        <v>50</v>
      </c>
      <c r="F241" s="5">
        <f t="shared" si="3"/>
        <v>100</v>
      </c>
    </row>
    <row r="242" spans="1:6" x14ac:dyDescent="0.25">
      <c r="A242" s="4">
        <v>42064</v>
      </c>
      <c r="B242" s="3" t="s">
        <v>29</v>
      </c>
      <c r="C242" s="3" t="s">
        <v>6</v>
      </c>
      <c r="D242" s="3" t="s">
        <v>28</v>
      </c>
      <c r="E242" s="3">
        <v>17</v>
      </c>
      <c r="F242" s="5">
        <f t="shared" si="3"/>
        <v>34</v>
      </c>
    </row>
    <row r="243" spans="1:6" x14ac:dyDescent="0.25">
      <c r="A243" s="4">
        <v>42041</v>
      </c>
      <c r="B243" s="3" t="s">
        <v>37</v>
      </c>
      <c r="C243" s="3" t="s">
        <v>5</v>
      </c>
      <c r="D243" s="3" t="s">
        <v>35</v>
      </c>
      <c r="E243" s="3">
        <v>41</v>
      </c>
      <c r="F243" s="5">
        <f t="shared" si="3"/>
        <v>164</v>
      </c>
    </row>
    <row r="244" spans="1:6" x14ac:dyDescent="0.25">
      <c r="A244" s="4">
        <v>42161</v>
      </c>
      <c r="B244" s="3" t="s">
        <v>38</v>
      </c>
      <c r="C244" s="3" t="s">
        <v>19</v>
      </c>
      <c r="D244" s="3" t="s">
        <v>31</v>
      </c>
      <c r="E244" s="3">
        <v>21</v>
      </c>
      <c r="F244" s="5">
        <f t="shared" si="3"/>
        <v>52.5</v>
      </c>
    </row>
    <row r="245" spans="1:6" x14ac:dyDescent="0.25">
      <c r="A245" s="4">
        <v>42079</v>
      </c>
      <c r="B245" s="3" t="s">
        <v>32</v>
      </c>
      <c r="C245" s="3" t="s">
        <v>5</v>
      </c>
      <c r="D245" s="3" t="s">
        <v>30</v>
      </c>
      <c r="E245" s="3">
        <v>45</v>
      </c>
      <c r="F245" s="5">
        <f t="shared" si="3"/>
        <v>4.5</v>
      </c>
    </row>
    <row r="246" spans="1:6" x14ac:dyDescent="0.25">
      <c r="A246" s="4">
        <v>42008</v>
      </c>
      <c r="B246" s="3" t="s">
        <v>39</v>
      </c>
      <c r="C246" s="3" t="s">
        <v>6</v>
      </c>
      <c r="D246" s="3" t="s">
        <v>35</v>
      </c>
      <c r="E246" s="3">
        <v>38</v>
      </c>
      <c r="F246" s="5">
        <f t="shared" si="3"/>
        <v>152</v>
      </c>
    </row>
    <row r="247" spans="1:6" x14ac:dyDescent="0.25">
      <c r="A247" s="4">
        <v>42055</v>
      </c>
      <c r="B247" s="3" t="s">
        <v>29</v>
      </c>
      <c r="C247" s="3" t="s">
        <v>2</v>
      </c>
      <c r="D247" s="3" t="s">
        <v>35</v>
      </c>
      <c r="E247" s="3">
        <v>44</v>
      </c>
      <c r="F247" s="5">
        <f t="shared" si="3"/>
        <v>176</v>
      </c>
    </row>
    <row r="248" spans="1:6" x14ac:dyDescent="0.25">
      <c r="A248" s="4">
        <v>42010</v>
      </c>
      <c r="B248" s="3" t="s">
        <v>26</v>
      </c>
      <c r="C248" s="3" t="s">
        <v>5</v>
      </c>
      <c r="D248" s="3" t="s">
        <v>33</v>
      </c>
      <c r="E248" s="3">
        <v>43</v>
      </c>
      <c r="F248" s="5">
        <f t="shared" si="3"/>
        <v>215</v>
      </c>
    </row>
    <row r="249" spans="1:6" x14ac:dyDescent="0.25">
      <c r="A249" s="4">
        <v>42109</v>
      </c>
      <c r="B249" s="3" t="s">
        <v>38</v>
      </c>
      <c r="C249" s="3" t="s">
        <v>19</v>
      </c>
      <c r="D249" s="3" t="s">
        <v>34</v>
      </c>
      <c r="E249" s="3">
        <v>10</v>
      </c>
      <c r="F249" s="5">
        <f t="shared" si="3"/>
        <v>2</v>
      </c>
    </row>
    <row r="250" spans="1:6" x14ac:dyDescent="0.25">
      <c r="A250" s="4">
        <v>42057</v>
      </c>
      <c r="B250" s="3" t="s">
        <v>39</v>
      </c>
      <c r="C250" s="3" t="s">
        <v>2</v>
      </c>
      <c r="D250" s="3" t="s">
        <v>28</v>
      </c>
      <c r="E250" s="3">
        <v>30</v>
      </c>
      <c r="F250" s="5">
        <f t="shared" si="3"/>
        <v>60</v>
      </c>
    </row>
    <row r="251" spans="1:6" x14ac:dyDescent="0.25">
      <c r="A251" s="4">
        <v>42131</v>
      </c>
      <c r="B251" s="3" t="s">
        <v>39</v>
      </c>
      <c r="C251" s="3" t="s">
        <v>2</v>
      </c>
      <c r="D251" s="3" t="s">
        <v>30</v>
      </c>
      <c r="E251" s="3">
        <v>22</v>
      </c>
      <c r="F251" s="5">
        <f t="shared" si="3"/>
        <v>2.2000000000000002</v>
      </c>
    </row>
    <row r="252" spans="1:6" x14ac:dyDescent="0.25">
      <c r="A252" s="4">
        <v>42025</v>
      </c>
      <c r="B252" s="3" t="s">
        <v>29</v>
      </c>
      <c r="C252" s="3" t="s">
        <v>6</v>
      </c>
      <c r="D252" s="3" t="s">
        <v>36</v>
      </c>
      <c r="E252" s="3">
        <v>39</v>
      </c>
      <c r="F252" s="5">
        <f t="shared" si="3"/>
        <v>58.5</v>
      </c>
    </row>
    <row r="253" spans="1:6" x14ac:dyDescent="0.25">
      <c r="A253" s="4">
        <v>42084</v>
      </c>
      <c r="B253" s="3" t="s">
        <v>29</v>
      </c>
      <c r="C253" s="3" t="s">
        <v>2</v>
      </c>
      <c r="D253" s="3" t="s">
        <v>30</v>
      </c>
      <c r="E253" s="3">
        <v>45</v>
      </c>
      <c r="F253" s="5">
        <f t="shared" si="3"/>
        <v>4.5</v>
      </c>
    </row>
    <row r="254" spans="1:6" x14ac:dyDescent="0.25">
      <c r="A254" s="4">
        <v>42146</v>
      </c>
      <c r="B254" s="3" t="s">
        <v>39</v>
      </c>
      <c r="C254" s="3" t="s">
        <v>2</v>
      </c>
      <c r="D254" s="3" t="s">
        <v>35</v>
      </c>
      <c r="E254" s="3">
        <v>24</v>
      </c>
      <c r="F254" s="5">
        <f t="shared" si="3"/>
        <v>96</v>
      </c>
    </row>
    <row r="255" spans="1:6" x14ac:dyDescent="0.25">
      <c r="A255" s="4">
        <v>42119</v>
      </c>
      <c r="B255" s="3" t="s">
        <v>26</v>
      </c>
      <c r="C255" s="3" t="s">
        <v>10</v>
      </c>
      <c r="D255" s="3" t="s">
        <v>28</v>
      </c>
      <c r="E255" s="3">
        <v>1</v>
      </c>
      <c r="F255" s="5">
        <f t="shared" si="3"/>
        <v>2</v>
      </c>
    </row>
    <row r="256" spans="1:6" x14ac:dyDescent="0.25">
      <c r="A256" s="4">
        <v>42009</v>
      </c>
      <c r="B256" s="3" t="s">
        <v>38</v>
      </c>
      <c r="C256" s="3" t="s">
        <v>6</v>
      </c>
      <c r="D256" s="3" t="s">
        <v>34</v>
      </c>
      <c r="E256" s="3">
        <v>49</v>
      </c>
      <c r="F256" s="5">
        <f t="shared" si="3"/>
        <v>9.8000000000000007</v>
      </c>
    </row>
    <row r="257" spans="1:6" x14ac:dyDescent="0.25">
      <c r="A257" s="4">
        <v>42177</v>
      </c>
      <c r="B257" s="3" t="s">
        <v>26</v>
      </c>
      <c r="C257" s="3" t="s">
        <v>5</v>
      </c>
      <c r="D257" s="3" t="s">
        <v>36</v>
      </c>
      <c r="E257" s="3">
        <v>32</v>
      </c>
      <c r="F257" s="5">
        <f t="shared" si="3"/>
        <v>48</v>
      </c>
    </row>
    <row r="258" spans="1:6" x14ac:dyDescent="0.25">
      <c r="A258" s="4">
        <v>42083</v>
      </c>
      <c r="B258" s="3" t="s">
        <v>32</v>
      </c>
      <c r="C258" s="3" t="s">
        <v>10</v>
      </c>
      <c r="D258" s="3" t="s">
        <v>27</v>
      </c>
      <c r="E258" s="3">
        <v>17</v>
      </c>
      <c r="F258" s="5">
        <f t="shared" si="3"/>
        <v>8.5</v>
      </c>
    </row>
    <row r="259" spans="1:6" x14ac:dyDescent="0.25">
      <c r="A259" s="4">
        <v>42095</v>
      </c>
      <c r="B259" s="3" t="s">
        <v>38</v>
      </c>
      <c r="C259" s="3" t="s">
        <v>10</v>
      </c>
      <c r="D259" s="3" t="s">
        <v>35</v>
      </c>
      <c r="E259" s="3">
        <v>9</v>
      </c>
      <c r="F259" s="5">
        <f t="shared" si="3"/>
        <v>36</v>
      </c>
    </row>
    <row r="260" spans="1:6" x14ac:dyDescent="0.25">
      <c r="A260" s="4">
        <v>42025</v>
      </c>
      <c r="B260" s="3" t="s">
        <v>38</v>
      </c>
      <c r="C260" s="3" t="s">
        <v>19</v>
      </c>
      <c r="D260" s="3" t="s">
        <v>35</v>
      </c>
      <c r="E260" s="3">
        <v>23</v>
      </c>
      <c r="F260" s="5">
        <f t="shared" si="3"/>
        <v>92</v>
      </c>
    </row>
    <row r="261" spans="1:6" x14ac:dyDescent="0.25">
      <c r="A261" s="4">
        <v>42086</v>
      </c>
      <c r="B261" s="3" t="s">
        <v>29</v>
      </c>
      <c r="C261" s="3" t="s">
        <v>2</v>
      </c>
      <c r="D261" s="3" t="s">
        <v>35</v>
      </c>
      <c r="E261" s="3">
        <v>49</v>
      </c>
      <c r="F261" s="5">
        <f t="shared" si="3"/>
        <v>196</v>
      </c>
    </row>
    <row r="262" spans="1:6" x14ac:dyDescent="0.25">
      <c r="A262" s="4">
        <v>42077</v>
      </c>
      <c r="B262" s="3" t="s">
        <v>32</v>
      </c>
      <c r="C262" s="3" t="s">
        <v>19</v>
      </c>
      <c r="D262" s="3" t="s">
        <v>31</v>
      </c>
      <c r="E262" s="3">
        <v>25</v>
      </c>
      <c r="F262" s="5">
        <f t="shared" si="3"/>
        <v>62.5</v>
      </c>
    </row>
    <row r="263" spans="1:6" x14ac:dyDescent="0.25">
      <c r="A263" s="4">
        <v>42059</v>
      </c>
      <c r="B263" s="3" t="s">
        <v>32</v>
      </c>
      <c r="C263" s="3" t="s">
        <v>19</v>
      </c>
      <c r="D263" s="3" t="s">
        <v>31</v>
      </c>
      <c r="E263" s="3">
        <v>11</v>
      </c>
      <c r="F263" s="5">
        <f t="shared" ref="F263:F326" si="4">E263*VLOOKUP(D263,$R$6:$S$13,2,0)</f>
        <v>27.5</v>
      </c>
    </row>
    <row r="264" spans="1:6" x14ac:dyDescent="0.25">
      <c r="A264" s="4">
        <v>42033</v>
      </c>
      <c r="B264" s="3" t="s">
        <v>37</v>
      </c>
      <c r="C264" s="3" t="s">
        <v>2</v>
      </c>
      <c r="D264" s="3" t="s">
        <v>34</v>
      </c>
      <c r="E264" s="3">
        <v>18</v>
      </c>
      <c r="F264" s="5">
        <f t="shared" si="4"/>
        <v>3.6</v>
      </c>
    </row>
    <row r="265" spans="1:6" x14ac:dyDescent="0.25">
      <c r="A265" s="4">
        <v>42063</v>
      </c>
      <c r="B265" s="3" t="s">
        <v>39</v>
      </c>
      <c r="C265" s="3" t="s">
        <v>10</v>
      </c>
      <c r="D265" s="3" t="s">
        <v>33</v>
      </c>
      <c r="E265" s="3">
        <v>40</v>
      </c>
      <c r="F265" s="5">
        <f t="shared" si="4"/>
        <v>200</v>
      </c>
    </row>
    <row r="266" spans="1:6" x14ac:dyDescent="0.25">
      <c r="A266" s="4">
        <v>42063</v>
      </c>
      <c r="B266" s="3" t="s">
        <v>38</v>
      </c>
      <c r="C266" s="3" t="s">
        <v>6</v>
      </c>
      <c r="D266" s="3" t="s">
        <v>30</v>
      </c>
      <c r="E266" s="3">
        <v>3</v>
      </c>
      <c r="F266" s="5">
        <f t="shared" si="4"/>
        <v>0.30000000000000004</v>
      </c>
    </row>
    <row r="267" spans="1:6" x14ac:dyDescent="0.25">
      <c r="A267" s="4">
        <v>42122</v>
      </c>
      <c r="B267" s="3" t="s">
        <v>26</v>
      </c>
      <c r="C267" s="3" t="s">
        <v>2</v>
      </c>
      <c r="D267" s="3" t="s">
        <v>27</v>
      </c>
      <c r="E267" s="3">
        <v>17</v>
      </c>
      <c r="F267" s="5">
        <f t="shared" si="4"/>
        <v>8.5</v>
      </c>
    </row>
    <row r="268" spans="1:6" x14ac:dyDescent="0.25">
      <c r="A268" s="4">
        <v>42118</v>
      </c>
      <c r="B268" s="3" t="s">
        <v>37</v>
      </c>
      <c r="C268" s="3" t="s">
        <v>10</v>
      </c>
      <c r="D268" s="3" t="s">
        <v>31</v>
      </c>
      <c r="E268" s="3">
        <v>9</v>
      </c>
      <c r="F268" s="5">
        <f t="shared" si="4"/>
        <v>22.5</v>
      </c>
    </row>
    <row r="269" spans="1:6" x14ac:dyDescent="0.25">
      <c r="A269" s="4">
        <v>42177</v>
      </c>
      <c r="B269" s="3" t="s">
        <v>29</v>
      </c>
      <c r="C269" s="3" t="s">
        <v>10</v>
      </c>
      <c r="D269" s="3" t="s">
        <v>30</v>
      </c>
      <c r="E269" s="3">
        <v>34</v>
      </c>
      <c r="F269" s="5">
        <f t="shared" si="4"/>
        <v>3.4000000000000004</v>
      </c>
    </row>
    <row r="270" spans="1:6" x14ac:dyDescent="0.25">
      <c r="A270" s="4">
        <v>42053</v>
      </c>
      <c r="B270" s="3" t="s">
        <v>32</v>
      </c>
      <c r="C270" s="3" t="s">
        <v>10</v>
      </c>
      <c r="D270" s="3" t="s">
        <v>28</v>
      </c>
      <c r="E270" s="3">
        <v>22</v>
      </c>
      <c r="F270" s="5">
        <f t="shared" si="4"/>
        <v>44</v>
      </c>
    </row>
    <row r="271" spans="1:6" x14ac:dyDescent="0.25">
      <c r="A271" s="4">
        <v>42030</v>
      </c>
      <c r="B271" s="3" t="s">
        <v>38</v>
      </c>
      <c r="C271" s="3" t="s">
        <v>2</v>
      </c>
      <c r="D271" s="3" t="s">
        <v>31</v>
      </c>
      <c r="E271" s="3">
        <v>28</v>
      </c>
      <c r="F271" s="5">
        <f t="shared" si="4"/>
        <v>70</v>
      </c>
    </row>
    <row r="272" spans="1:6" x14ac:dyDescent="0.25">
      <c r="A272" s="4">
        <v>42090</v>
      </c>
      <c r="B272" s="3" t="s">
        <v>32</v>
      </c>
      <c r="C272" s="3" t="s">
        <v>2</v>
      </c>
      <c r="D272" s="3" t="s">
        <v>31</v>
      </c>
      <c r="E272" s="3">
        <v>21</v>
      </c>
      <c r="F272" s="5">
        <f t="shared" si="4"/>
        <v>52.5</v>
      </c>
    </row>
    <row r="273" spans="1:6" x14ac:dyDescent="0.25">
      <c r="A273" s="4">
        <v>42158</v>
      </c>
      <c r="B273" s="3" t="s">
        <v>29</v>
      </c>
      <c r="C273" s="3" t="s">
        <v>10</v>
      </c>
      <c r="D273" s="3" t="s">
        <v>30</v>
      </c>
      <c r="E273" s="3">
        <v>45</v>
      </c>
      <c r="F273" s="5">
        <f t="shared" si="4"/>
        <v>4.5</v>
      </c>
    </row>
    <row r="274" spans="1:6" x14ac:dyDescent="0.25">
      <c r="A274" s="4">
        <v>42185</v>
      </c>
      <c r="B274" s="3" t="s">
        <v>29</v>
      </c>
      <c r="C274" s="3" t="s">
        <v>2</v>
      </c>
      <c r="D274" s="3" t="s">
        <v>33</v>
      </c>
      <c r="E274" s="3">
        <v>17</v>
      </c>
      <c r="F274" s="5">
        <f t="shared" si="4"/>
        <v>85</v>
      </c>
    </row>
    <row r="275" spans="1:6" x14ac:dyDescent="0.25">
      <c r="A275" s="4">
        <v>42079</v>
      </c>
      <c r="B275" s="3" t="s">
        <v>38</v>
      </c>
      <c r="C275" s="3" t="s">
        <v>5</v>
      </c>
      <c r="D275" s="3" t="s">
        <v>28</v>
      </c>
      <c r="E275" s="3">
        <v>44</v>
      </c>
      <c r="F275" s="5">
        <f t="shared" si="4"/>
        <v>88</v>
      </c>
    </row>
    <row r="276" spans="1:6" x14ac:dyDescent="0.25">
      <c r="A276" s="4">
        <v>42078</v>
      </c>
      <c r="B276" s="3" t="s">
        <v>29</v>
      </c>
      <c r="C276" s="3" t="s">
        <v>19</v>
      </c>
      <c r="D276" s="3" t="s">
        <v>33</v>
      </c>
      <c r="E276" s="3">
        <v>20</v>
      </c>
      <c r="F276" s="5">
        <f t="shared" si="4"/>
        <v>100</v>
      </c>
    </row>
    <row r="277" spans="1:6" x14ac:dyDescent="0.25">
      <c r="A277" s="4">
        <v>42170</v>
      </c>
      <c r="B277" s="3" t="s">
        <v>39</v>
      </c>
      <c r="C277" s="3" t="s">
        <v>10</v>
      </c>
      <c r="D277" s="3" t="s">
        <v>36</v>
      </c>
      <c r="E277" s="3">
        <v>29</v>
      </c>
      <c r="F277" s="5">
        <f t="shared" si="4"/>
        <v>43.5</v>
      </c>
    </row>
    <row r="278" spans="1:6" x14ac:dyDescent="0.25">
      <c r="A278" s="4">
        <v>42027</v>
      </c>
      <c r="B278" s="3" t="s">
        <v>26</v>
      </c>
      <c r="C278" s="3" t="s">
        <v>10</v>
      </c>
      <c r="D278" s="3" t="s">
        <v>36</v>
      </c>
      <c r="E278" s="3">
        <v>13</v>
      </c>
      <c r="F278" s="5">
        <f t="shared" si="4"/>
        <v>19.5</v>
      </c>
    </row>
    <row r="279" spans="1:6" x14ac:dyDescent="0.25">
      <c r="A279" s="4">
        <v>42038</v>
      </c>
      <c r="B279" s="3" t="s">
        <v>37</v>
      </c>
      <c r="C279" s="3" t="s">
        <v>19</v>
      </c>
      <c r="D279" s="3" t="s">
        <v>33</v>
      </c>
      <c r="E279" s="3">
        <v>45</v>
      </c>
      <c r="F279" s="5">
        <f t="shared" si="4"/>
        <v>225</v>
      </c>
    </row>
    <row r="280" spans="1:6" x14ac:dyDescent="0.25">
      <c r="A280" s="4">
        <v>42066</v>
      </c>
      <c r="B280" s="3" t="s">
        <v>29</v>
      </c>
      <c r="C280" s="3" t="s">
        <v>2</v>
      </c>
      <c r="D280" s="3" t="s">
        <v>36</v>
      </c>
      <c r="E280" s="3">
        <v>40</v>
      </c>
      <c r="F280" s="5">
        <f t="shared" si="4"/>
        <v>60</v>
      </c>
    </row>
    <row r="281" spans="1:6" x14ac:dyDescent="0.25">
      <c r="A281" s="4">
        <v>42069</v>
      </c>
      <c r="B281" s="3" t="s">
        <v>29</v>
      </c>
      <c r="C281" s="3" t="s">
        <v>5</v>
      </c>
      <c r="D281" s="3" t="s">
        <v>31</v>
      </c>
      <c r="E281" s="3">
        <v>10</v>
      </c>
      <c r="F281" s="5">
        <f t="shared" si="4"/>
        <v>25</v>
      </c>
    </row>
    <row r="282" spans="1:6" x14ac:dyDescent="0.25">
      <c r="A282" s="4">
        <v>42131</v>
      </c>
      <c r="B282" s="3" t="s">
        <v>29</v>
      </c>
      <c r="C282" s="3" t="s">
        <v>5</v>
      </c>
      <c r="D282" s="3" t="s">
        <v>36</v>
      </c>
      <c r="E282" s="3">
        <v>40</v>
      </c>
      <c r="F282" s="5">
        <f t="shared" si="4"/>
        <v>60</v>
      </c>
    </row>
    <row r="283" spans="1:6" x14ac:dyDescent="0.25">
      <c r="A283" s="4">
        <v>42164</v>
      </c>
      <c r="B283" s="3" t="s">
        <v>26</v>
      </c>
      <c r="C283" s="3" t="s">
        <v>10</v>
      </c>
      <c r="D283" s="3" t="s">
        <v>34</v>
      </c>
      <c r="E283" s="3">
        <v>24</v>
      </c>
      <c r="F283" s="5">
        <f t="shared" si="4"/>
        <v>4.8000000000000007</v>
      </c>
    </row>
    <row r="284" spans="1:6" x14ac:dyDescent="0.25">
      <c r="A284" s="4">
        <v>42013</v>
      </c>
      <c r="B284" s="3" t="s">
        <v>38</v>
      </c>
      <c r="C284" s="3" t="s">
        <v>6</v>
      </c>
      <c r="D284" s="3" t="s">
        <v>35</v>
      </c>
      <c r="E284" s="3">
        <v>5</v>
      </c>
      <c r="F284" s="5">
        <f t="shared" si="4"/>
        <v>20</v>
      </c>
    </row>
    <row r="285" spans="1:6" x14ac:dyDescent="0.25">
      <c r="A285" s="4">
        <v>42106</v>
      </c>
      <c r="B285" s="3" t="s">
        <v>29</v>
      </c>
      <c r="C285" s="3" t="s">
        <v>19</v>
      </c>
      <c r="D285" s="3" t="s">
        <v>35</v>
      </c>
      <c r="E285" s="3">
        <v>47</v>
      </c>
      <c r="F285" s="5">
        <f t="shared" si="4"/>
        <v>188</v>
      </c>
    </row>
    <row r="286" spans="1:6" x14ac:dyDescent="0.25">
      <c r="A286" s="4">
        <v>42126</v>
      </c>
      <c r="B286" s="3" t="s">
        <v>38</v>
      </c>
      <c r="C286" s="3" t="s">
        <v>2</v>
      </c>
      <c r="D286" s="3" t="s">
        <v>31</v>
      </c>
      <c r="E286" s="3">
        <v>47</v>
      </c>
      <c r="F286" s="5">
        <f t="shared" si="4"/>
        <v>117.5</v>
      </c>
    </row>
    <row r="287" spans="1:6" x14ac:dyDescent="0.25">
      <c r="A287" s="4">
        <v>42157</v>
      </c>
      <c r="B287" s="3" t="s">
        <v>32</v>
      </c>
      <c r="C287" s="3" t="s">
        <v>6</v>
      </c>
      <c r="D287" s="3" t="s">
        <v>36</v>
      </c>
      <c r="E287" s="3">
        <v>27</v>
      </c>
      <c r="F287" s="5">
        <f t="shared" si="4"/>
        <v>40.5</v>
      </c>
    </row>
    <row r="288" spans="1:6" x14ac:dyDescent="0.25">
      <c r="A288" s="4">
        <v>42128</v>
      </c>
      <c r="B288" s="3" t="s">
        <v>26</v>
      </c>
      <c r="C288" s="3" t="s">
        <v>5</v>
      </c>
      <c r="D288" s="3" t="s">
        <v>36</v>
      </c>
      <c r="E288" s="3">
        <v>8</v>
      </c>
      <c r="F288" s="5">
        <f t="shared" si="4"/>
        <v>12</v>
      </c>
    </row>
    <row r="289" spans="1:6" x14ac:dyDescent="0.25">
      <c r="A289" s="4">
        <v>42010</v>
      </c>
      <c r="B289" s="3" t="s">
        <v>29</v>
      </c>
      <c r="C289" s="3" t="s">
        <v>19</v>
      </c>
      <c r="D289" s="3" t="s">
        <v>31</v>
      </c>
      <c r="E289" s="3">
        <v>45</v>
      </c>
      <c r="F289" s="5">
        <f t="shared" si="4"/>
        <v>112.5</v>
      </c>
    </row>
    <row r="290" spans="1:6" x14ac:dyDescent="0.25">
      <c r="A290" s="4">
        <v>42046</v>
      </c>
      <c r="B290" s="3" t="s">
        <v>32</v>
      </c>
      <c r="C290" s="3" t="s">
        <v>19</v>
      </c>
      <c r="D290" s="3" t="s">
        <v>28</v>
      </c>
      <c r="E290" s="3">
        <v>8</v>
      </c>
      <c r="F290" s="5">
        <f t="shared" si="4"/>
        <v>16</v>
      </c>
    </row>
    <row r="291" spans="1:6" x14ac:dyDescent="0.25">
      <c r="A291" s="4">
        <v>42128</v>
      </c>
      <c r="B291" s="3" t="s">
        <v>26</v>
      </c>
      <c r="C291" s="3" t="s">
        <v>10</v>
      </c>
      <c r="D291" s="3" t="s">
        <v>36</v>
      </c>
      <c r="E291" s="3">
        <v>41</v>
      </c>
      <c r="F291" s="5">
        <f t="shared" si="4"/>
        <v>61.5</v>
      </c>
    </row>
    <row r="292" spans="1:6" x14ac:dyDescent="0.25">
      <c r="A292" s="4">
        <v>42104</v>
      </c>
      <c r="B292" s="3" t="s">
        <v>32</v>
      </c>
      <c r="C292" s="3" t="s">
        <v>19</v>
      </c>
      <c r="D292" s="3" t="s">
        <v>31</v>
      </c>
      <c r="E292" s="3">
        <v>43</v>
      </c>
      <c r="F292" s="5">
        <f t="shared" si="4"/>
        <v>107.5</v>
      </c>
    </row>
    <row r="293" spans="1:6" x14ac:dyDescent="0.25">
      <c r="A293" s="4">
        <v>42170</v>
      </c>
      <c r="B293" s="3" t="s">
        <v>26</v>
      </c>
      <c r="C293" s="3" t="s">
        <v>19</v>
      </c>
      <c r="D293" s="3" t="s">
        <v>28</v>
      </c>
      <c r="E293" s="3">
        <v>3</v>
      </c>
      <c r="F293" s="5">
        <f t="shared" si="4"/>
        <v>6</v>
      </c>
    </row>
    <row r="294" spans="1:6" x14ac:dyDescent="0.25">
      <c r="A294" s="4">
        <v>42179</v>
      </c>
      <c r="B294" s="3" t="s">
        <v>39</v>
      </c>
      <c r="C294" s="3" t="s">
        <v>6</v>
      </c>
      <c r="D294" s="3" t="s">
        <v>34</v>
      </c>
      <c r="E294" s="3">
        <v>10</v>
      </c>
      <c r="F294" s="5">
        <f t="shared" si="4"/>
        <v>2</v>
      </c>
    </row>
    <row r="295" spans="1:6" x14ac:dyDescent="0.25">
      <c r="A295" s="4">
        <v>42098</v>
      </c>
      <c r="B295" s="3" t="s">
        <v>37</v>
      </c>
      <c r="C295" s="3" t="s">
        <v>19</v>
      </c>
      <c r="D295" s="3" t="s">
        <v>36</v>
      </c>
      <c r="E295" s="3">
        <v>33</v>
      </c>
      <c r="F295" s="5">
        <f t="shared" si="4"/>
        <v>49.5</v>
      </c>
    </row>
    <row r="296" spans="1:6" x14ac:dyDescent="0.25">
      <c r="A296" s="4">
        <v>42011</v>
      </c>
      <c r="B296" s="3" t="s">
        <v>32</v>
      </c>
      <c r="C296" s="3" t="s">
        <v>10</v>
      </c>
      <c r="D296" s="3" t="s">
        <v>36</v>
      </c>
      <c r="E296" s="3">
        <v>30</v>
      </c>
      <c r="F296" s="5">
        <f t="shared" si="4"/>
        <v>45</v>
      </c>
    </row>
    <row r="297" spans="1:6" x14ac:dyDescent="0.25">
      <c r="A297" s="4">
        <v>42153</v>
      </c>
      <c r="B297" s="3" t="s">
        <v>26</v>
      </c>
      <c r="C297" s="3" t="s">
        <v>5</v>
      </c>
      <c r="D297" s="3" t="s">
        <v>31</v>
      </c>
      <c r="E297" s="3">
        <v>50</v>
      </c>
      <c r="F297" s="5">
        <f t="shared" si="4"/>
        <v>125</v>
      </c>
    </row>
    <row r="298" spans="1:6" x14ac:dyDescent="0.25">
      <c r="A298" s="4">
        <v>42040</v>
      </c>
      <c r="B298" s="3" t="s">
        <v>37</v>
      </c>
      <c r="C298" s="3" t="s">
        <v>19</v>
      </c>
      <c r="D298" s="3" t="s">
        <v>28</v>
      </c>
      <c r="E298" s="3">
        <v>24</v>
      </c>
      <c r="F298" s="5">
        <f t="shared" si="4"/>
        <v>48</v>
      </c>
    </row>
    <row r="299" spans="1:6" x14ac:dyDescent="0.25">
      <c r="A299" s="4">
        <v>42089</v>
      </c>
      <c r="B299" s="3" t="s">
        <v>38</v>
      </c>
      <c r="C299" s="3" t="s">
        <v>2</v>
      </c>
      <c r="D299" s="3" t="s">
        <v>27</v>
      </c>
      <c r="E299" s="3">
        <v>19</v>
      </c>
      <c r="F299" s="5">
        <f t="shared" si="4"/>
        <v>9.5</v>
      </c>
    </row>
    <row r="300" spans="1:6" x14ac:dyDescent="0.25">
      <c r="A300" s="4">
        <v>42054</v>
      </c>
      <c r="B300" s="3" t="s">
        <v>37</v>
      </c>
      <c r="C300" s="3" t="s">
        <v>19</v>
      </c>
      <c r="D300" s="3" t="s">
        <v>35</v>
      </c>
      <c r="E300" s="3">
        <v>44</v>
      </c>
      <c r="F300" s="5">
        <f t="shared" si="4"/>
        <v>176</v>
      </c>
    </row>
    <row r="301" spans="1:6" x14ac:dyDescent="0.25">
      <c r="A301" s="4">
        <v>42028</v>
      </c>
      <c r="B301" s="3" t="s">
        <v>29</v>
      </c>
      <c r="C301" s="3" t="s">
        <v>10</v>
      </c>
      <c r="D301" s="3" t="s">
        <v>27</v>
      </c>
      <c r="E301" s="3">
        <v>33</v>
      </c>
      <c r="F301" s="5">
        <f t="shared" si="4"/>
        <v>16.5</v>
      </c>
    </row>
    <row r="302" spans="1:6" x14ac:dyDescent="0.25">
      <c r="A302" s="4">
        <v>42009</v>
      </c>
      <c r="B302" s="3" t="s">
        <v>38</v>
      </c>
      <c r="C302" s="3" t="s">
        <v>2</v>
      </c>
      <c r="D302" s="3" t="s">
        <v>35</v>
      </c>
      <c r="E302" s="3">
        <v>45</v>
      </c>
      <c r="F302" s="5">
        <f t="shared" si="4"/>
        <v>180</v>
      </c>
    </row>
    <row r="303" spans="1:6" x14ac:dyDescent="0.25">
      <c r="A303" s="4">
        <v>42077</v>
      </c>
      <c r="B303" s="3" t="s">
        <v>38</v>
      </c>
      <c r="C303" s="3" t="s">
        <v>10</v>
      </c>
      <c r="D303" s="3" t="s">
        <v>35</v>
      </c>
      <c r="E303" s="3">
        <v>48</v>
      </c>
      <c r="F303" s="5">
        <f t="shared" si="4"/>
        <v>192</v>
      </c>
    </row>
    <row r="304" spans="1:6" x14ac:dyDescent="0.25">
      <c r="A304" s="4">
        <v>42161</v>
      </c>
      <c r="B304" s="3" t="s">
        <v>38</v>
      </c>
      <c r="C304" s="3" t="s">
        <v>6</v>
      </c>
      <c r="D304" s="3" t="s">
        <v>30</v>
      </c>
      <c r="E304" s="3">
        <v>25</v>
      </c>
      <c r="F304" s="5">
        <f t="shared" si="4"/>
        <v>2.5</v>
      </c>
    </row>
    <row r="305" spans="1:6" x14ac:dyDescent="0.25">
      <c r="A305" s="4">
        <v>42168</v>
      </c>
      <c r="B305" s="3" t="s">
        <v>32</v>
      </c>
      <c r="C305" s="3" t="s">
        <v>2</v>
      </c>
      <c r="D305" s="3" t="s">
        <v>28</v>
      </c>
      <c r="E305" s="3">
        <v>39</v>
      </c>
      <c r="F305" s="5">
        <f t="shared" si="4"/>
        <v>78</v>
      </c>
    </row>
    <row r="306" spans="1:6" x14ac:dyDescent="0.25">
      <c r="A306" s="4">
        <v>42053</v>
      </c>
      <c r="B306" s="3" t="s">
        <v>39</v>
      </c>
      <c r="C306" s="3" t="s">
        <v>5</v>
      </c>
      <c r="D306" s="3" t="s">
        <v>30</v>
      </c>
      <c r="E306" s="3">
        <v>38</v>
      </c>
      <c r="F306" s="5">
        <f t="shared" si="4"/>
        <v>3.8000000000000003</v>
      </c>
    </row>
    <row r="307" spans="1:6" x14ac:dyDescent="0.25">
      <c r="A307" s="4">
        <v>42028</v>
      </c>
      <c r="B307" s="3" t="s">
        <v>38</v>
      </c>
      <c r="C307" s="3" t="s">
        <v>5</v>
      </c>
      <c r="D307" s="3" t="s">
        <v>33</v>
      </c>
      <c r="E307" s="3">
        <v>24</v>
      </c>
      <c r="F307" s="5">
        <f t="shared" si="4"/>
        <v>120</v>
      </c>
    </row>
    <row r="308" spans="1:6" x14ac:dyDescent="0.25">
      <c r="A308" s="4">
        <v>42091</v>
      </c>
      <c r="B308" s="3" t="s">
        <v>26</v>
      </c>
      <c r="C308" s="3" t="s">
        <v>6</v>
      </c>
      <c r="D308" s="3" t="s">
        <v>30</v>
      </c>
      <c r="E308" s="3">
        <v>27</v>
      </c>
      <c r="F308" s="5">
        <f t="shared" si="4"/>
        <v>2.7</v>
      </c>
    </row>
    <row r="309" spans="1:6" x14ac:dyDescent="0.25">
      <c r="A309" s="4">
        <v>42102</v>
      </c>
      <c r="B309" s="3" t="s">
        <v>39</v>
      </c>
      <c r="C309" s="3" t="s">
        <v>6</v>
      </c>
      <c r="D309" s="3" t="s">
        <v>28</v>
      </c>
      <c r="E309" s="3">
        <v>27</v>
      </c>
      <c r="F309" s="5">
        <f t="shared" si="4"/>
        <v>54</v>
      </c>
    </row>
    <row r="310" spans="1:6" x14ac:dyDescent="0.25">
      <c r="A310" s="4">
        <v>42032</v>
      </c>
      <c r="B310" s="3" t="s">
        <v>38</v>
      </c>
      <c r="C310" s="3" t="s">
        <v>2</v>
      </c>
      <c r="D310" s="3" t="s">
        <v>33</v>
      </c>
      <c r="E310" s="3">
        <v>5</v>
      </c>
      <c r="F310" s="5">
        <f t="shared" si="4"/>
        <v>25</v>
      </c>
    </row>
    <row r="311" spans="1:6" x14ac:dyDescent="0.25">
      <c r="A311" s="4">
        <v>42096</v>
      </c>
      <c r="B311" s="3" t="s">
        <v>38</v>
      </c>
      <c r="C311" s="3" t="s">
        <v>5</v>
      </c>
      <c r="D311" s="3" t="s">
        <v>33</v>
      </c>
      <c r="E311" s="3">
        <v>10</v>
      </c>
      <c r="F311" s="5">
        <f t="shared" si="4"/>
        <v>50</v>
      </c>
    </row>
    <row r="312" spans="1:6" x14ac:dyDescent="0.25">
      <c r="A312" s="4">
        <v>42005</v>
      </c>
      <c r="B312" s="3" t="s">
        <v>29</v>
      </c>
      <c r="C312" s="3" t="s">
        <v>10</v>
      </c>
      <c r="D312" s="3" t="s">
        <v>33</v>
      </c>
      <c r="E312" s="3">
        <v>12</v>
      </c>
      <c r="F312" s="5">
        <f t="shared" si="4"/>
        <v>60</v>
      </c>
    </row>
    <row r="313" spans="1:6" x14ac:dyDescent="0.25">
      <c r="A313" s="4">
        <v>42071</v>
      </c>
      <c r="B313" s="3" t="s">
        <v>37</v>
      </c>
      <c r="C313" s="3" t="s">
        <v>6</v>
      </c>
      <c r="D313" s="3" t="s">
        <v>36</v>
      </c>
      <c r="E313" s="3">
        <v>10</v>
      </c>
      <c r="F313" s="5">
        <f t="shared" si="4"/>
        <v>15</v>
      </c>
    </row>
    <row r="314" spans="1:6" x14ac:dyDescent="0.25">
      <c r="A314" s="4">
        <v>42086</v>
      </c>
      <c r="B314" s="3" t="s">
        <v>37</v>
      </c>
      <c r="C314" s="3" t="s">
        <v>5</v>
      </c>
      <c r="D314" s="3" t="s">
        <v>36</v>
      </c>
      <c r="E314" s="3">
        <v>34</v>
      </c>
      <c r="F314" s="5">
        <f t="shared" si="4"/>
        <v>51</v>
      </c>
    </row>
    <row r="315" spans="1:6" x14ac:dyDescent="0.25">
      <c r="A315" s="4">
        <v>42175</v>
      </c>
      <c r="B315" s="3" t="s">
        <v>26</v>
      </c>
      <c r="C315" s="3" t="s">
        <v>6</v>
      </c>
      <c r="D315" s="3" t="s">
        <v>31</v>
      </c>
      <c r="E315" s="3">
        <v>1</v>
      </c>
      <c r="F315" s="5">
        <f t="shared" si="4"/>
        <v>2.5</v>
      </c>
    </row>
    <row r="316" spans="1:6" x14ac:dyDescent="0.25">
      <c r="A316" s="4">
        <v>42080</v>
      </c>
      <c r="B316" s="3" t="s">
        <v>29</v>
      </c>
      <c r="C316" s="3" t="s">
        <v>6</v>
      </c>
      <c r="D316" s="3" t="s">
        <v>30</v>
      </c>
      <c r="E316" s="3">
        <v>48</v>
      </c>
      <c r="F316" s="5">
        <f t="shared" si="4"/>
        <v>4.8000000000000007</v>
      </c>
    </row>
    <row r="317" spans="1:6" x14ac:dyDescent="0.25">
      <c r="A317" s="4">
        <v>42166</v>
      </c>
      <c r="B317" s="3" t="s">
        <v>26</v>
      </c>
      <c r="C317" s="3" t="s">
        <v>19</v>
      </c>
      <c r="D317" s="3" t="s">
        <v>33</v>
      </c>
      <c r="E317" s="3">
        <v>26</v>
      </c>
      <c r="F317" s="5">
        <f t="shared" si="4"/>
        <v>130</v>
      </c>
    </row>
    <row r="318" spans="1:6" x14ac:dyDescent="0.25">
      <c r="A318" s="4">
        <v>42151</v>
      </c>
      <c r="B318" s="3" t="s">
        <v>32</v>
      </c>
      <c r="C318" s="3" t="s">
        <v>10</v>
      </c>
      <c r="D318" s="3" t="s">
        <v>28</v>
      </c>
      <c r="E318" s="3">
        <v>48</v>
      </c>
      <c r="F318" s="5">
        <f t="shared" si="4"/>
        <v>96</v>
      </c>
    </row>
    <row r="319" spans="1:6" x14ac:dyDescent="0.25">
      <c r="A319" s="4">
        <v>42157</v>
      </c>
      <c r="B319" s="3" t="s">
        <v>38</v>
      </c>
      <c r="C319" s="3" t="s">
        <v>19</v>
      </c>
      <c r="D319" s="3" t="s">
        <v>35</v>
      </c>
      <c r="E319" s="3">
        <v>6</v>
      </c>
      <c r="F319" s="5">
        <f t="shared" si="4"/>
        <v>24</v>
      </c>
    </row>
    <row r="320" spans="1:6" x14ac:dyDescent="0.25">
      <c r="A320" s="4">
        <v>42107</v>
      </c>
      <c r="B320" s="3" t="s">
        <v>26</v>
      </c>
      <c r="C320" s="3" t="s">
        <v>19</v>
      </c>
      <c r="D320" s="3" t="s">
        <v>35</v>
      </c>
      <c r="E320" s="3">
        <v>50</v>
      </c>
      <c r="F320" s="5">
        <f t="shared" si="4"/>
        <v>200</v>
      </c>
    </row>
    <row r="321" spans="1:6" x14ac:dyDescent="0.25">
      <c r="A321" s="4">
        <v>42149</v>
      </c>
      <c r="B321" s="3" t="s">
        <v>37</v>
      </c>
      <c r="C321" s="3" t="s">
        <v>19</v>
      </c>
      <c r="D321" s="3" t="s">
        <v>30</v>
      </c>
      <c r="E321" s="3">
        <v>14</v>
      </c>
      <c r="F321" s="5">
        <f t="shared" si="4"/>
        <v>1.4000000000000001</v>
      </c>
    </row>
    <row r="322" spans="1:6" x14ac:dyDescent="0.25">
      <c r="A322" s="4">
        <v>42060</v>
      </c>
      <c r="B322" s="3" t="s">
        <v>37</v>
      </c>
      <c r="C322" s="3" t="s">
        <v>10</v>
      </c>
      <c r="D322" s="3" t="s">
        <v>33</v>
      </c>
      <c r="E322" s="3">
        <v>39</v>
      </c>
      <c r="F322" s="5">
        <f t="shared" si="4"/>
        <v>195</v>
      </c>
    </row>
    <row r="323" spans="1:6" x14ac:dyDescent="0.25">
      <c r="A323" s="4">
        <v>42136</v>
      </c>
      <c r="B323" s="3" t="s">
        <v>37</v>
      </c>
      <c r="C323" s="3" t="s">
        <v>5</v>
      </c>
      <c r="D323" s="3" t="s">
        <v>28</v>
      </c>
      <c r="E323" s="3">
        <v>5</v>
      </c>
      <c r="F323" s="5">
        <f t="shared" si="4"/>
        <v>10</v>
      </c>
    </row>
    <row r="324" spans="1:6" x14ac:dyDescent="0.25">
      <c r="A324" s="4">
        <v>42171</v>
      </c>
      <c r="B324" s="3" t="s">
        <v>26</v>
      </c>
      <c r="C324" s="3" t="s">
        <v>2</v>
      </c>
      <c r="D324" s="3" t="s">
        <v>31</v>
      </c>
      <c r="E324" s="3">
        <v>15</v>
      </c>
      <c r="F324" s="5">
        <f t="shared" si="4"/>
        <v>37.5</v>
      </c>
    </row>
    <row r="325" spans="1:6" x14ac:dyDescent="0.25">
      <c r="A325" s="4">
        <v>42101</v>
      </c>
      <c r="B325" s="3" t="s">
        <v>32</v>
      </c>
      <c r="C325" s="3" t="s">
        <v>2</v>
      </c>
      <c r="D325" s="3" t="s">
        <v>36</v>
      </c>
      <c r="E325" s="3">
        <v>26</v>
      </c>
      <c r="F325" s="5">
        <f t="shared" si="4"/>
        <v>39</v>
      </c>
    </row>
    <row r="326" spans="1:6" x14ac:dyDescent="0.25">
      <c r="A326" s="4">
        <v>42150</v>
      </c>
      <c r="B326" s="3" t="s">
        <v>32</v>
      </c>
      <c r="C326" s="3" t="s">
        <v>5</v>
      </c>
      <c r="D326" s="3" t="s">
        <v>30</v>
      </c>
      <c r="E326" s="3">
        <v>43</v>
      </c>
      <c r="F326" s="5">
        <f t="shared" si="4"/>
        <v>4.3</v>
      </c>
    </row>
    <row r="327" spans="1:6" x14ac:dyDescent="0.25">
      <c r="A327" s="4">
        <v>42046</v>
      </c>
      <c r="B327" s="3" t="s">
        <v>37</v>
      </c>
      <c r="C327" s="3" t="s">
        <v>19</v>
      </c>
      <c r="D327" s="3" t="s">
        <v>30</v>
      </c>
      <c r="E327" s="3">
        <v>29</v>
      </c>
      <c r="F327" s="5">
        <f t="shared" ref="F327:F390" si="5">E327*VLOOKUP(D327,$R$6:$S$13,2,0)</f>
        <v>2.9000000000000004</v>
      </c>
    </row>
    <row r="328" spans="1:6" x14ac:dyDescent="0.25">
      <c r="A328" s="4">
        <v>42067</v>
      </c>
      <c r="B328" s="3" t="s">
        <v>39</v>
      </c>
      <c r="C328" s="3" t="s">
        <v>6</v>
      </c>
      <c r="D328" s="3" t="s">
        <v>36</v>
      </c>
      <c r="E328" s="3">
        <v>9</v>
      </c>
      <c r="F328" s="5">
        <f t="shared" si="5"/>
        <v>13.5</v>
      </c>
    </row>
    <row r="329" spans="1:6" x14ac:dyDescent="0.25">
      <c r="A329" s="4">
        <v>42166</v>
      </c>
      <c r="B329" s="3" t="s">
        <v>39</v>
      </c>
      <c r="C329" s="3" t="s">
        <v>6</v>
      </c>
      <c r="D329" s="3" t="s">
        <v>36</v>
      </c>
      <c r="E329" s="3">
        <v>13</v>
      </c>
      <c r="F329" s="5">
        <f t="shared" si="5"/>
        <v>19.5</v>
      </c>
    </row>
    <row r="330" spans="1:6" x14ac:dyDescent="0.25">
      <c r="A330" s="4">
        <v>42039</v>
      </c>
      <c r="B330" s="3" t="s">
        <v>38</v>
      </c>
      <c r="C330" s="3" t="s">
        <v>19</v>
      </c>
      <c r="D330" s="3" t="s">
        <v>30</v>
      </c>
      <c r="E330" s="3">
        <v>48</v>
      </c>
      <c r="F330" s="5">
        <f t="shared" si="5"/>
        <v>4.8000000000000007</v>
      </c>
    </row>
    <row r="331" spans="1:6" x14ac:dyDescent="0.25">
      <c r="A331" s="4">
        <v>42174</v>
      </c>
      <c r="B331" s="3" t="s">
        <v>39</v>
      </c>
      <c r="C331" s="3" t="s">
        <v>5</v>
      </c>
      <c r="D331" s="3" t="s">
        <v>33</v>
      </c>
      <c r="E331" s="3">
        <v>5</v>
      </c>
      <c r="F331" s="5">
        <f t="shared" si="5"/>
        <v>25</v>
      </c>
    </row>
    <row r="332" spans="1:6" x14ac:dyDescent="0.25">
      <c r="A332" s="4">
        <v>42146</v>
      </c>
      <c r="B332" s="3" t="s">
        <v>32</v>
      </c>
      <c r="C332" s="3" t="s">
        <v>2</v>
      </c>
      <c r="D332" s="3" t="s">
        <v>30</v>
      </c>
      <c r="E332" s="3">
        <v>18</v>
      </c>
      <c r="F332" s="5">
        <f t="shared" si="5"/>
        <v>1.8</v>
      </c>
    </row>
    <row r="333" spans="1:6" x14ac:dyDescent="0.25">
      <c r="A333" s="4">
        <v>42182</v>
      </c>
      <c r="B333" s="3" t="s">
        <v>37</v>
      </c>
      <c r="C333" s="3" t="s">
        <v>19</v>
      </c>
      <c r="D333" s="3" t="s">
        <v>35</v>
      </c>
      <c r="E333" s="3">
        <v>9</v>
      </c>
      <c r="F333" s="5">
        <f t="shared" si="5"/>
        <v>36</v>
      </c>
    </row>
    <row r="334" spans="1:6" x14ac:dyDescent="0.25">
      <c r="A334" s="4">
        <v>42025</v>
      </c>
      <c r="B334" s="3" t="s">
        <v>32</v>
      </c>
      <c r="C334" s="3" t="s">
        <v>6</v>
      </c>
      <c r="D334" s="3" t="s">
        <v>35</v>
      </c>
      <c r="E334" s="3">
        <v>22</v>
      </c>
      <c r="F334" s="5">
        <f t="shared" si="5"/>
        <v>88</v>
      </c>
    </row>
    <row r="335" spans="1:6" x14ac:dyDescent="0.25">
      <c r="A335" s="4">
        <v>42019</v>
      </c>
      <c r="B335" s="3" t="s">
        <v>29</v>
      </c>
      <c r="C335" s="3" t="s">
        <v>5</v>
      </c>
      <c r="D335" s="3" t="s">
        <v>36</v>
      </c>
      <c r="E335" s="3">
        <v>23</v>
      </c>
      <c r="F335" s="5">
        <f t="shared" si="5"/>
        <v>34.5</v>
      </c>
    </row>
    <row r="336" spans="1:6" x14ac:dyDescent="0.25">
      <c r="A336" s="4">
        <v>42110</v>
      </c>
      <c r="B336" s="3" t="s">
        <v>32</v>
      </c>
      <c r="C336" s="3" t="s">
        <v>6</v>
      </c>
      <c r="D336" s="3" t="s">
        <v>36</v>
      </c>
      <c r="E336" s="3">
        <v>20</v>
      </c>
      <c r="F336" s="5">
        <f t="shared" si="5"/>
        <v>30</v>
      </c>
    </row>
    <row r="337" spans="1:6" x14ac:dyDescent="0.25">
      <c r="A337" s="4">
        <v>42081</v>
      </c>
      <c r="B337" s="3" t="s">
        <v>38</v>
      </c>
      <c r="C337" s="3" t="s">
        <v>19</v>
      </c>
      <c r="D337" s="3" t="s">
        <v>33</v>
      </c>
      <c r="E337" s="3">
        <v>45</v>
      </c>
      <c r="F337" s="5">
        <f t="shared" si="5"/>
        <v>225</v>
      </c>
    </row>
    <row r="338" spans="1:6" x14ac:dyDescent="0.25">
      <c r="A338" s="4">
        <v>42027</v>
      </c>
      <c r="B338" s="3" t="s">
        <v>37</v>
      </c>
      <c r="C338" s="3" t="s">
        <v>10</v>
      </c>
      <c r="D338" s="3" t="s">
        <v>28</v>
      </c>
      <c r="E338" s="3">
        <v>45</v>
      </c>
      <c r="F338" s="5">
        <f t="shared" si="5"/>
        <v>90</v>
      </c>
    </row>
    <row r="339" spans="1:6" x14ac:dyDescent="0.25">
      <c r="A339" s="4">
        <v>42115</v>
      </c>
      <c r="B339" s="3" t="s">
        <v>38</v>
      </c>
      <c r="C339" s="3" t="s">
        <v>10</v>
      </c>
      <c r="D339" s="3" t="s">
        <v>31</v>
      </c>
      <c r="E339" s="3">
        <v>36</v>
      </c>
      <c r="F339" s="5">
        <f t="shared" si="5"/>
        <v>90</v>
      </c>
    </row>
    <row r="340" spans="1:6" x14ac:dyDescent="0.25">
      <c r="A340" s="4">
        <v>42088</v>
      </c>
      <c r="B340" s="3" t="s">
        <v>38</v>
      </c>
      <c r="C340" s="3" t="s">
        <v>19</v>
      </c>
      <c r="D340" s="3" t="s">
        <v>28</v>
      </c>
      <c r="E340" s="3">
        <v>38</v>
      </c>
      <c r="F340" s="5">
        <f t="shared" si="5"/>
        <v>76</v>
      </c>
    </row>
    <row r="341" spans="1:6" x14ac:dyDescent="0.25">
      <c r="A341" s="4">
        <v>42105</v>
      </c>
      <c r="B341" s="3" t="s">
        <v>29</v>
      </c>
      <c r="C341" s="3" t="s">
        <v>6</v>
      </c>
      <c r="D341" s="3" t="s">
        <v>31</v>
      </c>
      <c r="E341" s="3">
        <v>50</v>
      </c>
      <c r="F341" s="5">
        <f t="shared" si="5"/>
        <v>125</v>
      </c>
    </row>
    <row r="342" spans="1:6" x14ac:dyDescent="0.25">
      <c r="A342" s="4">
        <v>42097</v>
      </c>
      <c r="B342" s="3" t="s">
        <v>32</v>
      </c>
      <c r="C342" s="3" t="s">
        <v>2</v>
      </c>
      <c r="D342" s="3" t="s">
        <v>28</v>
      </c>
      <c r="E342" s="3">
        <v>17</v>
      </c>
      <c r="F342" s="5">
        <f t="shared" si="5"/>
        <v>34</v>
      </c>
    </row>
    <row r="343" spans="1:6" x14ac:dyDescent="0.25">
      <c r="A343" s="4">
        <v>42100</v>
      </c>
      <c r="B343" s="3" t="s">
        <v>26</v>
      </c>
      <c r="C343" s="3" t="s">
        <v>19</v>
      </c>
      <c r="D343" s="3" t="s">
        <v>33</v>
      </c>
      <c r="E343" s="3">
        <v>13</v>
      </c>
      <c r="F343" s="5">
        <f t="shared" si="5"/>
        <v>65</v>
      </c>
    </row>
    <row r="344" spans="1:6" x14ac:dyDescent="0.25">
      <c r="A344" s="4">
        <v>42130</v>
      </c>
      <c r="B344" s="3" t="s">
        <v>37</v>
      </c>
      <c r="C344" s="3" t="s">
        <v>19</v>
      </c>
      <c r="D344" s="3" t="s">
        <v>35</v>
      </c>
      <c r="E344" s="3">
        <v>31</v>
      </c>
      <c r="F344" s="5">
        <f t="shared" si="5"/>
        <v>124</v>
      </c>
    </row>
    <row r="345" spans="1:6" x14ac:dyDescent="0.25">
      <c r="A345" s="4">
        <v>42095</v>
      </c>
      <c r="B345" s="3" t="s">
        <v>37</v>
      </c>
      <c r="C345" s="3" t="s">
        <v>19</v>
      </c>
      <c r="D345" s="3" t="s">
        <v>33</v>
      </c>
      <c r="E345" s="3">
        <v>14</v>
      </c>
      <c r="F345" s="5">
        <f t="shared" si="5"/>
        <v>70</v>
      </c>
    </row>
    <row r="346" spans="1:6" x14ac:dyDescent="0.25">
      <c r="A346" s="4">
        <v>42117</v>
      </c>
      <c r="B346" s="3" t="s">
        <v>39</v>
      </c>
      <c r="C346" s="3" t="s">
        <v>19</v>
      </c>
      <c r="D346" s="3" t="s">
        <v>30</v>
      </c>
      <c r="E346" s="3">
        <v>16</v>
      </c>
      <c r="F346" s="5">
        <f t="shared" si="5"/>
        <v>1.6</v>
      </c>
    </row>
    <row r="347" spans="1:6" x14ac:dyDescent="0.25">
      <c r="A347" s="4">
        <v>42019</v>
      </c>
      <c r="B347" s="3" t="s">
        <v>39</v>
      </c>
      <c r="C347" s="3" t="s">
        <v>19</v>
      </c>
      <c r="D347" s="3" t="s">
        <v>36</v>
      </c>
      <c r="E347" s="3">
        <v>42</v>
      </c>
      <c r="F347" s="5">
        <f t="shared" si="5"/>
        <v>63</v>
      </c>
    </row>
    <row r="348" spans="1:6" x14ac:dyDescent="0.25">
      <c r="A348" s="4">
        <v>42093</v>
      </c>
      <c r="B348" s="3" t="s">
        <v>32</v>
      </c>
      <c r="C348" s="3" t="s">
        <v>6</v>
      </c>
      <c r="D348" s="3" t="s">
        <v>35</v>
      </c>
      <c r="E348" s="3">
        <v>11</v>
      </c>
      <c r="F348" s="5">
        <f t="shared" si="5"/>
        <v>44</v>
      </c>
    </row>
    <row r="349" spans="1:6" x14ac:dyDescent="0.25">
      <c r="A349" s="4">
        <v>42110</v>
      </c>
      <c r="B349" s="3" t="s">
        <v>38</v>
      </c>
      <c r="C349" s="3" t="s">
        <v>2</v>
      </c>
      <c r="D349" s="3" t="s">
        <v>36</v>
      </c>
      <c r="E349" s="3">
        <v>36</v>
      </c>
      <c r="F349" s="5">
        <f t="shared" si="5"/>
        <v>54</v>
      </c>
    </row>
    <row r="350" spans="1:6" x14ac:dyDescent="0.25">
      <c r="A350" s="4">
        <v>42087</v>
      </c>
      <c r="B350" s="3" t="s">
        <v>37</v>
      </c>
      <c r="C350" s="3" t="s">
        <v>2</v>
      </c>
      <c r="D350" s="3" t="s">
        <v>34</v>
      </c>
      <c r="E350" s="3">
        <v>14</v>
      </c>
      <c r="F350" s="5">
        <f t="shared" si="5"/>
        <v>2.8000000000000003</v>
      </c>
    </row>
    <row r="351" spans="1:6" x14ac:dyDescent="0.25">
      <c r="A351" s="4">
        <v>42138</v>
      </c>
      <c r="B351" s="3" t="s">
        <v>37</v>
      </c>
      <c r="C351" s="3" t="s">
        <v>19</v>
      </c>
      <c r="D351" s="3" t="s">
        <v>31</v>
      </c>
      <c r="E351" s="3">
        <v>4</v>
      </c>
      <c r="F351" s="5">
        <f t="shared" si="5"/>
        <v>10</v>
      </c>
    </row>
    <row r="352" spans="1:6" x14ac:dyDescent="0.25">
      <c r="A352" s="4">
        <v>42036</v>
      </c>
      <c r="B352" s="3" t="s">
        <v>26</v>
      </c>
      <c r="C352" s="3" t="s">
        <v>19</v>
      </c>
      <c r="D352" s="3" t="s">
        <v>31</v>
      </c>
      <c r="E352" s="3">
        <v>14</v>
      </c>
      <c r="F352" s="5">
        <f t="shared" si="5"/>
        <v>35</v>
      </c>
    </row>
    <row r="353" spans="1:6" x14ac:dyDescent="0.25">
      <c r="A353" s="4">
        <v>42084</v>
      </c>
      <c r="B353" s="3" t="s">
        <v>37</v>
      </c>
      <c r="C353" s="3" t="s">
        <v>19</v>
      </c>
      <c r="D353" s="3" t="s">
        <v>34</v>
      </c>
      <c r="E353" s="3">
        <v>20</v>
      </c>
      <c r="F353" s="5">
        <f t="shared" si="5"/>
        <v>4</v>
      </c>
    </row>
    <row r="354" spans="1:6" x14ac:dyDescent="0.25">
      <c r="A354" s="4">
        <v>42018</v>
      </c>
      <c r="B354" s="3" t="s">
        <v>39</v>
      </c>
      <c r="C354" s="3" t="s">
        <v>19</v>
      </c>
      <c r="D354" s="3" t="s">
        <v>34</v>
      </c>
      <c r="E354" s="3">
        <v>44</v>
      </c>
      <c r="F354" s="5">
        <f t="shared" si="5"/>
        <v>8.8000000000000007</v>
      </c>
    </row>
    <row r="355" spans="1:6" x14ac:dyDescent="0.25">
      <c r="A355" s="4">
        <v>42117</v>
      </c>
      <c r="B355" s="3" t="s">
        <v>38</v>
      </c>
      <c r="C355" s="3" t="s">
        <v>5</v>
      </c>
      <c r="D355" s="3" t="s">
        <v>33</v>
      </c>
      <c r="E355" s="3">
        <v>50</v>
      </c>
      <c r="F355" s="5">
        <f t="shared" si="5"/>
        <v>250</v>
      </c>
    </row>
    <row r="356" spans="1:6" x14ac:dyDescent="0.25">
      <c r="A356" s="4">
        <v>42125</v>
      </c>
      <c r="B356" s="3" t="s">
        <v>32</v>
      </c>
      <c r="C356" s="3" t="s">
        <v>2</v>
      </c>
      <c r="D356" s="3" t="s">
        <v>34</v>
      </c>
      <c r="E356" s="3">
        <v>26</v>
      </c>
      <c r="F356" s="5">
        <f t="shared" si="5"/>
        <v>5.2</v>
      </c>
    </row>
    <row r="357" spans="1:6" x14ac:dyDescent="0.25">
      <c r="A357" s="4">
        <v>42155</v>
      </c>
      <c r="B357" s="3" t="s">
        <v>37</v>
      </c>
      <c r="C357" s="3" t="s">
        <v>19</v>
      </c>
      <c r="D357" s="3" t="s">
        <v>34</v>
      </c>
      <c r="E357" s="3">
        <v>49</v>
      </c>
      <c r="F357" s="5">
        <f t="shared" si="5"/>
        <v>9.8000000000000007</v>
      </c>
    </row>
    <row r="358" spans="1:6" x14ac:dyDescent="0.25">
      <c r="A358" s="4">
        <v>42083</v>
      </c>
      <c r="B358" s="3" t="s">
        <v>38</v>
      </c>
      <c r="C358" s="3" t="s">
        <v>6</v>
      </c>
      <c r="D358" s="3" t="s">
        <v>27</v>
      </c>
      <c r="E358" s="3">
        <v>28</v>
      </c>
      <c r="F358" s="5">
        <f t="shared" si="5"/>
        <v>14</v>
      </c>
    </row>
    <row r="359" spans="1:6" x14ac:dyDescent="0.25">
      <c r="A359" s="4">
        <v>42185</v>
      </c>
      <c r="B359" s="3" t="s">
        <v>39</v>
      </c>
      <c r="C359" s="3" t="s">
        <v>2</v>
      </c>
      <c r="D359" s="3" t="s">
        <v>34</v>
      </c>
      <c r="E359" s="3">
        <v>28</v>
      </c>
      <c r="F359" s="5">
        <f t="shared" si="5"/>
        <v>5.6000000000000005</v>
      </c>
    </row>
    <row r="360" spans="1:6" x14ac:dyDescent="0.25">
      <c r="A360" s="4">
        <v>42098</v>
      </c>
      <c r="B360" s="3" t="s">
        <v>32</v>
      </c>
      <c r="C360" s="3" t="s">
        <v>19</v>
      </c>
      <c r="D360" s="3" t="s">
        <v>27</v>
      </c>
      <c r="E360" s="3">
        <v>18</v>
      </c>
      <c r="F360" s="5">
        <f t="shared" si="5"/>
        <v>9</v>
      </c>
    </row>
    <row r="361" spans="1:6" x14ac:dyDescent="0.25">
      <c r="A361" s="4">
        <v>42056</v>
      </c>
      <c r="B361" s="3" t="s">
        <v>37</v>
      </c>
      <c r="C361" s="3" t="s">
        <v>19</v>
      </c>
      <c r="D361" s="3" t="s">
        <v>33</v>
      </c>
      <c r="E361" s="3">
        <v>8</v>
      </c>
      <c r="F361" s="5">
        <f t="shared" si="5"/>
        <v>40</v>
      </c>
    </row>
    <row r="362" spans="1:6" x14ac:dyDescent="0.25">
      <c r="A362" s="4">
        <v>42082</v>
      </c>
      <c r="B362" s="3" t="s">
        <v>37</v>
      </c>
      <c r="C362" s="3" t="s">
        <v>10</v>
      </c>
      <c r="D362" s="3" t="s">
        <v>33</v>
      </c>
      <c r="E362" s="3">
        <v>32</v>
      </c>
      <c r="F362" s="5">
        <f t="shared" si="5"/>
        <v>160</v>
      </c>
    </row>
    <row r="363" spans="1:6" x14ac:dyDescent="0.25">
      <c r="A363" s="4">
        <v>42144</v>
      </c>
      <c r="B363" s="3" t="s">
        <v>38</v>
      </c>
      <c r="C363" s="3" t="s">
        <v>19</v>
      </c>
      <c r="D363" s="3" t="s">
        <v>33</v>
      </c>
      <c r="E363" s="3">
        <v>37</v>
      </c>
      <c r="F363" s="5">
        <f t="shared" si="5"/>
        <v>185</v>
      </c>
    </row>
    <row r="364" spans="1:6" x14ac:dyDescent="0.25">
      <c r="A364" s="4">
        <v>42040</v>
      </c>
      <c r="B364" s="3" t="s">
        <v>37</v>
      </c>
      <c r="C364" s="3" t="s">
        <v>10</v>
      </c>
      <c r="D364" s="3" t="s">
        <v>36</v>
      </c>
      <c r="E364" s="3">
        <v>46</v>
      </c>
      <c r="F364" s="5">
        <f t="shared" si="5"/>
        <v>69</v>
      </c>
    </row>
    <row r="365" spans="1:6" x14ac:dyDescent="0.25">
      <c r="A365" s="4">
        <v>42173</v>
      </c>
      <c r="B365" s="3" t="s">
        <v>26</v>
      </c>
      <c r="C365" s="3" t="s">
        <v>19</v>
      </c>
      <c r="D365" s="3" t="s">
        <v>31</v>
      </c>
      <c r="E365" s="3">
        <v>40</v>
      </c>
      <c r="F365" s="5">
        <f t="shared" si="5"/>
        <v>100</v>
      </c>
    </row>
    <row r="366" spans="1:6" x14ac:dyDescent="0.25">
      <c r="A366" s="4">
        <v>42183</v>
      </c>
      <c r="B366" s="3" t="s">
        <v>26</v>
      </c>
      <c r="C366" s="3" t="s">
        <v>2</v>
      </c>
      <c r="D366" s="3" t="s">
        <v>28</v>
      </c>
      <c r="E366" s="3">
        <v>12</v>
      </c>
      <c r="F366" s="5">
        <f t="shared" si="5"/>
        <v>24</v>
      </c>
    </row>
    <row r="367" spans="1:6" x14ac:dyDescent="0.25">
      <c r="A367" s="4">
        <v>42089</v>
      </c>
      <c r="B367" s="3" t="s">
        <v>26</v>
      </c>
      <c r="C367" s="3" t="s">
        <v>5</v>
      </c>
      <c r="D367" s="3" t="s">
        <v>33</v>
      </c>
      <c r="E367" s="3">
        <v>37</v>
      </c>
      <c r="F367" s="5">
        <f t="shared" si="5"/>
        <v>185</v>
      </c>
    </row>
    <row r="368" spans="1:6" x14ac:dyDescent="0.25">
      <c r="A368" s="4">
        <v>42061</v>
      </c>
      <c r="B368" s="3" t="s">
        <v>38</v>
      </c>
      <c r="C368" s="3" t="s">
        <v>6</v>
      </c>
      <c r="D368" s="3" t="s">
        <v>35</v>
      </c>
      <c r="E368" s="3">
        <v>11</v>
      </c>
      <c r="F368" s="5">
        <f t="shared" si="5"/>
        <v>44</v>
      </c>
    </row>
    <row r="369" spans="1:6" x14ac:dyDescent="0.25">
      <c r="A369" s="4">
        <v>42157</v>
      </c>
      <c r="B369" s="3" t="s">
        <v>39</v>
      </c>
      <c r="C369" s="3" t="s">
        <v>10</v>
      </c>
      <c r="D369" s="3" t="s">
        <v>35</v>
      </c>
      <c r="E369" s="3">
        <v>31</v>
      </c>
      <c r="F369" s="5">
        <f t="shared" si="5"/>
        <v>124</v>
      </c>
    </row>
    <row r="370" spans="1:6" x14ac:dyDescent="0.25">
      <c r="A370" s="4">
        <v>42070</v>
      </c>
      <c r="B370" s="3" t="s">
        <v>26</v>
      </c>
      <c r="C370" s="3" t="s">
        <v>5</v>
      </c>
      <c r="D370" s="3" t="s">
        <v>27</v>
      </c>
      <c r="E370" s="3">
        <v>12</v>
      </c>
      <c r="F370" s="5">
        <f t="shared" si="5"/>
        <v>6</v>
      </c>
    </row>
    <row r="371" spans="1:6" x14ac:dyDescent="0.25">
      <c r="A371" s="4">
        <v>42104</v>
      </c>
      <c r="B371" s="3" t="s">
        <v>29</v>
      </c>
      <c r="C371" s="3" t="s">
        <v>19</v>
      </c>
      <c r="D371" s="3" t="s">
        <v>27</v>
      </c>
      <c r="E371" s="3">
        <v>24</v>
      </c>
      <c r="F371" s="5">
        <f t="shared" si="5"/>
        <v>12</v>
      </c>
    </row>
    <row r="372" spans="1:6" x14ac:dyDescent="0.25">
      <c r="A372" s="4">
        <v>42135</v>
      </c>
      <c r="B372" s="3" t="s">
        <v>37</v>
      </c>
      <c r="C372" s="3" t="s">
        <v>10</v>
      </c>
      <c r="D372" s="3" t="s">
        <v>34</v>
      </c>
      <c r="E372" s="3">
        <v>36</v>
      </c>
      <c r="F372" s="5">
        <f t="shared" si="5"/>
        <v>7.2</v>
      </c>
    </row>
    <row r="373" spans="1:6" x14ac:dyDescent="0.25">
      <c r="A373" s="4">
        <v>42174</v>
      </c>
      <c r="B373" s="3" t="s">
        <v>39</v>
      </c>
      <c r="C373" s="3" t="s">
        <v>6</v>
      </c>
      <c r="D373" s="3" t="s">
        <v>30</v>
      </c>
      <c r="E373" s="3">
        <v>40</v>
      </c>
      <c r="F373" s="5">
        <f t="shared" si="5"/>
        <v>4</v>
      </c>
    </row>
    <row r="374" spans="1:6" x14ac:dyDescent="0.25">
      <c r="A374" s="4">
        <v>42013</v>
      </c>
      <c r="B374" s="3" t="s">
        <v>38</v>
      </c>
      <c r="C374" s="3" t="s">
        <v>10</v>
      </c>
      <c r="D374" s="3" t="s">
        <v>33</v>
      </c>
      <c r="E374" s="3">
        <v>12</v>
      </c>
      <c r="F374" s="5">
        <f t="shared" si="5"/>
        <v>60</v>
      </c>
    </row>
    <row r="375" spans="1:6" x14ac:dyDescent="0.25">
      <c r="A375" s="4">
        <v>42079</v>
      </c>
      <c r="B375" s="3" t="s">
        <v>39</v>
      </c>
      <c r="C375" s="3" t="s">
        <v>2</v>
      </c>
      <c r="D375" s="3" t="s">
        <v>27</v>
      </c>
      <c r="E375" s="3">
        <v>16</v>
      </c>
      <c r="F375" s="5">
        <f t="shared" si="5"/>
        <v>8</v>
      </c>
    </row>
    <row r="376" spans="1:6" x14ac:dyDescent="0.25">
      <c r="A376" s="4">
        <v>42092</v>
      </c>
      <c r="B376" s="3" t="s">
        <v>38</v>
      </c>
      <c r="C376" s="3" t="s">
        <v>10</v>
      </c>
      <c r="D376" s="3" t="s">
        <v>34</v>
      </c>
      <c r="E376" s="3">
        <v>27</v>
      </c>
      <c r="F376" s="5">
        <f t="shared" si="5"/>
        <v>5.4</v>
      </c>
    </row>
    <row r="377" spans="1:6" x14ac:dyDescent="0.25">
      <c r="A377" s="4">
        <v>42110</v>
      </c>
      <c r="B377" s="3" t="s">
        <v>29</v>
      </c>
      <c r="C377" s="3" t="s">
        <v>5</v>
      </c>
      <c r="D377" s="3" t="s">
        <v>33</v>
      </c>
      <c r="E377" s="3">
        <v>31</v>
      </c>
      <c r="F377" s="5">
        <f t="shared" si="5"/>
        <v>155</v>
      </c>
    </row>
    <row r="378" spans="1:6" x14ac:dyDescent="0.25">
      <c r="A378" s="4">
        <v>42046</v>
      </c>
      <c r="B378" s="3" t="s">
        <v>37</v>
      </c>
      <c r="C378" s="3" t="s">
        <v>2</v>
      </c>
      <c r="D378" s="3" t="s">
        <v>33</v>
      </c>
      <c r="E378" s="3">
        <v>11</v>
      </c>
      <c r="F378" s="5">
        <f t="shared" si="5"/>
        <v>55</v>
      </c>
    </row>
    <row r="379" spans="1:6" x14ac:dyDescent="0.25">
      <c r="A379" s="4">
        <v>42031</v>
      </c>
      <c r="B379" s="3" t="s">
        <v>39</v>
      </c>
      <c r="C379" s="3" t="s">
        <v>19</v>
      </c>
      <c r="D379" s="3" t="s">
        <v>36</v>
      </c>
      <c r="E379" s="3">
        <v>4</v>
      </c>
      <c r="F379" s="5">
        <f t="shared" si="5"/>
        <v>6</v>
      </c>
    </row>
    <row r="380" spans="1:6" x14ac:dyDescent="0.25">
      <c r="A380" s="4">
        <v>42070</v>
      </c>
      <c r="B380" s="3" t="s">
        <v>39</v>
      </c>
      <c r="C380" s="3" t="s">
        <v>2</v>
      </c>
      <c r="D380" s="3" t="s">
        <v>34</v>
      </c>
      <c r="E380" s="3">
        <v>6</v>
      </c>
      <c r="F380" s="5">
        <f t="shared" si="5"/>
        <v>1.2000000000000002</v>
      </c>
    </row>
    <row r="381" spans="1:6" x14ac:dyDescent="0.25">
      <c r="A381" s="4">
        <v>42111</v>
      </c>
      <c r="B381" s="3" t="s">
        <v>29</v>
      </c>
      <c r="C381" s="3" t="s">
        <v>2</v>
      </c>
      <c r="D381" s="3" t="s">
        <v>36</v>
      </c>
      <c r="E381" s="3">
        <v>28</v>
      </c>
      <c r="F381" s="5">
        <f t="shared" si="5"/>
        <v>42</v>
      </c>
    </row>
    <row r="382" spans="1:6" x14ac:dyDescent="0.25">
      <c r="A382" s="4">
        <v>42107</v>
      </c>
      <c r="B382" s="3" t="s">
        <v>37</v>
      </c>
      <c r="C382" s="3" t="s">
        <v>5</v>
      </c>
      <c r="D382" s="3" t="s">
        <v>27</v>
      </c>
      <c r="E382" s="3">
        <v>22</v>
      </c>
      <c r="F382" s="5">
        <f t="shared" si="5"/>
        <v>11</v>
      </c>
    </row>
    <row r="383" spans="1:6" x14ac:dyDescent="0.25">
      <c r="A383" s="4">
        <v>42053</v>
      </c>
      <c r="B383" s="3" t="s">
        <v>39</v>
      </c>
      <c r="C383" s="3" t="s">
        <v>2</v>
      </c>
      <c r="D383" s="3" t="s">
        <v>28</v>
      </c>
      <c r="E383" s="3">
        <v>46</v>
      </c>
      <c r="F383" s="5">
        <f t="shared" si="5"/>
        <v>92</v>
      </c>
    </row>
    <row r="384" spans="1:6" x14ac:dyDescent="0.25">
      <c r="A384" s="4">
        <v>42047</v>
      </c>
      <c r="B384" s="3" t="s">
        <v>38</v>
      </c>
      <c r="C384" s="3" t="s">
        <v>2</v>
      </c>
      <c r="D384" s="3" t="s">
        <v>27</v>
      </c>
      <c r="E384" s="3">
        <v>48</v>
      </c>
      <c r="F384" s="5">
        <f t="shared" si="5"/>
        <v>24</v>
      </c>
    </row>
    <row r="385" spans="1:6" x14ac:dyDescent="0.25">
      <c r="A385" s="4">
        <v>42132</v>
      </c>
      <c r="B385" s="3" t="s">
        <v>26</v>
      </c>
      <c r="C385" s="3" t="s">
        <v>6</v>
      </c>
      <c r="D385" s="3" t="s">
        <v>27</v>
      </c>
      <c r="E385" s="3">
        <v>28</v>
      </c>
      <c r="F385" s="5">
        <f t="shared" si="5"/>
        <v>14</v>
      </c>
    </row>
    <row r="386" spans="1:6" x14ac:dyDescent="0.25">
      <c r="A386" s="4">
        <v>42011</v>
      </c>
      <c r="B386" s="3" t="s">
        <v>26</v>
      </c>
      <c r="C386" s="3" t="s">
        <v>10</v>
      </c>
      <c r="D386" s="3" t="s">
        <v>27</v>
      </c>
      <c r="E386" s="3">
        <v>3</v>
      </c>
      <c r="F386" s="5">
        <f t="shared" si="5"/>
        <v>1.5</v>
      </c>
    </row>
    <row r="387" spans="1:6" x14ac:dyDescent="0.25">
      <c r="A387" s="4">
        <v>42132</v>
      </c>
      <c r="B387" s="3" t="s">
        <v>38</v>
      </c>
      <c r="C387" s="3" t="s">
        <v>19</v>
      </c>
      <c r="D387" s="3" t="s">
        <v>34</v>
      </c>
      <c r="E387" s="3">
        <v>42</v>
      </c>
      <c r="F387" s="5">
        <f t="shared" si="5"/>
        <v>8.4</v>
      </c>
    </row>
    <row r="388" spans="1:6" x14ac:dyDescent="0.25">
      <c r="A388" s="4">
        <v>42155</v>
      </c>
      <c r="B388" s="3" t="s">
        <v>37</v>
      </c>
      <c r="C388" s="3" t="s">
        <v>5</v>
      </c>
      <c r="D388" s="3" t="s">
        <v>34</v>
      </c>
      <c r="E388" s="3">
        <v>40</v>
      </c>
      <c r="F388" s="5">
        <f t="shared" si="5"/>
        <v>8</v>
      </c>
    </row>
    <row r="389" spans="1:6" x14ac:dyDescent="0.25">
      <c r="A389" s="4">
        <v>42043</v>
      </c>
      <c r="B389" s="3" t="s">
        <v>29</v>
      </c>
      <c r="C389" s="3" t="s">
        <v>2</v>
      </c>
      <c r="D389" s="3" t="s">
        <v>30</v>
      </c>
      <c r="E389" s="3">
        <v>39</v>
      </c>
      <c r="F389" s="5">
        <f t="shared" si="5"/>
        <v>3.9000000000000004</v>
      </c>
    </row>
    <row r="390" spans="1:6" x14ac:dyDescent="0.25">
      <c r="A390" s="4">
        <v>42184</v>
      </c>
      <c r="B390" s="3" t="s">
        <v>39</v>
      </c>
      <c r="C390" s="3" t="s">
        <v>6</v>
      </c>
      <c r="D390" s="3" t="s">
        <v>33</v>
      </c>
      <c r="E390" s="3">
        <v>41</v>
      </c>
      <c r="F390" s="5">
        <f t="shared" si="5"/>
        <v>205</v>
      </c>
    </row>
    <row r="391" spans="1:6" x14ac:dyDescent="0.25">
      <c r="A391" s="4">
        <v>42163</v>
      </c>
      <c r="B391" s="3" t="s">
        <v>39</v>
      </c>
      <c r="C391" s="3" t="s">
        <v>10</v>
      </c>
      <c r="D391" s="3" t="s">
        <v>30</v>
      </c>
      <c r="E391" s="3">
        <v>18</v>
      </c>
      <c r="F391" s="5">
        <f t="shared" ref="F391:F454" si="6">E391*VLOOKUP(D391,$R$6:$S$13,2,0)</f>
        <v>1.8</v>
      </c>
    </row>
    <row r="392" spans="1:6" x14ac:dyDescent="0.25">
      <c r="A392" s="4">
        <v>42023</v>
      </c>
      <c r="B392" s="3" t="s">
        <v>37</v>
      </c>
      <c r="C392" s="3" t="s">
        <v>19</v>
      </c>
      <c r="D392" s="3" t="s">
        <v>35</v>
      </c>
      <c r="E392" s="3">
        <v>45</v>
      </c>
      <c r="F392" s="5">
        <f t="shared" si="6"/>
        <v>180</v>
      </c>
    </row>
    <row r="393" spans="1:6" x14ac:dyDescent="0.25">
      <c r="A393" s="4">
        <v>42157</v>
      </c>
      <c r="B393" s="3" t="s">
        <v>32</v>
      </c>
      <c r="C393" s="3" t="s">
        <v>5</v>
      </c>
      <c r="D393" s="3" t="s">
        <v>31</v>
      </c>
      <c r="E393" s="3">
        <v>10</v>
      </c>
      <c r="F393" s="5">
        <f t="shared" si="6"/>
        <v>25</v>
      </c>
    </row>
    <row r="394" spans="1:6" x14ac:dyDescent="0.25">
      <c r="A394" s="4">
        <v>42013</v>
      </c>
      <c r="B394" s="3" t="s">
        <v>37</v>
      </c>
      <c r="C394" s="3" t="s">
        <v>5</v>
      </c>
      <c r="D394" s="3" t="s">
        <v>34</v>
      </c>
      <c r="E394" s="3">
        <v>23</v>
      </c>
      <c r="F394" s="5">
        <f t="shared" si="6"/>
        <v>4.6000000000000005</v>
      </c>
    </row>
    <row r="395" spans="1:6" x14ac:dyDescent="0.25">
      <c r="A395" s="4">
        <v>42153</v>
      </c>
      <c r="B395" s="3" t="s">
        <v>38</v>
      </c>
      <c r="C395" s="3" t="s">
        <v>6</v>
      </c>
      <c r="D395" s="3" t="s">
        <v>33</v>
      </c>
      <c r="E395" s="3">
        <v>49</v>
      </c>
      <c r="F395" s="5">
        <f t="shared" si="6"/>
        <v>245</v>
      </c>
    </row>
    <row r="396" spans="1:6" x14ac:dyDescent="0.25">
      <c r="A396" s="4">
        <v>42098</v>
      </c>
      <c r="B396" s="3" t="s">
        <v>29</v>
      </c>
      <c r="C396" s="3" t="s">
        <v>6</v>
      </c>
      <c r="D396" s="3" t="s">
        <v>33</v>
      </c>
      <c r="E396" s="3">
        <v>14</v>
      </c>
      <c r="F396" s="5">
        <f t="shared" si="6"/>
        <v>70</v>
      </c>
    </row>
    <row r="397" spans="1:6" x14ac:dyDescent="0.25">
      <c r="A397" s="4">
        <v>42006</v>
      </c>
      <c r="B397" s="3" t="s">
        <v>29</v>
      </c>
      <c r="C397" s="3" t="s">
        <v>19</v>
      </c>
      <c r="D397" s="3" t="s">
        <v>36</v>
      </c>
      <c r="E397" s="3">
        <v>37</v>
      </c>
      <c r="F397" s="5">
        <f t="shared" si="6"/>
        <v>55.5</v>
      </c>
    </row>
    <row r="398" spans="1:6" x14ac:dyDescent="0.25">
      <c r="A398" s="4">
        <v>42181</v>
      </c>
      <c r="B398" s="3" t="s">
        <v>29</v>
      </c>
      <c r="C398" s="3" t="s">
        <v>5</v>
      </c>
      <c r="D398" s="3" t="s">
        <v>31</v>
      </c>
      <c r="E398" s="3">
        <v>50</v>
      </c>
      <c r="F398" s="5">
        <f t="shared" si="6"/>
        <v>125</v>
      </c>
    </row>
    <row r="399" spans="1:6" x14ac:dyDescent="0.25">
      <c r="A399" s="4">
        <v>42006</v>
      </c>
      <c r="B399" s="3" t="s">
        <v>38</v>
      </c>
      <c r="C399" s="3" t="s">
        <v>5</v>
      </c>
      <c r="D399" s="3" t="s">
        <v>33</v>
      </c>
      <c r="E399" s="3">
        <v>27</v>
      </c>
      <c r="F399" s="5">
        <f t="shared" si="6"/>
        <v>135</v>
      </c>
    </row>
    <row r="400" spans="1:6" x14ac:dyDescent="0.25">
      <c r="A400" s="4">
        <v>42036</v>
      </c>
      <c r="B400" s="3" t="s">
        <v>26</v>
      </c>
      <c r="C400" s="3" t="s">
        <v>2</v>
      </c>
      <c r="D400" s="3" t="s">
        <v>33</v>
      </c>
      <c r="E400" s="3">
        <v>41</v>
      </c>
      <c r="F400" s="5">
        <f t="shared" si="6"/>
        <v>205</v>
      </c>
    </row>
    <row r="401" spans="1:6" x14ac:dyDescent="0.25">
      <c r="A401" s="4">
        <v>42161</v>
      </c>
      <c r="B401" s="3" t="s">
        <v>37</v>
      </c>
      <c r="C401" s="3" t="s">
        <v>5</v>
      </c>
      <c r="D401" s="3" t="s">
        <v>33</v>
      </c>
      <c r="E401" s="3">
        <v>27</v>
      </c>
      <c r="F401" s="5">
        <f t="shared" si="6"/>
        <v>135</v>
      </c>
    </row>
    <row r="402" spans="1:6" x14ac:dyDescent="0.25">
      <c r="A402" s="4">
        <v>42059</v>
      </c>
      <c r="B402" s="3" t="s">
        <v>39</v>
      </c>
      <c r="C402" s="3" t="s">
        <v>10</v>
      </c>
      <c r="D402" s="3" t="s">
        <v>27</v>
      </c>
      <c r="E402" s="3">
        <v>4</v>
      </c>
      <c r="F402" s="5">
        <f t="shared" si="6"/>
        <v>2</v>
      </c>
    </row>
    <row r="403" spans="1:6" x14ac:dyDescent="0.25">
      <c r="A403" s="4">
        <v>42132</v>
      </c>
      <c r="B403" s="3" t="s">
        <v>37</v>
      </c>
      <c r="C403" s="3" t="s">
        <v>5</v>
      </c>
      <c r="D403" s="3" t="s">
        <v>36</v>
      </c>
      <c r="E403" s="3">
        <v>31</v>
      </c>
      <c r="F403" s="5">
        <f t="shared" si="6"/>
        <v>46.5</v>
      </c>
    </row>
    <row r="404" spans="1:6" x14ac:dyDescent="0.25">
      <c r="A404" s="4">
        <v>42005</v>
      </c>
      <c r="B404" s="3" t="s">
        <v>38</v>
      </c>
      <c r="C404" s="3" t="s">
        <v>2</v>
      </c>
      <c r="D404" s="3" t="s">
        <v>35</v>
      </c>
      <c r="E404" s="3">
        <v>30</v>
      </c>
      <c r="F404" s="5">
        <f t="shared" si="6"/>
        <v>120</v>
      </c>
    </row>
    <row r="405" spans="1:6" x14ac:dyDescent="0.25">
      <c r="A405" s="4">
        <v>42066</v>
      </c>
      <c r="B405" s="3" t="s">
        <v>39</v>
      </c>
      <c r="C405" s="3" t="s">
        <v>5</v>
      </c>
      <c r="D405" s="3" t="s">
        <v>27</v>
      </c>
      <c r="E405" s="3">
        <v>23</v>
      </c>
      <c r="F405" s="5">
        <f t="shared" si="6"/>
        <v>11.5</v>
      </c>
    </row>
    <row r="406" spans="1:6" x14ac:dyDescent="0.25">
      <c r="A406" s="4">
        <v>42080</v>
      </c>
      <c r="B406" s="3" t="s">
        <v>38</v>
      </c>
      <c r="C406" s="3" t="s">
        <v>5</v>
      </c>
      <c r="D406" s="3" t="s">
        <v>28</v>
      </c>
      <c r="E406" s="3">
        <v>22</v>
      </c>
      <c r="F406" s="5">
        <f t="shared" si="6"/>
        <v>44</v>
      </c>
    </row>
    <row r="407" spans="1:6" x14ac:dyDescent="0.25">
      <c r="A407" s="4">
        <v>42118</v>
      </c>
      <c r="B407" s="3" t="s">
        <v>26</v>
      </c>
      <c r="C407" s="3" t="s">
        <v>2</v>
      </c>
      <c r="D407" s="3" t="s">
        <v>28</v>
      </c>
      <c r="E407" s="3">
        <v>34</v>
      </c>
      <c r="F407" s="5">
        <f t="shared" si="6"/>
        <v>68</v>
      </c>
    </row>
    <row r="408" spans="1:6" x14ac:dyDescent="0.25">
      <c r="A408" s="4">
        <v>42040</v>
      </c>
      <c r="B408" s="3" t="s">
        <v>37</v>
      </c>
      <c r="C408" s="3" t="s">
        <v>2</v>
      </c>
      <c r="D408" s="3" t="s">
        <v>35</v>
      </c>
      <c r="E408" s="3">
        <v>33</v>
      </c>
      <c r="F408" s="5">
        <f t="shared" si="6"/>
        <v>132</v>
      </c>
    </row>
    <row r="409" spans="1:6" x14ac:dyDescent="0.25">
      <c r="A409" s="4">
        <v>42036</v>
      </c>
      <c r="B409" s="3" t="s">
        <v>26</v>
      </c>
      <c r="C409" s="3" t="s">
        <v>10</v>
      </c>
      <c r="D409" s="3" t="s">
        <v>34</v>
      </c>
      <c r="E409" s="3">
        <v>23</v>
      </c>
      <c r="F409" s="5">
        <f t="shared" si="6"/>
        <v>4.6000000000000005</v>
      </c>
    </row>
    <row r="410" spans="1:6" x14ac:dyDescent="0.25">
      <c r="A410" s="4">
        <v>42023</v>
      </c>
      <c r="B410" s="3" t="s">
        <v>29</v>
      </c>
      <c r="C410" s="3" t="s">
        <v>6</v>
      </c>
      <c r="D410" s="3" t="s">
        <v>35</v>
      </c>
      <c r="E410" s="3">
        <v>46</v>
      </c>
      <c r="F410" s="5">
        <f t="shared" si="6"/>
        <v>184</v>
      </c>
    </row>
    <row r="411" spans="1:6" x14ac:dyDescent="0.25">
      <c r="A411" s="4">
        <v>42180</v>
      </c>
      <c r="B411" s="3" t="s">
        <v>26</v>
      </c>
      <c r="C411" s="3" t="s">
        <v>6</v>
      </c>
      <c r="D411" s="3" t="s">
        <v>28</v>
      </c>
      <c r="E411" s="3">
        <v>4</v>
      </c>
      <c r="F411" s="5">
        <f t="shared" si="6"/>
        <v>8</v>
      </c>
    </row>
    <row r="412" spans="1:6" x14ac:dyDescent="0.25">
      <c r="A412" s="4">
        <v>42044</v>
      </c>
      <c r="B412" s="3" t="s">
        <v>38</v>
      </c>
      <c r="C412" s="3" t="s">
        <v>5</v>
      </c>
      <c r="D412" s="3" t="s">
        <v>35</v>
      </c>
      <c r="E412" s="3">
        <v>23</v>
      </c>
      <c r="F412" s="5">
        <f t="shared" si="6"/>
        <v>92</v>
      </c>
    </row>
    <row r="413" spans="1:6" x14ac:dyDescent="0.25">
      <c r="A413" s="4">
        <v>42029</v>
      </c>
      <c r="B413" s="3" t="s">
        <v>29</v>
      </c>
      <c r="C413" s="3" t="s">
        <v>10</v>
      </c>
      <c r="D413" s="3" t="s">
        <v>27</v>
      </c>
      <c r="E413" s="3">
        <v>10</v>
      </c>
      <c r="F413" s="5">
        <f t="shared" si="6"/>
        <v>5</v>
      </c>
    </row>
    <row r="414" spans="1:6" x14ac:dyDescent="0.25">
      <c r="A414" s="4">
        <v>42126</v>
      </c>
      <c r="B414" s="3" t="s">
        <v>26</v>
      </c>
      <c r="C414" s="3" t="s">
        <v>2</v>
      </c>
      <c r="D414" s="3" t="s">
        <v>31</v>
      </c>
      <c r="E414" s="3">
        <v>4</v>
      </c>
      <c r="F414" s="5">
        <f t="shared" si="6"/>
        <v>10</v>
      </c>
    </row>
    <row r="415" spans="1:6" x14ac:dyDescent="0.25">
      <c r="A415" s="4">
        <v>42013</v>
      </c>
      <c r="B415" s="3" t="s">
        <v>26</v>
      </c>
      <c r="C415" s="3" t="s">
        <v>5</v>
      </c>
      <c r="D415" s="3" t="s">
        <v>27</v>
      </c>
      <c r="E415" s="3">
        <v>10</v>
      </c>
      <c r="F415" s="5">
        <f t="shared" si="6"/>
        <v>5</v>
      </c>
    </row>
    <row r="416" spans="1:6" x14ac:dyDescent="0.25">
      <c r="A416" s="4">
        <v>42092</v>
      </c>
      <c r="B416" s="3" t="s">
        <v>32</v>
      </c>
      <c r="C416" s="3" t="s">
        <v>10</v>
      </c>
      <c r="D416" s="3" t="s">
        <v>27</v>
      </c>
      <c r="E416" s="3">
        <v>38</v>
      </c>
      <c r="F416" s="5">
        <f t="shared" si="6"/>
        <v>19</v>
      </c>
    </row>
    <row r="417" spans="1:6" x14ac:dyDescent="0.25">
      <c r="A417" s="4">
        <v>42109</v>
      </c>
      <c r="B417" s="3" t="s">
        <v>32</v>
      </c>
      <c r="C417" s="3" t="s">
        <v>19</v>
      </c>
      <c r="D417" s="3" t="s">
        <v>31</v>
      </c>
      <c r="E417" s="3">
        <v>47</v>
      </c>
      <c r="F417" s="5">
        <f t="shared" si="6"/>
        <v>117.5</v>
      </c>
    </row>
    <row r="418" spans="1:6" x14ac:dyDescent="0.25">
      <c r="A418" s="4">
        <v>42138</v>
      </c>
      <c r="B418" s="3" t="s">
        <v>26</v>
      </c>
      <c r="C418" s="3" t="s">
        <v>5</v>
      </c>
      <c r="D418" s="3" t="s">
        <v>33</v>
      </c>
      <c r="E418" s="3">
        <v>29</v>
      </c>
      <c r="F418" s="5">
        <f t="shared" si="6"/>
        <v>145</v>
      </c>
    </row>
    <row r="419" spans="1:6" x14ac:dyDescent="0.25">
      <c r="A419" s="4">
        <v>42044</v>
      </c>
      <c r="B419" s="3" t="s">
        <v>37</v>
      </c>
      <c r="C419" s="3" t="s">
        <v>10</v>
      </c>
      <c r="D419" s="3" t="s">
        <v>27</v>
      </c>
      <c r="E419" s="3">
        <v>46</v>
      </c>
      <c r="F419" s="5">
        <f t="shared" si="6"/>
        <v>23</v>
      </c>
    </row>
    <row r="420" spans="1:6" x14ac:dyDescent="0.25">
      <c r="A420" s="4">
        <v>42010</v>
      </c>
      <c r="B420" s="3" t="s">
        <v>26</v>
      </c>
      <c r="C420" s="3" t="s">
        <v>19</v>
      </c>
      <c r="D420" s="3" t="s">
        <v>31</v>
      </c>
      <c r="E420" s="3">
        <v>37</v>
      </c>
      <c r="F420" s="5">
        <f t="shared" si="6"/>
        <v>92.5</v>
      </c>
    </row>
    <row r="421" spans="1:6" x14ac:dyDescent="0.25">
      <c r="A421" s="4">
        <v>42032</v>
      </c>
      <c r="B421" s="3" t="s">
        <v>29</v>
      </c>
      <c r="C421" s="3" t="s">
        <v>10</v>
      </c>
      <c r="D421" s="3" t="s">
        <v>36</v>
      </c>
      <c r="E421" s="3">
        <v>10</v>
      </c>
      <c r="F421" s="5">
        <f t="shared" si="6"/>
        <v>15</v>
      </c>
    </row>
    <row r="422" spans="1:6" x14ac:dyDescent="0.25">
      <c r="A422" s="4">
        <v>42067</v>
      </c>
      <c r="B422" s="3" t="s">
        <v>37</v>
      </c>
      <c r="C422" s="3" t="s">
        <v>2</v>
      </c>
      <c r="D422" s="3" t="s">
        <v>28</v>
      </c>
      <c r="E422" s="3">
        <v>41</v>
      </c>
      <c r="F422" s="5">
        <f t="shared" si="6"/>
        <v>82</v>
      </c>
    </row>
    <row r="423" spans="1:6" x14ac:dyDescent="0.25">
      <c r="A423" s="4">
        <v>42165</v>
      </c>
      <c r="B423" s="3" t="s">
        <v>26</v>
      </c>
      <c r="C423" s="3" t="s">
        <v>6</v>
      </c>
      <c r="D423" s="3" t="s">
        <v>34</v>
      </c>
      <c r="E423" s="3">
        <v>46</v>
      </c>
      <c r="F423" s="5">
        <f t="shared" si="6"/>
        <v>9.2000000000000011</v>
      </c>
    </row>
    <row r="424" spans="1:6" x14ac:dyDescent="0.25">
      <c r="A424" s="4">
        <v>42128</v>
      </c>
      <c r="B424" s="3" t="s">
        <v>32</v>
      </c>
      <c r="C424" s="3" t="s">
        <v>19</v>
      </c>
      <c r="D424" s="3" t="s">
        <v>36</v>
      </c>
      <c r="E424" s="3">
        <v>41</v>
      </c>
      <c r="F424" s="5">
        <f t="shared" si="6"/>
        <v>61.5</v>
      </c>
    </row>
    <row r="425" spans="1:6" x14ac:dyDescent="0.25">
      <c r="A425" s="4">
        <v>42139</v>
      </c>
      <c r="B425" s="3" t="s">
        <v>29</v>
      </c>
      <c r="C425" s="3" t="s">
        <v>5</v>
      </c>
      <c r="D425" s="3" t="s">
        <v>31</v>
      </c>
      <c r="E425" s="3">
        <v>37</v>
      </c>
      <c r="F425" s="5">
        <f t="shared" si="6"/>
        <v>92.5</v>
      </c>
    </row>
    <row r="426" spans="1:6" x14ac:dyDescent="0.25">
      <c r="A426" s="4">
        <v>42047</v>
      </c>
      <c r="B426" s="3" t="s">
        <v>32</v>
      </c>
      <c r="C426" s="3" t="s">
        <v>19</v>
      </c>
      <c r="D426" s="3" t="s">
        <v>33</v>
      </c>
      <c r="E426" s="3">
        <v>34</v>
      </c>
      <c r="F426" s="5">
        <f t="shared" si="6"/>
        <v>170</v>
      </c>
    </row>
    <row r="427" spans="1:6" x14ac:dyDescent="0.25">
      <c r="A427" s="4">
        <v>42087</v>
      </c>
      <c r="B427" s="3" t="s">
        <v>38</v>
      </c>
      <c r="C427" s="3" t="s">
        <v>2</v>
      </c>
      <c r="D427" s="3" t="s">
        <v>30</v>
      </c>
      <c r="E427" s="3">
        <v>39</v>
      </c>
      <c r="F427" s="5">
        <f t="shared" si="6"/>
        <v>3.9000000000000004</v>
      </c>
    </row>
    <row r="428" spans="1:6" x14ac:dyDescent="0.25">
      <c r="A428" s="4">
        <v>42162</v>
      </c>
      <c r="B428" s="3" t="s">
        <v>37</v>
      </c>
      <c r="C428" s="3" t="s">
        <v>5</v>
      </c>
      <c r="D428" s="3" t="s">
        <v>35</v>
      </c>
      <c r="E428" s="3">
        <v>3</v>
      </c>
      <c r="F428" s="5">
        <f t="shared" si="6"/>
        <v>12</v>
      </c>
    </row>
    <row r="429" spans="1:6" x14ac:dyDescent="0.25">
      <c r="A429" s="4">
        <v>42057</v>
      </c>
      <c r="B429" s="3" t="s">
        <v>29</v>
      </c>
      <c r="C429" s="3" t="s">
        <v>2</v>
      </c>
      <c r="D429" s="3" t="s">
        <v>28</v>
      </c>
      <c r="E429" s="3">
        <v>28</v>
      </c>
      <c r="F429" s="5">
        <f t="shared" si="6"/>
        <v>56</v>
      </c>
    </row>
    <row r="430" spans="1:6" x14ac:dyDescent="0.25">
      <c r="A430" s="4">
        <v>42130</v>
      </c>
      <c r="B430" s="3" t="s">
        <v>37</v>
      </c>
      <c r="C430" s="3" t="s">
        <v>10</v>
      </c>
      <c r="D430" s="3" t="s">
        <v>34</v>
      </c>
      <c r="E430" s="3">
        <v>6</v>
      </c>
      <c r="F430" s="5">
        <f t="shared" si="6"/>
        <v>1.2000000000000002</v>
      </c>
    </row>
    <row r="431" spans="1:6" x14ac:dyDescent="0.25">
      <c r="A431" s="4">
        <v>42152</v>
      </c>
      <c r="B431" s="3" t="s">
        <v>32</v>
      </c>
      <c r="C431" s="3" t="s">
        <v>2</v>
      </c>
      <c r="D431" s="3" t="s">
        <v>31</v>
      </c>
      <c r="E431" s="3">
        <v>11</v>
      </c>
      <c r="F431" s="5">
        <f t="shared" si="6"/>
        <v>27.5</v>
      </c>
    </row>
    <row r="432" spans="1:6" x14ac:dyDescent="0.25">
      <c r="A432" s="4">
        <v>42014</v>
      </c>
      <c r="B432" s="3" t="s">
        <v>26</v>
      </c>
      <c r="C432" s="3" t="s">
        <v>2</v>
      </c>
      <c r="D432" s="3" t="s">
        <v>34</v>
      </c>
      <c r="E432" s="3">
        <v>14</v>
      </c>
      <c r="F432" s="5">
        <f t="shared" si="6"/>
        <v>2.8000000000000003</v>
      </c>
    </row>
    <row r="433" spans="1:6" x14ac:dyDescent="0.25">
      <c r="A433" s="4">
        <v>42140</v>
      </c>
      <c r="B433" s="3" t="s">
        <v>37</v>
      </c>
      <c r="C433" s="3" t="s">
        <v>19</v>
      </c>
      <c r="D433" s="3" t="s">
        <v>30</v>
      </c>
      <c r="E433" s="3">
        <v>9</v>
      </c>
      <c r="F433" s="5">
        <f t="shared" si="6"/>
        <v>0.9</v>
      </c>
    </row>
    <row r="434" spans="1:6" x14ac:dyDescent="0.25">
      <c r="A434" s="4">
        <v>42021</v>
      </c>
      <c r="B434" s="3" t="s">
        <v>38</v>
      </c>
      <c r="C434" s="3" t="s">
        <v>6</v>
      </c>
      <c r="D434" s="3" t="s">
        <v>27</v>
      </c>
      <c r="E434" s="3">
        <v>2</v>
      </c>
      <c r="F434" s="5">
        <f t="shared" si="6"/>
        <v>1</v>
      </c>
    </row>
    <row r="435" spans="1:6" x14ac:dyDescent="0.25">
      <c r="A435" s="4">
        <v>42149</v>
      </c>
      <c r="B435" s="3" t="s">
        <v>39</v>
      </c>
      <c r="C435" s="3" t="s">
        <v>10</v>
      </c>
      <c r="D435" s="3" t="s">
        <v>36</v>
      </c>
      <c r="E435" s="3">
        <v>19</v>
      </c>
      <c r="F435" s="5">
        <f t="shared" si="6"/>
        <v>28.5</v>
      </c>
    </row>
    <row r="436" spans="1:6" x14ac:dyDescent="0.25">
      <c r="A436" s="4">
        <v>42015</v>
      </c>
      <c r="B436" s="3" t="s">
        <v>32</v>
      </c>
      <c r="C436" s="3" t="s">
        <v>10</v>
      </c>
      <c r="D436" s="3" t="s">
        <v>36</v>
      </c>
      <c r="E436" s="3">
        <v>15</v>
      </c>
      <c r="F436" s="5">
        <f t="shared" si="6"/>
        <v>22.5</v>
      </c>
    </row>
    <row r="437" spans="1:6" x14ac:dyDescent="0.25">
      <c r="A437" s="4">
        <v>42087</v>
      </c>
      <c r="B437" s="3" t="s">
        <v>32</v>
      </c>
      <c r="C437" s="3" t="s">
        <v>6</v>
      </c>
      <c r="D437" s="3" t="s">
        <v>33</v>
      </c>
      <c r="E437" s="3">
        <v>44</v>
      </c>
      <c r="F437" s="5">
        <f t="shared" si="6"/>
        <v>220</v>
      </c>
    </row>
    <row r="438" spans="1:6" x14ac:dyDescent="0.25">
      <c r="A438" s="4">
        <v>42034</v>
      </c>
      <c r="B438" s="3" t="s">
        <v>39</v>
      </c>
      <c r="C438" s="3" t="s">
        <v>10</v>
      </c>
      <c r="D438" s="3" t="s">
        <v>27</v>
      </c>
      <c r="E438" s="3">
        <v>24</v>
      </c>
      <c r="F438" s="5">
        <f t="shared" si="6"/>
        <v>12</v>
      </c>
    </row>
    <row r="439" spans="1:6" x14ac:dyDescent="0.25">
      <c r="A439" s="4">
        <v>42110</v>
      </c>
      <c r="B439" s="3" t="s">
        <v>39</v>
      </c>
      <c r="C439" s="3" t="s">
        <v>10</v>
      </c>
      <c r="D439" s="3" t="s">
        <v>28</v>
      </c>
      <c r="E439" s="3">
        <v>46</v>
      </c>
      <c r="F439" s="5">
        <f t="shared" si="6"/>
        <v>92</v>
      </c>
    </row>
    <row r="440" spans="1:6" x14ac:dyDescent="0.25">
      <c r="A440" s="4">
        <v>42107</v>
      </c>
      <c r="B440" s="3" t="s">
        <v>39</v>
      </c>
      <c r="C440" s="3" t="s">
        <v>19</v>
      </c>
      <c r="D440" s="3" t="s">
        <v>34</v>
      </c>
      <c r="E440" s="3">
        <v>11</v>
      </c>
      <c r="F440" s="5">
        <f t="shared" si="6"/>
        <v>2.2000000000000002</v>
      </c>
    </row>
    <row r="441" spans="1:6" x14ac:dyDescent="0.25">
      <c r="A441" s="4">
        <v>42130</v>
      </c>
      <c r="B441" s="3" t="s">
        <v>32</v>
      </c>
      <c r="C441" s="3" t="s">
        <v>6</v>
      </c>
      <c r="D441" s="3" t="s">
        <v>33</v>
      </c>
      <c r="E441" s="3">
        <v>20</v>
      </c>
      <c r="F441" s="5">
        <f t="shared" si="6"/>
        <v>100</v>
      </c>
    </row>
    <row r="442" spans="1:6" x14ac:dyDescent="0.25">
      <c r="A442" s="4">
        <v>42076</v>
      </c>
      <c r="B442" s="3" t="s">
        <v>38</v>
      </c>
      <c r="C442" s="3" t="s">
        <v>5</v>
      </c>
      <c r="D442" s="3" t="s">
        <v>30</v>
      </c>
      <c r="E442" s="3">
        <v>10</v>
      </c>
      <c r="F442" s="5">
        <f t="shared" si="6"/>
        <v>1</v>
      </c>
    </row>
    <row r="443" spans="1:6" x14ac:dyDescent="0.25">
      <c r="A443" s="4">
        <v>42023</v>
      </c>
      <c r="B443" s="3" t="s">
        <v>32</v>
      </c>
      <c r="C443" s="3" t="s">
        <v>10</v>
      </c>
      <c r="D443" s="3" t="s">
        <v>27</v>
      </c>
      <c r="E443" s="3">
        <v>25</v>
      </c>
      <c r="F443" s="5">
        <f t="shared" si="6"/>
        <v>12.5</v>
      </c>
    </row>
    <row r="444" spans="1:6" x14ac:dyDescent="0.25">
      <c r="A444" s="4">
        <v>42093</v>
      </c>
      <c r="B444" s="3" t="s">
        <v>29</v>
      </c>
      <c r="C444" s="3" t="s">
        <v>2</v>
      </c>
      <c r="D444" s="3" t="s">
        <v>34</v>
      </c>
      <c r="E444" s="3">
        <v>47</v>
      </c>
      <c r="F444" s="5">
        <f t="shared" si="6"/>
        <v>9.4</v>
      </c>
    </row>
    <row r="445" spans="1:6" x14ac:dyDescent="0.25">
      <c r="A445" s="4">
        <v>42035</v>
      </c>
      <c r="B445" s="3" t="s">
        <v>29</v>
      </c>
      <c r="C445" s="3" t="s">
        <v>6</v>
      </c>
      <c r="D445" s="3" t="s">
        <v>33</v>
      </c>
      <c r="E445" s="3">
        <v>17</v>
      </c>
      <c r="F445" s="5">
        <f t="shared" si="6"/>
        <v>85</v>
      </c>
    </row>
    <row r="446" spans="1:6" x14ac:dyDescent="0.25">
      <c r="A446" s="4">
        <v>42099</v>
      </c>
      <c r="B446" s="3" t="s">
        <v>38</v>
      </c>
      <c r="C446" s="3" t="s">
        <v>5</v>
      </c>
      <c r="D446" s="3" t="s">
        <v>30</v>
      </c>
      <c r="E446" s="3">
        <v>10</v>
      </c>
      <c r="F446" s="5">
        <f t="shared" si="6"/>
        <v>1</v>
      </c>
    </row>
    <row r="447" spans="1:6" x14ac:dyDescent="0.25">
      <c r="A447" s="4">
        <v>42080</v>
      </c>
      <c r="B447" s="3" t="s">
        <v>32</v>
      </c>
      <c r="C447" s="3" t="s">
        <v>6</v>
      </c>
      <c r="D447" s="3" t="s">
        <v>30</v>
      </c>
      <c r="E447" s="3">
        <v>30</v>
      </c>
      <c r="F447" s="5">
        <f t="shared" si="6"/>
        <v>3</v>
      </c>
    </row>
    <row r="448" spans="1:6" x14ac:dyDescent="0.25">
      <c r="A448" s="4">
        <v>42006</v>
      </c>
      <c r="B448" s="3" t="s">
        <v>29</v>
      </c>
      <c r="C448" s="3" t="s">
        <v>19</v>
      </c>
      <c r="D448" s="3" t="s">
        <v>27</v>
      </c>
      <c r="E448" s="3">
        <v>13</v>
      </c>
      <c r="F448" s="5">
        <f t="shared" si="6"/>
        <v>6.5</v>
      </c>
    </row>
    <row r="449" spans="1:6" x14ac:dyDescent="0.25">
      <c r="A449" s="4">
        <v>42179</v>
      </c>
      <c r="B449" s="3" t="s">
        <v>38</v>
      </c>
      <c r="C449" s="3" t="s">
        <v>2</v>
      </c>
      <c r="D449" s="3" t="s">
        <v>28</v>
      </c>
      <c r="E449" s="3">
        <v>17</v>
      </c>
      <c r="F449" s="5">
        <f t="shared" si="6"/>
        <v>34</v>
      </c>
    </row>
    <row r="450" spans="1:6" x14ac:dyDescent="0.25">
      <c r="A450" s="4">
        <v>42170</v>
      </c>
      <c r="B450" s="3" t="s">
        <v>39</v>
      </c>
      <c r="C450" s="3" t="s">
        <v>5</v>
      </c>
      <c r="D450" s="3" t="s">
        <v>27</v>
      </c>
      <c r="E450" s="3">
        <v>32</v>
      </c>
      <c r="F450" s="5">
        <f t="shared" si="6"/>
        <v>16</v>
      </c>
    </row>
    <row r="451" spans="1:6" x14ac:dyDescent="0.25">
      <c r="A451" s="4">
        <v>42068</v>
      </c>
      <c r="B451" s="3" t="s">
        <v>26</v>
      </c>
      <c r="C451" s="3" t="s">
        <v>10</v>
      </c>
      <c r="D451" s="3" t="s">
        <v>36</v>
      </c>
      <c r="E451" s="3">
        <v>34</v>
      </c>
      <c r="F451" s="5">
        <f t="shared" si="6"/>
        <v>51</v>
      </c>
    </row>
    <row r="452" spans="1:6" x14ac:dyDescent="0.25">
      <c r="A452" s="4">
        <v>42118</v>
      </c>
      <c r="B452" s="3" t="s">
        <v>29</v>
      </c>
      <c r="C452" s="3" t="s">
        <v>19</v>
      </c>
      <c r="D452" s="3" t="s">
        <v>31</v>
      </c>
      <c r="E452" s="3">
        <v>14</v>
      </c>
      <c r="F452" s="5">
        <f t="shared" si="6"/>
        <v>35</v>
      </c>
    </row>
    <row r="453" spans="1:6" x14ac:dyDescent="0.25">
      <c r="A453" s="4">
        <v>42042</v>
      </c>
      <c r="B453" s="3" t="s">
        <v>39</v>
      </c>
      <c r="C453" s="3" t="s">
        <v>10</v>
      </c>
      <c r="D453" s="3" t="s">
        <v>28</v>
      </c>
      <c r="E453" s="3">
        <v>37</v>
      </c>
      <c r="F453" s="5">
        <f t="shared" si="6"/>
        <v>74</v>
      </c>
    </row>
    <row r="454" spans="1:6" x14ac:dyDescent="0.25">
      <c r="A454" s="4">
        <v>42016</v>
      </c>
      <c r="B454" s="3" t="s">
        <v>32</v>
      </c>
      <c r="C454" s="3" t="s">
        <v>10</v>
      </c>
      <c r="D454" s="3" t="s">
        <v>36</v>
      </c>
      <c r="E454" s="3">
        <v>31</v>
      </c>
      <c r="F454" s="5">
        <f t="shared" si="6"/>
        <v>46.5</v>
      </c>
    </row>
    <row r="455" spans="1:6" x14ac:dyDescent="0.25">
      <c r="A455" s="4">
        <v>42126</v>
      </c>
      <c r="B455" s="3" t="s">
        <v>26</v>
      </c>
      <c r="C455" s="3" t="s">
        <v>10</v>
      </c>
      <c r="D455" s="3" t="s">
        <v>36</v>
      </c>
      <c r="E455" s="3">
        <v>32</v>
      </c>
      <c r="F455" s="5">
        <f t="shared" ref="F455:F499" si="7">E455*VLOOKUP(D455,$R$6:$S$13,2,0)</f>
        <v>48</v>
      </c>
    </row>
    <row r="456" spans="1:6" x14ac:dyDescent="0.25">
      <c r="A456" s="4">
        <v>42162</v>
      </c>
      <c r="B456" s="3" t="s">
        <v>37</v>
      </c>
      <c r="C456" s="3" t="s">
        <v>5</v>
      </c>
      <c r="D456" s="3" t="s">
        <v>30</v>
      </c>
      <c r="E456" s="3">
        <v>27</v>
      </c>
      <c r="F456" s="5">
        <f t="shared" si="7"/>
        <v>2.7</v>
      </c>
    </row>
    <row r="457" spans="1:6" x14ac:dyDescent="0.25">
      <c r="A457" s="4">
        <v>42157</v>
      </c>
      <c r="B457" s="3" t="s">
        <v>32</v>
      </c>
      <c r="C457" s="3" t="s">
        <v>5</v>
      </c>
      <c r="D457" s="3" t="s">
        <v>33</v>
      </c>
      <c r="E457" s="3">
        <v>27</v>
      </c>
      <c r="F457" s="5">
        <f t="shared" si="7"/>
        <v>135</v>
      </c>
    </row>
    <row r="458" spans="1:6" x14ac:dyDescent="0.25">
      <c r="A458" s="4">
        <v>42070</v>
      </c>
      <c r="B458" s="3" t="s">
        <v>29</v>
      </c>
      <c r="C458" s="3" t="s">
        <v>2</v>
      </c>
      <c r="D458" s="3" t="s">
        <v>27</v>
      </c>
      <c r="E458" s="3">
        <v>12</v>
      </c>
      <c r="F458" s="5">
        <f t="shared" si="7"/>
        <v>6</v>
      </c>
    </row>
    <row r="459" spans="1:6" x14ac:dyDescent="0.25">
      <c r="A459" s="4">
        <v>42035</v>
      </c>
      <c r="B459" s="3" t="s">
        <v>29</v>
      </c>
      <c r="C459" s="3" t="s">
        <v>19</v>
      </c>
      <c r="D459" s="3" t="s">
        <v>34</v>
      </c>
      <c r="E459" s="3">
        <v>11</v>
      </c>
      <c r="F459" s="5">
        <f t="shared" si="7"/>
        <v>2.2000000000000002</v>
      </c>
    </row>
    <row r="460" spans="1:6" x14ac:dyDescent="0.25">
      <c r="A460" s="4">
        <v>42026</v>
      </c>
      <c r="B460" s="3" t="s">
        <v>29</v>
      </c>
      <c r="C460" s="3" t="s">
        <v>2</v>
      </c>
      <c r="D460" s="3" t="s">
        <v>36</v>
      </c>
      <c r="E460" s="3">
        <v>32</v>
      </c>
      <c r="F460" s="5">
        <f t="shared" si="7"/>
        <v>48</v>
      </c>
    </row>
    <row r="461" spans="1:6" x14ac:dyDescent="0.25">
      <c r="A461" s="4">
        <v>42159</v>
      </c>
      <c r="B461" s="3" t="s">
        <v>39</v>
      </c>
      <c r="C461" s="3" t="s">
        <v>10</v>
      </c>
      <c r="D461" s="3" t="s">
        <v>31</v>
      </c>
      <c r="E461" s="3">
        <v>23</v>
      </c>
      <c r="F461" s="5">
        <f t="shared" si="7"/>
        <v>57.5</v>
      </c>
    </row>
    <row r="462" spans="1:6" x14ac:dyDescent="0.25">
      <c r="A462" s="4">
        <v>42050</v>
      </c>
      <c r="B462" s="3" t="s">
        <v>26</v>
      </c>
      <c r="C462" s="3" t="s">
        <v>6</v>
      </c>
      <c r="D462" s="3" t="s">
        <v>27</v>
      </c>
      <c r="E462" s="3">
        <v>45</v>
      </c>
      <c r="F462" s="5">
        <f t="shared" si="7"/>
        <v>22.5</v>
      </c>
    </row>
    <row r="463" spans="1:6" x14ac:dyDescent="0.25">
      <c r="A463" s="4">
        <v>42118</v>
      </c>
      <c r="B463" s="3" t="s">
        <v>39</v>
      </c>
      <c r="C463" s="3" t="s">
        <v>5</v>
      </c>
      <c r="D463" s="3" t="s">
        <v>31</v>
      </c>
      <c r="E463" s="3">
        <v>11</v>
      </c>
      <c r="F463" s="5">
        <f t="shared" si="7"/>
        <v>27.5</v>
      </c>
    </row>
    <row r="464" spans="1:6" x14ac:dyDescent="0.25">
      <c r="A464" s="4">
        <v>42013</v>
      </c>
      <c r="B464" s="3" t="s">
        <v>39</v>
      </c>
      <c r="C464" s="3" t="s">
        <v>6</v>
      </c>
      <c r="D464" s="3" t="s">
        <v>30</v>
      </c>
      <c r="E464" s="3">
        <v>33</v>
      </c>
      <c r="F464" s="5">
        <f t="shared" si="7"/>
        <v>3.3000000000000003</v>
      </c>
    </row>
    <row r="465" spans="1:6" x14ac:dyDescent="0.25">
      <c r="A465" s="4">
        <v>42090</v>
      </c>
      <c r="B465" s="3" t="s">
        <v>29</v>
      </c>
      <c r="C465" s="3" t="s">
        <v>2</v>
      </c>
      <c r="D465" s="3" t="s">
        <v>31</v>
      </c>
      <c r="E465" s="3">
        <v>34</v>
      </c>
      <c r="F465" s="5">
        <f t="shared" si="7"/>
        <v>85</v>
      </c>
    </row>
    <row r="466" spans="1:6" x14ac:dyDescent="0.25">
      <c r="A466" s="4">
        <v>42140</v>
      </c>
      <c r="B466" s="3" t="s">
        <v>37</v>
      </c>
      <c r="C466" s="3" t="s">
        <v>19</v>
      </c>
      <c r="D466" s="3" t="s">
        <v>36</v>
      </c>
      <c r="E466" s="3">
        <v>42</v>
      </c>
      <c r="F466" s="5">
        <f t="shared" si="7"/>
        <v>63</v>
      </c>
    </row>
    <row r="467" spans="1:6" x14ac:dyDescent="0.25">
      <c r="A467" s="4">
        <v>42073</v>
      </c>
      <c r="B467" s="3" t="s">
        <v>29</v>
      </c>
      <c r="C467" s="3" t="s">
        <v>2</v>
      </c>
      <c r="D467" s="3" t="s">
        <v>31</v>
      </c>
      <c r="E467" s="3">
        <v>8</v>
      </c>
      <c r="F467" s="5">
        <f t="shared" si="7"/>
        <v>20</v>
      </c>
    </row>
    <row r="468" spans="1:6" x14ac:dyDescent="0.25">
      <c r="A468" s="4">
        <v>42093</v>
      </c>
      <c r="B468" s="3" t="s">
        <v>37</v>
      </c>
      <c r="C468" s="3" t="s">
        <v>19</v>
      </c>
      <c r="D468" s="3" t="s">
        <v>33</v>
      </c>
      <c r="E468" s="3">
        <v>11</v>
      </c>
      <c r="F468" s="5">
        <f t="shared" si="7"/>
        <v>55</v>
      </c>
    </row>
    <row r="469" spans="1:6" x14ac:dyDescent="0.25">
      <c r="A469" s="4">
        <v>42094</v>
      </c>
      <c r="B469" s="3" t="s">
        <v>29</v>
      </c>
      <c r="C469" s="3" t="s">
        <v>2</v>
      </c>
      <c r="D469" s="3" t="s">
        <v>27</v>
      </c>
      <c r="E469" s="3">
        <v>18</v>
      </c>
      <c r="F469" s="5">
        <f t="shared" si="7"/>
        <v>9</v>
      </c>
    </row>
    <row r="470" spans="1:6" x14ac:dyDescent="0.25">
      <c r="A470" s="4">
        <v>42056</v>
      </c>
      <c r="B470" s="3" t="s">
        <v>38</v>
      </c>
      <c r="C470" s="3" t="s">
        <v>6</v>
      </c>
      <c r="D470" s="3" t="s">
        <v>30</v>
      </c>
      <c r="E470" s="3">
        <v>44</v>
      </c>
      <c r="F470" s="5">
        <f t="shared" si="7"/>
        <v>4.4000000000000004</v>
      </c>
    </row>
    <row r="471" spans="1:6" x14ac:dyDescent="0.25">
      <c r="A471" s="4">
        <v>42143</v>
      </c>
      <c r="B471" s="3" t="s">
        <v>38</v>
      </c>
      <c r="C471" s="3" t="s">
        <v>5</v>
      </c>
      <c r="D471" s="3" t="s">
        <v>30</v>
      </c>
      <c r="E471" s="3">
        <v>47</v>
      </c>
      <c r="F471" s="5">
        <f t="shared" si="7"/>
        <v>4.7</v>
      </c>
    </row>
    <row r="472" spans="1:6" x14ac:dyDescent="0.25">
      <c r="A472" s="4">
        <v>42032</v>
      </c>
      <c r="B472" s="3" t="s">
        <v>39</v>
      </c>
      <c r="C472" s="3" t="s">
        <v>2</v>
      </c>
      <c r="D472" s="3" t="s">
        <v>31</v>
      </c>
      <c r="E472" s="3">
        <v>35</v>
      </c>
      <c r="F472" s="5">
        <f t="shared" si="7"/>
        <v>87.5</v>
      </c>
    </row>
    <row r="473" spans="1:6" x14ac:dyDescent="0.25">
      <c r="A473" s="4">
        <v>42041</v>
      </c>
      <c r="B473" s="3" t="s">
        <v>39</v>
      </c>
      <c r="C473" s="3" t="s">
        <v>6</v>
      </c>
      <c r="D473" s="3" t="s">
        <v>36</v>
      </c>
      <c r="E473" s="3">
        <v>13</v>
      </c>
      <c r="F473" s="5">
        <f t="shared" si="7"/>
        <v>19.5</v>
      </c>
    </row>
    <row r="474" spans="1:6" x14ac:dyDescent="0.25">
      <c r="A474" s="4">
        <v>42062</v>
      </c>
      <c r="B474" s="3" t="s">
        <v>37</v>
      </c>
      <c r="C474" s="3" t="s">
        <v>10</v>
      </c>
      <c r="D474" s="3" t="s">
        <v>34</v>
      </c>
      <c r="E474" s="3">
        <v>30</v>
      </c>
      <c r="F474" s="5">
        <f t="shared" si="7"/>
        <v>6</v>
      </c>
    </row>
    <row r="475" spans="1:6" x14ac:dyDescent="0.25">
      <c r="A475" s="4">
        <v>42145</v>
      </c>
      <c r="B475" s="3" t="s">
        <v>37</v>
      </c>
      <c r="C475" s="3" t="s">
        <v>19</v>
      </c>
      <c r="D475" s="3" t="s">
        <v>31</v>
      </c>
      <c r="E475" s="3">
        <v>14</v>
      </c>
      <c r="F475" s="5">
        <f t="shared" si="7"/>
        <v>35</v>
      </c>
    </row>
    <row r="476" spans="1:6" x14ac:dyDescent="0.25">
      <c r="A476" s="4">
        <v>42144</v>
      </c>
      <c r="B476" s="3" t="s">
        <v>32</v>
      </c>
      <c r="C476" s="3" t="s">
        <v>5</v>
      </c>
      <c r="D476" s="3" t="s">
        <v>27</v>
      </c>
      <c r="E476" s="3">
        <v>27</v>
      </c>
      <c r="F476" s="5">
        <f t="shared" si="7"/>
        <v>13.5</v>
      </c>
    </row>
    <row r="477" spans="1:6" x14ac:dyDescent="0.25">
      <c r="A477" s="4">
        <v>42079</v>
      </c>
      <c r="B477" s="3" t="s">
        <v>29</v>
      </c>
      <c r="C477" s="3" t="s">
        <v>10</v>
      </c>
      <c r="D477" s="3" t="s">
        <v>30</v>
      </c>
      <c r="E477" s="3">
        <v>4</v>
      </c>
      <c r="F477" s="5">
        <f t="shared" si="7"/>
        <v>0.4</v>
      </c>
    </row>
    <row r="478" spans="1:6" x14ac:dyDescent="0.25">
      <c r="A478" s="4">
        <v>42138</v>
      </c>
      <c r="B478" s="3" t="s">
        <v>39</v>
      </c>
      <c r="C478" s="3" t="s">
        <v>5</v>
      </c>
      <c r="D478" s="3" t="s">
        <v>36</v>
      </c>
      <c r="E478" s="3">
        <v>6</v>
      </c>
      <c r="F478" s="5">
        <f t="shared" si="7"/>
        <v>9</v>
      </c>
    </row>
    <row r="479" spans="1:6" x14ac:dyDescent="0.25">
      <c r="A479" s="4">
        <v>42078</v>
      </c>
      <c r="B479" s="3" t="s">
        <v>38</v>
      </c>
      <c r="C479" s="3" t="s">
        <v>5</v>
      </c>
      <c r="D479" s="3" t="s">
        <v>31</v>
      </c>
      <c r="E479" s="3">
        <v>35</v>
      </c>
      <c r="F479" s="5">
        <f t="shared" si="7"/>
        <v>87.5</v>
      </c>
    </row>
    <row r="480" spans="1:6" x14ac:dyDescent="0.25">
      <c r="A480" s="4">
        <v>42161</v>
      </c>
      <c r="B480" s="3" t="s">
        <v>39</v>
      </c>
      <c r="C480" s="3" t="s">
        <v>2</v>
      </c>
      <c r="D480" s="3" t="s">
        <v>33</v>
      </c>
      <c r="E480" s="3">
        <v>12</v>
      </c>
      <c r="F480" s="5">
        <f t="shared" si="7"/>
        <v>60</v>
      </c>
    </row>
    <row r="481" spans="1:6" x14ac:dyDescent="0.25">
      <c r="A481" s="4">
        <v>42101</v>
      </c>
      <c r="B481" s="3" t="s">
        <v>37</v>
      </c>
      <c r="C481" s="3" t="s">
        <v>2</v>
      </c>
      <c r="D481" s="3" t="s">
        <v>31</v>
      </c>
      <c r="E481" s="3">
        <v>32</v>
      </c>
      <c r="F481" s="5">
        <f t="shared" si="7"/>
        <v>80</v>
      </c>
    </row>
    <row r="482" spans="1:6" x14ac:dyDescent="0.25">
      <c r="A482" s="4">
        <v>42181</v>
      </c>
      <c r="B482" s="3" t="s">
        <v>37</v>
      </c>
      <c r="C482" s="3" t="s">
        <v>10</v>
      </c>
      <c r="D482" s="3" t="s">
        <v>28</v>
      </c>
      <c r="E482" s="3">
        <v>41</v>
      </c>
      <c r="F482" s="5">
        <f t="shared" si="7"/>
        <v>82</v>
      </c>
    </row>
    <row r="483" spans="1:6" x14ac:dyDescent="0.25">
      <c r="A483" s="4">
        <v>42053</v>
      </c>
      <c r="B483" s="3" t="s">
        <v>38</v>
      </c>
      <c r="C483" s="3" t="s">
        <v>10</v>
      </c>
      <c r="D483" s="3" t="s">
        <v>34</v>
      </c>
      <c r="E483" s="3">
        <v>49</v>
      </c>
      <c r="F483" s="5">
        <f t="shared" si="7"/>
        <v>9.8000000000000007</v>
      </c>
    </row>
    <row r="484" spans="1:6" x14ac:dyDescent="0.25">
      <c r="A484" s="4">
        <v>42073</v>
      </c>
      <c r="B484" s="3" t="s">
        <v>38</v>
      </c>
      <c r="C484" s="3" t="s">
        <v>19</v>
      </c>
      <c r="D484" s="3" t="s">
        <v>31</v>
      </c>
      <c r="E484" s="3">
        <v>14</v>
      </c>
      <c r="F484" s="5">
        <f t="shared" si="7"/>
        <v>35</v>
      </c>
    </row>
    <row r="485" spans="1:6" x14ac:dyDescent="0.25">
      <c r="A485" s="4">
        <v>42095</v>
      </c>
      <c r="B485" s="3" t="s">
        <v>38</v>
      </c>
      <c r="C485" s="3" t="s">
        <v>6</v>
      </c>
      <c r="D485" s="3" t="s">
        <v>27</v>
      </c>
      <c r="E485" s="3">
        <v>50</v>
      </c>
      <c r="F485" s="5">
        <f t="shared" si="7"/>
        <v>25</v>
      </c>
    </row>
    <row r="486" spans="1:6" x14ac:dyDescent="0.25">
      <c r="A486" s="4">
        <v>42028</v>
      </c>
      <c r="B486" s="3" t="s">
        <v>29</v>
      </c>
      <c r="C486" s="3" t="s">
        <v>6</v>
      </c>
      <c r="D486" s="3" t="s">
        <v>36</v>
      </c>
      <c r="E486" s="3">
        <v>22</v>
      </c>
      <c r="F486" s="5">
        <f t="shared" si="7"/>
        <v>33</v>
      </c>
    </row>
    <row r="487" spans="1:6" x14ac:dyDescent="0.25">
      <c r="A487" s="4">
        <v>42091</v>
      </c>
      <c r="B487" s="3" t="s">
        <v>38</v>
      </c>
      <c r="C487" s="3" t="s">
        <v>19</v>
      </c>
      <c r="D487" s="3" t="s">
        <v>33</v>
      </c>
      <c r="E487" s="3">
        <v>46</v>
      </c>
      <c r="F487" s="5">
        <f t="shared" si="7"/>
        <v>230</v>
      </c>
    </row>
    <row r="488" spans="1:6" x14ac:dyDescent="0.25">
      <c r="A488" s="4">
        <v>42063</v>
      </c>
      <c r="B488" s="3" t="s">
        <v>37</v>
      </c>
      <c r="C488" s="3" t="s">
        <v>10</v>
      </c>
      <c r="D488" s="3" t="s">
        <v>30</v>
      </c>
      <c r="E488" s="3">
        <v>19</v>
      </c>
      <c r="F488" s="5">
        <f t="shared" si="7"/>
        <v>1.9000000000000001</v>
      </c>
    </row>
    <row r="489" spans="1:6" x14ac:dyDescent="0.25">
      <c r="A489" s="4">
        <v>42093</v>
      </c>
      <c r="B489" s="3" t="s">
        <v>37</v>
      </c>
      <c r="C489" s="3" t="s">
        <v>6</v>
      </c>
      <c r="D489" s="3" t="s">
        <v>36</v>
      </c>
      <c r="E489" s="3">
        <v>23</v>
      </c>
      <c r="F489" s="5">
        <f t="shared" si="7"/>
        <v>34.5</v>
      </c>
    </row>
    <row r="490" spans="1:6" x14ac:dyDescent="0.25">
      <c r="A490" s="4">
        <v>42060</v>
      </c>
      <c r="B490" s="3" t="s">
        <v>29</v>
      </c>
      <c r="C490" s="3" t="s">
        <v>5</v>
      </c>
      <c r="D490" s="3" t="s">
        <v>30</v>
      </c>
      <c r="E490" s="3">
        <v>49</v>
      </c>
      <c r="F490" s="5">
        <f t="shared" si="7"/>
        <v>4.9000000000000004</v>
      </c>
    </row>
    <row r="491" spans="1:6" x14ac:dyDescent="0.25">
      <c r="A491" s="4">
        <v>42030</v>
      </c>
      <c r="B491" s="3" t="s">
        <v>37</v>
      </c>
      <c r="C491" s="3" t="s">
        <v>10</v>
      </c>
      <c r="D491" s="3" t="s">
        <v>27</v>
      </c>
      <c r="E491" s="3">
        <v>9</v>
      </c>
      <c r="F491" s="5">
        <f t="shared" si="7"/>
        <v>4.5</v>
      </c>
    </row>
    <row r="492" spans="1:6" x14ac:dyDescent="0.25">
      <c r="A492" s="4">
        <v>42076</v>
      </c>
      <c r="B492" s="3" t="s">
        <v>32</v>
      </c>
      <c r="C492" s="3" t="s">
        <v>6</v>
      </c>
      <c r="D492" s="3" t="s">
        <v>27</v>
      </c>
      <c r="E492" s="3">
        <v>49</v>
      </c>
      <c r="F492" s="5">
        <f t="shared" si="7"/>
        <v>24.5</v>
      </c>
    </row>
    <row r="493" spans="1:6" x14ac:dyDescent="0.25">
      <c r="A493" s="4">
        <v>42108</v>
      </c>
      <c r="B493" s="3" t="s">
        <v>38</v>
      </c>
      <c r="C493" s="3" t="s">
        <v>2</v>
      </c>
      <c r="D493" s="3" t="s">
        <v>27</v>
      </c>
      <c r="E493" s="3">
        <v>50</v>
      </c>
      <c r="F493" s="5">
        <f t="shared" si="7"/>
        <v>25</v>
      </c>
    </row>
    <row r="494" spans="1:6" x14ac:dyDescent="0.25">
      <c r="A494" s="4">
        <v>42075</v>
      </c>
      <c r="B494" s="3" t="s">
        <v>39</v>
      </c>
      <c r="C494" s="3" t="s">
        <v>6</v>
      </c>
      <c r="D494" s="3" t="s">
        <v>31</v>
      </c>
      <c r="E494" s="3">
        <v>7</v>
      </c>
      <c r="F494" s="5">
        <f t="shared" si="7"/>
        <v>17.5</v>
      </c>
    </row>
    <row r="495" spans="1:6" x14ac:dyDescent="0.25">
      <c r="A495" s="4">
        <v>42115</v>
      </c>
      <c r="B495" s="3" t="s">
        <v>26</v>
      </c>
      <c r="C495" s="3" t="s">
        <v>10</v>
      </c>
      <c r="D495" s="3" t="s">
        <v>28</v>
      </c>
      <c r="E495" s="3">
        <v>48</v>
      </c>
      <c r="F495" s="5">
        <f t="shared" si="7"/>
        <v>96</v>
      </c>
    </row>
    <row r="496" spans="1:6" x14ac:dyDescent="0.25">
      <c r="A496" s="4">
        <v>42135</v>
      </c>
      <c r="B496" s="3" t="s">
        <v>38</v>
      </c>
      <c r="C496" s="3" t="s">
        <v>6</v>
      </c>
      <c r="D496" s="3" t="s">
        <v>36</v>
      </c>
      <c r="E496" s="3">
        <v>18</v>
      </c>
      <c r="F496" s="5">
        <f t="shared" si="7"/>
        <v>27</v>
      </c>
    </row>
    <row r="497" spans="1:6" x14ac:dyDescent="0.25">
      <c r="A497" s="4">
        <v>42051</v>
      </c>
      <c r="B497" s="3" t="s">
        <v>26</v>
      </c>
      <c r="C497" s="3" t="s">
        <v>10</v>
      </c>
      <c r="D497" s="3" t="s">
        <v>27</v>
      </c>
      <c r="E497" s="3">
        <v>35</v>
      </c>
      <c r="F497" s="5">
        <f t="shared" si="7"/>
        <v>17.5</v>
      </c>
    </row>
    <row r="498" spans="1:6" x14ac:dyDescent="0.25">
      <c r="A498" s="4">
        <v>42057</v>
      </c>
      <c r="B498" s="3" t="s">
        <v>38</v>
      </c>
      <c r="C498" s="3" t="s">
        <v>6</v>
      </c>
      <c r="D498" s="3" t="s">
        <v>28</v>
      </c>
      <c r="E498" s="3">
        <v>41</v>
      </c>
      <c r="F498" s="5">
        <f t="shared" si="7"/>
        <v>82</v>
      </c>
    </row>
    <row r="499" spans="1:6" x14ac:dyDescent="0.25">
      <c r="A499" s="4">
        <v>42024</v>
      </c>
      <c r="B499" s="3" t="s">
        <v>32</v>
      </c>
      <c r="C499" s="3" t="s">
        <v>5</v>
      </c>
      <c r="D499" s="3" t="s">
        <v>33</v>
      </c>
      <c r="E499" s="3">
        <v>38</v>
      </c>
      <c r="F499" s="5">
        <f t="shared" si="7"/>
        <v>190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>
    <tabColor rgb="FF2EA3F2"/>
  </sheetPr>
  <dimension ref="A1:S22"/>
  <sheetViews>
    <sheetView zoomScale="115" zoomScaleNormal="115" workbookViewId="0">
      <selection activeCell="B15" sqref="B15"/>
    </sheetView>
  </sheetViews>
  <sheetFormatPr defaultColWidth="8.85546875" defaultRowHeight="14.25" x14ac:dyDescent="0.25"/>
  <cols>
    <col min="1" max="1" width="25.85546875" style="2" customWidth="1"/>
    <col min="2" max="2" width="6.7109375" style="2" customWidth="1"/>
    <col min="3" max="3" width="4.7109375" style="2" customWidth="1"/>
    <col min="4" max="4" width="17" style="2" bestFit="1" customWidth="1"/>
    <col min="5" max="5" width="4.28515625" style="2" customWidth="1"/>
    <col min="6" max="6" width="25.85546875" style="2" bestFit="1" customWidth="1"/>
    <col min="7" max="8" width="8.85546875" style="2"/>
    <col min="9" max="9" width="14.5703125" style="2" bestFit="1" customWidth="1"/>
    <col min="10" max="10" width="8.85546875" style="2"/>
    <col min="11" max="11" width="10.7109375" style="2" bestFit="1" customWidth="1"/>
    <col min="12" max="12" width="23.5703125" style="2" bestFit="1" customWidth="1"/>
    <col min="13" max="14" width="8.85546875" style="2"/>
    <col min="15" max="15" width="12.7109375" style="2" bestFit="1" customWidth="1"/>
    <col min="16" max="17" width="8.85546875" style="2"/>
    <col min="18" max="18" width="13.7109375" style="2" bestFit="1" customWidth="1"/>
    <col min="19" max="16384" width="8.85546875" style="2"/>
  </cols>
  <sheetData>
    <row r="1" spans="1:19" x14ac:dyDescent="0.25">
      <c r="A1" s="1" t="s">
        <v>63</v>
      </c>
      <c r="B1" s="1"/>
      <c r="C1" s="1"/>
      <c r="D1" s="1"/>
      <c r="F1" s="11" t="s">
        <v>7</v>
      </c>
      <c r="G1" s="11" t="s">
        <v>44</v>
      </c>
      <c r="L1" s="11" t="s">
        <v>7</v>
      </c>
      <c r="M1" s="11" t="s">
        <v>44</v>
      </c>
      <c r="O1" s="11" t="s">
        <v>7</v>
      </c>
      <c r="P1" s="11" t="s">
        <v>44</v>
      </c>
      <c r="R1" s="11" t="s">
        <v>7</v>
      </c>
      <c r="S1" s="11" t="s">
        <v>44</v>
      </c>
    </row>
    <row r="2" spans="1:19" x14ac:dyDescent="0.25">
      <c r="A2" s="2" t="s">
        <v>64</v>
      </c>
      <c r="F2" s="10" t="s">
        <v>56</v>
      </c>
      <c r="G2" s="5">
        <v>2.5</v>
      </c>
      <c r="I2" s="11" t="s">
        <v>7</v>
      </c>
      <c r="J2" s="11" t="s">
        <v>44</v>
      </c>
      <c r="L2" s="10" t="s">
        <v>56</v>
      </c>
      <c r="M2" s="5">
        <v>2.5</v>
      </c>
      <c r="O2" s="10" t="s">
        <v>53</v>
      </c>
      <c r="P2" s="5">
        <v>3</v>
      </c>
      <c r="R2" s="10" t="s">
        <v>53</v>
      </c>
      <c r="S2" s="5">
        <v>3</v>
      </c>
    </row>
    <row r="3" spans="1:19" x14ac:dyDescent="0.25">
      <c r="A3" s="2" t="s">
        <v>65</v>
      </c>
      <c r="F3" s="10" t="s">
        <v>70</v>
      </c>
      <c r="G3" s="5">
        <v>3.5</v>
      </c>
      <c r="I3" s="10" t="s">
        <v>58</v>
      </c>
      <c r="J3" s="5">
        <v>3.3</v>
      </c>
      <c r="L3" s="10" t="s">
        <v>57</v>
      </c>
      <c r="M3" s="5">
        <v>2.2000000000000002</v>
      </c>
      <c r="O3" s="10" t="s">
        <v>54</v>
      </c>
      <c r="P3" s="5">
        <v>2.8</v>
      </c>
      <c r="R3" s="10" t="s">
        <v>54</v>
      </c>
      <c r="S3" s="5">
        <v>2.8</v>
      </c>
    </row>
    <row r="4" spans="1:19" x14ac:dyDescent="0.25">
      <c r="F4" s="10" t="s">
        <v>58</v>
      </c>
      <c r="G4" s="5">
        <v>3.3</v>
      </c>
      <c r="L4" s="10" t="s">
        <v>76</v>
      </c>
      <c r="M4" s="5">
        <v>3</v>
      </c>
      <c r="R4" s="10" t="s">
        <v>55</v>
      </c>
      <c r="S4" s="5">
        <v>2.7</v>
      </c>
    </row>
    <row r="5" spans="1:19" x14ac:dyDescent="0.25">
      <c r="D5" s="9" t="s">
        <v>66</v>
      </c>
      <c r="F5" s="10" t="s">
        <v>69</v>
      </c>
      <c r="G5" s="5">
        <v>4.5</v>
      </c>
      <c r="L5" s="10" t="s">
        <v>62</v>
      </c>
      <c r="M5" s="5">
        <v>5</v>
      </c>
    </row>
    <row r="6" spans="1:19" x14ac:dyDescent="0.25">
      <c r="A6" s="11" t="s">
        <v>7</v>
      </c>
      <c r="B6" s="11" t="s">
        <v>44</v>
      </c>
      <c r="D6" s="11" t="s">
        <v>7</v>
      </c>
    </row>
    <row r="7" spans="1:19" x14ac:dyDescent="0.25">
      <c r="A7" s="10" t="s">
        <v>56</v>
      </c>
      <c r="B7" s="5">
        <v>2.5</v>
      </c>
      <c r="D7" s="3" t="s">
        <v>68</v>
      </c>
    </row>
    <row r="8" spans="1:19" x14ac:dyDescent="0.25">
      <c r="A8" s="10" t="s">
        <v>57</v>
      </c>
      <c r="B8" s="5">
        <v>2.2000000000000002</v>
      </c>
    </row>
    <row r="9" spans="1:19" x14ac:dyDescent="0.25">
      <c r="A9" s="10" t="s">
        <v>76</v>
      </c>
      <c r="B9" s="5">
        <v>3</v>
      </c>
      <c r="D9" s="11" t="s">
        <v>7</v>
      </c>
    </row>
    <row r="10" spans="1:19" x14ac:dyDescent="0.25">
      <c r="A10" s="10" t="s">
        <v>62</v>
      </c>
      <c r="B10" s="5">
        <v>5</v>
      </c>
      <c r="D10" s="7" t="s">
        <v>71</v>
      </c>
      <c r="F10" s="11" t="s">
        <v>7</v>
      </c>
      <c r="G10" s="11" t="s">
        <v>44</v>
      </c>
    </row>
    <row r="11" spans="1:19" x14ac:dyDescent="0.25">
      <c r="A11" s="10" t="s">
        <v>53</v>
      </c>
      <c r="B11" s="5">
        <v>3</v>
      </c>
      <c r="F11" s="10" t="s">
        <v>53</v>
      </c>
      <c r="G11" s="5">
        <v>3</v>
      </c>
    </row>
    <row r="12" spans="1:19" x14ac:dyDescent="0.25">
      <c r="A12" s="10" t="s">
        <v>54</v>
      </c>
      <c r="B12" s="5">
        <v>2.8</v>
      </c>
      <c r="D12" s="11" t="s">
        <v>7</v>
      </c>
      <c r="F12" s="10" t="s">
        <v>54</v>
      </c>
      <c r="G12" s="5">
        <v>2.8</v>
      </c>
    </row>
    <row r="13" spans="1:19" x14ac:dyDescent="0.25">
      <c r="A13" s="10" t="s">
        <v>55</v>
      </c>
      <c r="B13" s="5">
        <v>2.7</v>
      </c>
      <c r="D13" s="3" t="s">
        <v>59</v>
      </c>
      <c r="F13" s="10" t="s">
        <v>55</v>
      </c>
      <c r="G13" s="5">
        <v>2.7</v>
      </c>
    </row>
    <row r="14" spans="1:19" x14ac:dyDescent="0.25">
      <c r="A14" s="10" t="s">
        <v>60</v>
      </c>
      <c r="B14" s="5">
        <v>2.5</v>
      </c>
      <c r="F14" s="10" t="s">
        <v>60</v>
      </c>
      <c r="G14" s="5">
        <v>2.5</v>
      </c>
    </row>
    <row r="15" spans="1:19" x14ac:dyDescent="0.25">
      <c r="A15" s="10" t="s">
        <v>61</v>
      </c>
      <c r="B15" s="5">
        <v>2.4</v>
      </c>
      <c r="D15" s="11" t="s">
        <v>7</v>
      </c>
      <c r="F15" s="10" t="s">
        <v>61</v>
      </c>
      <c r="G15" s="5">
        <v>2.4</v>
      </c>
    </row>
    <row r="16" spans="1:19" x14ac:dyDescent="0.25">
      <c r="A16" s="10" t="s">
        <v>70</v>
      </c>
      <c r="B16" s="5">
        <v>3.5</v>
      </c>
      <c r="D16" s="10" t="s">
        <v>67</v>
      </c>
    </row>
    <row r="17" spans="1:4" x14ac:dyDescent="0.25">
      <c r="A17" s="10" t="s">
        <v>58</v>
      </c>
      <c r="B17" s="5">
        <v>3.3</v>
      </c>
    </row>
    <row r="18" spans="1:4" x14ac:dyDescent="0.25">
      <c r="A18" s="10" t="s">
        <v>69</v>
      </c>
      <c r="B18" s="5">
        <v>4.5</v>
      </c>
      <c r="D18" s="11" t="s">
        <v>7</v>
      </c>
    </row>
    <row r="19" spans="1:4" x14ac:dyDescent="0.25">
      <c r="A19" s="10" t="s">
        <v>75</v>
      </c>
      <c r="B19" s="5">
        <v>2.5</v>
      </c>
      <c r="D19" s="10" t="s">
        <v>77</v>
      </c>
    </row>
    <row r="21" spans="1:4" x14ac:dyDescent="0.25">
      <c r="D21" s="11" t="s">
        <v>7</v>
      </c>
    </row>
    <row r="22" spans="1:4" x14ac:dyDescent="0.25">
      <c r="D22" s="10" t="s">
        <v>121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 filterMode="1">
    <tabColor rgb="FF2EA3F2"/>
  </sheetPr>
  <dimension ref="A1:N499"/>
  <sheetViews>
    <sheetView zoomScale="115" zoomScaleNormal="115" workbookViewId="0">
      <selection activeCell="G19" sqref="G19"/>
    </sheetView>
  </sheetViews>
  <sheetFormatPr defaultColWidth="8.85546875" defaultRowHeight="14.25" x14ac:dyDescent="0.25"/>
  <cols>
    <col min="1" max="1" width="10.42578125" style="2" bestFit="1" customWidth="1"/>
    <col min="2" max="2" width="12" style="2" customWidth="1"/>
    <col min="3" max="3" width="14.28515625" style="2" bestFit="1" customWidth="1"/>
    <col min="4" max="4" width="10.7109375" style="2" bestFit="1" customWidth="1"/>
    <col min="5" max="6" width="9.85546875" style="2" bestFit="1" customWidth="1"/>
    <col min="7" max="7" width="10.42578125" style="2" bestFit="1" customWidth="1"/>
    <col min="8" max="10" width="8.85546875" style="2"/>
    <col min="11" max="11" width="10.28515625" style="2" bestFit="1" customWidth="1"/>
    <col min="12" max="15" width="8.85546875" style="2"/>
    <col min="16" max="16" width="9.85546875" style="2" bestFit="1" customWidth="1"/>
    <col min="17" max="21" width="8.85546875" style="2"/>
    <col min="22" max="22" width="10.7109375" style="2" bestFit="1" customWidth="1"/>
    <col min="23" max="16384" width="8.85546875" style="2"/>
  </cols>
  <sheetData>
    <row r="1" spans="1:14" x14ac:dyDescent="0.25">
      <c r="A1" s="1" t="s">
        <v>51</v>
      </c>
      <c r="B1" s="1"/>
      <c r="C1" s="1"/>
      <c r="D1" s="1"/>
      <c r="E1" s="1"/>
      <c r="F1" s="1"/>
      <c r="I1" s="11" t="s">
        <v>0</v>
      </c>
      <c r="J1" s="11" t="s">
        <v>3</v>
      </c>
      <c r="K1" s="11" t="s">
        <v>1</v>
      </c>
      <c r="L1" s="11" t="s">
        <v>7</v>
      </c>
      <c r="M1" s="11" t="s">
        <v>49</v>
      </c>
      <c r="N1" s="11" t="s">
        <v>44</v>
      </c>
    </row>
    <row r="2" spans="1:14" x14ac:dyDescent="0.25">
      <c r="A2" s="11"/>
      <c r="B2" s="11"/>
      <c r="C2" s="11"/>
      <c r="D2" s="11"/>
      <c r="E2" s="11"/>
      <c r="F2" s="11" t="s">
        <v>4</v>
      </c>
    </row>
    <row r="3" spans="1:14" x14ac:dyDescent="0.25">
      <c r="A3" s="3"/>
      <c r="B3" s="3"/>
      <c r="C3" s="3"/>
      <c r="D3" s="7"/>
      <c r="E3" s="3"/>
      <c r="F3" s="5" t="s">
        <v>50</v>
      </c>
    </row>
    <row r="5" spans="1:14" x14ac:dyDescent="0.25">
      <c r="A5" s="11" t="s">
        <v>0</v>
      </c>
      <c r="B5" s="11" t="s">
        <v>3</v>
      </c>
      <c r="C5" s="11" t="s">
        <v>1</v>
      </c>
      <c r="D5" s="11" t="s">
        <v>7</v>
      </c>
      <c r="E5" s="11" t="s">
        <v>49</v>
      </c>
      <c r="F5" s="11" t="s">
        <v>44</v>
      </c>
      <c r="G5" s="11" t="s">
        <v>4</v>
      </c>
    </row>
    <row r="6" spans="1:14" hidden="1" x14ac:dyDescent="0.25">
      <c r="A6" s="4">
        <v>42067</v>
      </c>
      <c r="B6" s="3" t="s">
        <v>29</v>
      </c>
      <c r="C6" s="3" t="s">
        <v>5</v>
      </c>
      <c r="D6" s="3" t="s">
        <v>27</v>
      </c>
      <c r="E6" s="3">
        <v>13</v>
      </c>
      <c r="F6" s="5">
        <v>0.5</v>
      </c>
      <c r="G6" s="8">
        <f>E6*F6</f>
        <v>6.5</v>
      </c>
    </row>
    <row r="7" spans="1:14" hidden="1" x14ac:dyDescent="0.25">
      <c r="A7" s="4">
        <v>42074</v>
      </c>
      <c r="B7" s="3" t="s">
        <v>32</v>
      </c>
      <c r="C7" s="3" t="s">
        <v>5</v>
      </c>
      <c r="D7" s="3" t="s">
        <v>34</v>
      </c>
      <c r="E7" s="3">
        <v>12</v>
      </c>
      <c r="F7" s="5">
        <v>0.2</v>
      </c>
      <c r="G7" s="8">
        <f t="shared" ref="G7:G70" si="0">E7*F7</f>
        <v>2.4000000000000004</v>
      </c>
    </row>
    <row r="8" spans="1:14" hidden="1" x14ac:dyDescent="0.25">
      <c r="A8" s="4">
        <v>42177</v>
      </c>
      <c r="B8" s="3" t="s">
        <v>26</v>
      </c>
      <c r="C8" s="3" t="s">
        <v>10</v>
      </c>
      <c r="D8" s="3" t="s">
        <v>27</v>
      </c>
      <c r="E8" s="3">
        <v>29</v>
      </c>
      <c r="F8" s="5">
        <v>0.5</v>
      </c>
      <c r="G8" s="8">
        <f t="shared" si="0"/>
        <v>14.5</v>
      </c>
    </row>
    <row r="9" spans="1:14" hidden="1" x14ac:dyDescent="0.25">
      <c r="A9" s="4">
        <v>42103</v>
      </c>
      <c r="B9" s="3" t="s">
        <v>38</v>
      </c>
      <c r="C9" s="3" t="s">
        <v>2</v>
      </c>
      <c r="D9" s="3" t="s">
        <v>27</v>
      </c>
      <c r="E9" s="3">
        <v>33</v>
      </c>
      <c r="F9" s="5">
        <v>0.5</v>
      </c>
      <c r="G9" s="8">
        <f t="shared" si="0"/>
        <v>16.5</v>
      </c>
    </row>
    <row r="10" spans="1:14" hidden="1" x14ac:dyDescent="0.25">
      <c r="A10" s="4">
        <v>42007</v>
      </c>
      <c r="B10" s="3" t="s">
        <v>37</v>
      </c>
      <c r="C10" s="3" t="s">
        <v>19</v>
      </c>
      <c r="D10" s="3" t="s">
        <v>30</v>
      </c>
      <c r="E10" s="3">
        <v>41</v>
      </c>
      <c r="F10" s="5">
        <v>0.1</v>
      </c>
      <c r="G10" s="8">
        <f t="shared" si="0"/>
        <v>4.1000000000000005</v>
      </c>
    </row>
    <row r="11" spans="1:14" x14ac:dyDescent="0.25">
      <c r="A11" s="4">
        <v>42012</v>
      </c>
      <c r="B11" s="3" t="s">
        <v>29</v>
      </c>
      <c r="C11" s="3" t="s">
        <v>2</v>
      </c>
      <c r="D11" s="3" t="s">
        <v>35</v>
      </c>
      <c r="E11" s="3">
        <v>32</v>
      </c>
      <c r="F11" s="5">
        <v>4</v>
      </c>
      <c r="G11" s="8">
        <f t="shared" si="0"/>
        <v>128</v>
      </c>
    </row>
    <row r="12" spans="1:14" x14ac:dyDescent="0.25">
      <c r="A12" s="4">
        <v>42051</v>
      </c>
      <c r="B12" s="3" t="s">
        <v>38</v>
      </c>
      <c r="C12" s="3" t="s">
        <v>10</v>
      </c>
      <c r="D12" s="3" t="s">
        <v>33</v>
      </c>
      <c r="E12" s="3">
        <v>34</v>
      </c>
      <c r="F12" s="5">
        <v>5</v>
      </c>
      <c r="G12" s="8">
        <f t="shared" si="0"/>
        <v>170</v>
      </c>
    </row>
    <row r="13" spans="1:14" hidden="1" x14ac:dyDescent="0.25">
      <c r="A13" s="4">
        <v>42163</v>
      </c>
      <c r="B13" s="3" t="s">
        <v>26</v>
      </c>
      <c r="C13" s="3" t="s">
        <v>6</v>
      </c>
      <c r="D13" s="3" t="s">
        <v>35</v>
      </c>
      <c r="E13" s="3">
        <v>12</v>
      </c>
      <c r="F13" s="5">
        <v>4</v>
      </c>
      <c r="G13" s="8">
        <f t="shared" si="0"/>
        <v>48</v>
      </c>
    </row>
    <row r="14" spans="1:14" hidden="1" x14ac:dyDescent="0.25">
      <c r="A14" s="4">
        <v>42118</v>
      </c>
      <c r="B14" s="3" t="s">
        <v>38</v>
      </c>
      <c r="C14" s="3" t="s">
        <v>19</v>
      </c>
      <c r="D14" s="3" t="s">
        <v>27</v>
      </c>
      <c r="E14" s="3">
        <v>20</v>
      </c>
      <c r="F14" s="5">
        <v>0.5</v>
      </c>
      <c r="G14" s="8">
        <f t="shared" si="0"/>
        <v>10</v>
      </c>
    </row>
    <row r="15" spans="1:14" hidden="1" x14ac:dyDescent="0.25">
      <c r="A15" s="4">
        <v>42071</v>
      </c>
      <c r="B15" s="3" t="s">
        <v>38</v>
      </c>
      <c r="C15" s="3" t="s">
        <v>2</v>
      </c>
      <c r="D15" s="3" t="s">
        <v>27</v>
      </c>
      <c r="E15" s="3">
        <v>15</v>
      </c>
      <c r="F15" s="5">
        <v>0.5</v>
      </c>
      <c r="G15" s="8">
        <f t="shared" si="0"/>
        <v>7.5</v>
      </c>
    </row>
    <row r="16" spans="1:14" hidden="1" x14ac:dyDescent="0.25">
      <c r="A16" s="4">
        <v>42134</v>
      </c>
      <c r="B16" s="3" t="s">
        <v>39</v>
      </c>
      <c r="C16" s="3" t="s">
        <v>5</v>
      </c>
      <c r="D16" s="3" t="s">
        <v>27</v>
      </c>
      <c r="E16" s="3">
        <v>35</v>
      </c>
      <c r="F16" s="5">
        <v>0.5</v>
      </c>
      <c r="G16" s="8">
        <f t="shared" si="0"/>
        <v>17.5</v>
      </c>
    </row>
    <row r="17" spans="1:7" x14ac:dyDescent="0.25">
      <c r="A17" s="4">
        <v>42063</v>
      </c>
      <c r="B17" s="3" t="s">
        <v>32</v>
      </c>
      <c r="C17" s="3" t="s">
        <v>5</v>
      </c>
      <c r="D17" s="3" t="s">
        <v>33</v>
      </c>
      <c r="E17" s="3">
        <v>21</v>
      </c>
      <c r="F17" s="5">
        <v>5</v>
      </c>
      <c r="G17" s="8">
        <f t="shared" si="0"/>
        <v>105</v>
      </c>
    </row>
    <row r="18" spans="1:7" hidden="1" x14ac:dyDescent="0.25">
      <c r="A18" s="4">
        <v>42012</v>
      </c>
      <c r="B18" s="3" t="s">
        <v>38</v>
      </c>
      <c r="C18" s="3" t="s">
        <v>5</v>
      </c>
      <c r="D18" s="3" t="s">
        <v>31</v>
      </c>
      <c r="E18" s="3">
        <v>40</v>
      </c>
      <c r="F18" s="5">
        <v>2.5</v>
      </c>
      <c r="G18" s="8">
        <f t="shared" si="0"/>
        <v>100</v>
      </c>
    </row>
    <row r="19" spans="1:7" hidden="1" x14ac:dyDescent="0.25">
      <c r="A19" s="4">
        <v>42097</v>
      </c>
      <c r="B19" s="3" t="s">
        <v>26</v>
      </c>
      <c r="C19" s="3" t="s">
        <v>10</v>
      </c>
      <c r="D19" s="3" t="s">
        <v>28</v>
      </c>
      <c r="E19" s="3">
        <v>3</v>
      </c>
      <c r="F19" s="5">
        <v>2</v>
      </c>
      <c r="G19" s="8">
        <f t="shared" si="0"/>
        <v>6</v>
      </c>
    </row>
    <row r="20" spans="1:7" hidden="1" x14ac:dyDescent="0.25">
      <c r="A20" s="4">
        <v>42058</v>
      </c>
      <c r="B20" s="3" t="s">
        <v>39</v>
      </c>
      <c r="C20" s="3" t="s">
        <v>2</v>
      </c>
      <c r="D20" s="3" t="s">
        <v>27</v>
      </c>
      <c r="E20" s="3">
        <v>25</v>
      </c>
      <c r="F20" s="5">
        <v>0.5</v>
      </c>
      <c r="G20" s="8">
        <f t="shared" si="0"/>
        <v>12.5</v>
      </c>
    </row>
    <row r="21" spans="1:7" hidden="1" x14ac:dyDescent="0.25">
      <c r="A21" s="4">
        <v>42018</v>
      </c>
      <c r="B21" s="3" t="s">
        <v>38</v>
      </c>
      <c r="C21" s="3" t="s">
        <v>2</v>
      </c>
      <c r="D21" s="3" t="s">
        <v>34</v>
      </c>
      <c r="E21" s="3">
        <v>11</v>
      </c>
      <c r="F21" s="5">
        <v>0.2</v>
      </c>
      <c r="G21" s="8">
        <f t="shared" si="0"/>
        <v>2.2000000000000002</v>
      </c>
    </row>
    <row r="22" spans="1:7" hidden="1" x14ac:dyDescent="0.25">
      <c r="A22" s="4">
        <v>42085</v>
      </c>
      <c r="B22" s="3" t="s">
        <v>37</v>
      </c>
      <c r="C22" s="3" t="s">
        <v>6</v>
      </c>
      <c r="D22" s="3" t="s">
        <v>33</v>
      </c>
      <c r="E22" s="3">
        <v>9</v>
      </c>
      <c r="F22" s="5">
        <v>5</v>
      </c>
      <c r="G22" s="8">
        <f t="shared" si="0"/>
        <v>45</v>
      </c>
    </row>
    <row r="23" spans="1:7" x14ac:dyDescent="0.25">
      <c r="A23" s="4">
        <v>42150</v>
      </c>
      <c r="B23" s="3" t="s">
        <v>37</v>
      </c>
      <c r="C23" s="3" t="s">
        <v>6</v>
      </c>
      <c r="D23" s="3" t="s">
        <v>33</v>
      </c>
      <c r="E23" s="3">
        <v>48</v>
      </c>
      <c r="F23" s="5">
        <v>5</v>
      </c>
      <c r="G23" s="8">
        <f t="shared" si="0"/>
        <v>240</v>
      </c>
    </row>
    <row r="24" spans="1:7" hidden="1" x14ac:dyDescent="0.25">
      <c r="A24" s="4">
        <v>42015</v>
      </c>
      <c r="B24" s="3" t="s">
        <v>38</v>
      </c>
      <c r="C24" s="3" t="s">
        <v>5</v>
      </c>
      <c r="D24" s="3" t="s">
        <v>36</v>
      </c>
      <c r="E24" s="3">
        <v>19</v>
      </c>
      <c r="F24" s="5">
        <v>1.5</v>
      </c>
      <c r="G24" s="8">
        <f t="shared" si="0"/>
        <v>28.5</v>
      </c>
    </row>
    <row r="25" spans="1:7" x14ac:dyDescent="0.25">
      <c r="A25" s="4">
        <v>42013</v>
      </c>
      <c r="B25" s="3" t="s">
        <v>39</v>
      </c>
      <c r="C25" s="3" t="s">
        <v>6</v>
      </c>
      <c r="D25" s="3" t="s">
        <v>31</v>
      </c>
      <c r="E25" s="3">
        <v>50</v>
      </c>
      <c r="F25" s="5">
        <v>2.5</v>
      </c>
      <c r="G25" s="8">
        <f t="shared" si="0"/>
        <v>125</v>
      </c>
    </row>
    <row r="26" spans="1:7" x14ac:dyDescent="0.25">
      <c r="A26" s="4">
        <v>42015</v>
      </c>
      <c r="B26" s="3" t="s">
        <v>39</v>
      </c>
      <c r="C26" s="3" t="s">
        <v>2</v>
      </c>
      <c r="D26" s="3" t="s">
        <v>33</v>
      </c>
      <c r="E26" s="3">
        <v>24</v>
      </c>
      <c r="F26" s="5">
        <v>5</v>
      </c>
      <c r="G26" s="8">
        <f t="shared" si="0"/>
        <v>120</v>
      </c>
    </row>
    <row r="27" spans="1:7" hidden="1" x14ac:dyDescent="0.25">
      <c r="A27" s="4">
        <v>42075</v>
      </c>
      <c r="B27" s="3" t="s">
        <v>38</v>
      </c>
      <c r="C27" s="3" t="s">
        <v>19</v>
      </c>
      <c r="D27" s="3" t="s">
        <v>27</v>
      </c>
      <c r="E27" s="3">
        <v>26</v>
      </c>
      <c r="F27" s="5">
        <v>0.5</v>
      </c>
      <c r="G27" s="8">
        <f t="shared" si="0"/>
        <v>13</v>
      </c>
    </row>
    <row r="28" spans="1:7" hidden="1" x14ac:dyDescent="0.25">
      <c r="A28" s="4">
        <v>42080</v>
      </c>
      <c r="B28" s="3" t="s">
        <v>38</v>
      </c>
      <c r="C28" s="3" t="s">
        <v>6</v>
      </c>
      <c r="D28" s="3" t="s">
        <v>27</v>
      </c>
      <c r="E28" s="3">
        <v>11</v>
      </c>
      <c r="F28" s="5">
        <v>0.5</v>
      </c>
      <c r="G28" s="8">
        <f t="shared" si="0"/>
        <v>5.5</v>
      </c>
    </row>
    <row r="29" spans="1:7" hidden="1" x14ac:dyDescent="0.25">
      <c r="A29" s="4">
        <v>42119</v>
      </c>
      <c r="B29" s="3" t="s">
        <v>38</v>
      </c>
      <c r="C29" s="3" t="s">
        <v>5</v>
      </c>
      <c r="D29" s="3" t="s">
        <v>35</v>
      </c>
      <c r="E29" s="3">
        <v>4</v>
      </c>
      <c r="F29" s="5">
        <v>4</v>
      </c>
      <c r="G29" s="8">
        <f t="shared" si="0"/>
        <v>16</v>
      </c>
    </row>
    <row r="30" spans="1:7" hidden="1" x14ac:dyDescent="0.25">
      <c r="A30" s="4">
        <v>42043</v>
      </c>
      <c r="B30" s="3" t="s">
        <v>38</v>
      </c>
      <c r="C30" s="3" t="s">
        <v>2</v>
      </c>
      <c r="D30" s="3" t="s">
        <v>36</v>
      </c>
      <c r="E30" s="3">
        <v>20</v>
      </c>
      <c r="F30" s="5">
        <v>1.5</v>
      </c>
      <c r="G30" s="8">
        <f t="shared" si="0"/>
        <v>30</v>
      </c>
    </row>
    <row r="31" spans="1:7" hidden="1" x14ac:dyDescent="0.25">
      <c r="A31" s="4">
        <v>42057</v>
      </c>
      <c r="B31" s="3" t="s">
        <v>38</v>
      </c>
      <c r="C31" s="3" t="s">
        <v>6</v>
      </c>
      <c r="D31" s="3" t="s">
        <v>30</v>
      </c>
      <c r="E31" s="3">
        <v>24</v>
      </c>
      <c r="F31" s="5">
        <v>0.1</v>
      </c>
      <c r="G31" s="8">
        <f t="shared" si="0"/>
        <v>2.4000000000000004</v>
      </c>
    </row>
    <row r="32" spans="1:7" hidden="1" x14ac:dyDescent="0.25">
      <c r="A32" s="4">
        <v>42053</v>
      </c>
      <c r="B32" s="3" t="s">
        <v>26</v>
      </c>
      <c r="C32" s="3" t="s">
        <v>5</v>
      </c>
      <c r="D32" s="3" t="s">
        <v>31</v>
      </c>
      <c r="E32" s="3">
        <v>31</v>
      </c>
      <c r="F32" s="5">
        <v>2.5</v>
      </c>
      <c r="G32" s="8">
        <f t="shared" si="0"/>
        <v>77.5</v>
      </c>
    </row>
    <row r="33" spans="1:7" x14ac:dyDescent="0.25">
      <c r="A33" s="4">
        <v>42059</v>
      </c>
      <c r="B33" s="3" t="s">
        <v>26</v>
      </c>
      <c r="C33" s="3" t="s">
        <v>6</v>
      </c>
      <c r="D33" s="3" t="s">
        <v>35</v>
      </c>
      <c r="E33" s="3">
        <v>49</v>
      </c>
      <c r="F33" s="5">
        <v>4</v>
      </c>
      <c r="G33" s="8">
        <f t="shared" si="0"/>
        <v>196</v>
      </c>
    </row>
    <row r="34" spans="1:7" hidden="1" x14ac:dyDescent="0.25">
      <c r="A34" s="4">
        <v>42120</v>
      </c>
      <c r="B34" s="3" t="s">
        <v>39</v>
      </c>
      <c r="C34" s="3" t="s">
        <v>10</v>
      </c>
      <c r="D34" s="3" t="s">
        <v>27</v>
      </c>
      <c r="E34" s="3">
        <v>38</v>
      </c>
      <c r="F34" s="5">
        <v>0.5</v>
      </c>
      <c r="G34" s="8">
        <f t="shared" si="0"/>
        <v>19</v>
      </c>
    </row>
    <row r="35" spans="1:7" hidden="1" x14ac:dyDescent="0.25">
      <c r="A35" s="4">
        <v>42026</v>
      </c>
      <c r="B35" s="3" t="s">
        <v>32</v>
      </c>
      <c r="C35" s="3" t="s">
        <v>6</v>
      </c>
      <c r="D35" s="3" t="s">
        <v>27</v>
      </c>
      <c r="E35" s="3">
        <v>31</v>
      </c>
      <c r="F35" s="5">
        <v>0.5</v>
      </c>
      <c r="G35" s="8">
        <f t="shared" si="0"/>
        <v>15.5</v>
      </c>
    </row>
    <row r="36" spans="1:7" hidden="1" x14ac:dyDescent="0.25">
      <c r="A36" s="4">
        <v>42117</v>
      </c>
      <c r="B36" s="3" t="s">
        <v>39</v>
      </c>
      <c r="C36" s="3" t="s">
        <v>10</v>
      </c>
      <c r="D36" s="3" t="s">
        <v>28</v>
      </c>
      <c r="E36" s="3">
        <v>16</v>
      </c>
      <c r="F36" s="5">
        <v>2</v>
      </c>
      <c r="G36" s="8">
        <f t="shared" si="0"/>
        <v>32</v>
      </c>
    </row>
    <row r="37" spans="1:7" x14ac:dyDescent="0.25">
      <c r="A37" s="4">
        <v>42135</v>
      </c>
      <c r="B37" s="3" t="s">
        <v>26</v>
      </c>
      <c r="C37" s="3" t="s">
        <v>5</v>
      </c>
      <c r="D37" s="3" t="s">
        <v>33</v>
      </c>
      <c r="E37" s="3">
        <v>47</v>
      </c>
      <c r="F37" s="5">
        <v>5</v>
      </c>
      <c r="G37" s="8">
        <f t="shared" si="0"/>
        <v>235</v>
      </c>
    </row>
    <row r="38" spans="1:7" hidden="1" x14ac:dyDescent="0.25">
      <c r="A38" s="4">
        <v>42056</v>
      </c>
      <c r="B38" s="3" t="s">
        <v>39</v>
      </c>
      <c r="C38" s="3" t="s">
        <v>5</v>
      </c>
      <c r="D38" s="3" t="s">
        <v>34</v>
      </c>
      <c r="E38" s="3">
        <v>5</v>
      </c>
      <c r="F38" s="5">
        <v>0.2</v>
      </c>
      <c r="G38" s="8">
        <f t="shared" si="0"/>
        <v>1</v>
      </c>
    </row>
    <row r="39" spans="1:7" hidden="1" x14ac:dyDescent="0.25">
      <c r="A39" s="4">
        <v>42171</v>
      </c>
      <c r="B39" s="3" t="s">
        <v>39</v>
      </c>
      <c r="C39" s="3" t="s">
        <v>6</v>
      </c>
      <c r="D39" s="3" t="s">
        <v>35</v>
      </c>
      <c r="E39" s="3">
        <v>11</v>
      </c>
      <c r="F39" s="5">
        <v>4</v>
      </c>
      <c r="G39" s="8">
        <f t="shared" si="0"/>
        <v>44</v>
      </c>
    </row>
    <row r="40" spans="1:7" x14ac:dyDescent="0.25">
      <c r="A40" s="4">
        <v>42174</v>
      </c>
      <c r="B40" s="3" t="s">
        <v>29</v>
      </c>
      <c r="C40" s="3" t="s">
        <v>6</v>
      </c>
      <c r="D40" s="3" t="s">
        <v>33</v>
      </c>
      <c r="E40" s="3">
        <v>21</v>
      </c>
      <c r="F40" s="5">
        <v>5</v>
      </c>
      <c r="G40" s="8">
        <f t="shared" si="0"/>
        <v>105</v>
      </c>
    </row>
    <row r="41" spans="1:7" x14ac:dyDescent="0.25">
      <c r="A41" s="4">
        <v>42167</v>
      </c>
      <c r="B41" s="3" t="s">
        <v>26</v>
      </c>
      <c r="C41" s="3" t="s">
        <v>2</v>
      </c>
      <c r="D41" s="3" t="s">
        <v>35</v>
      </c>
      <c r="E41" s="3">
        <v>49</v>
      </c>
      <c r="F41" s="5">
        <v>4</v>
      </c>
      <c r="G41" s="8">
        <f t="shared" si="0"/>
        <v>196</v>
      </c>
    </row>
    <row r="42" spans="1:7" hidden="1" x14ac:dyDescent="0.25">
      <c r="A42" s="4">
        <v>42066</v>
      </c>
      <c r="B42" s="3" t="s">
        <v>26</v>
      </c>
      <c r="C42" s="3" t="s">
        <v>5</v>
      </c>
      <c r="D42" s="3" t="s">
        <v>28</v>
      </c>
      <c r="E42" s="3">
        <v>44</v>
      </c>
      <c r="F42" s="5">
        <v>2</v>
      </c>
      <c r="G42" s="8">
        <f t="shared" si="0"/>
        <v>88</v>
      </c>
    </row>
    <row r="43" spans="1:7" hidden="1" x14ac:dyDescent="0.25">
      <c r="A43" s="4">
        <v>42040</v>
      </c>
      <c r="B43" s="3" t="s">
        <v>37</v>
      </c>
      <c r="C43" s="3" t="s">
        <v>6</v>
      </c>
      <c r="D43" s="3" t="s">
        <v>36</v>
      </c>
      <c r="E43" s="3">
        <v>27</v>
      </c>
      <c r="F43" s="5">
        <v>1.5</v>
      </c>
      <c r="G43" s="8">
        <f t="shared" si="0"/>
        <v>40.5</v>
      </c>
    </row>
    <row r="44" spans="1:7" hidden="1" x14ac:dyDescent="0.25">
      <c r="A44" s="4">
        <v>42142</v>
      </c>
      <c r="B44" s="3" t="s">
        <v>32</v>
      </c>
      <c r="C44" s="3" t="s">
        <v>6</v>
      </c>
      <c r="D44" s="3" t="s">
        <v>36</v>
      </c>
      <c r="E44" s="3">
        <v>30</v>
      </c>
      <c r="F44" s="5">
        <v>1.5</v>
      </c>
      <c r="G44" s="8">
        <f t="shared" si="0"/>
        <v>45</v>
      </c>
    </row>
    <row r="45" spans="1:7" hidden="1" x14ac:dyDescent="0.25">
      <c r="A45" s="4">
        <v>42172</v>
      </c>
      <c r="B45" s="3" t="s">
        <v>26</v>
      </c>
      <c r="C45" s="3" t="s">
        <v>10</v>
      </c>
      <c r="D45" s="3" t="s">
        <v>36</v>
      </c>
      <c r="E45" s="3">
        <v>31</v>
      </c>
      <c r="F45" s="5">
        <v>1.5</v>
      </c>
      <c r="G45" s="8">
        <f t="shared" si="0"/>
        <v>46.5</v>
      </c>
    </row>
    <row r="46" spans="1:7" hidden="1" x14ac:dyDescent="0.25">
      <c r="A46" s="4">
        <v>42118</v>
      </c>
      <c r="B46" s="3" t="s">
        <v>39</v>
      </c>
      <c r="C46" s="3" t="s">
        <v>6</v>
      </c>
      <c r="D46" s="3" t="s">
        <v>27</v>
      </c>
      <c r="E46" s="3">
        <v>3</v>
      </c>
      <c r="F46" s="5">
        <v>0.5</v>
      </c>
      <c r="G46" s="8">
        <f t="shared" si="0"/>
        <v>1.5</v>
      </c>
    </row>
    <row r="47" spans="1:7" hidden="1" x14ac:dyDescent="0.25">
      <c r="A47" s="4">
        <v>42180</v>
      </c>
      <c r="B47" s="3" t="s">
        <v>38</v>
      </c>
      <c r="C47" s="3" t="s">
        <v>19</v>
      </c>
      <c r="D47" s="3" t="s">
        <v>28</v>
      </c>
      <c r="E47" s="3">
        <v>9</v>
      </c>
      <c r="F47" s="5">
        <v>2</v>
      </c>
      <c r="G47" s="8">
        <f t="shared" si="0"/>
        <v>18</v>
      </c>
    </row>
    <row r="48" spans="1:7" hidden="1" x14ac:dyDescent="0.25">
      <c r="A48" s="4">
        <v>42114</v>
      </c>
      <c r="B48" s="3" t="s">
        <v>26</v>
      </c>
      <c r="C48" s="3" t="s">
        <v>19</v>
      </c>
      <c r="D48" s="3" t="s">
        <v>36</v>
      </c>
      <c r="E48" s="3">
        <v>50</v>
      </c>
      <c r="F48" s="5">
        <v>1.5</v>
      </c>
      <c r="G48" s="8">
        <f t="shared" si="0"/>
        <v>75</v>
      </c>
    </row>
    <row r="49" spans="1:7" x14ac:dyDescent="0.25">
      <c r="A49" s="4">
        <v>42026</v>
      </c>
      <c r="B49" s="3" t="s">
        <v>32</v>
      </c>
      <c r="C49" s="3" t="s">
        <v>2</v>
      </c>
      <c r="D49" s="3" t="s">
        <v>33</v>
      </c>
      <c r="E49" s="3">
        <v>24</v>
      </c>
      <c r="F49" s="5">
        <v>5</v>
      </c>
      <c r="G49" s="8">
        <f t="shared" si="0"/>
        <v>120</v>
      </c>
    </row>
    <row r="50" spans="1:7" hidden="1" x14ac:dyDescent="0.25">
      <c r="A50" s="4">
        <v>42087</v>
      </c>
      <c r="B50" s="3" t="s">
        <v>39</v>
      </c>
      <c r="C50" s="3" t="s">
        <v>2</v>
      </c>
      <c r="D50" s="3" t="s">
        <v>36</v>
      </c>
      <c r="E50" s="3">
        <v>29</v>
      </c>
      <c r="F50" s="5">
        <v>1.5</v>
      </c>
      <c r="G50" s="8">
        <f t="shared" si="0"/>
        <v>43.5</v>
      </c>
    </row>
    <row r="51" spans="1:7" hidden="1" x14ac:dyDescent="0.25">
      <c r="A51" s="4">
        <v>42102</v>
      </c>
      <c r="B51" s="3" t="s">
        <v>26</v>
      </c>
      <c r="C51" s="3" t="s">
        <v>2</v>
      </c>
      <c r="D51" s="3" t="s">
        <v>35</v>
      </c>
      <c r="E51" s="3">
        <v>5</v>
      </c>
      <c r="F51" s="5">
        <v>4</v>
      </c>
      <c r="G51" s="8">
        <f t="shared" si="0"/>
        <v>20</v>
      </c>
    </row>
    <row r="52" spans="1:7" hidden="1" x14ac:dyDescent="0.25">
      <c r="A52" s="4">
        <v>42127</v>
      </c>
      <c r="B52" s="3" t="s">
        <v>37</v>
      </c>
      <c r="C52" s="3" t="s">
        <v>10</v>
      </c>
      <c r="D52" s="3" t="s">
        <v>28</v>
      </c>
      <c r="E52" s="3">
        <v>29</v>
      </c>
      <c r="F52" s="5">
        <v>2</v>
      </c>
      <c r="G52" s="8">
        <f t="shared" si="0"/>
        <v>58</v>
      </c>
    </row>
    <row r="53" spans="1:7" hidden="1" x14ac:dyDescent="0.25">
      <c r="A53" s="4">
        <v>42150</v>
      </c>
      <c r="B53" s="3" t="s">
        <v>32</v>
      </c>
      <c r="C53" s="3" t="s">
        <v>5</v>
      </c>
      <c r="D53" s="3" t="s">
        <v>30</v>
      </c>
      <c r="E53" s="3">
        <v>37</v>
      </c>
      <c r="F53" s="5">
        <v>0.1</v>
      </c>
      <c r="G53" s="8">
        <f t="shared" si="0"/>
        <v>3.7</v>
      </c>
    </row>
    <row r="54" spans="1:7" hidden="1" x14ac:dyDescent="0.25">
      <c r="A54" s="4">
        <v>42070</v>
      </c>
      <c r="B54" s="3" t="s">
        <v>26</v>
      </c>
      <c r="C54" s="3" t="s">
        <v>6</v>
      </c>
      <c r="D54" s="3" t="s">
        <v>27</v>
      </c>
      <c r="E54" s="3">
        <v>44</v>
      </c>
      <c r="F54" s="5">
        <v>0.5</v>
      </c>
      <c r="G54" s="8">
        <f t="shared" si="0"/>
        <v>22</v>
      </c>
    </row>
    <row r="55" spans="1:7" hidden="1" x14ac:dyDescent="0.25">
      <c r="A55" s="4">
        <v>42138</v>
      </c>
      <c r="B55" s="3" t="s">
        <v>29</v>
      </c>
      <c r="C55" s="3" t="s">
        <v>10</v>
      </c>
      <c r="D55" s="3" t="s">
        <v>36</v>
      </c>
      <c r="E55" s="3">
        <v>18</v>
      </c>
      <c r="F55" s="5">
        <v>1.5</v>
      </c>
      <c r="G55" s="8">
        <f t="shared" si="0"/>
        <v>27</v>
      </c>
    </row>
    <row r="56" spans="1:7" hidden="1" x14ac:dyDescent="0.25">
      <c r="A56" s="4">
        <v>42032</v>
      </c>
      <c r="B56" s="3" t="s">
        <v>39</v>
      </c>
      <c r="C56" s="3" t="s">
        <v>2</v>
      </c>
      <c r="D56" s="3" t="s">
        <v>35</v>
      </c>
      <c r="E56" s="3">
        <v>13</v>
      </c>
      <c r="F56" s="5">
        <v>4</v>
      </c>
      <c r="G56" s="8">
        <f t="shared" si="0"/>
        <v>52</v>
      </c>
    </row>
    <row r="57" spans="1:7" hidden="1" x14ac:dyDescent="0.25">
      <c r="A57" s="4">
        <v>42173</v>
      </c>
      <c r="B57" s="3" t="s">
        <v>29</v>
      </c>
      <c r="C57" s="3" t="s">
        <v>10</v>
      </c>
      <c r="D57" s="3" t="s">
        <v>36</v>
      </c>
      <c r="E57" s="3">
        <v>17</v>
      </c>
      <c r="F57" s="5">
        <v>1.5</v>
      </c>
      <c r="G57" s="8">
        <f t="shared" si="0"/>
        <v>25.5</v>
      </c>
    </row>
    <row r="58" spans="1:7" hidden="1" x14ac:dyDescent="0.25">
      <c r="A58" s="4">
        <v>42019</v>
      </c>
      <c r="B58" s="3" t="s">
        <v>39</v>
      </c>
      <c r="C58" s="3" t="s">
        <v>2</v>
      </c>
      <c r="D58" s="3" t="s">
        <v>36</v>
      </c>
      <c r="E58" s="3">
        <v>45</v>
      </c>
      <c r="F58" s="5">
        <v>1.5</v>
      </c>
      <c r="G58" s="8">
        <f t="shared" si="0"/>
        <v>67.5</v>
      </c>
    </row>
    <row r="59" spans="1:7" x14ac:dyDescent="0.25">
      <c r="A59" s="4">
        <v>42047</v>
      </c>
      <c r="B59" s="3" t="s">
        <v>37</v>
      </c>
      <c r="C59" s="3" t="s">
        <v>2</v>
      </c>
      <c r="D59" s="3" t="s">
        <v>33</v>
      </c>
      <c r="E59" s="3">
        <v>29</v>
      </c>
      <c r="F59" s="5">
        <v>5</v>
      </c>
      <c r="G59" s="8">
        <f t="shared" si="0"/>
        <v>145</v>
      </c>
    </row>
    <row r="60" spans="1:7" hidden="1" x14ac:dyDescent="0.25">
      <c r="A60" s="4">
        <v>42017</v>
      </c>
      <c r="B60" s="3" t="s">
        <v>38</v>
      </c>
      <c r="C60" s="3" t="s">
        <v>2</v>
      </c>
      <c r="D60" s="3" t="s">
        <v>36</v>
      </c>
      <c r="E60" s="3">
        <v>11</v>
      </c>
      <c r="F60" s="5">
        <v>1.5</v>
      </c>
      <c r="G60" s="8">
        <f t="shared" si="0"/>
        <v>16.5</v>
      </c>
    </row>
    <row r="61" spans="1:7" hidden="1" x14ac:dyDescent="0.25">
      <c r="A61" s="4">
        <v>42043</v>
      </c>
      <c r="B61" s="3" t="s">
        <v>38</v>
      </c>
      <c r="C61" s="3" t="s">
        <v>10</v>
      </c>
      <c r="D61" s="3" t="s">
        <v>36</v>
      </c>
      <c r="E61" s="3">
        <v>4</v>
      </c>
      <c r="F61" s="5">
        <v>1.5</v>
      </c>
      <c r="G61" s="8">
        <f t="shared" si="0"/>
        <v>6</v>
      </c>
    </row>
    <row r="62" spans="1:7" hidden="1" x14ac:dyDescent="0.25">
      <c r="A62" s="4">
        <v>42160</v>
      </c>
      <c r="B62" s="3" t="s">
        <v>32</v>
      </c>
      <c r="C62" s="3" t="s">
        <v>6</v>
      </c>
      <c r="D62" s="3" t="s">
        <v>31</v>
      </c>
      <c r="E62" s="3">
        <v>10</v>
      </c>
      <c r="F62" s="5">
        <v>2.5</v>
      </c>
      <c r="G62" s="8">
        <f t="shared" si="0"/>
        <v>25</v>
      </c>
    </row>
    <row r="63" spans="1:7" hidden="1" x14ac:dyDescent="0.25">
      <c r="A63" s="4">
        <v>42018</v>
      </c>
      <c r="B63" s="3" t="s">
        <v>29</v>
      </c>
      <c r="C63" s="3" t="s">
        <v>10</v>
      </c>
      <c r="D63" s="3" t="s">
        <v>33</v>
      </c>
      <c r="E63" s="3">
        <v>15</v>
      </c>
      <c r="F63" s="5">
        <v>5</v>
      </c>
      <c r="G63" s="8">
        <f t="shared" si="0"/>
        <v>75</v>
      </c>
    </row>
    <row r="64" spans="1:7" hidden="1" x14ac:dyDescent="0.25">
      <c r="A64" s="4">
        <v>42076</v>
      </c>
      <c r="B64" s="3" t="s">
        <v>32</v>
      </c>
      <c r="C64" s="3" t="s">
        <v>2</v>
      </c>
      <c r="D64" s="3" t="s">
        <v>28</v>
      </c>
      <c r="E64" s="3">
        <v>29</v>
      </c>
      <c r="F64" s="5">
        <v>2</v>
      </c>
      <c r="G64" s="8">
        <f t="shared" si="0"/>
        <v>58</v>
      </c>
    </row>
    <row r="65" spans="1:7" hidden="1" x14ac:dyDescent="0.25">
      <c r="A65" s="4">
        <v>42032</v>
      </c>
      <c r="B65" s="3" t="s">
        <v>32</v>
      </c>
      <c r="C65" s="3" t="s">
        <v>19</v>
      </c>
      <c r="D65" s="3" t="s">
        <v>27</v>
      </c>
      <c r="E65" s="3">
        <v>9</v>
      </c>
      <c r="F65" s="5">
        <v>0.5</v>
      </c>
      <c r="G65" s="8">
        <f t="shared" si="0"/>
        <v>4.5</v>
      </c>
    </row>
    <row r="66" spans="1:7" hidden="1" x14ac:dyDescent="0.25">
      <c r="A66" s="4">
        <v>42021</v>
      </c>
      <c r="B66" s="3" t="s">
        <v>38</v>
      </c>
      <c r="C66" s="3" t="s">
        <v>6</v>
      </c>
      <c r="D66" s="3" t="s">
        <v>30</v>
      </c>
      <c r="E66" s="3">
        <v>21</v>
      </c>
      <c r="F66" s="5">
        <v>0.1</v>
      </c>
      <c r="G66" s="8">
        <f t="shared" si="0"/>
        <v>2.1</v>
      </c>
    </row>
    <row r="67" spans="1:7" hidden="1" x14ac:dyDescent="0.25">
      <c r="A67" s="4">
        <v>42077</v>
      </c>
      <c r="B67" s="3" t="s">
        <v>39</v>
      </c>
      <c r="C67" s="3" t="s">
        <v>5</v>
      </c>
      <c r="D67" s="3" t="s">
        <v>34</v>
      </c>
      <c r="E67" s="3">
        <v>35</v>
      </c>
      <c r="F67" s="5">
        <v>0.2</v>
      </c>
      <c r="G67" s="8">
        <f t="shared" si="0"/>
        <v>7</v>
      </c>
    </row>
    <row r="68" spans="1:7" hidden="1" x14ac:dyDescent="0.25">
      <c r="A68" s="4">
        <v>42070</v>
      </c>
      <c r="B68" s="3" t="s">
        <v>37</v>
      </c>
      <c r="C68" s="3" t="s">
        <v>6</v>
      </c>
      <c r="D68" s="3" t="s">
        <v>34</v>
      </c>
      <c r="E68" s="3">
        <v>21</v>
      </c>
      <c r="F68" s="5">
        <v>0.2</v>
      </c>
      <c r="G68" s="8">
        <f t="shared" si="0"/>
        <v>4.2</v>
      </c>
    </row>
    <row r="69" spans="1:7" hidden="1" x14ac:dyDescent="0.25">
      <c r="A69" s="4">
        <v>42146</v>
      </c>
      <c r="B69" s="3" t="s">
        <v>39</v>
      </c>
      <c r="C69" s="3" t="s">
        <v>2</v>
      </c>
      <c r="D69" s="3" t="s">
        <v>28</v>
      </c>
      <c r="E69" s="3">
        <v>4</v>
      </c>
      <c r="F69" s="5">
        <v>2</v>
      </c>
      <c r="G69" s="8">
        <f t="shared" si="0"/>
        <v>8</v>
      </c>
    </row>
    <row r="70" spans="1:7" hidden="1" x14ac:dyDescent="0.25">
      <c r="A70" s="4">
        <v>42169</v>
      </c>
      <c r="B70" s="3" t="s">
        <v>38</v>
      </c>
      <c r="C70" s="3" t="s">
        <v>2</v>
      </c>
      <c r="D70" s="3" t="s">
        <v>36</v>
      </c>
      <c r="E70" s="3">
        <v>5</v>
      </c>
      <c r="F70" s="5">
        <v>1.5</v>
      </c>
      <c r="G70" s="8">
        <f t="shared" si="0"/>
        <v>7.5</v>
      </c>
    </row>
    <row r="71" spans="1:7" hidden="1" x14ac:dyDescent="0.25">
      <c r="A71" s="4">
        <v>42098</v>
      </c>
      <c r="B71" s="3" t="s">
        <v>37</v>
      </c>
      <c r="C71" s="3" t="s">
        <v>2</v>
      </c>
      <c r="D71" s="3" t="s">
        <v>30</v>
      </c>
      <c r="E71" s="3">
        <v>17</v>
      </c>
      <c r="F71" s="5">
        <v>0.1</v>
      </c>
      <c r="G71" s="8">
        <f t="shared" ref="G71:G134" si="1">E71*F71</f>
        <v>1.7000000000000002</v>
      </c>
    </row>
    <row r="72" spans="1:7" hidden="1" x14ac:dyDescent="0.25">
      <c r="A72" s="4">
        <v>42080</v>
      </c>
      <c r="B72" s="3" t="s">
        <v>38</v>
      </c>
      <c r="C72" s="3" t="s">
        <v>19</v>
      </c>
      <c r="D72" s="3" t="s">
        <v>27</v>
      </c>
      <c r="E72" s="3">
        <v>2</v>
      </c>
      <c r="F72" s="5">
        <v>0.5</v>
      </c>
      <c r="G72" s="8">
        <f t="shared" si="1"/>
        <v>1</v>
      </c>
    </row>
    <row r="73" spans="1:7" hidden="1" x14ac:dyDescent="0.25">
      <c r="A73" s="4">
        <v>42132</v>
      </c>
      <c r="B73" s="3" t="s">
        <v>37</v>
      </c>
      <c r="C73" s="3" t="s">
        <v>5</v>
      </c>
      <c r="D73" s="3" t="s">
        <v>30</v>
      </c>
      <c r="E73" s="3">
        <v>11</v>
      </c>
      <c r="F73" s="5">
        <v>0.1</v>
      </c>
      <c r="G73" s="8">
        <f t="shared" si="1"/>
        <v>1.1000000000000001</v>
      </c>
    </row>
    <row r="74" spans="1:7" hidden="1" x14ac:dyDescent="0.25">
      <c r="A74" s="4">
        <v>42145</v>
      </c>
      <c r="B74" s="3" t="s">
        <v>38</v>
      </c>
      <c r="C74" s="3" t="s">
        <v>10</v>
      </c>
      <c r="D74" s="3" t="s">
        <v>30</v>
      </c>
      <c r="E74" s="3">
        <v>37</v>
      </c>
      <c r="F74" s="5">
        <v>0.1</v>
      </c>
      <c r="G74" s="8">
        <f t="shared" si="1"/>
        <v>3.7</v>
      </c>
    </row>
    <row r="75" spans="1:7" hidden="1" x14ac:dyDescent="0.25">
      <c r="A75" s="4">
        <v>42179</v>
      </c>
      <c r="B75" s="3" t="s">
        <v>37</v>
      </c>
      <c r="C75" s="3" t="s">
        <v>2</v>
      </c>
      <c r="D75" s="3" t="s">
        <v>34</v>
      </c>
      <c r="E75" s="3">
        <v>26</v>
      </c>
      <c r="F75" s="5">
        <v>0.2</v>
      </c>
      <c r="G75" s="8">
        <f t="shared" si="1"/>
        <v>5.2</v>
      </c>
    </row>
    <row r="76" spans="1:7" hidden="1" x14ac:dyDescent="0.25">
      <c r="A76" s="4">
        <v>42016</v>
      </c>
      <c r="B76" s="3" t="s">
        <v>32</v>
      </c>
      <c r="C76" s="3" t="s">
        <v>19</v>
      </c>
      <c r="D76" s="3" t="s">
        <v>27</v>
      </c>
      <c r="E76" s="3">
        <v>45</v>
      </c>
      <c r="F76" s="5">
        <v>0.5</v>
      </c>
      <c r="G76" s="8">
        <f t="shared" si="1"/>
        <v>22.5</v>
      </c>
    </row>
    <row r="77" spans="1:7" x14ac:dyDescent="0.25">
      <c r="A77" s="4">
        <v>42011</v>
      </c>
      <c r="B77" s="3" t="s">
        <v>29</v>
      </c>
      <c r="C77" s="3" t="s">
        <v>6</v>
      </c>
      <c r="D77" s="3" t="s">
        <v>35</v>
      </c>
      <c r="E77" s="3">
        <v>31</v>
      </c>
      <c r="F77" s="5">
        <v>4</v>
      </c>
      <c r="G77" s="8">
        <f t="shared" si="1"/>
        <v>124</v>
      </c>
    </row>
    <row r="78" spans="1:7" hidden="1" x14ac:dyDescent="0.25">
      <c r="A78" s="4">
        <v>42107</v>
      </c>
      <c r="B78" s="3" t="s">
        <v>39</v>
      </c>
      <c r="C78" s="3" t="s">
        <v>6</v>
      </c>
      <c r="D78" s="3" t="s">
        <v>30</v>
      </c>
      <c r="E78" s="3">
        <v>25</v>
      </c>
      <c r="F78" s="5">
        <v>0.1</v>
      </c>
      <c r="G78" s="8">
        <f t="shared" si="1"/>
        <v>2.5</v>
      </c>
    </row>
    <row r="79" spans="1:7" hidden="1" x14ac:dyDescent="0.25">
      <c r="A79" s="4">
        <v>42152</v>
      </c>
      <c r="B79" s="3" t="s">
        <v>38</v>
      </c>
      <c r="C79" s="3" t="s">
        <v>10</v>
      </c>
      <c r="D79" s="3" t="s">
        <v>28</v>
      </c>
      <c r="E79" s="3">
        <v>12</v>
      </c>
      <c r="F79" s="5">
        <v>2</v>
      </c>
      <c r="G79" s="8">
        <f t="shared" si="1"/>
        <v>24</v>
      </c>
    </row>
    <row r="80" spans="1:7" hidden="1" x14ac:dyDescent="0.25">
      <c r="A80" s="4">
        <v>42161</v>
      </c>
      <c r="B80" s="3" t="s">
        <v>32</v>
      </c>
      <c r="C80" s="3" t="s">
        <v>6</v>
      </c>
      <c r="D80" s="3" t="s">
        <v>28</v>
      </c>
      <c r="E80" s="3">
        <v>25</v>
      </c>
      <c r="F80" s="5">
        <v>2</v>
      </c>
      <c r="G80" s="8">
        <f t="shared" si="1"/>
        <v>50</v>
      </c>
    </row>
    <row r="81" spans="1:7" x14ac:dyDescent="0.25">
      <c r="A81" s="4">
        <v>42118</v>
      </c>
      <c r="B81" s="3" t="s">
        <v>38</v>
      </c>
      <c r="C81" s="3" t="s">
        <v>5</v>
      </c>
      <c r="D81" s="3" t="s">
        <v>35</v>
      </c>
      <c r="E81" s="3">
        <v>48</v>
      </c>
      <c r="F81" s="5">
        <v>4</v>
      </c>
      <c r="G81" s="8">
        <f t="shared" si="1"/>
        <v>192</v>
      </c>
    </row>
    <row r="82" spans="1:7" x14ac:dyDescent="0.25">
      <c r="A82" s="4">
        <v>42141</v>
      </c>
      <c r="B82" s="3" t="s">
        <v>38</v>
      </c>
      <c r="C82" s="3" t="s">
        <v>10</v>
      </c>
      <c r="D82" s="3" t="s">
        <v>35</v>
      </c>
      <c r="E82" s="3">
        <v>32</v>
      </c>
      <c r="F82" s="5">
        <v>4</v>
      </c>
      <c r="G82" s="8">
        <f t="shared" si="1"/>
        <v>128</v>
      </c>
    </row>
    <row r="83" spans="1:7" hidden="1" x14ac:dyDescent="0.25">
      <c r="A83" s="4">
        <v>42064</v>
      </c>
      <c r="B83" s="3" t="s">
        <v>29</v>
      </c>
      <c r="C83" s="3" t="s">
        <v>5</v>
      </c>
      <c r="D83" s="3" t="s">
        <v>33</v>
      </c>
      <c r="E83" s="3">
        <v>4</v>
      </c>
      <c r="F83" s="5">
        <v>5</v>
      </c>
      <c r="G83" s="8">
        <f t="shared" si="1"/>
        <v>20</v>
      </c>
    </row>
    <row r="84" spans="1:7" x14ac:dyDescent="0.25">
      <c r="A84" s="4">
        <v>42141</v>
      </c>
      <c r="B84" s="3" t="s">
        <v>26</v>
      </c>
      <c r="C84" s="3" t="s">
        <v>6</v>
      </c>
      <c r="D84" s="3" t="s">
        <v>33</v>
      </c>
      <c r="E84" s="3">
        <v>35</v>
      </c>
      <c r="F84" s="5">
        <v>5</v>
      </c>
      <c r="G84" s="8">
        <f t="shared" si="1"/>
        <v>175</v>
      </c>
    </row>
    <row r="85" spans="1:7" x14ac:dyDescent="0.25">
      <c r="A85" s="4">
        <v>42090</v>
      </c>
      <c r="B85" s="3" t="s">
        <v>26</v>
      </c>
      <c r="C85" s="3" t="s">
        <v>6</v>
      </c>
      <c r="D85" s="3" t="s">
        <v>35</v>
      </c>
      <c r="E85" s="3">
        <v>50</v>
      </c>
      <c r="F85" s="5">
        <v>4</v>
      </c>
      <c r="G85" s="8">
        <f t="shared" si="1"/>
        <v>200</v>
      </c>
    </row>
    <row r="86" spans="1:7" hidden="1" x14ac:dyDescent="0.25">
      <c r="A86" s="4">
        <v>42052</v>
      </c>
      <c r="B86" s="3" t="s">
        <v>39</v>
      </c>
      <c r="C86" s="3" t="s">
        <v>2</v>
      </c>
      <c r="D86" s="3" t="s">
        <v>30</v>
      </c>
      <c r="E86" s="3">
        <v>27</v>
      </c>
      <c r="F86" s="5">
        <v>0.1</v>
      </c>
      <c r="G86" s="8">
        <f t="shared" si="1"/>
        <v>2.7</v>
      </c>
    </row>
    <row r="87" spans="1:7" x14ac:dyDescent="0.25">
      <c r="A87" s="4">
        <v>42123</v>
      </c>
      <c r="B87" s="3" t="s">
        <v>29</v>
      </c>
      <c r="C87" s="3" t="s">
        <v>6</v>
      </c>
      <c r="D87" s="3" t="s">
        <v>35</v>
      </c>
      <c r="E87" s="3">
        <v>36</v>
      </c>
      <c r="F87" s="5">
        <v>4</v>
      </c>
      <c r="G87" s="8">
        <f t="shared" si="1"/>
        <v>144</v>
      </c>
    </row>
    <row r="88" spans="1:7" hidden="1" x14ac:dyDescent="0.25">
      <c r="A88" s="4">
        <v>42182</v>
      </c>
      <c r="B88" s="3" t="s">
        <v>38</v>
      </c>
      <c r="C88" s="3" t="s">
        <v>6</v>
      </c>
      <c r="D88" s="3" t="s">
        <v>28</v>
      </c>
      <c r="E88" s="3">
        <v>36</v>
      </c>
      <c r="F88" s="5">
        <v>2</v>
      </c>
      <c r="G88" s="8">
        <f t="shared" si="1"/>
        <v>72</v>
      </c>
    </row>
    <row r="89" spans="1:7" hidden="1" x14ac:dyDescent="0.25">
      <c r="A89" s="4">
        <v>42126</v>
      </c>
      <c r="B89" s="3" t="s">
        <v>29</v>
      </c>
      <c r="C89" s="3" t="s">
        <v>2</v>
      </c>
      <c r="D89" s="3" t="s">
        <v>35</v>
      </c>
      <c r="E89" s="3">
        <v>5</v>
      </c>
      <c r="F89" s="5">
        <v>4</v>
      </c>
      <c r="G89" s="8">
        <f t="shared" si="1"/>
        <v>20</v>
      </c>
    </row>
    <row r="90" spans="1:7" hidden="1" x14ac:dyDescent="0.25">
      <c r="A90" s="4">
        <v>42050</v>
      </c>
      <c r="B90" s="3" t="s">
        <v>38</v>
      </c>
      <c r="C90" s="3" t="s">
        <v>19</v>
      </c>
      <c r="D90" s="3" t="s">
        <v>27</v>
      </c>
      <c r="E90" s="3">
        <v>11</v>
      </c>
      <c r="F90" s="5">
        <v>0.5</v>
      </c>
      <c r="G90" s="8">
        <f t="shared" si="1"/>
        <v>5.5</v>
      </c>
    </row>
    <row r="91" spans="1:7" hidden="1" x14ac:dyDescent="0.25">
      <c r="A91" s="4">
        <v>42072</v>
      </c>
      <c r="B91" s="3" t="s">
        <v>39</v>
      </c>
      <c r="C91" s="3" t="s">
        <v>10</v>
      </c>
      <c r="D91" s="3" t="s">
        <v>33</v>
      </c>
      <c r="E91" s="3">
        <v>7</v>
      </c>
      <c r="F91" s="5">
        <v>5</v>
      </c>
      <c r="G91" s="8">
        <f t="shared" si="1"/>
        <v>35</v>
      </c>
    </row>
    <row r="92" spans="1:7" x14ac:dyDescent="0.25">
      <c r="A92" s="4">
        <v>42035</v>
      </c>
      <c r="B92" s="3" t="s">
        <v>37</v>
      </c>
      <c r="C92" s="3" t="s">
        <v>5</v>
      </c>
      <c r="D92" s="3" t="s">
        <v>33</v>
      </c>
      <c r="E92" s="3">
        <v>40</v>
      </c>
      <c r="F92" s="5">
        <v>5</v>
      </c>
      <c r="G92" s="8">
        <f t="shared" si="1"/>
        <v>200</v>
      </c>
    </row>
    <row r="93" spans="1:7" hidden="1" x14ac:dyDescent="0.25">
      <c r="A93" s="4">
        <v>42169</v>
      </c>
      <c r="B93" s="3" t="s">
        <v>37</v>
      </c>
      <c r="C93" s="3" t="s">
        <v>5</v>
      </c>
      <c r="D93" s="3" t="s">
        <v>28</v>
      </c>
      <c r="E93" s="3">
        <v>44</v>
      </c>
      <c r="F93" s="5">
        <v>2</v>
      </c>
      <c r="G93" s="8">
        <f t="shared" si="1"/>
        <v>88</v>
      </c>
    </row>
    <row r="94" spans="1:7" hidden="1" x14ac:dyDescent="0.25">
      <c r="A94" s="4">
        <v>42133</v>
      </c>
      <c r="B94" s="3" t="s">
        <v>39</v>
      </c>
      <c r="C94" s="3" t="s">
        <v>2</v>
      </c>
      <c r="D94" s="3" t="s">
        <v>34</v>
      </c>
      <c r="E94" s="3">
        <v>50</v>
      </c>
      <c r="F94" s="5">
        <v>0.2</v>
      </c>
      <c r="G94" s="8">
        <f t="shared" si="1"/>
        <v>10</v>
      </c>
    </row>
    <row r="95" spans="1:7" hidden="1" x14ac:dyDescent="0.25">
      <c r="A95" s="4">
        <v>42132</v>
      </c>
      <c r="B95" s="3" t="s">
        <v>37</v>
      </c>
      <c r="C95" s="3" t="s">
        <v>2</v>
      </c>
      <c r="D95" s="3" t="s">
        <v>35</v>
      </c>
      <c r="E95" s="3">
        <v>22</v>
      </c>
      <c r="F95" s="5">
        <v>4</v>
      </c>
      <c r="G95" s="8">
        <f t="shared" si="1"/>
        <v>88</v>
      </c>
    </row>
    <row r="96" spans="1:7" hidden="1" x14ac:dyDescent="0.25">
      <c r="A96" s="4">
        <v>42091</v>
      </c>
      <c r="B96" s="3" t="s">
        <v>37</v>
      </c>
      <c r="C96" s="3" t="s">
        <v>10</v>
      </c>
      <c r="D96" s="3" t="s">
        <v>27</v>
      </c>
      <c r="E96" s="3">
        <v>35</v>
      </c>
      <c r="F96" s="5">
        <v>0.5</v>
      </c>
      <c r="G96" s="8">
        <f t="shared" si="1"/>
        <v>17.5</v>
      </c>
    </row>
    <row r="97" spans="1:7" hidden="1" x14ac:dyDescent="0.25">
      <c r="A97" s="4">
        <v>42180</v>
      </c>
      <c r="B97" s="3" t="s">
        <v>26</v>
      </c>
      <c r="C97" s="3" t="s">
        <v>10</v>
      </c>
      <c r="D97" s="3" t="s">
        <v>35</v>
      </c>
      <c r="E97" s="3">
        <v>22</v>
      </c>
      <c r="F97" s="5">
        <v>4</v>
      </c>
      <c r="G97" s="8">
        <f t="shared" si="1"/>
        <v>88</v>
      </c>
    </row>
    <row r="98" spans="1:7" hidden="1" x14ac:dyDescent="0.25">
      <c r="A98" s="4">
        <v>42172</v>
      </c>
      <c r="B98" s="3" t="s">
        <v>26</v>
      </c>
      <c r="C98" s="3" t="s">
        <v>5</v>
      </c>
      <c r="D98" s="3" t="s">
        <v>30</v>
      </c>
      <c r="E98" s="3">
        <v>6</v>
      </c>
      <c r="F98" s="5">
        <v>0.1</v>
      </c>
      <c r="G98" s="8">
        <f t="shared" si="1"/>
        <v>0.60000000000000009</v>
      </c>
    </row>
    <row r="99" spans="1:7" x14ac:dyDescent="0.25">
      <c r="A99" s="4">
        <v>42046</v>
      </c>
      <c r="B99" s="3" t="s">
        <v>37</v>
      </c>
      <c r="C99" s="3" t="s">
        <v>6</v>
      </c>
      <c r="D99" s="3" t="s">
        <v>35</v>
      </c>
      <c r="E99" s="3">
        <v>49</v>
      </c>
      <c r="F99" s="5">
        <v>4</v>
      </c>
      <c r="G99" s="8">
        <f t="shared" si="1"/>
        <v>196</v>
      </c>
    </row>
    <row r="100" spans="1:7" hidden="1" x14ac:dyDescent="0.25">
      <c r="A100" s="4">
        <v>42039</v>
      </c>
      <c r="B100" s="3" t="s">
        <v>37</v>
      </c>
      <c r="C100" s="3" t="s">
        <v>19</v>
      </c>
      <c r="D100" s="3" t="s">
        <v>35</v>
      </c>
      <c r="E100" s="3">
        <v>24</v>
      </c>
      <c r="F100" s="5">
        <v>4</v>
      </c>
      <c r="G100" s="8">
        <f t="shared" si="1"/>
        <v>96</v>
      </c>
    </row>
    <row r="101" spans="1:7" hidden="1" x14ac:dyDescent="0.25">
      <c r="A101" s="4">
        <v>42114</v>
      </c>
      <c r="B101" s="3" t="s">
        <v>26</v>
      </c>
      <c r="C101" s="3" t="s">
        <v>10</v>
      </c>
      <c r="D101" s="3" t="s">
        <v>31</v>
      </c>
      <c r="E101" s="3">
        <v>2</v>
      </c>
      <c r="F101" s="5">
        <v>2.5</v>
      </c>
      <c r="G101" s="8">
        <f t="shared" si="1"/>
        <v>5</v>
      </c>
    </row>
    <row r="102" spans="1:7" hidden="1" x14ac:dyDescent="0.25">
      <c r="A102" s="4">
        <v>42165</v>
      </c>
      <c r="B102" s="3" t="s">
        <v>37</v>
      </c>
      <c r="C102" s="3" t="s">
        <v>2</v>
      </c>
      <c r="D102" s="3" t="s">
        <v>34</v>
      </c>
      <c r="E102" s="3">
        <v>20</v>
      </c>
      <c r="F102" s="5">
        <v>0.2</v>
      </c>
      <c r="G102" s="8">
        <f t="shared" si="1"/>
        <v>4</v>
      </c>
    </row>
    <row r="103" spans="1:7" hidden="1" x14ac:dyDescent="0.25">
      <c r="A103" s="4">
        <v>42136</v>
      </c>
      <c r="B103" s="3" t="s">
        <v>38</v>
      </c>
      <c r="C103" s="3" t="s">
        <v>10</v>
      </c>
      <c r="D103" s="3" t="s">
        <v>36</v>
      </c>
      <c r="E103" s="3">
        <v>26</v>
      </c>
      <c r="F103" s="5">
        <v>1.5</v>
      </c>
      <c r="G103" s="8">
        <f t="shared" si="1"/>
        <v>39</v>
      </c>
    </row>
    <row r="104" spans="1:7" hidden="1" x14ac:dyDescent="0.25">
      <c r="A104" s="4">
        <v>42121</v>
      </c>
      <c r="B104" s="3" t="s">
        <v>39</v>
      </c>
      <c r="C104" s="3" t="s">
        <v>19</v>
      </c>
      <c r="D104" s="3" t="s">
        <v>36</v>
      </c>
      <c r="E104" s="3">
        <v>24</v>
      </c>
      <c r="F104" s="5">
        <v>1.5</v>
      </c>
      <c r="G104" s="8">
        <f t="shared" si="1"/>
        <v>36</v>
      </c>
    </row>
    <row r="105" spans="1:7" hidden="1" x14ac:dyDescent="0.25">
      <c r="A105" s="4">
        <v>42184</v>
      </c>
      <c r="B105" s="3" t="s">
        <v>38</v>
      </c>
      <c r="C105" s="3" t="s">
        <v>2</v>
      </c>
      <c r="D105" s="3" t="s">
        <v>28</v>
      </c>
      <c r="E105" s="3">
        <v>41</v>
      </c>
      <c r="F105" s="5">
        <v>2</v>
      </c>
      <c r="G105" s="8">
        <f t="shared" si="1"/>
        <v>82</v>
      </c>
    </row>
    <row r="106" spans="1:7" hidden="1" x14ac:dyDescent="0.25">
      <c r="A106" s="4">
        <v>42026</v>
      </c>
      <c r="B106" s="3" t="s">
        <v>26</v>
      </c>
      <c r="C106" s="3" t="s">
        <v>2</v>
      </c>
      <c r="D106" s="3" t="s">
        <v>31</v>
      </c>
      <c r="E106" s="3">
        <v>27</v>
      </c>
      <c r="F106" s="5">
        <v>2.5</v>
      </c>
      <c r="G106" s="8">
        <f t="shared" si="1"/>
        <v>67.5</v>
      </c>
    </row>
    <row r="107" spans="1:7" hidden="1" x14ac:dyDescent="0.25">
      <c r="A107" s="4">
        <v>42039</v>
      </c>
      <c r="B107" s="3" t="s">
        <v>29</v>
      </c>
      <c r="C107" s="3" t="s">
        <v>6</v>
      </c>
      <c r="D107" s="3" t="s">
        <v>31</v>
      </c>
      <c r="E107" s="3">
        <v>29</v>
      </c>
      <c r="F107" s="5">
        <v>2.5</v>
      </c>
      <c r="G107" s="8">
        <f t="shared" si="1"/>
        <v>72.5</v>
      </c>
    </row>
    <row r="108" spans="1:7" hidden="1" x14ac:dyDescent="0.25">
      <c r="A108" s="4">
        <v>42174</v>
      </c>
      <c r="B108" s="3" t="s">
        <v>29</v>
      </c>
      <c r="C108" s="3" t="s">
        <v>5</v>
      </c>
      <c r="D108" s="3" t="s">
        <v>28</v>
      </c>
      <c r="E108" s="3">
        <v>40</v>
      </c>
      <c r="F108" s="5">
        <v>2</v>
      </c>
      <c r="G108" s="8">
        <f t="shared" si="1"/>
        <v>80</v>
      </c>
    </row>
    <row r="109" spans="1:7" hidden="1" x14ac:dyDescent="0.25">
      <c r="A109" s="4">
        <v>42130</v>
      </c>
      <c r="B109" s="3" t="s">
        <v>37</v>
      </c>
      <c r="C109" s="3" t="s">
        <v>19</v>
      </c>
      <c r="D109" s="3" t="s">
        <v>34</v>
      </c>
      <c r="E109" s="3">
        <v>32</v>
      </c>
      <c r="F109" s="5">
        <v>0.2</v>
      </c>
      <c r="G109" s="8">
        <f t="shared" si="1"/>
        <v>6.4</v>
      </c>
    </row>
    <row r="110" spans="1:7" hidden="1" x14ac:dyDescent="0.25">
      <c r="A110" s="4">
        <v>42013</v>
      </c>
      <c r="B110" s="3" t="s">
        <v>38</v>
      </c>
      <c r="C110" s="3" t="s">
        <v>2</v>
      </c>
      <c r="D110" s="3" t="s">
        <v>28</v>
      </c>
      <c r="E110" s="3">
        <v>29</v>
      </c>
      <c r="F110" s="5">
        <v>2</v>
      </c>
      <c r="G110" s="8">
        <f t="shared" si="1"/>
        <v>58</v>
      </c>
    </row>
    <row r="111" spans="1:7" hidden="1" x14ac:dyDescent="0.25">
      <c r="A111" s="4">
        <v>42068</v>
      </c>
      <c r="B111" s="3" t="s">
        <v>32</v>
      </c>
      <c r="C111" s="3" t="s">
        <v>6</v>
      </c>
      <c r="D111" s="3" t="s">
        <v>31</v>
      </c>
      <c r="E111" s="3">
        <v>19</v>
      </c>
      <c r="F111" s="5">
        <v>2.5</v>
      </c>
      <c r="G111" s="8">
        <f t="shared" si="1"/>
        <v>47.5</v>
      </c>
    </row>
    <row r="112" spans="1:7" hidden="1" x14ac:dyDescent="0.25">
      <c r="A112" s="4">
        <v>42093</v>
      </c>
      <c r="B112" s="3" t="s">
        <v>29</v>
      </c>
      <c r="C112" s="3" t="s">
        <v>5</v>
      </c>
      <c r="D112" s="3" t="s">
        <v>28</v>
      </c>
      <c r="E112" s="3">
        <v>15</v>
      </c>
      <c r="F112" s="5">
        <v>2</v>
      </c>
      <c r="G112" s="8">
        <f t="shared" si="1"/>
        <v>30</v>
      </c>
    </row>
    <row r="113" spans="1:7" hidden="1" x14ac:dyDescent="0.25">
      <c r="A113" s="4">
        <v>42178</v>
      </c>
      <c r="B113" s="3" t="s">
        <v>37</v>
      </c>
      <c r="C113" s="3" t="s">
        <v>6</v>
      </c>
      <c r="D113" s="3" t="s">
        <v>30</v>
      </c>
      <c r="E113" s="3">
        <v>24</v>
      </c>
      <c r="F113" s="5">
        <v>0.1</v>
      </c>
      <c r="G113" s="8">
        <f t="shared" si="1"/>
        <v>2.4000000000000004</v>
      </c>
    </row>
    <row r="114" spans="1:7" hidden="1" x14ac:dyDescent="0.25">
      <c r="A114" s="4">
        <v>42097</v>
      </c>
      <c r="B114" s="3" t="s">
        <v>38</v>
      </c>
      <c r="C114" s="3" t="s">
        <v>5</v>
      </c>
      <c r="D114" s="3" t="s">
        <v>28</v>
      </c>
      <c r="E114" s="3">
        <v>21</v>
      </c>
      <c r="F114" s="5">
        <v>2</v>
      </c>
      <c r="G114" s="8">
        <f t="shared" si="1"/>
        <v>42</v>
      </c>
    </row>
    <row r="115" spans="1:7" hidden="1" x14ac:dyDescent="0.25">
      <c r="A115" s="4">
        <v>42140</v>
      </c>
      <c r="B115" s="3" t="s">
        <v>32</v>
      </c>
      <c r="C115" s="3" t="s">
        <v>10</v>
      </c>
      <c r="D115" s="3" t="s">
        <v>28</v>
      </c>
      <c r="E115" s="3">
        <v>16</v>
      </c>
      <c r="F115" s="5">
        <v>2</v>
      </c>
      <c r="G115" s="8">
        <f t="shared" si="1"/>
        <v>32</v>
      </c>
    </row>
    <row r="116" spans="1:7" x14ac:dyDescent="0.25">
      <c r="A116" s="4">
        <v>42010</v>
      </c>
      <c r="B116" s="3" t="s">
        <v>38</v>
      </c>
      <c r="C116" s="3" t="s">
        <v>19</v>
      </c>
      <c r="D116" s="3" t="s">
        <v>31</v>
      </c>
      <c r="E116" s="3">
        <v>44</v>
      </c>
      <c r="F116" s="5">
        <v>2.5</v>
      </c>
      <c r="G116" s="8">
        <f t="shared" si="1"/>
        <v>110</v>
      </c>
    </row>
    <row r="117" spans="1:7" hidden="1" x14ac:dyDescent="0.25">
      <c r="A117" s="4">
        <v>42019</v>
      </c>
      <c r="B117" s="3" t="s">
        <v>29</v>
      </c>
      <c r="C117" s="3" t="s">
        <v>5</v>
      </c>
      <c r="D117" s="3" t="s">
        <v>28</v>
      </c>
      <c r="E117" s="3">
        <v>4</v>
      </c>
      <c r="F117" s="5">
        <v>2</v>
      </c>
      <c r="G117" s="8">
        <f t="shared" si="1"/>
        <v>8</v>
      </c>
    </row>
    <row r="118" spans="1:7" hidden="1" x14ac:dyDescent="0.25">
      <c r="A118" s="4">
        <v>42095</v>
      </c>
      <c r="B118" s="3" t="s">
        <v>39</v>
      </c>
      <c r="C118" s="3" t="s">
        <v>19</v>
      </c>
      <c r="D118" s="3" t="s">
        <v>28</v>
      </c>
      <c r="E118" s="3">
        <v>5</v>
      </c>
      <c r="F118" s="5">
        <v>2</v>
      </c>
      <c r="G118" s="8">
        <f t="shared" si="1"/>
        <v>10</v>
      </c>
    </row>
    <row r="119" spans="1:7" hidden="1" x14ac:dyDescent="0.25">
      <c r="A119" s="4">
        <v>42089</v>
      </c>
      <c r="B119" s="3" t="s">
        <v>39</v>
      </c>
      <c r="C119" s="3" t="s">
        <v>19</v>
      </c>
      <c r="D119" s="3" t="s">
        <v>33</v>
      </c>
      <c r="E119" s="3">
        <v>1</v>
      </c>
      <c r="F119" s="5">
        <v>5</v>
      </c>
      <c r="G119" s="8">
        <f t="shared" si="1"/>
        <v>5</v>
      </c>
    </row>
    <row r="120" spans="1:7" hidden="1" x14ac:dyDescent="0.25">
      <c r="A120" s="4">
        <v>42175</v>
      </c>
      <c r="B120" s="3" t="s">
        <v>37</v>
      </c>
      <c r="C120" s="3" t="s">
        <v>19</v>
      </c>
      <c r="D120" s="3" t="s">
        <v>30</v>
      </c>
      <c r="E120" s="3">
        <v>43</v>
      </c>
      <c r="F120" s="5">
        <v>0.1</v>
      </c>
      <c r="G120" s="8">
        <f t="shared" si="1"/>
        <v>4.3</v>
      </c>
    </row>
    <row r="121" spans="1:7" x14ac:dyDescent="0.25">
      <c r="A121" s="4">
        <v>42138</v>
      </c>
      <c r="B121" s="3" t="s">
        <v>26</v>
      </c>
      <c r="C121" s="3" t="s">
        <v>5</v>
      </c>
      <c r="D121" s="3" t="s">
        <v>33</v>
      </c>
      <c r="E121" s="3">
        <v>34</v>
      </c>
      <c r="F121" s="5">
        <v>5</v>
      </c>
      <c r="G121" s="8">
        <f t="shared" si="1"/>
        <v>170</v>
      </c>
    </row>
    <row r="122" spans="1:7" hidden="1" x14ac:dyDescent="0.25">
      <c r="A122" s="4">
        <v>42143</v>
      </c>
      <c r="B122" s="3" t="s">
        <v>29</v>
      </c>
      <c r="C122" s="3" t="s">
        <v>2</v>
      </c>
      <c r="D122" s="3" t="s">
        <v>31</v>
      </c>
      <c r="E122" s="3">
        <v>20</v>
      </c>
      <c r="F122" s="5">
        <v>2.5</v>
      </c>
      <c r="G122" s="8">
        <f t="shared" si="1"/>
        <v>50</v>
      </c>
    </row>
    <row r="123" spans="1:7" hidden="1" x14ac:dyDescent="0.25">
      <c r="A123" s="4">
        <v>42011</v>
      </c>
      <c r="B123" s="3" t="s">
        <v>38</v>
      </c>
      <c r="C123" s="3" t="s">
        <v>5</v>
      </c>
      <c r="D123" s="3" t="s">
        <v>36</v>
      </c>
      <c r="E123" s="3">
        <v>17</v>
      </c>
      <c r="F123" s="5">
        <v>1.5</v>
      </c>
      <c r="G123" s="8">
        <f t="shared" si="1"/>
        <v>25.5</v>
      </c>
    </row>
    <row r="124" spans="1:7" hidden="1" x14ac:dyDescent="0.25">
      <c r="A124" s="4">
        <v>42138</v>
      </c>
      <c r="B124" s="3" t="s">
        <v>39</v>
      </c>
      <c r="C124" s="3" t="s">
        <v>6</v>
      </c>
      <c r="D124" s="3" t="s">
        <v>36</v>
      </c>
      <c r="E124" s="3">
        <v>23</v>
      </c>
      <c r="F124" s="5">
        <v>1.5</v>
      </c>
      <c r="G124" s="8">
        <f t="shared" si="1"/>
        <v>34.5</v>
      </c>
    </row>
    <row r="125" spans="1:7" hidden="1" x14ac:dyDescent="0.25">
      <c r="A125" s="4">
        <v>42166</v>
      </c>
      <c r="B125" s="3" t="s">
        <v>37</v>
      </c>
      <c r="C125" s="3" t="s">
        <v>19</v>
      </c>
      <c r="D125" s="3" t="s">
        <v>30</v>
      </c>
      <c r="E125" s="3">
        <v>22</v>
      </c>
      <c r="F125" s="5">
        <v>0.1</v>
      </c>
      <c r="G125" s="8">
        <f t="shared" si="1"/>
        <v>2.2000000000000002</v>
      </c>
    </row>
    <row r="126" spans="1:7" x14ac:dyDescent="0.25">
      <c r="A126" s="4">
        <v>42043</v>
      </c>
      <c r="B126" s="3" t="s">
        <v>39</v>
      </c>
      <c r="C126" s="3" t="s">
        <v>6</v>
      </c>
      <c r="D126" s="3" t="s">
        <v>33</v>
      </c>
      <c r="E126" s="3">
        <v>40</v>
      </c>
      <c r="F126" s="5">
        <v>5</v>
      </c>
      <c r="G126" s="8">
        <f t="shared" si="1"/>
        <v>200</v>
      </c>
    </row>
    <row r="127" spans="1:7" x14ac:dyDescent="0.25">
      <c r="A127" s="4">
        <v>42184</v>
      </c>
      <c r="B127" s="3" t="s">
        <v>29</v>
      </c>
      <c r="C127" s="3" t="s">
        <v>6</v>
      </c>
      <c r="D127" s="3" t="s">
        <v>35</v>
      </c>
      <c r="E127" s="3">
        <v>50</v>
      </c>
      <c r="F127" s="5">
        <v>4</v>
      </c>
      <c r="G127" s="8">
        <f t="shared" si="1"/>
        <v>200</v>
      </c>
    </row>
    <row r="128" spans="1:7" hidden="1" x14ac:dyDescent="0.25">
      <c r="A128" s="4">
        <v>42176</v>
      </c>
      <c r="B128" s="3" t="s">
        <v>39</v>
      </c>
      <c r="C128" s="3" t="s">
        <v>5</v>
      </c>
      <c r="D128" s="3" t="s">
        <v>30</v>
      </c>
      <c r="E128" s="3">
        <v>29</v>
      </c>
      <c r="F128" s="5">
        <v>0.1</v>
      </c>
      <c r="G128" s="8">
        <f t="shared" si="1"/>
        <v>2.9000000000000004</v>
      </c>
    </row>
    <row r="129" spans="1:7" hidden="1" x14ac:dyDescent="0.25">
      <c r="A129" s="4">
        <v>42062</v>
      </c>
      <c r="B129" s="3" t="s">
        <v>38</v>
      </c>
      <c r="C129" s="3" t="s">
        <v>10</v>
      </c>
      <c r="D129" s="3" t="s">
        <v>34</v>
      </c>
      <c r="E129" s="3">
        <v>17</v>
      </c>
      <c r="F129" s="5">
        <v>0.2</v>
      </c>
      <c r="G129" s="8">
        <f t="shared" si="1"/>
        <v>3.4000000000000004</v>
      </c>
    </row>
    <row r="130" spans="1:7" x14ac:dyDescent="0.25">
      <c r="A130" s="4">
        <v>42162</v>
      </c>
      <c r="B130" s="3" t="s">
        <v>26</v>
      </c>
      <c r="C130" s="3" t="s">
        <v>19</v>
      </c>
      <c r="D130" s="3" t="s">
        <v>35</v>
      </c>
      <c r="E130" s="3">
        <v>42</v>
      </c>
      <c r="F130" s="5">
        <v>4</v>
      </c>
      <c r="G130" s="8">
        <f t="shared" si="1"/>
        <v>168</v>
      </c>
    </row>
    <row r="131" spans="1:7" hidden="1" x14ac:dyDescent="0.25">
      <c r="A131" s="4">
        <v>42127</v>
      </c>
      <c r="B131" s="3" t="s">
        <v>26</v>
      </c>
      <c r="C131" s="3" t="s">
        <v>10</v>
      </c>
      <c r="D131" s="3" t="s">
        <v>28</v>
      </c>
      <c r="E131" s="3">
        <v>50</v>
      </c>
      <c r="F131" s="5">
        <v>2</v>
      </c>
      <c r="G131" s="8">
        <f t="shared" si="1"/>
        <v>100</v>
      </c>
    </row>
    <row r="132" spans="1:7" hidden="1" x14ac:dyDescent="0.25">
      <c r="A132" s="4">
        <v>42100</v>
      </c>
      <c r="B132" s="3" t="s">
        <v>39</v>
      </c>
      <c r="C132" s="3" t="s">
        <v>19</v>
      </c>
      <c r="D132" s="3" t="s">
        <v>35</v>
      </c>
      <c r="E132" s="3">
        <v>20</v>
      </c>
      <c r="F132" s="5">
        <v>4</v>
      </c>
      <c r="G132" s="8">
        <f t="shared" si="1"/>
        <v>80</v>
      </c>
    </row>
    <row r="133" spans="1:7" hidden="1" x14ac:dyDescent="0.25">
      <c r="A133" s="4">
        <v>42164</v>
      </c>
      <c r="B133" s="3" t="s">
        <v>32</v>
      </c>
      <c r="C133" s="3" t="s">
        <v>2</v>
      </c>
      <c r="D133" s="3" t="s">
        <v>30</v>
      </c>
      <c r="E133" s="3">
        <v>7</v>
      </c>
      <c r="F133" s="5">
        <v>0.1</v>
      </c>
      <c r="G133" s="8">
        <f t="shared" si="1"/>
        <v>0.70000000000000007</v>
      </c>
    </row>
    <row r="134" spans="1:7" hidden="1" x14ac:dyDescent="0.25">
      <c r="A134" s="4">
        <v>42074</v>
      </c>
      <c r="B134" s="3" t="s">
        <v>26</v>
      </c>
      <c r="C134" s="3" t="s">
        <v>6</v>
      </c>
      <c r="D134" s="3" t="s">
        <v>34</v>
      </c>
      <c r="E134" s="3">
        <v>23</v>
      </c>
      <c r="F134" s="5">
        <v>0.2</v>
      </c>
      <c r="G134" s="8">
        <f t="shared" si="1"/>
        <v>4.6000000000000005</v>
      </c>
    </row>
    <row r="135" spans="1:7" hidden="1" x14ac:dyDescent="0.25">
      <c r="A135" s="4">
        <v>42168</v>
      </c>
      <c r="B135" s="3" t="s">
        <v>29</v>
      </c>
      <c r="C135" s="3" t="s">
        <v>10</v>
      </c>
      <c r="D135" s="3" t="s">
        <v>30</v>
      </c>
      <c r="E135" s="3">
        <v>41</v>
      </c>
      <c r="F135" s="5">
        <v>0.1</v>
      </c>
      <c r="G135" s="8">
        <f t="shared" ref="G135:G198" si="2">E135*F135</f>
        <v>4.1000000000000005</v>
      </c>
    </row>
    <row r="136" spans="1:7" hidden="1" x14ac:dyDescent="0.25">
      <c r="A136" s="4">
        <v>42067</v>
      </c>
      <c r="B136" s="3" t="s">
        <v>32</v>
      </c>
      <c r="C136" s="3" t="s">
        <v>10</v>
      </c>
      <c r="D136" s="3" t="s">
        <v>33</v>
      </c>
      <c r="E136" s="3">
        <v>10</v>
      </c>
      <c r="F136" s="5">
        <v>5</v>
      </c>
      <c r="G136" s="8">
        <f t="shared" si="2"/>
        <v>50</v>
      </c>
    </row>
    <row r="137" spans="1:7" hidden="1" x14ac:dyDescent="0.25">
      <c r="A137" s="4">
        <v>42133</v>
      </c>
      <c r="B137" s="3" t="s">
        <v>32</v>
      </c>
      <c r="C137" s="3" t="s">
        <v>6</v>
      </c>
      <c r="D137" s="3" t="s">
        <v>27</v>
      </c>
      <c r="E137" s="3">
        <v>50</v>
      </c>
      <c r="F137" s="5">
        <v>0.5</v>
      </c>
      <c r="G137" s="8">
        <f t="shared" si="2"/>
        <v>25</v>
      </c>
    </row>
    <row r="138" spans="1:7" hidden="1" x14ac:dyDescent="0.25">
      <c r="A138" s="4">
        <v>42161</v>
      </c>
      <c r="B138" s="3" t="s">
        <v>38</v>
      </c>
      <c r="C138" s="3" t="s">
        <v>19</v>
      </c>
      <c r="D138" s="3" t="s">
        <v>34</v>
      </c>
      <c r="E138" s="3">
        <v>6</v>
      </c>
      <c r="F138" s="5">
        <v>0.2</v>
      </c>
      <c r="G138" s="8">
        <f t="shared" si="2"/>
        <v>1.2000000000000002</v>
      </c>
    </row>
    <row r="139" spans="1:7" hidden="1" x14ac:dyDescent="0.25">
      <c r="A139" s="4">
        <v>42032</v>
      </c>
      <c r="B139" s="3" t="s">
        <v>37</v>
      </c>
      <c r="C139" s="3" t="s">
        <v>2</v>
      </c>
      <c r="D139" s="3" t="s">
        <v>31</v>
      </c>
      <c r="E139" s="3">
        <v>37</v>
      </c>
      <c r="F139" s="5">
        <v>2.5</v>
      </c>
      <c r="G139" s="8">
        <f t="shared" si="2"/>
        <v>92.5</v>
      </c>
    </row>
    <row r="140" spans="1:7" hidden="1" x14ac:dyDescent="0.25">
      <c r="A140" s="4">
        <v>42117</v>
      </c>
      <c r="B140" s="3" t="s">
        <v>26</v>
      </c>
      <c r="C140" s="3" t="s">
        <v>2</v>
      </c>
      <c r="D140" s="3" t="s">
        <v>30</v>
      </c>
      <c r="E140" s="3">
        <v>2</v>
      </c>
      <c r="F140" s="5">
        <v>0.1</v>
      </c>
      <c r="G140" s="8">
        <f t="shared" si="2"/>
        <v>0.2</v>
      </c>
    </row>
    <row r="141" spans="1:7" hidden="1" x14ac:dyDescent="0.25">
      <c r="A141" s="4">
        <v>42125</v>
      </c>
      <c r="B141" s="3" t="s">
        <v>37</v>
      </c>
      <c r="C141" s="3" t="s">
        <v>2</v>
      </c>
      <c r="D141" s="3" t="s">
        <v>36</v>
      </c>
      <c r="E141" s="3">
        <v>36</v>
      </c>
      <c r="F141" s="5">
        <v>1.5</v>
      </c>
      <c r="G141" s="8">
        <f t="shared" si="2"/>
        <v>54</v>
      </c>
    </row>
    <row r="142" spans="1:7" hidden="1" x14ac:dyDescent="0.25">
      <c r="A142" s="4">
        <v>42153</v>
      </c>
      <c r="B142" s="3" t="s">
        <v>38</v>
      </c>
      <c r="C142" s="3" t="s">
        <v>5</v>
      </c>
      <c r="D142" s="3" t="s">
        <v>30</v>
      </c>
      <c r="E142" s="3">
        <v>28</v>
      </c>
      <c r="F142" s="5">
        <v>0.1</v>
      </c>
      <c r="G142" s="8">
        <f t="shared" si="2"/>
        <v>2.8000000000000003</v>
      </c>
    </row>
    <row r="143" spans="1:7" hidden="1" x14ac:dyDescent="0.25">
      <c r="A143" s="4">
        <v>42149</v>
      </c>
      <c r="B143" s="3" t="s">
        <v>32</v>
      </c>
      <c r="C143" s="3" t="s">
        <v>10</v>
      </c>
      <c r="D143" s="3" t="s">
        <v>33</v>
      </c>
      <c r="E143" s="3">
        <v>10</v>
      </c>
      <c r="F143" s="5">
        <v>5</v>
      </c>
      <c r="G143" s="8">
        <f t="shared" si="2"/>
        <v>50</v>
      </c>
    </row>
    <row r="144" spans="1:7" hidden="1" x14ac:dyDescent="0.25">
      <c r="A144" s="4">
        <v>42107</v>
      </c>
      <c r="B144" s="3" t="s">
        <v>39</v>
      </c>
      <c r="C144" s="3" t="s">
        <v>5</v>
      </c>
      <c r="D144" s="3" t="s">
        <v>36</v>
      </c>
      <c r="E144" s="3">
        <v>47</v>
      </c>
      <c r="F144" s="5">
        <v>1.5</v>
      </c>
      <c r="G144" s="8">
        <f t="shared" si="2"/>
        <v>70.5</v>
      </c>
    </row>
    <row r="145" spans="1:7" hidden="1" x14ac:dyDescent="0.25">
      <c r="A145" s="4">
        <v>42178</v>
      </c>
      <c r="B145" s="3" t="s">
        <v>39</v>
      </c>
      <c r="C145" s="3" t="s">
        <v>10</v>
      </c>
      <c r="D145" s="3" t="s">
        <v>28</v>
      </c>
      <c r="E145" s="3">
        <v>44</v>
      </c>
      <c r="F145" s="5">
        <v>2</v>
      </c>
      <c r="G145" s="8">
        <f t="shared" si="2"/>
        <v>88</v>
      </c>
    </row>
    <row r="146" spans="1:7" hidden="1" x14ac:dyDescent="0.25">
      <c r="A146" s="4">
        <v>42033</v>
      </c>
      <c r="B146" s="3" t="s">
        <v>37</v>
      </c>
      <c r="C146" s="3" t="s">
        <v>2</v>
      </c>
      <c r="D146" s="3" t="s">
        <v>35</v>
      </c>
      <c r="E146" s="3">
        <v>12</v>
      </c>
      <c r="F146" s="5">
        <v>4</v>
      </c>
      <c r="G146" s="8">
        <f t="shared" si="2"/>
        <v>48</v>
      </c>
    </row>
    <row r="147" spans="1:7" hidden="1" x14ac:dyDescent="0.25">
      <c r="A147" s="4">
        <v>42132</v>
      </c>
      <c r="B147" s="3" t="s">
        <v>29</v>
      </c>
      <c r="C147" s="3" t="s">
        <v>2</v>
      </c>
      <c r="D147" s="3" t="s">
        <v>27</v>
      </c>
      <c r="E147" s="3">
        <v>14</v>
      </c>
      <c r="F147" s="5">
        <v>0.5</v>
      </c>
      <c r="G147" s="8">
        <f t="shared" si="2"/>
        <v>7</v>
      </c>
    </row>
    <row r="148" spans="1:7" hidden="1" x14ac:dyDescent="0.25">
      <c r="A148" s="4">
        <v>42006</v>
      </c>
      <c r="B148" s="3" t="s">
        <v>32</v>
      </c>
      <c r="C148" s="3" t="s">
        <v>6</v>
      </c>
      <c r="D148" s="3" t="s">
        <v>34</v>
      </c>
      <c r="E148" s="3">
        <v>44</v>
      </c>
      <c r="F148" s="5">
        <v>0.2</v>
      </c>
      <c r="G148" s="8">
        <f t="shared" si="2"/>
        <v>8.8000000000000007</v>
      </c>
    </row>
    <row r="149" spans="1:7" hidden="1" x14ac:dyDescent="0.25">
      <c r="A149" s="4">
        <v>42173</v>
      </c>
      <c r="B149" s="3" t="s">
        <v>29</v>
      </c>
      <c r="C149" s="3" t="s">
        <v>10</v>
      </c>
      <c r="D149" s="3" t="s">
        <v>31</v>
      </c>
      <c r="E149" s="3">
        <v>12</v>
      </c>
      <c r="F149" s="5">
        <v>2.5</v>
      </c>
      <c r="G149" s="8">
        <f t="shared" si="2"/>
        <v>30</v>
      </c>
    </row>
    <row r="150" spans="1:7" hidden="1" x14ac:dyDescent="0.25">
      <c r="A150" s="4">
        <v>42093</v>
      </c>
      <c r="B150" s="3" t="s">
        <v>26</v>
      </c>
      <c r="C150" s="3" t="s">
        <v>19</v>
      </c>
      <c r="D150" s="3" t="s">
        <v>31</v>
      </c>
      <c r="E150" s="3">
        <v>35</v>
      </c>
      <c r="F150" s="5">
        <v>2.5</v>
      </c>
      <c r="G150" s="8">
        <f t="shared" si="2"/>
        <v>87.5</v>
      </c>
    </row>
    <row r="151" spans="1:7" hidden="1" x14ac:dyDescent="0.25">
      <c r="A151" s="4">
        <v>42093</v>
      </c>
      <c r="B151" s="3" t="s">
        <v>32</v>
      </c>
      <c r="C151" s="3" t="s">
        <v>6</v>
      </c>
      <c r="D151" s="3" t="s">
        <v>36</v>
      </c>
      <c r="E151" s="3">
        <v>19</v>
      </c>
      <c r="F151" s="5">
        <v>1.5</v>
      </c>
      <c r="G151" s="8">
        <f t="shared" si="2"/>
        <v>28.5</v>
      </c>
    </row>
    <row r="152" spans="1:7" hidden="1" x14ac:dyDescent="0.25">
      <c r="A152" s="4">
        <v>42033</v>
      </c>
      <c r="B152" s="3" t="s">
        <v>38</v>
      </c>
      <c r="C152" s="3" t="s">
        <v>10</v>
      </c>
      <c r="D152" s="3" t="s">
        <v>34</v>
      </c>
      <c r="E152" s="3">
        <v>9</v>
      </c>
      <c r="F152" s="5">
        <v>0.2</v>
      </c>
      <c r="G152" s="8">
        <f t="shared" si="2"/>
        <v>1.8</v>
      </c>
    </row>
    <row r="153" spans="1:7" hidden="1" x14ac:dyDescent="0.25">
      <c r="A153" s="4">
        <v>42184</v>
      </c>
      <c r="B153" s="3" t="s">
        <v>32</v>
      </c>
      <c r="C153" s="3" t="s">
        <v>5</v>
      </c>
      <c r="D153" s="3" t="s">
        <v>36</v>
      </c>
      <c r="E153" s="3">
        <v>16</v>
      </c>
      <c r="F153" s="5">
        <v>1.5</v>
      </c>
      <c r="G153" s="8">
        <f t="shared" si="2"/>
        <v>24</v>
      </c>
    </row>
    <row r="154" spans="1:7" hidden="1" x14ac:dyDescent="0.25">
      <c r="A154" s="4">
        <v>42072</v>
      </c>
      <c r="B154" s="3" t="s">
        <v>37</v>
      </c>
      <c r="C154" s="3" t="s">
        <v>2</v>
      </c>
      <c r="D154" s="3" t="s">
        <v>31</v>
      </c>
      <c r="E154" s="3">
        <v>39</v>
      </c>
      <c r="F154" s="5">
        <v>2.5</v>
      </c>
      <c r="G154" s="8">
        <f t="shared" si="2"/>
        <v>97.5</v>
      </c>
    </row>
    <row r="155" spans="1:7" hidden="1" x14ac:dyDescent="0.25">
      <c r="A155" s="4">
        <v>42131</v>
      </c>
      <c r="B155" s="3" t="s">
        <v>39</v>
      </c>
      <c r="C155" s="3" t="s">
        <v>5</v>
      </c>
      <c r="D155" s="3" t="s">
        <v>34</v>
      </c>
      <c r="E155" s="3">
        <v>25</v>
      </c>
      <c r="F155" s="5">
        <v>0.2</v>
      </c>
      <c r="G155" s="8">
        <f t="shared" si="2"/>
        <v>5</v>
      </c>
    </row>
    <row r="156" spans="1:7" hidden="1" x14ac:dyDescent="0.25">
      <c r="A156" s="4">
        <v>42018</v>
      </c>
      <c r="B156" s="3" t="s">
        <v>39</v>
      </c>
      <c r="C156" s="3" t="s">
        <v>19</v>
      </c>
      <c r="D156" s="3" t="s">
        <v>28</v>
      </c>
      <c r="E156" s="3">
        <v>13</v>
      </c>
      <c r="F156" s="5">
        <v>2</v>
      </c>
      <c r="G156" s="8">
        <f t="shared" si="2"/>
        <v>26</v>
      </c>
    </row>
    <row r="157" spans="1:7" hidden="1" x14ac:dyDescent="0.25">
      <c r="A157" s="4">
        <v>42128</v>
      </c>
      <c r="B157" s="3" t="s">
        <v>39</v>
      </c>
      <c r="C157" s="3" t="s">
        <v>10</v>
      </c>
      <c r="D157" s="3" t="s">
        <v>27</v>
      </c>
      <c r="E157" s="3">
        <v>40</v>
      </c>
      <c r="F157" s="5">
        <v>0.5</v>
      </c>
      <c r="G157" s="8">
        <f t="shared" si="2"/>
        <v>20</v>
      </c>
    </row>
    <row r="158" spans="1:7" hidden="1" x14ac:dyDescent="0.25">
      <c r="A158" s="4">
        <v>42029</v>
      </c>
      <c r="B158" s="3" t="s">
        <v>37</v>
      </c>
      <c r="C158" s="3" t="s">
        <v>2</v>
      </c>
      <c r="D158" s="3" t="s">
        <v>36</v>
      </c>
      <c r="E158" s="3">
        <v>20</v>
      </c>
      <c r="F158" s="5">
        <v>1.5</v>
      </c>
      <c r="G158" s="8">
        <f t="shared" si="2"/>
        <v>30</v>
      </c>
    </row>
    <row r="159" spans="1:7" hidden="1" x14ac:dyDescent="0.25">
      <c r="A159" s="4">
        <v>42133</v>
      </c>
      <c r="B159" s="3" t="s">
        <v>38</v>
      </c>
      <c r="C159" s="3" t="s">
        <v>5</v>
      </c>
      <c r="D159" s="3" t="s">
        <v>34</v>
      </c>
      <c r="E159" s="3">
        <v>24</v>
      </c>
      <c r="F159" s="5">
        <v>0.2</v>
      </c>
      <c r="G159" s="8">
        <f t="shared" si="2"/>
        <v>4.8000000000000007</v>
      </c>
    </row>
    <row r="160" spans="1:7" hidden="1" x14ac:dyDescent="0.25">
      <c r="A160" s="4">
        <v>42079</v>
      </c>
      <c r="B160" s="3" t="s">
        <v>26</v>
      </c>
      <c r="C160" s="3" t="s">
        <v>2</v>
      </c>
      <c r="D160" s="3" t="s">
        <v>30</v>
      </c>
      <c r="E160" s="3">
        <v>47</v>
      </c>
      <c r="F160" s="5">
        <v>0.1</v>
      </c>
      <c r="G160" s="8">
        <f t="shared" si="2"/>
        <v>4.7</v>
      </c>
    </row>
    <row r="161" spans="1:7" hidden="1" x14ac:dyDescent="0.25">
      <c r="A161" s="4">
        <v>42112</v>
      </c>
      <c r="B161" s="3" t="s">
        <v>32</v>
      </c>
      <c r="C161" s="3" t="s">
        <v>6</v>
      </c>
      <c r="D161" s="3" t="s">
        <v>34</v>
      </c>
      <c r="E161" s="3">
        <v>4</v>
      </c>
      <c r="F161" s="5">
        <v>0.2</v>
      </c>
      <c r="G161" s="8">
        <f t="shared" si="2"/>
        <v>0.8</v>
      </c>
    </row>
    <row r="162" spans="1:7" hidden="1" x14ac:dyDescent="0.25">
      <c r="A162" s="4">
        <v>42083</v>
      </c>
      <c r="B162" s="3" t="s">
        <v>38</v>
      </c>
      <c r="C162" s="3" t="s">
        <v>5</v>
      </c>
      <c r="D162" s="3" t="s">
        <v>36</v>
      </c>
      <c r="E162" s="3">
        <v>34</v>
      </c>
      <c r="F162" s="5">
        <v>1.5</v>
      </c>
      <c r="G162" s="8">
        <f t="shared" si="2"/>
        <v>51</v>
      </c>
    </row>
    <row r="163" spans="1:7" hidden="1" x14ac:dyDescent="0.25">
      <c r="A163" s="4">
        <v>42136</v>
      </c>
      <c r="B163" s="3" t="s">
        <v>29</v>
      </c>
      <c r="C163" s="3" t="s">
        <v>5</v>
      </c>
      <c r="D163" s="3" t="s">
        <v>34</v>
      </c>
      <c r="E163" s="3">
        <v>26</v>
      </c>
      <c r="F163" s="5">
        <v>0.2</v>
      </c>
      <c r="G163" s="8">
        <f t="shared" si="2"/>
        <v>5.2</v>
      </c>
    </row>
    <row r="164" spans="1:7" hidden="1" x14ac:dyDescent="0.25">
      <c r="A164" s="4">
        <v>42016</v>
      </c>
      <c r="B164" s="3" t="s">
        <v>26</v>
      </c>
      <c r="C164" s="3" t="s">
        <v>5</v>
      </c>
      <c r="D164" s="3" t="s">
        <v>30</v>
      </c>
      <c r="E164" s="3">
        <v>8</v>
      </c>
      <c r="F164" s="5">
        <v>0.1</v>
      </c>
      <c r="G164" s="8">
        <f t="shared" si="2"/>
        <v>0.8</v>
      </c>
    </row>
    <row r="165" spans="1:7" hidden="1" x14ac:dyDescent="0.25">
      <c r="A165" s="4">
        <v>42097</v>
      </c>
      <c r="B165" s="3" t="s">
        <v>29</v>
      </c>
      <c r="C165" s="3" t="s">
        <v>5</v>
      </c>
      <c r="D165" s="3" t="s">
        <v>36</v>
      </c>
      <c r="E165" s="3">
        <v>33</v>
      </c>
      <c r="F165" s="5">
        <v>1.5</v>
      </c>
      <c r="G165" s="8">
        <f t="shared" si="2"/>
        <v>49.5</v>
      </c>
    </row>
    <row r="166" spans="1:7" hidden="1" x14ac:dyDescent="0.25">
      <c r="A166" s="4">
        <v>42150</v>
      </c>
      <c r="B166" s="3" t="s">
        <v>26</v>
      </c>
      <c r="C166" s="3" t="s">
        <v>19</v>
      </c>
      <c r="D166" s="3" t="s">
        <v>30</v>
      </c>
      <c r="E166" s="3">
        <v>40</v>
      </c>
      <c r="F166" s="5">
        <v>0.1</v>
      </c>
      <c r="G166" s="8">
        <f t="shared" si="2"/>
        <v>4</v>
      </c>
    </row>
    <row r="167" spans="1:7" hidden="1" x14ac:dyDescent="0.25">
      <c r="A167" s="4">
        <v>42039</v>
      </c>
      <c r="B167" s="3" t="s">
        <v>26</v>
      </c>
      <c r="C167" s="3" t="s">
        <v>10</v>
      </c>
      <c r="D167" s="3" t="s">
        <v>28</v>
      </c>
      <c r="E167" s="3">
        <v>8</v>
      </c>
      <c r="F167" s="5">
        <v>2</v>
      </c>
      <c r="G167" s="8">
        <f t="shared" si="2"/>
        <v>16</v>
      </c>
    </row>
    <row r="168" spans="1:7" hidden="1" x14ac:dyDescent="0.25">
      <c r="A168" s="4">
        <v>42147</v>
      </c>
      <c r="B168" s="3" t="s">
        <v>32</v>
      </c>
      <c r="C168" s="3" t="s">
        <v>10</v>
      </c>
      <c r="D168" s="3" t="s">
        <v>27</v>
      </c>
      <c r="E168" s="3">
        <v>40</v>
      </c>
      <c r="F168" s="5">
        <v>0.5</v>
      </c>
      <c r="G168" s="8">
        <f t="shared" si="2"/>
        <v>20</v>
      </c>
    </row>
    <row r="169" spans="1:7" hidden="1" x14ac:dyDescent="0.25">
      <c r="A169" s="4">
        <v>42172</v>
      </c>
      <c r="B169" s="3" t="s">
        <v>39</v>
      </c>
      <c r="C169" s="3" t="s">
        <v>10</v>
      </c>
      <c r="D169" s="3" t="s">
        <v>34</v>
      </c>
      <c r="E169" s="3">
        <v>48</v>
      </c>
      <c r="F169" s="5">
        <v>0.2</v>
      </c>
      <c r="G169" s="8">
        <f t="shared" si="2"/>
        <v>9.6000000000000014</v>
      </c>
    </row>
    <row r="170" spans="1:7" hidden="1" x14ac:dyDescent="0.25">
      <c r="A170" s="4">
        <v>42170</v>
      </c>
      <c r="B170" s="3" t="s">
        <v>26</v>
      </c>
      <c r="C170" s="3" t="s">
        <v>6</v>
      </c>
      <c r="D170" s="3" t="s">
        <v>30</v>
      </c>
      <c r="E170" s="3">
        <v>7</v>
      </c>
      <c r="F170" s="5">
        <v>0.1</v>
      </c>
      <c r="G170" s="8">
        <f t="shared" si="2"/>
        <v>0.70000000000000007</v>
      </c>
    </row>
    <row r="171" spans="1:7" hidden="1" x14ac:dyDescent="0.25">
      <c r="A171" s="4">
        <v>42139</v>
      </c>
      <c r="B171" s="3" t="s">
        <v>37</v>
      </c>
      <c r="C171" s="3" t="s">
        <v>10</v>
      </c>
      <c r="D171" s="3" t="s">
        <v>27</v>
      </c>
      <c r="E171" s="3">
        <v>47</v>
      </c>
      <c r="F171" s="5">
        <v>0.5</v>
      </c>
      <c r="G171" s="8">
        <f t="shared" si="2"/>
        <v>23.5</v>
      </c>
    </row>
    <row r="172" spans="1:7" hidden="1" x14ac:dyDescent="0.25">
      <c r="A172" s="4">
        <v>42167</v>
      </c>
      <c r="B172" s="3" t="s">
        <v>26</v>
      </c>
      <c r="C172" s="3" t="s">
        <v>6</v>
      </c>
      <c r="D172" s="3" t="s">
        <v>28</v>
      </c>
      <c r="E172" s="3">
        <v>46</v>
      </c>
      <c r="F172" s="5">
        <v>2</v>
      </c>
      <c r="G172" s="8">
        <f t="shared" si="2"/>
        <v>92</v>
      </c>
    </row>
    <row r="173" spans="1:7" hidden="1" x14ac:dyDescent="0.25">
      <c r="A173" s="4">
        <v>42078</v>
      </c>
      <c r="B173" s="3" t="s">
        <v>37</v>
      </c>
      <c r="C173" s="3" t="s">
        <v>19</v>
      </c>
      <c r="D173" s="3" t="s">
        <v>28</v>
      </c>
      <c r="E173" s="3">
        <v>31</v>
      </c>
      <c r="F173" s="5">
        <v>2</v>
      </c>
      <c r="G173" s="8">
        <f t="shared" si="2"/>
        <v>62</v>
      </c>
    </row>
    <row r="174" spans="1:7" hidden="1" x14ac:dyDescent="0.25">
      <c r="A174" s="4">
        <v>42127</v>
      </c>
      <c r="B174" s="3" t="s">
        <v>29</v>
      </c>
      <c r="C174" s="3" t="s">
        <v>10</v>
      </c>
      <c r="D174" s="3" t="s">
        <v>27</v>
      </c>
      <c r="E174" s="3">
        <v>41</v>
      </c>
      <c r="F174" s="5">
        <v>0.5</v>
      </c>
      <c r="G174" s="8">
        <f t="shared" si="2"/>
        <v>20.5</v>
      </c>
    </row>
    <row r="175" spans="1:7" hidden="1" x14ac:dyDescent="0.25">
      <c r="A175" s="4">
        <v>42040</v>
      </c>
      <c r="B175" s="3" t="s">
        <v>26</v>
      </c>
      <c r="C175" s="3" t="s">
        <v>5</v>
      </c>
      <c r="D175" s="3" t="s">
        <v>27</v>
      </c>
      <c r="E175" s="3">
        <v>43</v>
      </c>
      <c r="F175" s="5">
        <v>0.5</v>
      </c>
      <c r="G175" s="8">
        <f t="shared" si="2"/>
        <v>21.5</v>
      </c>
    </row>
    <row r="176" spans="1:7" hidden="1" x14ac:dyDescent="0.25">
      <c r="A176" s="4">
        <v>42157</v>
      </c>
      <c r="B176" s="3" t="s">
        <v>39</v>
      </c>
      <c r="C176" s="3" t="s">
        <v>6</v>
      </c>
      <c r="D176" s="3" t="s">
        <v>35</v>
      </c>
      <c r="E176" s="3">
        <v>3</v>
      </c>
      <c r="F176" s="5">
        <v>4</v>
      </c>
      <c r="G176" s="8">
        <f t="shared" si="2"/>
        <v>12</v>
      </c>
    </row>
    <row r="177" spans="1:7" hidden="1" x14ac:dyDescent="0.25">
      <c r="A177" s="4">
        <v>42112</v>
      </c>
      <c r="B177" s="3" t="s">
        <v>37</v>
      </c>
      <c r="C177" s="3" t="s">
        <v>6</v>
      </c>
      <c r="D177" s="3" t="s">
        <v>33</v>
      </c>
      <c r="E177" s="3">
        <v>18</v>
      </c>
      <c r="F177" s="5">
        <v>5</v>
      </c>
      <c r="G177" s="8">
        <f t="shared" si="2"/>
        <v>90</v>
      </c>
    </row>
    <row r="178" spans="1:7" hidden="1" x14ac:dyDescent="0.25">
      <c r="A178" s="4">
        <v>42014</v>
      </c>
      <c r="B178" s="3" t="s">
        <v>37</v>
      </c>
      <c r="C178" s="3" t="s">
        <v>5</v>
      </c>
      <c r="D178" s="3" t="s">
        <v>34</v>
      </c>
      <c r="E178" s="3">
        <v>12</v>
      </c>
      <c r="F178" s="5">
        <v>0.2</v>
      </c>
      <c r="G178" s="8">
        <f t="shared" si="2"/>
        <v>2.4000000000000004</v>
      </c>
    </row>
    <row r="179" spans="1:7" hidden="1" x14ac:dyDescent="0.25">
      <c r="A179" s="4">
        <v>42159</v>
      </c>
      <c r="B179" s="3" t="s">
        <v>32</v>
      </c>
      <c r="C179" s="3" t="s">
        <v>2</v>
      </c>
      <c r="D179" s="3" t="s">
        <v>28</v>
      </c>
      <c r="E179" s="3">
        <v>24</v>
      </c>
      <c r="F179" s="5">
        <v>2</v>
      </c>
      <c r="G179" s="8">
        <f t="shared" si="2"/>
        <v>48</v>
      </c>
    </row>
    <row r="180" spans="1:7" hidden="1" x14ac:dyDescent="0.25">
      <c r="A180" s="4">
        <v>42018</v>
      </c>
      <c r="B180" s="3" t="s">
        <v>38</v>
      </c>
      <c r="C180" s="3" t="s">
        <v>2</v>
      </c>
      <c r="D180" s="3" t="s">
        <v>30</v>
      </c>
      <c r="E180" s="3">
        <v>31</v>
      </c>
      <c r="F180" s="5">
        <v>0.1</v>
      </c>
      <c r="G180" s="8">
        <f t="shared" si="2"/>
        <v>3.1</v>
      </c>
    </row>
    <row r="181" spans="1:7" hidden="1" x14ac:dyDescent="0.25">
      <c r="A181" s="4">
        <v>42122</v>
      </c>
      <c r="B181" s="3" t="s">
        <v>26</v>
      </c>
      <c r="C181" s="3" t="s">
        <v>10</v>
      </c>
      <c r="D181" s="3" t="s">
        <v>36</v>
      </c>
      <c r="E181" s="3">
        <v>32</v>
      </c>
      <c r="F181" s="5">
        <v>1.5</v>
      </c>
      <c r="G181" s="8">
        <f t="shared" si="2"/>
        <v>48</v>
      </c>
    </row>
    <row r="182" spans="1:7" hidden="1" x14ac:dyDescent="0.25">
      <c r="A182" s="4">
        <v>42158</v>
      </c>
      <c r="B182" s="3" t="s">
        <v>32</v>
      </c>
      <c r="C182" s="3" t="s">
        <v>10</v>
      </c>
      <c r="D182" s="3" t="s">
        <v>35</v>
      </c>
      <c r="E182" s="3">
        <v>17</v>
      </c>
      <c r="F182" s="5">
        <v>4</v>
      </c>
      <c r="G182" s="8">
        <f t="shared" si="2"/>
        <v>68</v>
      </c>
    </row>
    <row r="183" spans="1:7" hidden="1" x14ac:dyDescent="0.25">
      <c r="A183" s="4">
        <v>42007</v>
      </c>
      <c r="B183" s="3" t="s">
        <v>39</v>
      </c>
      <c r="C183" s="3" t="s">
        <v>6</v>
      </c>
      <c r="D183" s="3" t="s">
        <v>34</v>
      </c>
      <c r="E183" s="3">
        <v>5</v>
      </c>
      <c r="F183" s="5">
        <v>0.2</v>
      </c>
      <c r="G183" s="8">
        <f t="shared" si="2"/>
        <v>1</v>
      </c>
    </row>
    <row r="184" spans="1:7" hidden="1" x14ac:dyDescent="0.25">
      <c r="A184" s="4">
        <v>42152</v>
      </c>
      <c r="B184" s="3" t="s">
        <v>37</v>
      </c>
      <c r="C184" s="3" t="s">
        <v>5</v>
      </c>
      <c r="D184" s="3" t="s">
        <v>36</v>
      </c>
      <c r="E184" s="3">
        <v>6</v>
      </c>
      <c r="F184" s="5">
        <v>1.5</v>
      </c>
      <c r="G184" s="8">
        <f t="shared" si="2"/>
        <v>9</v>
      </c>
    </row>
    <row r="185" spans="1:7" hidden="1" x14ac:dyDescent="0.25">
      <c r="A185" s="4">
        <v>42124</v>
      </c>
      <c r="B185" s="3" t="s">
        <v>26</v>
      </c>
      <c r="C185" s="3" t="s">
        <v>19</v>
      </c>
      <c r="D185" s="3" t="s">
        <v>36</v>
      </c>
      <c r="E185" s="3">
        <v>28</v>
      </c>
      <c r="F185" s="5">
        <v>1.5</v>
      </c>
      <c r="G185" s="8">
        <f t="shared" si="2"/>
        <v>42</v>
      </c>
    </row>
    <row r="186" spans="1:7" hidden="1" x14ac:dyDescent="0.25">
      <c r="A186" s="4">
        <v>42084</v>
      </c>
      <c r="B186" s="3" t="s">
        <v>26</v>
      </c>
      <c r="C186" s="3" t="s">
        <v>6</v>
      </c>
      <c r="D186" s="3" t="s">
        <v>31</v>
      </c>
      <c r="E186" s="3">
        <v>36</v>
      </c>
      <c r="F186" s="5">
        <v>2.5</v>
      </c>
      <c r="G186" s="8">
        <f t="shared" si="2"/>
        <v>90</v>
      </c>
    </row>
    <row r="187" spans="1:7" hidden="1" x14ac:dyDescent="0.25">
      <c r="A187" s="4">
        <v>42116</v>
      </c>
      <c r="B187" s="3" t="s">
        <v>32</v>
      </c>
      <c r="C187" s="3" t="s">
        <v>10</v>
      </c>
      <c r="D187" s="3" t="s">
        <v>30</v>
      </c>
      <c r="E187" s="3">
        <v>30</v>
      </c>
      <c r="F187" s="5">
        <v>0.1</v>
      </c>
      <c r="G187" s="8">
        <f t="shared" si="2"/>
        <v>3</v>
      </c>
    </row>
    <row r="188" spans="1:7" x14ac:dyDescent="0.25">
      <c r="A188" s="4">
        <v>42153</v>
      </c>
      <c r="B188" s="3" t="s">
        <v>39</v>
      </c>
      <c r="C188" s="3" t="s">
        <v>6</v>
      </c>
      <c r="D188" s="3" t="s">
        <v>35</v>
      </c>
      <c r="E188" s="3">
        <v>26</v>
      </c>
      <c r="F188" s="5">
        <v>4</v>
      </c>
      <c r="G188" s="8">
        <f t="shared" si="2"/>
        <v>104</v>
      </c>
    </row>
    <row r="189" spans="1:7" hidden="1" x14ac:dyDescent="0.25">
      <c r="A189" s="4">
        <v>42006</v>
      </c>
      <c r="B189" s="3" t="s">
        <v>38</v>
      </c>
      <c r="C189" s="3" t="s">
        <v>10</v>
      </c>
      <c r="D189" s="3" t="s">
        <v>34</v>
      </c>
      <c r="E189" s="3">
        <v>33</v>
      </c>
      <c r="F189" s="5">
        <v>0.2</v>
      </c>
      <c r="G189" s="8">
        <f t="shared" si="2"/>
        <v>6.6000000000000005</v>
      </c>
    </row>
    <row r="190" spans="1:7" hidden="1" x14ac:dyDescent="0.25">
      <c r="A190" s="4">
        <v>42138</v>
      </c>
      <c r="B190" s="3" t="s">
        <v>26</v>
      </c>
      <c r="C190" s="3" t="s">
        <v>6</v>
      </c>
      <c r="D190" s="3" t="s">
        <v>28</v>
      </c>
      <c r="E190" s="3">
        <v>26</v>
      </c>
      <c r="F190" s="5">
        <v>2</v>
      </c>
      <c r="G190" s="8">
        <f t="shared" si="2"/>
        <v>52</v>
      </c>
    </row>
    <row r="191" spans="1:7" hidden="1" x14ac:dyDescent="0.25">
      <c r="A191" s="4">
        <v>42054</v>
      </c>
      <c r="B191" s="3" t="s">
        <v>38</v>
      </c>
      <c r="C191" s="3" t="s">
        <v>6</v>
      </c>
      <c r="D191" s="3" t="s">
        <v>27</v>
      </c>
      <c r="E191" s="3">
        <v>17</v>
      </c>
      <c r="F191" s="5">
        <v>0.5</v>
      </c>
      <c r="G191" s="8">
        <f t="shared" si="2"/>
        <v>8.5</v>
      </c>
    </row>
    <row r="192" spans="1:7" hidden="1" x14ac:dyDescent="0.25">
      <c r="A192" s="4">
        <v>42030</v>
      </c>
      <c r="B192" s="3" t="s">
        <v>26</v>
      </c>
      <c r="C192" s="3" t="s">
        <v>19</v>
      </c>
      <c r="D192" s="3" t="s">
        <v>31</v>
      </c>
      <c r="E192" s="3">
        <v>7</v>
      </c>
      <c r="F192" s="5">
        <v>2.5</v>
      </c>
      <c r="G192" s="8">
        <f t="shared" si="2"/>
        <v>17.5</v>
      </c>
    </row>
    <row r="193" spans="1:7" hidden="1" x14ac:dyDescent="0.25">
      <c r="A193" s="4">
        <v>42119</v>
      </c>
      <c r="B193" s="3" t="s">
        <v>38</v>
      </c>
      <c r="C193" s="3" t="s">
        <v>2</v>
      </c>
      <c r="D193" s="3" t="s">
        <v>34</v>
      </c>
      <c r="E193" s="3">
        <v>35</v>
      </c>
      <c r="F193" s="5">
        <v>0.2</v>
      </c>
      <c r="G193" s="8">
        <f t="shared" si="2"/>
        <v>7</v>
      </c>
    </row>
    <row r="194" spans="1:7" hidden="1" x14ac:dyDescent="0.25">
      <c r="A194" s="4">
        <v>42109</v>
      </c>
      <c r="B194" s="3" t="s">
        <v>29</v>
      </c>
      <c r="C194" s="3" t="s">
        <v>5</v>
      </c>
      <c r="D194" s="3" t="s">
        <v>34</v>
      </c>
      <c r="E194" s="3">
        <v>12</v>
      </c>
      <c r="F194" s="5">
        <v>0.2</v>
      </c>
      <c r="G194" s="8">
        <f t="shared" si="2"/>
        <v>2.4000000000000004</v>
      </c>
    </row>
    <row r="195" spans="1:7" hidden="1" x14ac:dyDescent="0.25">
      <c r="A195" s="4">
        <v>42122</v>
      </c>
      <c r="B195" s="3" t="s">
        <v>29</v>
      </c>
      <c r="C195" s="3" t="s">
        <v>2</v>
      </c>
      <c r="D195" s="3" t="s">
        <v>35</v>
      </c>
      <c r="E195" s="3">
        <v>22</v>
      </c>
      <c r="F195" s="5">
        <v>4</v>
      </c>
      <c r="G195" s="8">
        <f t="shared" si="2"/>
        <v>88</v>
      </c>
    </row>
    <row r="196" spans="1:7" hidden="1" x14ac:dyDescent="0.25">
      <c r="A196" s="4">
        <v>42014</v>
      </c>
      <c r="B196" s="3" t="s">
        <v>37</v>
      </c>
      <c r="C196" s="3" t="s">
        <v>10</v>
      </c>
      <c r="D196" s="3" t="s">
        <v>35</v>
      </c>
      <c r="E196" s="3">
        <v>11</v>
      </c>
      <c r="F196" s="5">
        <v>4</v>
      </c>
      <c r="G196" s="8">
        <f t="shared" si="2"/>
        <v>44</v>
      </c>
    </row>
    <row r="197" spans="1:7" hidden="1" x14ac:dyDescent="0.25">
      <c r="A197" s="4">
        <v>42173</v>
      </c>
      <c r="B197" s="3" t="s">
        <v>39</v>
      </c>
      <c r="C197" s="3" t="s">
        <v>6</v>
      </c>
      <c r="D197" s="3" t="s">
        <v>33</v>
      </c>
      <c r="E197" s="3">
        <v>18</v>
      </c>
      <c r="F197" s="5">
        <v>5</v>
      </c>
      <c r="G197" s="8">
        <f t="shared" si="2"/>
        <v>90</v>
      </c>
    </row>
    <row r="198" spans="1:7" hidden="1" x14ac:dyDescent="0.25">
      <c r="A198" s="4">
        <v>42147</v>
      </c>
      <c r="B198" s="3" t="s">
        <v>26</v>
      </c>
      <c r="C198" s="3" t="s">
        <v>6</v>
      </c>
      <c r="D198" s="3" t="s">
        <v>36</v>
      </c>
      <c r="E198" s="3">
        <v>49</v>
      </c>
      <c r="F198" s="5">
        <v>1.5</v>
      </c>
      <c r="G198" s="8">
        <f t="shared" si="2"/>
        <v>73.5</v>
      </c>
    </row>
    <row r="199" spans="1:7" hidden="1" x14ac:dyDescent="0.25">
      <c r="A199" s="4">
        <v>42138</v>
      </c>
      <c r="B199" s="3" t="s">
        <v>37</v>
      </c>
      <c r="C199" s="3" t="s">
        <v>2</v>
      </c>
      <c r="D199" s="3" t="s">
        <v>33</v>
      </c>
      <c r="E199" s="3">
        <v>8</v>
      </c>
      <c r="F199" s="5">
        <v>5</v>
      </c>
      <c r="G199" s="8">
        <f t="shared" ref="G199:G262" si="3">E199*F199</f>
        <v>40</v>
      </c>
    </row>
    <row r="200" spans="1:7" hidden="1" x14ac:dyDescent="0.25">
      <c r="A200" s="4">
        <v>42086</v>
      </c>
      <c r="B200" s="3" t="s">
        <v>38</v>
      </c>
      <c r="C200" s="3" t="s">
        <v>6</v>
      </c>
      <c r="D200" s="3" t="s">
        <v>35</v>
      </c>
      <c r="E200" s="3">
        <v>18</v>
      </c>
      <c r="F200" s="5">
        <v>4</v>
      </c>
      <c r="G200" s="8">
        <f t="shared" si="3"/>
        <v>72</v>
      </c>
    </row>
    <row r="201" spans="1:7" hidden="1" x14ac:dyDescent="0.25">
      <c r="A201" s="4">
        <v>42105</v>
      </c>
      <c r="B201" s="3" t="s">
        <v>39</v>
      </c>
      <c r="C201" s="3" t="s">
        <v>6</v>
      </c>
      <c r="D201" s="3" t="s">
        <v>36</v>
      </c>
      <c r="E201" s="3">
        <v>5</v>
      </c>
      <c r="F201" s="5">
        <v>1.5</v>
      </c>
      <c r="G201" s="8">
        <f t="shared" si="3"/>
        <v>7.5</v>
      </c>
    </row>
    <row r="202" spans="1:7" hidden="1" x14ac:dyDescent="0.25">
      <c r="A202" s="4">
        <v>42096</v>
      </c>
      <c r="B202" s="3" t="s">
        <v>29</v>
      </c>
      <c r="C202" s="3" t="s">
        <v>5</v>
      </c>
      <c r="D202" s="3" t="s">
        <v>28</v>
      </c>
      <c r="E202" s="3">
        <v>43</v>
      </c>
      <c r="F202" s="5">
        <v>2</v>
      </c>
      <c r="G202" s="8">
        <f t="shared" si="3"/>
        <v>86</v>
      </c>
    </row>
    <row r="203" spans="1:7" hidden="1" x14ac:dyDescent="0.25">
      <c r="A203" s="4">
        <v>42130</v>
      </c>
      <c r="B203" s="3" t="s">
        <v>38</v>
      </c>
      <c r="C203" s="3" t="s">
        <v>10</v>
      </c>
      <c r="D203" s="3" t="s">
        <v>36</v>
      </c>
      <c r="E203" s="3">
        <v>45</v>
      </c>
      <c r="F203" s="5">
        <v>1.5</v>
      </c>
      <c r="G203" s="8">
        <f t="shared" si="3"/>
        <v>67.5</v>
      </c>
    </row>
    <row r="204" spans="1:7" x14ac:dyDescent="0.25">
      <c r="A204" s="4">
        <v>42094</v>
      </c>
      <c r="B204" s="3" t="s">
        <v>32</v>
      </c>
      <c r="C204" s="3" t="s">
        <v>10</v>
      </c>
      <c r="D204" s="3" t="s">
        <v>33</v>
      </c>
      <c r="E204" s="3">
        <v>41</v>
      </c>
      <c r="F204" s="5">
        <v>5</v>
      </c>
      <c r="G204" s="8">
        <f t="shared" si="3"/>
        <v>205</v>
      </c>
    </row>
    <row r="205" spans="1:7" x14ac:dyDescent="0.25">
      <c r="A205" s="4">
        <v>42025</v>
      </c>
      <c r="B205" s="3" t="s">
        <v>32</v>
      </c>
      <c r="C205" s="3" t="s">
        <v>10</v>
      </c>
      <c r="D205" s="3" t="s">
        <v>35</v>
      </c>
      <c r="E205" s="3">
        <v>42</v>
      </c>
      <c r="F205" s="5">
        <v>4</v>
      </c>
      <c r="G205" s="8">
        <f t="shared" si="3"/>
        <v>168</v>
      </c>
    </row>
    <row r="206" spans="1:7" hidden="1" x14ac:dyDescent="0.25">
      <c r="A206" s="4">
        <v>42122</v>
      </c>
      <c r="B206" s="3" t="s">
        <v>39</v>
      </c>
      <c r="C206" s="3" t="s">
        <v>2</v>
      </c>
      <c r="D206" s="3" t="s">
        <v>36</v>
      </c>
      <c r="E206" s="3">
        <v>3</v>
      </c>
      <c r="F206" s="5">
        <v>1.5</v>
      </c>
      <c r="G206" s="8">
        <f t="shared" si="3"/>
        <v>4.5</v>
      </c>
    </row>
    <row r="207" spans="1:7" hidden="1" x14ac:dyDescent="0.25">
      <c r="A207" s="4">
        <v>42014</v>
      </c>
      <c r="B207" s="3" t="s">
        <v>37</v>
      </c>
      <c r="C207" s="3" t="s">
        <v>5</v>
      </c>
      <c r="D207" s="3" t="s">
        <v>31</v>
      </c>
      <c r="E207" s="3">
        <v>28</v>
      </c>
      <c r="F207" s="5">
        <v>2.5</v>
      </c>
      <c r="G207" s="8">
        <f t="shared" si="3"/>
        <v>70</v>
      </c>
    </row>
    <row r="208" spans="1:7" hidden="1" x14ac:dyDescent="0.25">
      <c r="A208" s="4">
        <v>42054</v>
      </c>
      <c r="B208" s="3" t="s">
        <v>37</v>
      </c>
      <c r="C208" s="3" t="s">
        <v>19</v>
      </c>
      <c r="D208" s="3" t="s">
        <v>28</v>
      </c>
      <c r="E208" s="3">
        <v>1</v>
      </c>
      <c r="F208" s="5">
        <v>2</v>
      </c>
      <c r="G208" s="8">
        <f t="shared" si="3"/>
        <v>2</v>
      </c>
    </row>
    <row r="209" spans="1:7" hidden="1" x14ac:dyDescent="0.25">
      <c r="A209" s="4">
        <v>42060</v>
      </c>
      <c r="B209" s="3" t="s">
        <v>38</v>
      </c>
      <c r="C209" s="3" t="s">
        <v>6</v>
      </c>
      <c r="D209" s="3" t="s">
        <v>27</v>
      </c>
      <c r="E209" s="3">
        <v>14</v>
      </c>
      <c r="F209" s="5">
        <v>0.5</v>
      </c>
      <c r="G209" s="8">
        <f t="shared" si="3"/>
        <v>7</v>
      </c>
    </row>
    <row r="210" spans="1:7" x14ac:dyDescent="0.25">
      <c r="A210" s="4">
        <v>42154</v>
      </c>
      <c r="B210" s="3" t="s">
        <v>38</v>
      </c>
      <c r="C210" s="3" t="s">
        <v>5</v>
      </c>
      <c r="D210" s="3" t="s">
        <v>35</v>
      </c>
      <c r="E210" s="3">
        <v>32</v>
      </c>
      <c r="F210" s="5">
        <v>4</v>
      </c>
      <c r="G210" s="8">
        <f t="shared" si="3"/>
        <v>128</v>
      </c>
    </row>
    <row r="211" spans="1:7" hidden="1" x14ac:dyDescent="0.25">
      <c r="A211" s="4">
        <v>42152</v>
      </c>
      <c r="B211" s="3" t="s">
        <v>37</v>
      </c>
      <c r="C211" s="3" t="s">
        <v>10</v>
      </c>
      <c r="D211" s="3" t="s">
        <v>36</v>
      </c>
      <c r="E211" s="3">
        <v>11</v>
      </c>
      <c r="F211" s="5">
        <v>1.5</v>
      </c>
      <c r="G211" s="8">
        <f t="shared" si="3"/>
        <v>16.5</v>
      </c>
    </row>
    <row r="212" spans="1:7" hidden="1" x14ac:dyDescent="0.25">
      <c r="A212" s="4">
        <v>42009</v>
      </c>
      <c r="B212" s="3" t="s">
        <v>32</v>
      </c>
      <c r="C212" s="3" t="s">
        <v>2</v>
      </c>
      <c r="D212" s="3" t="s">
        <v>35</v>
      </c>
      <c r="E212" s="3">
        <v>19</v>
      </c>
      <c r="F212" s="5">
        <v>4</v>
      </c>
      <c r="G212" s="8">
        <f t="shared" si="3"/>
        <v>76</v>
      </c>
    </row>
    <row r="213" spans="1:7" hidden="1" x14ac:dyDescent="0.25">
      <c r="A213" s="4">
        <v>42176</v>
      </c>
      <c r="B213" s="3" t="s">
        <v>32</v>
      </c>
      <c r="C213" s="3" t="s">
        <v>10</v>
      </c>
      <c r="D213" s="3" t="s">
        <v>28</v>
      </c>
      <c r="E213" s="3">
        <v>4</v>
      </c>
      <c r="F213" s="5">
        <v>2</v>
      </c>
      <c r="G213" s="8">
        <f t="shared" si="3"/>
        <v>8</v>
      </c>
    </row>
    <row r="214" spans="1:7" hidden="1" x14ac:dyDescent="0.25">
      <c r="A214" s="4">
        <v>42111</v>
      </c>
      <c r="B214" s="3" t="s">
        <v>39</v>
      </c>
      <c r="C214" s="3" t="s">
        <v>6</v>
      </c>
      <c r="D214" s="3" t="s">
        <v>34</v>
      </c>
      <c r="E214" s="3">
        <v>32</v>
      </c>
      <c r="F214" s="5">
        <v>0.2</v>
      </c>
      <c r="G214" s="8">
        <f t="shared" si="3"/>
        <v>6.4</v>
      </c>
    </row>
    <row r="215" spans="1:7" hidden="1" x14ac:dyDescent="0.25">
      <c r="A215" s="4">
        <v>42093</v>
      </c>
      <c r="B215" s="3" t="s">
        <v>39</v>
      </c>
      <c r="C215" s="3" t="s">
        <v>10</v>
      </c>
      <c r="D215" s="3" t="s">
        <v>28</v>
      </c>
      <c r="E215" s="3">
        <v>29</v>
      </c>
      <c r="F215" s="5">
        <v>2</v>
      </c>
      <c r="G215" s="8">
        <f t="shared" si="3"/>
        <v>58</v>
      </c>
    </row>
    <row r="216" spans="1:7" x14ac:dyDescent="0.25">
      <c r="A216" s="4">
        <v>42005</v>
      </c>
      <c r="B216" s="3" t="s">
        <v>37</v>
      </c>
      <c r="C216" s="3" t="s">
        <v>5</v>
      </c>
      <c r="D216" s="3" t="s">
        <v>35</v>
      </c>
      <c r="E216" s="3">
        <v>40</v>
      </c>
      <c r="F216" s="5">
        <v>4</v>
      </c>
      <c r="G216" s="8">
        <f t="shared" si="3"/>
        <v>160</v>
      </c>
    </row>
    <row r="217" spans="1:7" x14ac:dyDescent="0.25">
      <c r="A217" s="4">
        <v>42008</v>
      </c>
      <c r="B217" s="3" t="s">
        <v>37</v>
      </c>
      <c r="C217" s="3" t="s">
        <v>6</v>
      </c>
      <c r="D217" s="3" t="s">
        <v>33</v>
      </c>
      <c r="E217" s="3">
        <v>38</v>
      </c>
      <c r="F217" s="5">
        <v>5</v>
      </c>
      <c r="G217" s="8">
        <f t="shared" si="3"/>
        <v>190</v>
      </c>
    </row>
    <row r="218" spans="1:7" hidden="1" x14ac:dyDescent="0.25">
      <c r="A218" s="4">
        <v>42151</v>
      </c>
      <c r="B218" s="3" t="s">
        <v>32</v>
      </c>
      <c r="C218" s="3" t="s">
        <v>19</v>
      </c>
      <c r="D218" s="3" t="s">
        <v>33</v>
      </c>
      <c r="E218" s="3">
        <v>13</v>
      </c>
      <c r="F218" s="5">
        <v>5</v>
      </c>
      <c r="G218" s="8">
        <f t="shared" si="3"/>
        <v>65</v>
      </c>
    </row>
    <row r="219" spans="1:7" hidden="1" x14ac:dyDescent="0.25">
      <c r="A219" s="4">
        <v>42026</v>
      </c>
      <c r="B219" s="3" t="s">
        <v>32</v>
      </c>
      <c r="C219" s="3" t="s">
        <v>2</v>
      </c>
      <c r="D219" s="3" t="s">
        <v>34</v>
      </c>
      <c r="E219" s="3">
        <v>19</v>
      </c>
      <c r="F219" s="5">
        <v>0.2</v>
      </c>
      <c r="G219" s="8">
        <f t="shared" si="3"/>
        <v>3.8000000000000003</v>
      </c>
    </row>
    <row r="220" spans="1:7" hidden="1" x14ac:dyDescent="0.25">
      <c r="A220" s="4">
        <v>42028</v>
      </c>
      <c r="B220" s="3" t="s">
        <v>37</v>
      </c>
      <c r="C220" s="3" t="s">
        <v>5</v>
      </c>
      <c r="D220" s="3" t="s">
        <v>28</v>
      </c>
      <c r="E220" s="3">
        <v>2</v>
      </c>
      <c r="F220" s="5">
        <v>2</v>
      </c>
      <c r="G220" s="8">
        <f t="shared" si="3"/>
        <v>4</v>
      </c>
    </row>
    <row r="221" spans="1:7" hidden="1" x14ac:dyDescent="0.25">
      <c r="A221" s="4">
        <v>42105</v>
      </c>
      <c r="B221" s="3" t="s">
        <v>32</v>
      </c>
      <c r="C221" s="3" t="s">
        <v>10</v>
      </c>
      <c r="D221" s="3" t="s">
        <v>27</v>
      </c>
      <c r="E221" s="3">
        <v>46</v>
      </c>
      <c r="F221" s="5">
        <v>0.5</v>
      </c>
      <c r="G221" s="8">
        <f t="shared" si="3"/>
        <v>23</v>
      </c>
    </row>
    <row r="222" spans="1:7" x14ac:dyDescent="0.25">
      <c r="A222" s="4">
        <v>42038</v>
      </c>
      <c r="B222" s="3" t="s">
        <v>32</v>
      </c>
      <c r="C222" s="3" t="s">
        <v>5</v>
      </c>
      <c r="D222" s="3" t="s">
        <v>35</v>
      </c>
      <c r="E222" s="3">
        <v>41</v>
      </c>
      <c r="F222" s="5">
        <v>4</v>
      </c>
      <c r="G222" s="8">
        <f t="shared" si="3"/>
        <v>164</v>
      </c>
    </row>
    <row r="223" spans="1:7" hidden="1" x14ac:dyDescent="0.25">
      <c r="A223" s="4">
        <v>42014</v>
      </c>
      <c r="B223" s="3" t="s">
        <v>38</v>
      </c>
      <c r="C223" s="3" t="s">
        <v>10</v>
      </c>
      <c r="D223" s="3" t="s">
        <v>36</v>
      </c>
      <c r="E223" s="3">
        <v>11</v>
      </c>
      <c r="F223" s="5">
        <v>1.5</v>
      </c>
      <c r="G223" s="8">
        <f t="shared" si="3"/>
        <v>16.5</v>
      </c>
    </row>
    <row r="224" spans="1:7" hidden="1" x14ac:dyDescent="0.25">
      <c r="A224" s="4">
        <v>42005</v>
      </c>
      <c r="B224" s="3" t="s">
        <v>38</v>
      </c>
      <c r="C224" s="3" t="s">
        <v>10</v>
      </c>
      <c r="D224" s="3" t="s">
        <v>34</v>
      </c>
      <c r="E224" s="3">
        <v>21</v>
      </c>
      <c r="F224" s="5">
        <v>0.2</v>
      </c>
      <c r="G224" s="8">
        <f t="shared" si="3"/>
        <v>4.2</v>
      </c>
    </row>
    <row r="225" spans="1:7" hidden="1" x14ac:dyDescent="0.25">
      <c r="A225" s="4">
        <v>42117</v>
      </c>
      <c r="B225" s="3" t="s">
        <v>32</v>
      </c>
      <c r="C225" s="3" t="s">
        <v>6</v>
      </c>
      <c r="D225" s="3" t="s">
        <v>31</v>
      </c>
      <c r="E225" s="3">
        <v>8</v>
      </c>
      <c r="F225" s="5">
        <v>2.5</v>
      </c>
      <c r="G225" s="8">
        <f t="shared" si="3"/>
        <v>20</v>
      </c>
    </row>
    <row r="226" spans="1:7" hidden="1" x14ac:dyDescent="0.25">
      <c r="A226" s="4">
        <v>42048</v>
      </c>
      <c r="B226" s="3" t="s">
        <v>26</v>
      </c>
      <c r="C226" s="3" t="s">
        <v>19</v>
      </c>
      <c r="D226" s="3" t="s">
        <v>35</v>
      </c>
      <c r="E226" s="3">
        <v>15</v>
      </c>
      <c r="F226" s="5">
        <v>4</v>
      </c>
      <c r="G226" s="8">
        <f t="shared" si="3"/>
        <v>60</v>
      </c>
    </row>
    <row r="227" spans="1:7" hidden="1" x14ac:dyDescent="0.25">
      <c r="A227" s="4">
        <v>42152</v>
      </c>
      <c r="B227" s="3" t="s">
        <v>37</v>
      </c>
      <c r="C227" s="3" t="s">
        <v>2</v>
      </c>
      <c r="D227" s="3" t="s">
        <v>30</v>
      </c>
      <c r="E227" s="3">
        <v>15</v>
      </c>
      <c r="F227" s="5">
        <v>0.1</v>
      </c>
      <c r="G227" s="8">
        <f t="shared" si="3"/>
        <v>1.5</v>
      </c>
    </row>
    <row r="228" spans="1:7" hidden="1" x14ac:dyDescent="0.25">
      <c r="A228" s="4">
        <v>42055</v>
      </c>
      <c r="B228" s="3" t="s">
        <v>38</v>
      </c>
      <c r="C228" s="3" t="s">
        <v>19</v>
      </c>
      <c r="D228" s="3" t="s">
        <v>28</v>
      </c>
      <c r="E228" s="3">
        <v>14</v>
      </c>
      <c r="F228" s="5">
        <v>2</v>
      </c>
      <c r="G228" s="8">
        <f t="shared" si="3"/>
        <v>28</v>
      </c>
    </row>
    <row r="229" spans="1:7" x14ac:dyDescent="0.25">
      <c r="A229" s="4">
        <v>42016</v>
      </c>
      <c r="B229" s="3" t="s">
        <v>38</v>
      </c>
      <c r="C229" s="3" t="s">
        <v>6</v>
      </c>
      <c r="D229" s="3" t="s">
        <v>35</v>
      </c>
      <c r="E229" s="3">
        <v>49</v>
      </c>
      <c r="F229" s="5">
        <v>4</v>
      </c>
      <c r="G229" s="8">
        <f t="shared" si="3"/>
        <v>196</v>
      </c>
    </row>
    <row r="230" spans="1:7" hidden="1" x14ac:dyDescent="0.25">
      <c r="A230" s="4">
        <v>42075</v>
      </c>
      <c r="B230" s="3" t="s">
        <v>37</v>
      </c>
      <c r="C230" s="3" t="s">
        <v>2</v>
      </c>
      <c r="D230" s="3" t="s">
        <v>31</v>
      </c>
      <c r="E230" s="3">
        <v>5</v>
      </c>
      <c r="F230" s="5">
        <v>2.5</v>
      </c>
      <c r="G230" s="8">
        <f t="shared" si="3"/>
        <v>12.5</v>
      </c>
    </row>
    <row r="231" spans="1:7" hidden="1" x14ac:dyDescent="0.25">
      <c r="A231" s="4">
        <v>42128</v>
      </c>
      <c r="B231" s="3" t="s">
        <v>39</v>
      </c>
      <c r="C231" s="3" t="s">
        <v>6</v>
      </c>
      <c r="D231" s="3" t="s">
        <v>34</v>
      </c>
      <c r="E231" s="3">
        <v>19</v>
      </c>
      <c r="F231" s="5">
        <v>0.2</v>
      </c>
      <c r="G231" s="8">
        <f t="shared" si="3"/>
        <v>3.8000000000000003</v>
      </c>
    </row>
    <row r="232" spans="1:7" hidden="1" x14ac:dyDescent="0.25">
      <c r="A232" s="4">
        <v>42122</v>
      </c>
      <c r="B232" s="3" t="s">
        <v>32</v>
      </c>
      <c r="C232" s="3" t="s">
        <v>10</v>
      </c>
      <c r="D232" s="3" t="s">
        <v>34</v>
      </c>
      <c r="E232" s="3">
        <v>22</v>
      </c>
      <c r="F232" s="5">
        <v>0.2</v>
      </c>
      <c r="G232" s="8">
        <f t="shared" si="3"/>
        <v>4.4000000000000004</v>
      </c>
    </row>
    <row r="233" spans="1:7" hidden="1" x14ac:dyDescent="0.25">
      <c r="A233" s="4">
        <v>42151</v>
      </c>
      <c r="B233" s="3" t="s">
        <v>37</v>
      </c>
      <c r="C233" s="3" t="s">
        <v>19</v>
      </c>
      <c r="D233" s="3" t="s">
        <v>31</v>
      </c>
      <c r="E233" s="3">
        <v>28</v>
      </c>
      <c r="F233" s="5">
        <v>2.5</v>
      </c>
      <c r="G233" s="8">
        <f t="shared" si="3"/>
        <v>70</v>
      </c>
    </row>
    <row r="234" spans="1:7" hidden="1" x14ac:dyDescent="0.25">
      <c r="A234" s="4">
        <v>42020</v>
      </c>
      <c r="B234" s="3" t="s">
        <v>37</v>
      </c>
      <c r="C234" s="3" t="s">
        <v>2</v>
      </c>
      <c r="D234" s="3" t="s">
        <v>28</v>
      </c>
      <c r="E234" s="3">
        <v>26</v>
      </c>
      <c r="F234" s="5">
        <v>2</v>
      </c>
      <c r="G234" s="8">
        <f t="shared" si="3"/>
        <v>52</v>
      </c>
    </row>
    <row r="235" spans="1:7" x14ac:dyDescent="0.25">
      <c r="A235" s="4">
        <v>42087</v>
      </c>
      <c r="B235" s="3" t="s">
        <v>39</v>
      </c>
      <c r="C235" s="3" t="s">
        <v>6</v>
      </c>
      <c r="D235" s="3" t="s">
        <v>33</v>
      </c>
      <c r="E235" s="3">
        <v>23</v>
      </c>
      <c r="F235" s="5">
        <v>5</v>
      </c>
      <c r="G235" s="8">
        <f t="shared" si="3"/>
        <v>115</v>
      </c>
    </row>
    <row r="236" spans="1:7" hidden="1" x14ac:dyDescent="0.25">
      <c r="A236" s="4">
        <v>42030</v>
      </c>
      <c r="B236" s="3" t="s">
        <v>39</v>
      </c>
      <c r="C236" s="3" t="s">
        <v>10</v>
      </c>
      <c r="D236" s="3" t="s">
        <v>34</v>
      </c>
      <c r="E236" s="3">
        <v>39</v>
      </c>
      <c r="F236" s="5">
        <v>0.2</v>
      </c>
      <c r="G236" s="8">
        <f t="shared" si="3"/>
        <v>7.8000000000000007</v>
      </c>
    </row>
    <row r="237" spans="1:7" hidden="1" x14ac:dyDescent="0.25">
      <c r="A237" s="4">
        <v>42104</v>
      </c>
      <c r="B237" s="3" t="s">
        <v>29</v>
      </c>
      <c r="C237" s="3" t="s">
        <v>19</v>
      </c>
      <c r="D237" s="3" t="s">
        <v>27</v>
      </c>
      <c r="E237" s="3">
        <v>14</v>
      </c>
      <c r="F237" s="5">
        <v>0.5</v>
      </c>
      <c r="G237" s="8">
        <f t="shared" si="3"/>
        <v>7</v>
      </c>
    </row>
    <row r="238" spans="1:7" hidden="1" x14ac:dyDescent="0.25">
      <c r="A238" s="4">
        <v>42137</v>
      </c>
      <c r="B238" s="3" t="s">
        <v>26</v>
      </c>
      <c r="C238" s="3" t="s">
        <v>2</v>
      </c>
      <c r="D238" s="3" t="s">
        <v>28</v>
      </c>
      <c r="E238" s="3">
        <v>35</v>
      </c>
      <c r="F238" s="5">
        <v>2</v>
      </c>
      <c r="G238" s="8">
        <f t="shared" si="3"/>
        <v>70</v>
      </c>
    </row>
    <row r="239" spans="1:7" hidden="1" x14ac:dyDescent="0.25">
      <c r="A239" s="4">
        <v>42149</v>
      </c>
      <c r="B239" s="3" t="s">
        <v>37</v>
      </c>
      <c r="C239" s="3" t="s">
        <v>19</v>
      </c>
      <c r="D239" s="3" t="s">
        <v>28</v>
      </c>
      <c r="E239" s="3">
        <v>26</v>
      </c>
      <c r="F239" s="5">
        <v>2</v>
      </c>
      <c r="G239" s="8">
        <f t="shared" si="3"/>
        <v>52</v>
      </c>
    </row>
    <row r="240" spans="1:7" hidden="1" x14ac:dyDescent="0.25">
      <c r="A240" s="4">
        <v>42108</v>
      </c>
      <c r="B240" s="3" t="s">
        <v>37</v>
      </c>
      <c r="C240" s="3" t="s">
        <v>10</v>
      </c>
      <c r="D240" s="3" t="s">
        <v>34</v>
      </c>
      <c r="E240" s="3">
        <v>26</v>
      </c>
      <c r="F240" s="5">
        <v>0.2</v>
      </c>
      <c r="G240" s="8">
        <f t="shared" si="3"/>
        <v>5.2</v>
      </c>
    </row>
    <row r="241" spans="1:7" hidden="1" x14ac:dyDescent="0.25">
      <c r="A241" s="4">
        <v>42183</v>
      </c>
      <c r="B241" s="3" t="s">
        <v>32</v>
      </c>
      <c r="C241" s="3" t="s">
        <v>6</v>
      </c>
      <c r="D241" s="3" t="s">
        <v>28</v>
      </c>
      <c r="E241" s="3">
        <v>50</v>
      </c>
      <c r="F241" s="5">
        <v>2</v>
      </c>
      <c r="G241" s="8">
        <f t="shared" si="3"/>
        <v>100</v>
      </c>
    </row>
    <row r="242" spans="1:7" hidden="1" x14ac:dyDescent="0.25">
      <c r="A242" s="4">
        <v>42064</v>
      </c>
      <c r="B242" s="3" t="s">
        <v>29</v>
      </c>
      <c r="C242" s="3" t="s">
        <v>6</v>
      </c>
      <c r="D242" s="3" t="s">
        <v>28</v>
      </c>
      <c r="E242" s="3">
        <v>17</v>
      </c>
      <c r="F242" s="5">
        <v>2</v>
      </c>
      <c r="G242" s="8">
        <f t="shared" si="3"/>
        <v>34</v>
      </c>
    </row>
    <row r="243" spans="1:7" x14ac:dyDescent="0.25">
      <c r="A243" s="4">
        <v>42041</v>
      </c>
      <c r="B243" s="3" t="s">
        <v>37</v>
      </c>
      <c r="C243" s="3" t="s">
        <v>5</v>
      </c>
      <c r="D243" s="3" t="s">
        <v>35</v>
      </c>
      <c r="E243" s="3">
        <v>41</v>
      </c>
      <c r="F243" s="5">
        <v>4</v>
      </c>
      <c r="G243" s="8">
        <f t="shared" si="3"/>
        <v>164</v>
      </c>
    </row>
    <row r="244" spans="1:7" hidden="1" x14ac:dyDescent="0.25">
      <c r="A244" s="4">
        <v>42161</v>
      </c>
      <c r="B244" s="3" t="s">
        <v>38</v>
      </c>
      <c r="C244" s="3" t="s">
        <v>19</v>
      </c>
      <c r="D244" s="3" t="s">
        <v>31</v>
      </c>
      <c r="E244" s="3">
        <v>21</v>
      </c>
      <c r="F244" s="5">
        <v>2.5</v>
      </c>
      <c r="G244" s="8">
        <f t="shared" si="3"/>
        <v>52.5</v>
      </c>
    </row>
    <row r="245" spans="1:7" hidden="1" x14ac:dyDescent="0.25">
      <c r="A245" s="4">
        <v>42079</v>
      </c>
      <c r="B245" s="3" t="s">
        <v>32</v>
      </c>
      <c r="C245" s="3" t="s">
        <v>5</v>
      </c>
      <c r="D245" s="3" t="s">
        <v>30</v>
      </c>
      <c r="E245" s="3">
        <v>45</v>
      </c>
      <c r="F245" s="5">
        <v>0.1</v>
      </c>
      <c r="G245" s="8">
        <f t="shared" si="3"/>
        <v>4.5</v>
      </c>
    </row>
    <row r="246" spans="1:7" x14ac:dyDescent="0.25">
      <c r="A246" s="4">
        <v>42008</v>
      </c>
      <c r="B246" s="3" t="s">
        <v>39</v>
      </c>
      <c r="C246" s="3" t="s">
        <v>6</v>
      </c>
      <c r="D246" s="3" t="s">
        <v>35</v>
      </c>
      <c r="E246" s="3">
        <v>38</v>
      </c>
      <c r="F246" s="5">
        <v>4</v>
      </c>
      <c r="G246" s="8">
        <f t="shared" si="3"/>
        <v>152</v>
      </c>
    </row>
    <row r="247" spans="1:7" x14ac:dyDescent="0.25">
      <c r="A247" s="4">
        <v>42055</v>
      </c>
      <c r="B247" s="3" t="s">
        <v>29</v>
      </c>
      <c r="C247" s="3" t="s">
        <v>2</v>
      </c>
      <c r="D247" s="3" t="s">
        <v>35</v>
      </c>
      <c r="E247" s="3">
        <v>44</v>
      </c>
      <c r="F247" s="5">
        <v>4</v>
      </c>
      <c r="G247" s="8">
        <f t="shared" si="3"/>
        <v>176</v>
      </c>
    </row>
    <row r="248" spans="1:7" x14ac:dyDescent="0.25">
      <c r="A248" s="4">
        <v>42010</v>
      </c>
      <c r="B248" s="3" t="s">
        <v>26</v>
      </c>
      <c r="C248" s="3" t="s">
        <v>5</v>
      </c>
      <c r="D248" s="3" t="s">
        <v>33</v>
      </c>
      <c r="E248" s="3">
        <v>43</v>
      </c>
      <c r="F248" s="5">
        <v>5</v>
      </c>
      <c r="G248" s="8">
        <f t="shared" si="3"/>
        <v>215</v>
      </c>
    </row>
    <row r="249" spans="1:7" hidden="1" x14ac:dyDescent="0.25">
      <c r="A249" s="4">
        <v>42109</v>
      </c>
      <c r="B249" s="3" t="s">
        <v>38</v>
      </c>
      <c r="C249" s="3" t="s">
        <v>19</v>
      </c>
      <c r="D249" s="3" t="s">
        <v>34</v>
      </c>
      <c r="E249" s="3">
        <v>10</v>
      </c>
      <c r="F249" s="5">
        <v>0.2</v>
      </c>
      <c r="G249" s="8">
        <f t="shared" si="3"/>
        <v>2</v>
      </c>
    </row>
    <row r="250" spans="1:7" hidden="1" x14ac:dyDescent="0.25">
      <c r="A250" s="4">
        <v>42057</v>
      </c>
      <c r="B250" s="3" t="s">
        <v>39</v>
      </c>
      <c r="C250" s="3" t="s">
        <v>2</v>
      </c>
      <c r="D250" s="3" t="s">
        <v>28</v>
      </c>
      <c r="E250" s="3">
        <v>30</v>
      </c>
      <c r="F250" s="5">
        <v>2</v>
      </c>
      <c r="G250" s="8">
        <f t="shared" si="3"/>
        <v>60</v>
      </c>
    </row>
    <row r="251" spans="1:7" hidden="1" x14ac:dyDescent="0.25">
      <c r="A251" s="4">
        <v>42131</v>
      </c>
      <c r="B251" s="3" t="s">
        <v>39</v>
      </c>
      <c r="C251" s="3" t="s">
        <v>2</v>
      </c>
      <c r="D251" s="3" t="s">
        <v>30</v>
      </c>
      <c r="E251" s="3">
        <v>22</v>
      </c>
      <c r="F251" s="5">
        <v>0.1</v>
      </c>
      <c r="G251" s="8">
        <f t="shared" si="3"/>
        <v>2.2000000000000002</v>
      </c>
    </row>
    <row r="252" spans="1:7" hidden="1" x14ac:dyDescent="0.25">
      <c r="A252" s="4">
        <v>42025</v>
      </c>
      <c r="B252" s="3" t="s">
        <v>29</v>
      </c>
      <c r="C252" s="3" t="s">
        <v>6</v>
      </c>
      <c r="D252" s="3" t="s">
        <v>36</v>
      </c>
      <c r="E252" s="3">
        <v>39</v>
      </c>
      <c r="F252" s="5">
        <v>1.5</v>
      </c>
      <c r="G252" s="8">
        <f t="shared" si="3"/>
        <v>58.5</v>
      </c>
    </row>
    <row r="253" spans="1:7" hidden="1" x14ac:dyDescent="0.25">
      <c r="A253" s="4">
        <v>42084</v>
      </c>
      <c r="B253" s="3" t="s">
        <v>29</v>
      </c>
      <c r="C253" s="3" t="s">
        <v>2</v>
      </c>
      <c r="D253" s="3" t="s">
        <v>30</v>
      </c>
      <c r="E253" s="3">
        <v>45</v>
      </c>
      <c r="F253" s="5">
        <v>0.1</v>
      </c>
      <c r="G253" s="8">
        <f t="shared" si="3"/>
        <v>4.5</v>
      </c>
    </row>
    <row r="254" spans="1:7" hidden="1" x14ac:dyDescent="0.25">
      <c r="A254" s="4">
        <v>42146</v>
      </c>
      <c r="B254" s="3" t="s">
        <v>39</v>
      </c>
      <c r="C254" s="3" t="s">
        <v>2</v>
      </c>
      <c r="D254" s="3" t="s">
        <v>35</v>
      </c>
      <c r="E254" s="3">
        <v>24</v>
      </c>
      <c r="F254" s="5">
        <v>4</v>
      </c>
      <c r="G254" s="8">
        <f t="shared" si="3"/>
        <v>96</v>
      </c>
    </row>
    <row r="255" spans="1:7" hidden="1" x14ac:dyDescent="0.25">
      <c r="A255" s="4">
        <v>42119</v>
      </c>
      <c r="B255" s="3" t="s">
        <v>26</v>
      </c>
      <c r="C255" s="3" t="s">
        <v>10</v>
      </c>
      <c r="D255" s="3" t="s">
        <v>28</v>
      </c>
      <c r="E255" s="3">
        <v>1</v>
      </c>
      <c r="F255" s="5">
        <v>2</v>
      </c>
      <c r="G255" s="8">
        <f t="shared" si="3"/>
        <v>2</v>
      </c>
    </row>
    <row r="256" spans="1:7" hidden="1" x14ac:dyDescent="0.25">
      <c r="A256" s="4">
        <v>42009</v>
      </c>
      <c r="B256" s="3" t="s">
        <v>38</v>
      </c>
      <c r="C256" s="3" t="s">
        <v>6</v>
      </c>
      <c r="D256" s="3" t="s">
        <v>34</v>
      </c>
      <c r="E256" s="3">
        <v>49</v>
      </c>
      <c r="F256" s="5">
        <v>0.2</v>
      </c>
      <c r="G256" s="8">
        <f t="shared" si="3"/>
        <v>9.8000000000000007</v>
      </c>
    </row>
    <row r="257" spans="1:7" hidden="1" x14ac:dyDescent="0.25">
      <c r="A257" s="4">
        <v>42177</v>
      </c>
      <c r="B257" s="3" t="s">
        <v>26</v>
      </c>
      <c r="C257" s="3" t="s">
        <v>5</v>
      </c>
      <c r="D257" s="3" t="s">
        <v>36</v>
      </c>
      <c r="E257" s="3">
        <v>32</v>
      </c>
      <c r="F257" s="5">
        <v>1.5</v>
      </c>
      <c r="G257" s="8">
        <f t="shared" si="3"/>
        <v>48</v>
      </c>
    </row>
    <row r="258" spans="1:7" hidden="1" x14ac:dyDescent="0.25">
      <c r="A258" s="4">
        <v>42083</v>
      </c>
      <c r="B258" s="3" t="s">
        <v>32</v>
      </c>
      <c r="C258" s="3" t="s">
        <v>10</v>
      </c>
      <c r="D258" s="3" t="s">
        <v>27</v>
      </c>
      <c r="E258" s="3">
        <v>17</v>
      </c>
      <c r="F258" s="5">
        <v>0.5</v>
      </c>
      <c r="G258" s="8">
        <f t="shared" si="3"/>
        <v>8.5</v>
      </c>
    </row>
    <row r="259" spans="1:7" hidden="1" x14ac:dyDescent="0.25">
      <c r="A259" s="4">
        <v>42095</v>
      </c>
      <c r="B259" s="3" t="s">
        <v>38</v>
      </c>
      <c r="C259" s="3" t="s">
        <v>10</v>
      </c>
      <c r="D259" s="3" t="s">
        <v>35</v>
      </c>
      <c r="E259" s="3">
        <v>9</v>
      </c>
      <c r="F259" s="5">
        <v>4</v>
      </c>
      <c r="G259" s="8">
        <f t="shared" si="3"/>
        <v>36</v>
      </c>
    </row>
    <row r="260" spans="1:7" hidden="1" x14ac:dyDescent="0.25">
      <c r="A260" s="4">
        <v>42025</v>
      </c>
      <c r="B260" s="3" t="s">
        <v>38</v>
      </c>
      <c r="C260" s="3" t="s">
        <v>19</v>
      </c>
      <c r="D260" s="3" t="s">
        <v>35</v>
      </c>
      <c r="E260" s="3">
        <v>23</v>
      </c>
      <c r="F260" s="5">
        <v>4</v>
      </c>
      <c r="G260" s="8">
        <f t="shared" si="3"/>
        <v>92</v>
      </c>
    </row>
    <row r="261" spans="1:7" x14ac:dyDescent="0.25">
      <c r="A261" s="4">
        <v>42086</v>
      </c>
      <c r="B261" s="3" t="s">
        <v>29</v>
      </c>
      <c r="C261" s="3" t="s">
        <v>2</v>
      </c>
      <c r="D261" s="3" t="s">
        <v>35</v>
      </c>
      <c r="E261" s="3">
        <v>49</v>
      </c>
      <c r="F261" s="5">
        <v>4</v>
      </c>
      <c r="G261" s="8">
        <f t="shared" si="3"/>
        <v>196</v>
      </c>
    </row>
    <row r="262" spans="1:7" hidden="1" x14ac:dyDescent="0.25">
      <c r="A262" s="4">
        <v>42077</v>
      </c>
      <c r="B262" s="3" t="s">
        <v>32</v>
      </c>
      <c r="C262" s="3" t="s">
        <v>19</v>
      </c>
      <c r="D262" s="3" t="s">
        <v>31</v>
      </c>
      <c r="E262" s="3">
        <v>25</v>
      </c>
      <c r="F262" s="5">
        <v>2.5</v>
      </c>
      <c r="G262" s="8">
        <f t="shared" si="3"/>
        <v>62.5</v>
      </c>
    </row>
    <row r="263" spans="1:7" hidden="1" x14ac:dyDescent="0.25">
      <c r="A263" s="4">
        <v>42059</v>
      </c>
      <c r="B263" s="3" t="s">
        <v>32</v>
      </c>
      <c r="C263" s="3" t="s">
        <v>19</v>
      </c>
      <c r="D263" s="3" t="s">
        <v>31</v>
      </c>
      <c r="E263" s="3">
        <v>11</v>
      </c>
      <c r="F263" s="5">
        <v>2.5</v>
      </c>
      <c r="G263" s="8">
        <f t="shared" ref="G263:G326" si="4">E263*F263</f>
        <v>27.5</v>
      </c>
    </row>
    <row r="264" spans="1:7" hidden="1" x14ac:dyDescent="0.25">
      <c r="A264" s="4">
        <v>42033</v>
      </c>
      <c r="B264" s="3" t="s">
        <v>37</v>
      </c>
      <c r="C264" s="3" t="s">
        <v>2</v>
      </c>
      <c r="D264" s="3" t="s">
        <v>34</v>
      </c>
      <c r="E264" s="3">
        <v>18</v>
      </c>
      <c r="F264" s="5">
        <v>0.2</v>
      </c>
      <c r="G264" s="8">
        <f t="shared" si="4"/>
        <v>3.6</v>
      </c>
    </row>
    <row r="265" spans="1:7" x14ac:dyDescent="0.25">
      <c r="A265" s="4">
        <v>42063</v>
      </c>
      <c r="B265" s="3" t="s">
        <v>39</v>
      </c>
      <c r="C265" s="3" t="s">
        <v>10</v>
      </c>
      <c r="D265" s="3" t="s">
        <v>33</v>
      </c>
      <c r="E265" s="3">
        <v>40</v>
      </c>
      <c r="F265" s="5">
        <v>5</v>
      </c>
      <c r="G265" s="8">
        <f t="shared" si="4"/>
        <v>200</v>
      </c>
    </row>
    <row r="266" spans="1:7" hidden="1" x14ac:dyDescent="0.25">
      <c r="A266" s="4">
        <v>42063</v>
      </c>
      <c r="B266" s="3" t="s">
        <v>38</v>
      </c>
      <c r="C266" s="3" t="s">
        <v>6</v>
      </c>
      <c r="D266" s="3" t="s">
        <v>30</v>
      </c>
      <c r="E266" s="3">
        <v>3</v>
      </c>
      <c r="F266" s="5">
        <v>0.1</v>
      </c>
      <c r="G266" s="8">
        <f t="shared" si="4"/>
        <v>0.30000000000000004</v>
      </c>
    </row>
    <row r="267" spans="1:7" hidden="1" x14ac:dyDescent="0.25">
      <c r="A267" s="4">
        <v>42122</v>
      </c>
      <c r="B267" s="3" t="s">
        <v>26</v>
      </c>
      <c r="C267" s="3" t="s">
        <v>2</v>
      </c>
      <c r="D267" s="3" t="s">
        <v>27</v>
      </c>
      <c r="E267" s="3">
        <v>17</v>
      </c>
      <c r="F267" s="5">
        <v>0.5</v>
      </c>
      <c r="G267" s="8">
        <f t="shared" si="4"/>
        <v>8.5</v>
      </c>
    </row>
    <row r="268" spans="1:7" hidden="1" x14ac:dyDescent="0.25">
      <c r="A268" s="4">
        <v>42118</v>
      </c>
      <c r="B268" s="3" t="s">
        <v>37</v>
      </c>
      <c r="C268" s="3" t="s">
        <v>10</v>
      </c>
      <c r="D268" s="3" t="s">
        <v>31</v>
      </c>
      <c r="E268" s="3">
        <v>9</v>
      </c>
      <c r="F268" s="5">
        <v>2.5</v>
      </c>
      <c r="G268" s="8">
        <f t="shared" si="4"/>
        <v>22.5</v>
      </c>
    </row>
    <row r="269" spans="1:7" hidden="1" x14ac:dyDescent="0.25">
      <c r="A269" s="4">
        <v>42177</v>
      </c>
      <c r="B269" s="3" t="s">
        <v>29</v>
      </c>
      <c r="C269" s="3" t="s">
        <v>10</v>
      </c>
      <c r="D269" s="3" t="s">
        <v>30</v>
      </c>
      <c r="E269" s="3">
        <v>34</v>
      </c>
      <c r="F269" s="5">
        <v>0.1</v>
      </c>
      <c r="G269" s="8">
        <f t="shared" si="4"/>
        <v>3.4000000000000004</v>
      </c>
    </row>
    <row r="270" spans="1:7" hidden="1" x14ac:dyDescent="0.25">
      <c r="A270" s="4">
        <v>42053</v>
      </c>
      <c r="B270" s="3" t="s">
        <v>32</v>
      </c>
      <c r="C270" s="3" t="s">
        <v>10</v>
      </c>
      <c r="D270" s="3" t="s">
        <v>28</v>
      </c>
      <c r="E270" s="3">
        <v>22</v>
      </c>
      <c r="F270" s="5">
        <v>2</v>
      </c>
      <c r="G270" s="8">
        <f t="shared" si="4"/>
        <v>44</v>
      </c>
    </row>
    <row r="271" spans="1:7" hidden="1" x14ac:dyDescent="0.25">
      <c r="A271" s="4">
        <v>42030</v>
      </c>
      <c r="B271" s="3" t="s">
        <v>38</v>
      </c>
      <c r="C271" s="3" t="s">
        <v>2</v>
      </c>
      <c r="D271" s="3" t="s">
        <v>31</v>
      </c>
      <c r="E271" s="3">
        <v>28</v>
      </c>
      <c r="F271" s="5">
        <v>2.5</v>
      </c>
      <c r="G271" s="8">
        <f t="shared" si="4"/>
        <v>70</v>
      </c>
    </row>
    <row r="272" spans="1:7" hidden="1" x14ac:dyDescent="0.25">
      <c r="A272" s="4">
        <v>42090</v>
      </c>
      <c r="B272" s="3" t="s">
        <v>32</v>
      </c>
      <c r="C272" s="3" t="s">
        <v>2</v>
      </c>
      <c r="D272" s="3" t="s">
        <v>31</v>
      </c>
      <c r="E272" s="3">
        <v>21</v>
      </c>
      <c r="F272" s="5">
        <v>2.5</v>
      </c>
      <c r="G272" s="8">
        <f t="shared" si="4"/>
        <v>52.5</v>
      </c>
    </row>
    <row r="273" spans="1:7" hidden="1" x14ac:dyDescent="0.25">
      <c r="A273" s="4">
        <v>42158</v>
      </c>
      <c r="B273" s="3" t="s">
        <v>29</v>
      </c>
      <c r="C273" s="3" t="s">
        <v>10</v>
      </c>
      <c r="D273" s="3" t="s">
        <v>30</v>
      </c>
      <c r="E273" s="3">
        <v>45</v>
      </c>
      <c r="F273" s="5">
        <v>0.1</v>
      </c>
      <c r="G273" s="8">
        <f t="shared" si="4"/>
        <v>4.5</v>
      </c>
    </row>
    <row r="274" spans="1:7" hidden="1" x14ac:dyDescent="0.25">
      <c r="A274" s="4">
        <v>42185</v>
      </c>
      <c r="B274" s="3" t="s">
        <v>29</v>
      </c>
      <c r="C274" s="3" t="s">
        <v>2</v>
      </c>
      <c r="D274" s="3" t="s">
        <v>33</v>
      </c>
      <c r="E274" s="3">
        <v>17</v>
      </c>
      <c r="F274" s="5">
        <v>5</v>
      </c>
      <c r="G274" s="8">
        <f t="shared" si="4"/>
        <v>85</v>
      </c>
    </row>
    <row r="275" spans="1:7" hidden="1" x14ac:dyDescent="0.25">
      <c r="A275" s="4">
        <v>42079</v>
      </c>
      <c r="B275" s="3" t="s">
        <v>38</v>
      </c>
      <c r="C275" s="3" t="s">
        <v>5</v>
      </c>
      <c r="D275" s="3" t="s">
        <v>28</v>
      </c>
      <c r="E275" s="3">
        <v>44</v>
      </c>
      <c r="F275" s="5">
        <v>2</v>
      </c>
      <c r="G275" s="8">
        <f t="shared" si="4"/>
        <v>88</v>
      </c>
    </row>
    <row r="276" spans="1:7" hidden="1" x14ac:dyDescent="0.25">
      <c r="A276" s="4">
        <v>42078</v>
      </c>
      <c r="B276" s="3" t="s">
        <v>29</v>
      </c>
      <c r="C276" s="3" t="s">
        <v>19</v>
      </c>
      <c r="D276" s="3" t="s">
        <v>33</v>
      </c>
      <c r="E276" s="3">
        <v>20</v>
      </c>
      <c r="F276" s="5">
        <v>5</v>
      </c>
      <c r="G276" s="8">
        <f t="shared" si="4"/>
        <v>100</v>
      </c>
    </row>
    <row r="277" spans="1:7" hidden="1" x14ac:dyDescent="0.25">
      <c r="A277" s="4">
        <v>42170</v>
      </c>
      <c r="B277" s="3" t="s">
        <v>39</v>
      </c>
      <c r="C277" s="3" t="s">
        <v>10</v>
      </c>
      <c r="D277" s="3" t="s">
        <v>36</v>
      </c>
      <c r="E277" s="3">
        <v>29</v>
      </c>
      <c r="F277" s="5">
        <v>1.5</v>
      </c>
      <c r="G277" s="8">
        <f t="shared" si="4"/>
        <v>43.5</v>
      </c>
    </row>
    <row r="278" spans="1:7" hidden="1" x14ac:dyDescent="0.25">
      <c r="A278" s="4">
        <v>42027</v>
      </c>
      <c r="B278" s="3" t="s">
        <v>26</v>
      </c>
      <c r="C278" s="3" t="s">
        <v>10</v>
      </c>
      <c r="D278" s="3" t="s">
        <v>36</v>
      </c>
      <c r="E278" s="3">
        <v>13</v>
      </c>
      <c r="F278" s="5">
        <v>1.5</v>
      </c>
      <c r="G278" s="8">
        <f t="shared" si="4"/>
        <v>19.5</v>
      </c>
    </row>
    <row r="279" spans="1:7" x14ac:dyDescent="0.25">
      <c r="A279" s="4">
        <v>42038</v>
      </c>
      <c r="B279" s="3" t="s">
        <v>37</v>
      </c>
      <c r="C279" s="3" t="s">
        <v>19</v>
      </c>
      <c r="D279" s="3" t="s">
        <v>33</v>
      </c>
      <c r="E279" s="3">
        <v>45</v>
      </c>
      <c r="F279" s="5">
        <v>5</v>
      </c>
      <c r="G279" s="8">
        <f t="shared" si="4"/>
        <v>225</v>
      </c>
    </row>
    <row r="280" spans="1:7" hidden="1" x14ac:dyDescent="0.25">
      <c r="A280" s="4">
        <v>42066</v>
      </c>
      <c r="B280" s="3" t="s">
        <v>29</v>
      </c>
      <c r="C280" s="3" t="s">
        <v>2</v>
      </c>
      <c r="D280" s="3" t="s">
        <v>36</v>
      </c>
      <c r="E280" s="3">
        <v>40</v>
      </c>
      <c r="F280" s="5">
        <v>1.5</v>
      </c>
      <c r="G280" s="8">
        <f t="shared" si="4"/>
        <v>60</v>
      </c>
    </row>
    <row r="281" spans="1:7" hidden="1" x14ac:dyDescent="0.25">
      <c r="A281" s="4">
        <v>42069</v>
      </c>
      <c r="B281" s="3" t="s">
        <v>29</v>
      </c>
      <c r="C281" s="3" t="s">
        <v>5</v>
      </c>
      <c r="D281" s="3" t="s">
        <v>31</v>
      </c>
      <c r="E281" s="3">
        <v>10</v>
      </c>
      <c r="F281" s="5">
        <v>2.5</v>
      </c>
      <c r="G281" s="8">
        <f t="shared" si="4"/>
        <v>25</v>
      </c>
    </row>
    <row r="282" spans="1:7" hidden="1" x14ac:dyDescent="0.25">
      <c r="A282" s="4">
        <v>42131</v>
      </c>
      <c r="B282" s="3" t="s">
        <v>29</v>
      </c>
      <c r="C282" s="3" t="s">
        <v>5</v>
      </c>
      <c r="D282" s="3" t="s">
        <v>36</v>
      </c>
      <c r="E282" s="3">
        <v>40</v>
      </c>
      <c r="F282" s="5">
        <v>1.5</v>
      </c>
      <c r="G282" s="8">
        <f t="shared" si="4"/>
        <v>60</v>
      </c>
    </row>
    <row r="283" spans="1:7" hidden="1" x14ac:dyDescent="0.25">
      <c r="A283" s="4">
        <v>42164</v>
      </c>
      <c r="B283" s="3" t="s">
        <v>26</v>
      </c>
      <c r="C283" s="3" t="s">
        <v>10</v>
      </c>
      <c r="D283" s="3" t="s">
        <v>34</v>
      </c>
      <c r="E283" s="3">
        <v>24</v>
      </c>
      <c r="F283" s="5">
        <v>0.2</v>
      </c>
      <c r="G283" s="8">
        <f t="shared" si="4"/>
        <v>4.8000000000000007</v>
      </c>
    </row>
    <row r="284" spans="1:7" hidden="1" x14ac:dyDescent="0.25">
      <c r="A284" s="4">
        <v>42013</v>
      </c>
      <c r="B284" s="3" t="s">
        <v>38</v>
      </c>
      <c r="C284" s="3" t="s">
        <v>6</v>
      </c>
      <c r="D284" s="3" t="s">
        <v>35</v>
      </c>
      <c r="E284" s="3">
        <v>5</v>
      </c>
      <c r="F284" s="5">
        <v>4</v>
      </c>
      <c r="G284" s="8">
        <f t="shared" si="4"/>
        <v>20</v>
      </c>
    </row>
    <row r="285" spans="1:7" x14ac:dyDescent="0.25">
      <c r="A285" s="4">
        <v>42106</v>
      </c>
      <c r="B285" s="3" t="s">
        <v>29</v>
      </c>
      <c r="C285" s="3" t="s">
        <v>19</v>
      </c>
      <c r="D285" s="3" t="s">
        <v>35</v>
      </c>
      <c r="E285" s="3">
        <v>47</v>
      </c>
      <c r="F285" s="5">
        <v>4</v>
      </c>
      <c r="G285" s="8">
        <f t="shared" si="4"/>
        <v>188</v>
      </c>
    </row>
    <row r="286" spans="1:7" x14ac:dyDescent="0.25">
      <c r="A286" s="4">
        <v>42126</v>
      </c>
      <c r="B286" s="3" t="s">
        <v>38</v>
      </c>
      <c r="C286" s="3" t="s">
        <v>2</v>
      </c>
      <c r="D286" s="3" t="s">
        <v>31</v>
      </c>
      <c r="E286" s="3">
        <v>47</v>
      </c>
      <c r="F286" s="5">
        <v>2.5</v>
      </c>
      <c r="G286" s="8">
        <f t="shared" si="4"/>
        <v>117.5</v>
      </c>
    </row>
    <row r="287" spans="1:7" hidden="1" x14ac:dyDescent="0.25">
      <c r="A287" s="4">
        <v>42157</v>
      </c>
      <c r="B287" s="3" t="s">
        <v>32</v>
      </c>
      <c r="C287" s="3" t="s">
        <v>6</v>
      </c>
      <c r="D287" s="3" t="s">
        <v>36</v>
      </c>
      <c r="E287" s="3">
        <v>27</v>
      </c>
      <c r="F287" s="5">
        <v>1.5</v>
      </c>
      <c r="G287" s="8">
        <f t="shared" si="4"/>
        <v>40.5</v>
      </c>
    </row>
    <row r="288" spans="1:7" hidden="1" x14ac:dyDescent="0.25">
      <c r="A288" s="4">
        <v>42128</v>
      </c>
      <c r="B288" s="3" t="s">
        <v>26</v>
      </c>
      <c r="C288" s="3" t="s">
        <v>5</v>
      </c>
      <c r="D288" s="3" t="s">
        <v>36</v>
      </c>
      <c r="E288" s="3">
        <v>8</v>
      </c>
      <c r="F288" s="5">
        <v>1.5</v>
      </c>
      <c r="G288" s="8">
        <f t="shared" si="4"/>
        <v>12</v>
      </c>
    </row>
    <row r="289" spans="1:7" x14ac:dyDescent="0.25">
      <c r="A289" s="4">
        <v>42010</v>
      </c>
      <c r="B289" s="3" t="s">
        <v>29</v>
      </c>
      <c r="C289" s="3" t="s">
        <v>19</v>
      </c>
      <c r="D289" s="3" t="s">
        <v>31</v>
      </c>
      <c r="E289" s="3">
        <v>45</v>
      </c>
      <c r="F289" s="5">
        <v>2.5</v>
      </c>
      <c r="G289" s="8">
        <f t="shared" si="4"/>
        <v>112.5</v>
      </c>
    </row>
    <row r="290" spans="1:7" hidden="1" x14ac:dyDescent="0.25">
      <c r="A290" s="4">
        <v>42046</v>
      </c>
      <c r="B290" s="3" t="s">
        <v>32</v>
      </c>
      <c r="C290" s="3" t="s">
        <v>19</v>
      </c>
      <c r="D290" s="3" t="s">
        <v>28</v>
      </c>
      <c r="E290" s="3">
        <v>8</v>
      </c>
      <c r="F290" s="5">
        <v>2</v>
      </c>
      <c r="G290" s="8">
        <f t="shared" si="4"/>
        <v>16</v>
      </c>
    </row>
    <row r="291" spans="1:7" hidden="1" x14ac:dyDescent="0.25">
      <c r="A291" s="4">
        <v>42128</v>
      </c>
      <c r="B291" s="3" t="s">
        <v>26</v>
      </c>
      <c r="C291" s="3" t="s">
        <v>10</v>
      </c>
      <c r="D291" s="3" t="s">
        <v>36</v>
      </c>
      <c r="E291" s="3">
        <v>41</v>
      </c>
      <c r="F291" s="5">
        <v>1.5</v>
      </c>
      <c r="G291" s="8">
        <f t="shared" si="4"/>
        <v>61.5</v>
      </c>
    </row>
    <row r="292" spans="1:7" x14ac:dyDescent="0.25">
      <c r="A292" s="4">
        <v>42104</v>
      </c>
      <c r="B292" s="3" t="s">
        <v>32</v>
      </c>
      <c r="C292" s="3" t="s">
        <v>19</v>
      </c>
      <c r="D292" s="3" t="s">
        <v>31</v>
      </c>
      <c r="E292" s="3">
        <v>43</v>
      </c>
      <c r="F292" s="5">
        <v>2.5</v>
      </c>
      <c r="G292" s="8">
        <f t="shared" si="4"/>
        <v>107.5</v>
      </c>
    </row>
    <row r="293" spans="1:7" hidden="1" x14ac:dyDescent="0.25">
      <c r="A293" s="4">
        <v>42170</v>
      </c>
      <c r="B293" s="3" t="s">
        <v>26</v>
      </c>
      <c r="C293" s="3" t="s">
        <v>19</v>
      </c>
      <c r="D293" s="3" t="s">
        <v>28</v>
      </c>
      <c r="E293" s="3">
        <v>3</v>
      </c>
      <c r="F293" s="5">
        <v>2</v>
      </c>
      <c r="G293" s="8">
        <f t="shared" si="4"/>
        <v>6</v>
      </c>
    </row>
    <row r="294" spans="1:7" hidden="1" x14ac:dyDescent="0.25">
      <c r="A294" s="4">
        <v>42179</v>
      </c>
      <c r="B294" s="3" t="s">
        <v>39</v>
      </c>
      <c r="C294" s="3" t="s">
        <v>6</v>
      </c>
      <c r="D294" s="3" t="s">
        <v>34</v>
      </c>
      <c r="E294" s="3">
        <v>10</v>
      </c>
      <c r="F294" s="5">
        <v>0.2</v>
      </c>
      <c r="G294" s="8">
        <f t="shared" si="4"/>
        <v>2</v>
      </c>
    </row>
    <row r="295" spans="1:7" hidden="1" x14ac:dyDescent="0.25">
      <c r="A295" s="4">
        <v>42098</v>
      </c>
      <c r="B295" s="3" t="s">
        <v>37</v>
      </c>
      <c r="C295" s="3" t="s">
        <v>19</v>
      </c>
      <c r="D295" s="3" t="s">
        <v>36</v>
      </c>
      <c r="E295" s="3">
        <v>33</v>
      </c>
      <c r="F295" s="5">
        <v>1.5</v>
      </c>
      <c r="G295" s="8">
        <f t="shared" si="4"/>
        <v>49.5</v>
      </c>
    </row>
    <row r="296" spans="1:7" hidden="1" x14ac:dyDescent="0.25">
      <c r="A296" s="4">
        <v>42011</v>
      </c>
      <c r="B296" s="3" t="s">
        <v>32</v>
      </c>
      <c r="C296" s="3" t="s">
        <v>10</v>
      </c>
      <c r="D296" s="3" t="s">
        <v>36</v>
      </c>
      <c r="E296" s="3">
        <v>30</v>
      </c>
      <c r="F296" s="5">
        <v>1.5</v>
      </c>
      <c r="G296" s="8">
        <f t="shared" si="4"/>
        <v>45</v>
      </c>
    </row>
    <row r="297" spans="1:7" x14ac:dyDescent="0.25">
      <c r="A297" s="4">
        <v>42153</v>
      </c>
      <c r="B297" s="3" t="s">
        <v>26</v>
      </c>
      <c r="C297" s="3" t="s">
        <v>5</v>
      </c>
      <c r="D297" s="3" t="s">
        <v>31</v>
      </c>
      <c r="E297" s="3">
        <v>50</v>
      </c>
      <c r="F297" s="5">
        <v>2.5</v>
      </c>
      <c r="G297" s="8">
        <f t="shared" si="4"/>
        <v>125</v>
      </c>
    </row>
    <row r="298" spans="1:7" hidden="1" x14ac:dyDescent="0.25">
      <c r="A298" s="4">
        <v>42040</v>
      </c>
      <c r="B298" s="3" t="s">
        <v>37</v>
      </c>
      <c r="C298" s="3" t="s">
        <v>19</v>
      </c>
      <c r="D298" s="3" t="s">
        <v>28</v>
      </c>
      <c r="E298" s="3">
        <v>24</v>
      </c>
      <c r="F298" s="5">
        <v>2</v>
      </c>
      <c r="G298" s="8">
        <f t="shared" si="4"/>
        <v>48</v>
      </c>
    </row>
    <row r="299" spans="1:7" hidden="1" x14ac:dyDescent="0.25">
      <c r="A299" s="4">
        <v>42089</v>
      </c>
      <c r="B299" s="3" t="s">
        <v>38</v>
      </c>
      <c r="C299" s="3" t="s">
        <v>2</v>
      </c>
      <c r="D299" s="3" t="s">
        <v>27</v>
      </c>
      <c r="E299" s="3">
        <v>19</v>
      </c>
      <c r="F299" s="5">
        <v>0.5</v>
      </c>
      <c r="G299" s="8">
        <f t="shared" si="4"/>
        <v>9.5</v>
      </c>
    </row>
    <row r="300" spans="1:7" x14ac:dyDescent="0.25">
      <c r="A300" s="4">
        <v>42054</v>
      </c>
      <c r="B300" s="3" t="s">
        <v>37</v>
      </c>
      <c r="C300" s="3" t="s">
        <v>19</v>
      </c>
      <c r="D300" s="3" t="s">
        <v>35</v>
      </c>
      <c r="E300" s="3">
        <v>44</v>
      </c>
      <c r="F300" s="5">
        <v>4</v>
      </c>
      <c r="G300" s="8">
        <f t="shared" si="4"/>
        <v>176</v>
      </c>
    </row>
    <row r="301" spans="1:7" hidden="1" x14ac:dyDescent="0.25">
      <c r="A301" s="4">
        <v>42028</v>
      </c>
      <c r="B301" s="3" t="s">
        <v>29</v>
      </c>
      <c r="C301" s="3" t="s">
        <v>10</v>
      </c>
      <c r="D301" s="3" t="s">
        <v>27</v>
      </c>
      <c r="E301" s="3">
        <v>33</v>
      </c>
      <c r="F301" s="5">
        <v>0.5</v>
      </c>
      <c r="G301" s="8">
        <f t="shared" si="4"/>
        <v>16.5</v>
      </c>
    </row>
    <row r="302" spans="1:7" x14ac:dyDescent="0.25">
      <c r="A302" s="4">
        <v>42009</v>
      </c>
      <c r="B302" s="3" t="s">
        <v>38</v>
      </c>
      <c r="C302" s="3" t="s">
        <v>2</v>
      </c>
      <c r="D302" s="3" t="s">
        <v>35</v>
      </c>
      <c r="E302" s="3">
        <v>45</v>
      </c>
      <c r="F302" s="5">
        <v>4</v>
      </c>
      <c r="G302" s="8">
        <f t="shared" si="4"/>
        <v>180</v>
      </c>
    </row>
    <row r="303" spans="1:7" x14ac:dyDescent="0.25">
      <c r="A303" s="4">
        <v>42077</v>
      </c>
      <c r="B303" s="3" t="s">
        <v>38</v>
      </c>
      <c r="C303" s="3" t="s">
        <v>10</v>
      </c>
      <c r="D303" s="3" t="s">
        <v>35</v>
      </c>
      <c r="E303" s="3">
        <v>48</v>
      </c>
      <c r="F303" s="5">
        <v>4</v>
      </c>
      <c r="G303" s="8">
        <f t="shared" si="4"/>
        <v>192</v>
      </c>
    </row>
    <row r="304" spans="1:7" hidden="1" x14ac:dyDescent="0.25">
      <c r="A304" s="4">
        <v>42161</v>
      </c>
      <c r="B304" s="3" t="s">
        <v>38</v>
      </c>
      <c r="C304" s="3" t="s">
        <v>6</v>
      </c>
      <c r="D304" s="3" t="s">
        <v>30</v>
      </c>
      <c r="E304" s="3">
        <v>25</v>
      </c>
      <c r="F304" s="5">
        <v>0.1</v>
      </c>
      <c r="G304" s="8">
        <f t="shared" si="4"/>
        <v>2.5</v>
      </c>
    </row>
    <row r="305" spans="1:7" hidden="1" x14ac:dyDescent="0.25">
      <c r="A305" s="4">
        <v>42168</v>
      </c>
      <c r="B305" s="3" t="s">
        <v>32</v>
      </c>
      <c r="C305" s="3" t="s">
        <v>2</v>
      </c>
      <c r="D305" s="3" t="s">
        <v>28</v>
      </c>
      <c r="E305" s="3">
        <v>39</v>
      </c>
      <c r="F305" s="5">
        <v>2</v>
      </c>
      <c r="G305" s="8">
        <f t="shared" si="4"/>
        <v>78</v>
      </c>
    </row>
    <row r="306" spans="1:7" hidden="1" x14ac:dyDescent="0.25">
      <c r="A306" s="4">
        <v>42053</v>
      </c>
      <c r="B306" s="3" t="s">
        <v>39</v>
      </c>
      <c r="C306" s="3" t="s">
        <v>5</v>
      </c>
      <c r="D306" s="3" t="s">
        <v>30</v>
      </c>
      <c r="E306" s="3">
        <v>38</v>
      </c>
      <c r="F306" s="5">
        <v>0.1</v>
      </c>
      <c r="G306" s="8">
        <f t="shared" si="4"/>
        <v>3.8000000000000003</v>
      </c>
    </row>
    <row r="307" spans="1:7" x14ac:dyDescent="0.25">
      <c r="A307" s="4">
        <v>42028</v>
      </c>
      <c r="B307" s="3" t="s">
        <v>38</v>
      </c>
      <c r="C307" s="3" t="s">
        <v>5</v>
      </c>
      <c r="D307" s="3" t="s">
        <v>33</v>
      </c>
      <c r="E307" s="3">
        <v>24</v>
      </c>
      <c r="F307" s="5">
        <v>5</v>
      </c>
      <c r="G307" s="8">
        <f t="shared" si="4"/>
        <v>120</v>
      </c>
    </row>
    <row r="308" spans="1:7" hidden="1" x14ac:dyDescent="0.25">
      <c r="A308" s="4">
        <v>42091</v>
      </c>
      <c r="B308" s="3" t="s">
        <v>26</v>
      </c>
      <c r="C308" s="3" t="s">
        <v>6</v>
      </c>
      <c r="D308" s="3" t="s">
        <v>30</v>
      </c>
      <c r="E308" s="3">
        <v>27</v>
      </c>
      <c r="F308" s="5">
        <v>0.1</v>
      </c>
      <c r="G308" s="8">
        <f t="shared" si="4"/>
        <v>2.7</v>
      </c>
    </row>
    <row r="309" spans="1:7" hidden="1" x14ac:dyDescent="0.25">
      <c r="A309" s="4">
        <v>42102</v>
      </c>
      <c r="B309" s="3" t="s">
        <v>39</v>
      </c>
      <c r="C309" s="3" t="s">
        <v>6</v>
      </c>
      <c r="D309" s="3" t="s">
        <v>28</v>
      </c>
      <c r="E309" s="3">
        <v>27</v>
      </c>
      <c r="F309" s="5">
        <v>2</v>
      </c>
      <c r="G309" s="8">
        <f t="shared" si="4"/>
        <v>54</v>
      </c>
    </row>
    <row r="310" spans="1:7" hidden="1" x14ac:dyDescent="0.25">
      <c r="A310" s="4">
        <v>42032</v>
      </c>
      <c r="B310" s="3" t="s">
        <v>38</v>
      </c>
      <c r="C310" s="3" t="s">
        <v>2</v>
      </c>
      <c r="D310" s="3" t="s">
        <v>33</v>
      </c>
      <c r="E310" s="3">
        <v>5</v>
      </c>
      <c r="F310" s="5">
        <v>5</v>
      </c>
      <c r="G310" s="8">
        <f t="shared" si="4"/>
        <v>25</v>
      </c>
    </row>
    <row r="311" spans="1:7" hidden="1" x14ac:dyDescent="0.25">
      <c r="A311" s="4">
        <v>42096</v>
      </c>
      <c r="B311" s="3" t="s">
        <v>38</v>
      </c>
      <c r="C311" s="3" t="s">
        <v>5</v>
      </c>
      <c r="D311" s="3" t="s">
        <v>33</v>
      </c>
      <c r="E311" s="3">
        <v>10</v>
      </c>
      <c r="F311" s="5">
        <v>5</v>
      </c>
      <c r="G311" s="8">
        <f t="shared" si="4"/>
        <v>50</v>
      </c>
    </row>
    <row r="312" spans="1:7" hidden="1" x14ac:dyDescent="0.25">
      <c r="A312" s="4">
        <v>42005</v>
      </c>
      <c r="B312" s="3" t="s">
        <v>29</v>
      </c>
      <c r="C312" s="3" t="s">
        <v>10</v>
      </c>
      <c r="D312" s="3" t="s">
        <v>33</v>
      </c>
      <c r="E312" s="3">
        <v>12</v>
      </c>
      <c r="F312" s="5">
        <v>5</v>
      </c>
      <c r="G312" s="8">
        <f t="shared" si="4"/>
        <v>60</v>
      </c>
    </row>
    <row r="313" spans="1:7" hidden="1" x14ac:dyDescent="0.25">
      <c r="A313" s="4">
        <v>42071</v>
      </c>
      <c r="B313" s="3" t="s">
        <v>37</v>
      </c>
      <c r="C313" s="3" t="s">
        <v>6</v>
      </c>
      <c r="D313" s="3" t="s">
        <v>36</v>
      </c>
      <c r="E313" s="3">
        <v>10</v>
      </c>
      <c r="F313" s="5">
        <v>1.5</v>
      </c>
      <c r="G313" s="8">
        <f t="shared" si="4"/>
        <v>15</v>
      </c>
    </row>
    <row r="314" spans="1:7" hidden="1" x14ac:dyDescent="0.25">
      <c r="A314" s="4">
        <v>42086</v>
      </c>
      <c r="B314" s="3" t="s">
        <v>37</v>
      </c>
      <c r="C314" s="3" t="s">
        <v>5</v>
      </c>
      <c r="D314" s="3" t="s">
        <v>36</v>
      </c>
      <c r="E314" s="3">
        <v>34</v>
      </c>
      <c r="F314" s="5">
        <v>1.5</v>
      </c>
      <c r="G314" s="8">
        <f t="shared" si="4"/>
        <v>51</v>
      </c>
    </row>
    <row r="315" spans="1:7" hidden="1" x14ac:dyDescent="0.25">
      <c r="A315" s="4">
        <v>42175</v>
      </c>
      <c r="B315" s="3" t="s">
        <v>26</v>
      </c>
      <c r="C315" s="3" t="s">
        <v>6</v>
      </c>
      <c r="D315" s="3" t="s">
        <v>31</v>
      </c>
      <c r="E315" s="3">
        <v>1</v>
      </c>
      <c r="F315" s="5">
        <v>2.5</v>
      </c>
      <c r="G315" s="8">
        <f t="shared" si="4"/>
        <v>2.5</v>
      </c>
    </row>
    <row r="316" spans="1:7" hidden="1" x14ac:dyDescent="0.25">
      <c r="A316" s="4">
        <v>42080</v>
      </c>
      <c r="B316" s="3" t="s">
        <v>29</v>
      </c>
      <c r="C316" s="3" t="s">
        <v>6</v>
      </c>
      <c r="D316" s="3" t="s">
        <v>30</v>
      </c>
      <c r="E316" s="3">
        <v>48</v>
      </c>
      <c r="F316" s="5">
        <v>0.1</v>
      </c>
      <c r="G316" s="8">
        <f t="shared" si="4"/>
        <v>4.8000000000000007</v>
      </c>
    </row>
    <row r="317" spans="1:7" x14ac:dyDescent="0.25">
      <c r="A317" s="4">
        <v>42166</v>
      </c>
      <c r="B317" s="3" t="s">
        <v>26</v>
      </c>
      <c r="C317" s="3" t="s">
        <v>19</v>
      </c>
      <c r="D317" s="3" t="s">
        <v>33</v>
      </c>
      <c r="E317" s="3">
        <v>26</v>
      </c>
      <c r="F317" s="5">
        <v>5</v>
      </c>
      <c r="G317" s="8">
        <f t="shared" si="4"/>
        <v>130</v>
      </c>
    </row>
    <row r="318" spans="1:7" hidden="1" x14ac:dyDescent="0.25">
      <c r="A318" s="4">
        <v>42151</v>
      </c>
      <c r="B318" s="3" t="s">
        <v>32</v>
      </c>
      <c r="C318" s="3" t="s">
        <v>10</v>
      </c>
      <c r="D318" s="3" t="s">
        <v>28</v>
      </c>
      <c r="E318" s="3">
        <v>48</v>
      </c>
      <c r="F318" s="5">
        <v>2</v>
      </c>
      <c r="G318" s="8">
        <f t="shared" si="4"/>
        <v>96</v>
      </c>
    </row>
    <row r="319" spans="1:7" hidden="1" x14ac:dyDescent="0.25">
      <c r="A319" s="4">
        <v>42157</v>
      </c>
      <c r="B319" s="3" t="s">
        <v>38</v>
      </c>
      <c r="C319" s="3" t="s">
        <v>19</v>
      </c>
      <c r="D319" s="3" t="s">
        <v>35</v>
      </c>
      <c r="E319" s="3">
        <v>6</v>
      </c>
      <c r="F319" s="5">
        <v>4</v>
      </c>
      <c r="G319" s="8">
        <f t="shared" si="4"/>
        <v>24</v>
      </c>
    </row>
    <row r="320" spans="1:7" x14ac:dyDescent="0.25">
      <c r="A320" s="4">
        <v>42107</v>
      </c>
      <c r="B320" s="3" t="s">
        <v>26</v>
      </c>
      <c r="C320" s="3" t="s">
        <v>19</v>
      </c>
      <c r="D320" s="3" t="s">
        <v>35</v>
      </c>
      <c r="E320" s="3">
        <v>50</v>
      </c>
      <c r="F320" s="5">
        <v>4</v>
      </c>
      <c r="G320" s="8">
        <f t="shared" si="4"/>
        <v>200</v>
      </c>
    </row>
    <row r="321" spans="1:7" hidden="1" x14ac:dyDescent="0.25">
      <c r="A321" s="4">
        <v>42149</v>
      </c>
      <c r="B321" s="3" t="s">
        <v>37</v>
      </c>
      <c r="C321" s="3" t="s">
        <v>19</v>
      </c>
      <c r="D321" s="3" t="s">
        <v>30</v>
      </c>
      <c r="E321" s="3">
        <v>14</v>
      </c>
      <c r="F321" s="5">
        <v>0.1</v>
      </c>
      <c r="G321" s="8">
        <f t="shared" si="4"/>
        <v>1.4000000000000001</v>
      </c>
    </row>
    <row r="322" spans="1:7" x14ac:dyDescent="0.25">
      <c r="A322" s="4">
        <v>42060</v>
      </c>
      <c r="B322" s="3" t="s">
        <v>37</v>
      </c>
      <c r="C322" s="3" t="s">
        <v>10</v>
      </c>
      <c r="D322" s="3" t="s">
        <v>33</v>
      </c>
      <c r="E322" s="3">
        <v>39</v>
      </c>
      <c r="F322" s="5">
        <v>5</v>
      </c>
      <c r="G322" s="8">
        <f t="shared" si="4"/>
        <v>195</v>
      </c>
    </row>
    <row r="323" spans="1:7" hidden="1" x14ac:dyDescent="0.25">
      <c r="A323" s="4">
        <v>42136</v>
      </c>
      <c r="B323" s="3" t="s">
        <v>37</v>
      </c>
      <c r="C323" s="3" t="s">
        <v>5</v>
      </c>
      <c r="D323" s="3" t="s">
        <v>28</v>
      </c>
      <c r="E323" s="3">
        <v>5</v>
      </c>
      <c r="F323" s="5">
        <v>2</v>
      </c>
      <c r="G323" s="8">
        <f t="shared" si="4"/>
        <v>10</v>
      </c>
    </row>
    <row r="324" spans="1:7" hidden="1" x14ac:dyDescent="0.25">
      <c r="A324" s="4">
        <v>42171</v>
      </c>
      <c r="B324" s="3" t="s">
        <v>26</v>
      </c>
      <c r="C324" s="3" t="s">
        <v>2</v>
      </c>
      <c r="D324" s="3" t="s">
        <v>31</v>
      </c>
      <c r="E324" s="3">
        <v>15</v>
      </c>
      <c r="F324" s="5">
        <v>2.5</v>
      </c>
      <c r="G324" s="8">
        <f t="shared" si="4"/>
        <v>37.5</v>
      </c>
    </row>
    <row r="325" spans="1:7" hidden="1" x14ac:dyDescent="0.25">
      <c r="A325" s="4">
        <v>42101</v>
      </c>
      <c r="B325" s="3" t="s">
        <v>32</v>
      </c>
      <c r="C325" s="3" t="s">
        <v>2</v>
      </c>
      <c r="D325" s="3" t="s">
        <v>36</v>
      </c>
      <c r="E325" s="3">
        <v>26</v>
      </c>
      <c r="F325" s="5">
        <v>1.5</v>
      </c>
      <c r="G325" s="8">
        <f t="shared" si="4"/>
        <v>39</v>
      </c>
    </row>
    <row r="326" spans="1:7" hidden="1" x14ac:dyDescent="0.25">
      <c r="A326" s="4">
        <v>42150</v>
      </c>
      <c r="B326" s="3" t="s">
        <v>32</v>
      </c>
      <c r="C326" s="3" t="s">
        <v>5</v>
      </c>
      <c r="D326" s="3" t="s">
        <v>30</v>
      </c>
      <c r="E326" s="3">
        <v>43</v>
      </c>
      <c r="F326" s="5">
        <v>0.1</v>
      </c>
      <c r="G326" s="8">
        <f t="shared" si="4"/>
        <v>4.3</v>
      </c>
    </row>
    <row r="327" spans="1:7" hidden="1" x14ac:dyDescent="0.25">
      <c r="A327" s="4">
        <v>42046</v>
      </c>
      <c r="B327" s="3" t="s">
        <v>37</v>
      </c>
      <c r="C327" s="3" t="s">
        <v>19</v>
      </c>
      <c r="D327" s="3" t="s">
        <v>30</v>
      </c>
      <c r="E327" s="3">
        <v>29</v>
      </c>
      <c r="F327" s="5">
        <v>0.1</v>
      </c>
      <c r="G327" s="8">
        <f t="shared" ref="G327:G390" si="5">E327*F327</f>
        <v>2.9000000000000004</v>
      </c>
    </row>
    <row r="328" spans="1:7" hidden="1" x14ac:dyDescent="0.25">
      <c r="A328" s="4">
        <v>42067</v>
      </c>
      <c r="B328" s="3" t="s">
        <v>39</v>
      </c>
      <c r="C328" s="3" t="s">
        <v>6</v>
      </c>
      <c r="D328" s="3" t="s">
        <v>36</v>
      </c>
      <c r="E328" s="3">
        <v>9</v>
      </c>
      <c r="F328" s="5">
        <v>1.5</v>
      </c>
      <c r="G328" s="8">
        <f t="shared" si="5"/>
        <v>13.5</v>
      </c>
    </row>
    <row r="329" spans="1:7" hidden="1" x14ac:dyDescent="0.25">
      <c r="A329" s="4">
        <v>42166</v>
      </c>
      <c r="B329" s="3" t="s">
        <v>39</v>
      </c>
      <c r="C329" s="3" t="s">
        <v>6</v>
      </c>
      <c r="D329" s="3" t="s">
        <v>36</v>
      </c>
      <c r="E329" s="3">
        <v>13</v>
      </c>
      <c r="F329" s="5">
        <v>1.5</v>
      </c>
      <c r="G329" s="8">
        <f t="shared" si="5"/>
        <v>19.5</v>
      </c>
    </row>
    <row r="330" spans="1:7" hidden="1" x14ac:dyDescent="0.25">
      <c r="A330" s="4">
        <v>42039</v>
      </c>
      <c r="B330" s="3" t="s">
        <v>38</v>
      </c>
      <c r="C330" s="3" t="s">
        <v>19</v>
      </c>
      <c r="D330" s="3" t="s">
        <v>30</v>
      </c>
      <c r="E330" s="3">
        <v>48</v>
      </c>
      <c r="F330" s="5">
        <v>0.1</v>
      </c>
      <c r="G330" s="8">
        <f t="shared" si="5"/>
        <v>4.8000000000000007</v>
      </c>
    </row>
    <row r="331" spans="1:7" hidden="1" x14ac:dyDescent="0.25">
      <c r="A331" s="4">
        <v>42174</v>
      </c>
      <c r="B331" s="3" t="s">
        <v>39</v>
      </c>
      <c r="C331" s="3" t="s">
        <v>5</v>
      </c>
      <c r="D331" s="3" t="s">
        <v>33</v>
      </c>
      <c r="E331" s="3">
        <v>5</v>
      </c>
      <c r="F331" s="5">
        <v>5</v>
      </c>
      <c r="G331" s="8">
        <f t="shared" si="5"/>
        <v>25</v>
      </c>
    </row>
    <row r="332" spans="1:7" hidden="1" x14ac:dyDescent="0.25">
      <c r="A332" s="4">
        <v>42146</v>
      </c>
      <c r="B332" s="3" t="s">
        <v>32</v>
      </c>
      <c r="C332" s="3" t="s">
        <v>2</v>
      </c>
      <c r="D332" s="3" t="s">
        <v>30</v>
      </c>
      <c r="E332" s="3">
        <v>18</v>
      </c>
      <c r="F332" s="5">
        <v>0.1</v>
      </c>
      <c r="G332" s="8">
        <f t="shared" si="5"/>
        <v>1.8</v>
      </c>
    </row>
    <row r="333" spans="1:7" hidden="1" x14ac:dyDescent="0.25">
      <c r="A333" s="4">
        <v>42182</v>
      </c>
      <c r="B333" s="3" t="s">
        <v>37</v>
      </c>
      <c r="C333" s="3" t="s">
        <v>19</v>
      </c>
      <c r="D333" s="3" t="s">
        <v>35</v>
      </c>
      <c r="E333" s="3">
        <v>9</v>
      </c>
      <c r="F333" s="5">
        <v>4</v>
      </c>
      <c r="G333" s="8">
        <f t="shared" si="5"/>
        <v>36</v>
      </c>
    </row>
    <row r="334" spans="1:7" hidden="1" x14ac:dyDescent="0.25">
      <c r="A334" s="4">
        <v>42025</v>
      </c>
      <c r="B334" s="3" t="s">
        <v>32</v>
      </c>
      <c r="C334" s="3" t="s">
        <v>6</v>
      </c>
      <c r="D334" s="3" t="s">
        <v>35</v>
      </c>
      <c r="E334" s="3">
        <v>22</v>
      </c>
      <c r="F334" s="5">
        <v>4</v>
      </c>
      <c r="G334" s="8">
        <f t="shared" si="5"/>
        <v>88</v>
      </c>
    </row>
    <row r="335" spans="1:7" hidden="1" x14ac:dyDescent="0.25">
      <c r="A335" s="4">
        <v>42019</v>
      </c>
      <c r="B335" s="3" t="s">
        <v>29</v>
      </c>
      <c r="C335" s="3" t="s">
        <v>5</v>
      </c>
      <c r="D335" s="3" t="s">
        <v>36</v>
      </c>
      <c r="E335" s="3">
        <v>23</v>
      </c>
      <c r="F335" s="5">
        <v>1.5</v>
      </c>
      <c r="G335" s="8">
        <f t="shared" si="5"/>
        <v>34.5</v>
      </c>
    </row>
    <row r="336" spans="1:7" hidden="1" x14ac:dyDescent="0.25">
      <c r="A336" s="4">
        <v>42110</v>
      </c>
      <c r="B336" s="3" t="s">
        <v>32</v>
      </c>
      <c r="C336" s="3" t="s">
        <v>6</v>
      </c>
      <c r="D336" s="3" t="s">
        <v>36</v>
      </c>
      <c r="E336" s="3">
        <v>20</v>
      </c>
      <c r="F336" s="5">
        <v>1.5</v>
      </c>
      <c r="G336" s="8">
        <f t="shared" si="5"/>
        <v>30</v>
      </c>
    </row>
    <row r="337" spans="1:7" x14ac:dyDescent="0.25">
      <c r="A337" s="4">
        <v>42081</v>
      </c>
      <c r="B337" s="3" t="s">
        <v>38</v>
      </c>
      <c r="C337" s="3" t="s">
        <v>19</v>
      </c>
      <c r="D337" s="3" t="s">
        <v>33</v>
      </c>
      <c r="E337" s="3">
        <v>45</v>
      </c>
      <c r="F337" s="5">
        <v>5</v>
      </c>
      <c r="G337" s="8">
        <f t="shared" si="5"/>
        <v>225</v>
      </c>
    </row>
    <row r="338" spans="1:7" hidden="1" x14ac:dyDescent="0.25">
      <c r="A338" s="4">
        <v>42027</v>
      </c>
      <c r="B338" s="3" t="s">
        <v>37</v>
      </c>
      <c r="C338" s="3" t="s">
        <v>10</v>
      </c>
      <c r="D338" s="3" t="s">
        <v>28</v>
      </c>
      <c r="E338" s="3">
        <v>45</v>
      </c>
      <c r="F338" s="5">
        <v>2</v>
      </c>
      <c r="G338" s="8">
        <f t="shared" si="5"/>
        <v>90</v>
      </c>
    </row>
    <row r="339" spans="1:7" hidden="1" x14ac:dyDescent="0.25">
      <c r="A339" s="4">
        <v>42115</v>
      </c>
      <c r="B339" s="3" t="s">
        <v>38</v>
      </c>
      <c r="C339" s="3" t="s">
        <v>10</v>
      </c>
      <c r="D339" s="3" t="s">
        <v>31</v>
      </c>
      <c r="E339" s="3">
        <v>36</v>
      </c>
      <c r="F339" s="5">
        <v>2.5</v>
      </c>
      <c r="G339" s="8">
        <f t="shared" si="5"/>
        <v>90</v>
      </c>
    </row>
    <row r="340" spans="1:7" hidden="1" x14ac:dyDescent="0.25">
      <c r="A340" s="4">
        <v>42088</v>
      </c>
      <c r="B340" s="3" t="s">
        <v>38</v>
      </c>
      <c r="C340" s="3" t="s">
        <v>19</v>
      </c>
      <c r="D340" s="3" t="s">
        <v>28</v>
      </c>
      <c r="E340" s="3">
        <v>38</v>
      </c>
      <c r="F340" s="5">
        <v>2</v>
      </c>
      <c r="G340" s="8">
        <f t="shared" si="5"/>
        <v>76</v>
      </c>
    </row>
    <row r="341" spans="1:7" x14ac:dyDescent="0.25">
      <c r="A341" s="4">
        <v>42105</v>
      </c>
      <c r="B341" s="3" t="s">
        <v>29</v>
      </c>
      <c r="C341" s="3" t="s">
        <v>6</v>
      </c>
      <c r="D341" s="3" t="s">
        <v>31</v>
      </c>
      <c r="E341" s="3">
        <v>50</v>
      </c>
      <c r="F341" s="5">
        <v>2.5</v>
      </c>
      <c r="G341" s="8">
        <f t="shared" si="5"/>
        <v>125</v>
      </c>
    </row>
    <row r="342" spans="1:7" hidden="1" x14ac:dyDescent="0.25">
      <c r="A342" s="4">
        <v>42097</v>
      </c>
      <c r="B342" s="3" t="s">
        <v>32</v>
      </c>
      <c r="C342" s="3" t="s">
        <v>2</v>
      </c>
      <c r="D342" s="3" t="s">
        <v>28</v>
      </c>
      <c r="E342" s="3">
        <v>17</v>
      </c>
      <c r="F342" s="5">
        <v>2</v>
      </c>
      <c r="G342" s="8">
        <f t="shared" si="5"/>
        <v>34</v>
      </c>
    </row>
    <row r="343" spans="1:7" hidden="1" x14ac:dyDescent="0.25">
      <c r="A343" s="4">
        <v>42100</v>
      </c>
      <c r="B343" s="3" t="s">
        <v>26</v>
      </c>
      <c r="C343" s="3" t="s">
        <v>19</v>
      </c>
      <c r="D343" s="3" t="s">
        <v>33</v>
      </c>
      <c r="E343" s="3">
        <v>13</v>
      </c>
      <c r="F343" s="5">
        <v>5</v>
      </c>
      <c r="G343" s="8">
        <f t="shared" si="5"/>
        <v>65</v>
      </c>
    </row>
    <row r="344" spans="1:7" x14ac:dyDescent="0.25">
      <c r="A344" s="4">
        <v>42130</v>
      </c>
      <c r="B344" s="3" t="s">
        <v>37</v>
      </c>
      <c r="C344" s="3" t="s">
        <v>19</v>
      </c>
      <c r="D344" s="3" t="s">
        <v>35</v>
      </c>
      <c r="E344" s="3">
        <v>31</v>
      </c>
      <c r="F344" s="5">
        <v>4</v>
      </c>
      <c r="G344" s="8">
        <f t="shared" si="5"/>
        <v>124</v>
      </c>
    </row>
    <row r="345" spans="1:7" hidden="1" x14ac:dyDescent="0.25">
      <c r="A345" s="4">
        <v>42095</v>
      </c>
      <c r="B345" s="3" t="s">
        <v>37</v>
      </c>
      <c r="C345" s="3" t="s">
        <v>19</v>
      </c>
      <c r="D345" s="3" t="s">
        <v>33</v>
      </c>
      <c r="E345" s="3">
        <v>14</v>
      </c>
      <c r="F345" s="5">
        <v>5</v>
      </c>
      <c r="G345" s="8">
        <f t="shared" si="5"/>
        <v>70</v>
      </c>
    </row>
    <row r="346" spans="1:7" hidden="1" x14ac:dyDescent="0.25">
      <c r="A346" s="4">
        <v>42117</v>
      </c>
      <c r="B346" s="3" t="s">
        <v>39</v>
      </c>
      <c r="C346" s="3" t="s">
        <v>19</v>
      </c>
      <c r="D346" s="3" t="s">
        <v>30</v>
      </c>
      <c r="E346" s="3">
        <v>16</v>
      </c>
      <c r="F346" s="5">
        <v>0.1</v>
      </c>
      <c r="G346" s="8">
        <f t="shared" si="5"/>
        <v>1.6</v>
      </c>
    </row>
    <row r="347" spans="1:7" hidden="1" x14ac:dyDescent="0.25">
      <c r="A347" s="4">
        <v>42019</v>
      </c>
      <c r="B347" s="3" t="s">
        <v>39</v>
      </c>
      <c r="C347" s="3" t="s">
        <v>19</v>
      </c>
      <c r="D347" s="3" t="s">
        <v>36</v>
      </c>
      <c r="E347" s="3">
        <v>42</v>
      </c>
      <c r="F347" s="5">
        <v>1.5</v>
      </c>
      <c r="G347" s="8">
        <f t="shared" si="5"/>
        <v>63</v>
      </c>
    </row>
    <row r="348" spans="1:7" hidden="1" x14ac:dyDescent="0.25">
      <c r="A348" s="4">
        <v>42093</v>
      </c>
      <c r="B348" s="3" t="s">
        <v>32</v>
      </c>
      <c r="C348" s="3" t="s">
        <v>6</v>
      </c>
      <c r="D348" s="3" t="s">
        <v>35</v>
      </c>
      <c r="E348" s="3">
        <v>11</v>
      </c>
      <c r="F348" s="5">
        <v>4</v>
      </c>
      <c r="G348" s="8">
        <f t="shared" si="5"/>
        <v>44</v>
      </c>
    </row>
    <row r="349" spans="1:7" hidden="1" x14ac:dyDescent="0.25">
      <c r="A349" s="4">
        <v>42110</v>
      </c>
      <c r="B349" s="3" t="s">
        <v>38</v>
      </c>
      <c r="C349" s="3" t="s">
        <v>2</v>
      </c>
      <c r="D349" s="3" t="s">
        <v>36</v>
      </c>
      <c r="E349" s="3">
        <v>36</v>
      </c>
      <c r="F349" s="5">
        <v>1.5</v>
      </c>
      <c r="G349" s="8">
        <f t="shared" si="5"/>
        <v>54</v>
      </c>
    </row>
    <row r="350" spans="1:7" hidden="1" x14ac:dyDescent="0.25">
      <c r="A350" s="4">
        <v>42087</v>
      </c>
      <c r="B350" s="3" t="s">
        <v>37</v>
      </c>
      <c r="C350" s="3" t="s">
        <v>2</v>
      </c>
      <c r="D350" s="3" t="s">
        <v>34</v>
      </c>
      <c r="E350" s="3">
        <v>14</v>
      </c>
      <c r="F350" s="5">
        <v>0.2</v>
      </c>
      <c r="G350" s="8">
        <f t="shared" si="5"/>
        <v>2.8000000000000003</v>
      </c>
    </row>
    <row r="351" spans="1:7" hidden="1" x14ac:dyDescent="0.25">
      <c r="A351" s="4">
        <v>42138</v>
      </c>
      <c r="B351" s="3" t="s">
        <v>37</v>
      </c>
      <c r="C351" s="3" t="s">
        <v>19</v>
      </c>
      <c r="D351" s="3" t="s">
        <v>31</v>
      </c>
      <c r="E351" s="3">
        <v>4</v>
      </c>
      <c r="F351" s="5">
        <v>2.5</v>
      </c>
      <c r="G351" s="8">
        <f t="shared" si="5"/>
        <v>10</v>
      </c>
    </row>
    <row r="352" spans="1:7" hidden="1" x14ac:dyDescent="0.25">
      <c r="A352" s="4">
        <v>42036</v>
      </c>
      <c r="B352" s="3" t="s">
        <v>26</v>
      </c>
      <c r="C352" s="3" t="s">
        <v>19</v>
      </c>
      <c r="D352" s="3" t="s">
        <v>31</v>
      </c>
      <c r="E352" s="3">
        <v>14</v>
      </c>
      <c r="F352" s="5">
        <v>2.5</v>
      </c>
      <c r="G352" s="8">
        <f t="shared" si="5"/>
        <v>35</v>
      </c>
    </row>
    <row r="353" spans="1:7" hidden="1" x14ac:dyDescent="0.25">
      <c r="A353" s="4">
        <v>42084</v>
      </c>
      <c r="B353" s="3" t="s">
        <v>37</v>
      </c>
      <c r="C353" s="3" t="s">
        <v>19</v>
      </c>
      <c r="D353" s="3" t="s">
        <v>34</v>
      </c>
      <c r="E353" s="3">
        <v>20</v>
      </c>
      <c r="F353" s="5">
        <v>0.2</v>
      </c>
      <c r="G353" s="8">
        <f t="shared" si="5"/>
        <v>4</v>
      </c>
    </row>
    <row r="354" spans="1:7" hidden="1" x14ac:dyDescent="0.25">
      <c r="A354" s="4">
        <v>42018</v>
      </c>
      <c r="B354" s="3" t="s">
        <v>39</v>
      </c>
      <c r="C354" s="3" t="s">
        <v>19</v>
      </c>
      <c r="D354" s="3" t="s">
        <v>34</v>
      </c>
      <c r="E354" s="3">
        <v>44</v>
      </c>
      <c r="F354" s="5">
        <v>0.2</v>
      </c>
      <c r="G354" s="8">
        <f t="shared" si="5"/>
        <v>8.8000000000000007</v>
      </c>
    </row>
    <row r="355" spans="1:7" x14ac:dyDescent="0.25">
      <c r="A355" s="4">
        <v>42117</v>
      </c>
      <c r="B355" s="3" t="s">
        <v>38</v>
      </c>
      <c r="C355" s="3" t="s">
        <v>5</v>
      </c>
      <c r="D355" s="3" t="s">
        <v>33</v>
      </c>
      <c r="E355" s="3">
        <v>50</v>
      </c>
      <c r="F355" s="5">
        <v>5</v>
      </c>
      <c r="G355" s="8">
        <f t="shared" si="5"/>
        <v>250</v>
      </c>
    </row>
    <row r="356" spans="1:7" hidden="1" x14ac:dyDescent="0.25">
      <c r="A356" s="4">
        <v>42125</v>
      </c>
      <c r="B356" s="3" t="s">
        <v>32</v>
      </c>
      <c r="C356" s="3" t="s">
        <v>2</v>
      </c>
      <c r="D356" s="3" t="s">
        <v>34</v>
      </c>
      <c r="E356" s="3">
        <v>26</v>
      </c>
      <c r="F356" s="5">
        <v>0.2</v>
      </c>
      <c r="G356" s="8">
        <f t="shared" si="5"/>
        <v>5.2</v>
      </c>
    </row>
    <row r="357" spans="1:7" hidden="1" x14ac:dyDescent="0.25">
      <c r="A357" s="4">
        <v>42155</v>
      </c>
      <c r="B357" s="3" t="s">
        <v>37</v>
      </c>
      <c r="C357" s="3" t="s">
        <v>19</v>
      </c>
      <c r="D357" s="3" t="s">
        <v>34</v>
      </c>
      <c r="E357" s="3">
        <v>49</v>
      </c>
      <c r="F357" s="5">
        <v>0.2</v>
      </c>
      <c r="G357" s="8">
        <f t="shared" si="5"/>
        <v>9.8000000000000007</v>
      </c>
    </row>
    <row r="358" spans="1:7" hidden="1" x14ac:dyDescent="0.25">
      <c r="A358" s="4">
        <v>42083</v>
      </c>
      <c r="B358" s="3" t="s">
        <v>38</v>
      </c>
      <c r="C358" s="3" t="s">
        <v>6</v>
      </c>
      <c r="D358" s="3" t="s">
        <v>27</v>
      </c>
      <c r="E358" s="3">
        <v>28</v>
      </c>
      <c r="F358" s="5">
        <v>0.5</v>
      </c>
      <c r="G358" s="8">
        <f t="shared" si="5"/>
        <v>14</v>
      </c>
    </row>
    <row r="359" spans="1:7" hidden="1" x14ac:dyDescent="0.25">
      <c r="A359" s="4">
        <v>42185</v>
      </c>
      <c r="B359" s="3" t="s">
        <v>39</v>
      </c>
      <c r="C359" s="3" t="s">
        <v>2</v>
      </c>
      <c r="D359" s="3" t="s">
        <v>34</v>
      </c>
      <c r="E359" s="3">
        <v>28</v>
      </c>
      <c r="F359" s="5">
        <v>0.2</v>
      </c>
      <c r="G359" s="8">
        <f t="shared" si="5"/>
        <v>5.6000000000000005</v>
      </c>
    </row>
    <row r="360" spans="1:7" hidden="1" x14ac:dyDescent="0.25">
      <c r="A360" s="4">
        <v>42098</v>
      </c>
      <c r="B360" s="3" t="s">
        <v>32</v>
      </c>
      <c r="C360" s="3" t="s">
        <v>19</v>
      </c>
      <c r="D360" s="3" t="s">
        <v>27</v>
      </c>
      <c r="E360" s="3">
        <v>18</v>
      </c>
      <c r="F360" s="5">
        <v>0.5</v>
      </c>
      <c r="G360" s="8">
        <f t="shared" si="5"/>
        <v>9</v>
      </c>
    </row>
    <row r="361" spans="1:7" hidden="1" x14ac:dyDescent="0.25">
      <c r="A361" s="4">
        <v>42056</v>
      </c>
      <c r="B361" s="3" t="s">
        <v>37</v>
      </c>
      <c r="C361" s="3" t="s">
        <v>19</v>
      </c>
      <c r="D361" s="3" t="s">
        <v>33</v>
      </c>
      <c r="E361" s="3">
        <v>8</v>
      </c>
      <c r="F361" s="5">
        <v>5</v>
      </c>
      <c r="G361" s="8">
        <f t="shared" si="5"/>
        <v>40</v>
      </c>
    </row>
    <row r="362" spans="1:7" x14ac:dyDescent="0.25">
      <c r="A362" s="4">
        <v>42082</v>
      </c>
      <c r="B362" s="3" t="s">
        <v>37</v>
      </c>
      <c r="C362" s="3" t="s">
        <v>10</v>
      </c>
      <c r="D362" s="3" t="s">
        <v>33</v>
      </c>
      <c r="E362" s="3">
        <v>32</v>
      </c>
      <c r="F362" s="5">
        <v>5</v>
      </c>
      <c r="G362" s="8">
        <f t="shared" si="5"/>
        <v>160</v>
      </c>
    </row>
    <row r="363" spans="1:7" x14ac:dyDescent="0.25">
      <c r="A363" s="4">
        <v>42144</v>
      </c>
      <c r="B363" s="3" t="s">
        <v>38</v>
      </c>
      <c r="C363" s="3" t="s">
        <v>19</v>
      </c>
      <c r="D363" s="3" t="s">
        <v>33</v>
      </c>
      <c r="E363" s="3">
        <v>37</v>
      </c>
      <c r="F363" s="5">
        <v>5</v>
      </c>
      <c r="G363" s="8">
        <f t="shared" si="5"/>
        <v>185</v>
      </c>
    </row>
    <row r="364" spans="1:7" hidden="1" x14ac:dyDescent="0.25">
      <c r="A364" s="4">
        <v>42040</v>
      </c>
      <c r="B364" s="3" t="s">
        <v>37</v>
      </c>
      <c r="C364" s="3" t="s">
        <v>10</v>
      </c>
      <c r="D364" s="3" t="s">
        <v>36</v>
      </c>
      <c r="E364" s="3">
        <v>46</v>
      </c>
      <c r="F364" s="5">
        <v>1.5</v>
      </c>
      <c r="G364" s="8">
        <f t="shared" si="5"/>
        <v>69</v>
      </c>
    </row>
    <row r="365" spans="1:7" hidden="1" x14ac:dyDescent="0.25">
      <c r="A365" s="4">
        <v>42173</v>
      </c>
      <c r="B365" s="3" t="s">
        <v>26</v>
      </c>
      <c r="C365" s="3" t="s">
        <v>19</v>
      </c>
      <c r="D365" s="3" t="s">
        <v>31</v>
      </c>
      <c r="E365" s="3">
        <v>40</v>
      </c>
      <c r="F365" s="5">
        <v>2.5</v>
      </c>
      <c r="G365" s="8">
        <f t="shared" si="5"/>
        <v>100</v>
      </c>
    </row>
    <row r="366" spans="1:7" hidden="1" x14ac:dyDescent="0.25">
      <c r="A366" s="4">
        <v>42183</v>
      </c>
      <c r="B366" s="3" t="s">
        <v>26</v>
      </c>
      <c r="C366" s="3" t="s">
        <v>2</v>
      </c>
      <c r="D366" s="3" t="s">
        <v>28</v>
      </c>
      <c r="E366" s="3">
        <v>12</v>
      </c>
      <c r="F366" s="5">
        <v>2</v>
      </c>
      <c r="G366" s="8">
        <f t="shared" si="5"/>
        <v>24</v>
      </c>
    </row>
    <row r="367" spans="1:7" x14ac:dyDescent="0.25">
      <c r="A367" s="4">
        <v>42089</v>
      </c>
      <c r="B367" s="3" t="s">
        <v>26</v>
      </c>
      <c r="C367" s="3" t="s">
        <v>5</v>
      </c>
      <c r="D367" s="3" t="s">
        <v>33</v>
      </c>
      <c r="E367" s="3">
        <v>37</v>
      </c>
      <c r="F367" s="5">
        <v>5</v>
      </c>
      <c r="G367" s="8">
        <f t="shared" si="5"/>
        <v>185</v>
      </c>
    </row>
    <row r="368" spans="1:7" hidden="1" x14ac:dyDescent="0.25">
      <c r="A368" s="4">
        <v>42061</v>
      </c>
      <c r="B368" s="3" t="s">
        <v>38</v>
      </c>
      <c r="C368" s="3" t="s">
        <v>6</v>
      </c>
      <c r="D368" s="3" t="s">
        <v>35</v>
      </c>
      <c r="E368" s="3">
        <v>11</v>
      </c>
      <c r="F368" s="5">
        <v>4</v>
      </c>
      <c r="G368" s="8">
        <f t="shared" si="5"/>
        <v>44</v>
      </c>
    </row>
    <row r="369" spans="1:7" x14ac:dyDescent="0.25">
      <c r="A369" s="4">
        <v>42157</v>
      </c>
      <c r="B369" s="3" t="s">
        <v>39</v>
      </c>
      <c r="C369" s="3" t="s">
        <v>10</v>
      </c>
      <c r="D369" s="3" t="s">
        <v>35</v>
      </c>
      <c r="E369" s="3">
        <v>31</v>
      </c>
      <c r="F369" s="5">
        <v>4</v>
      </c>
      <c r="G369" s="8">
        <f t="shared" si="5"/>
        <v>124</v>
      </c>
    </row>
    <row r="370" spans="1:7" hidden="1" x14ac:dyDescent="0.25">
      <c r="A370" s="4">
        <v>42070</v>
      </c>
      <c r="B370" s="3" t="s">
        <v>26</v>
      </c>
      <c r="C370" s="3" t="s">
        <v>5</v>
      </c>
      <c r="D370" s="3" t="s">
        <v>27</v>
      </c>
      <c r="E370" s="3">
        <v>12</v>
      </c>
      <c r="F370" s="5">
        <v>0.5</v>
      </c>
      <c r="G370" s="8">
        <f t="shared" si="5"/>
        <v>6</v>
      </c>
    </row>
    <row r="371" spans="1:7" hidden="1" x14ac:dyDescent="0.25">
      <c r="A371" s="4">
        <v>42104</v>
      </c>
      <c r="B371" s="3" t="s">
        <v>29</v>
      </c>
      <c r="C371" s="3" t="s">
        <v>19</v>
      </c>
      <c r="D371" s="3" t="s">
        <v>27</v>
      </c>
      <c r="E371" s="3">
        <v>24</v>
      </c>
      <c r="F371" s="5">
        <v>0.5</v>
      </c>
      <c r="G371" s="8">
        <f t="shared" si="5"/>
        <v>12</v>
      </c>
    </row>
    <row r="372" spans="1:7" hidden="1" x14ac:dyDescent="0.25">
      <c r="A372" s="4">
        <v>42135</v>
      </c>
      <c r="B372" s="3" t="s">
        <v>37</v>
      </c>
      <c r="C372" s="3" t="s">
        <v>10</v>
      </c>
      <c r="D372" s="3" t="s">
        <v>34</v>
      </c>
      <c r="E372" s="3">
        <v>36</v>
      </c>
      <c r="F372" s="5">
        <v>0.2</v>
      </c>
      <c r="G372" s="8">
        <f t="shared" si="5"/>
        <v>7.2</v>
      </c>
    </row>
    <row r="373" spans="1:7" hidden="1" x14ac:dyDescent="0.25">
      <c r="A373" s="4">
        <v>42174</v>
      </c>
      <c r="B373" s="3" t="s">
        <v>39</v>
      </c>
      <c r="C373" s="3" t="s">
        <v>6</v>
      </c>
      <c r="D373" s="3" t="s">
        <v>30</v>
      </c>
      <c r="E373" s="3">
        <v>40</v>
      </c>
      <c r="F373" s="5">
        <v>0.1</v>
      </c>
      <c r="G373" s="8">
        <f t="shared" si="5"/>
        <v>4</v>
      </c>
    </row>
    <row r="374" spans="1:7" hidden="1" x14ac:dyDescent="0.25">
      <c r="A374" s="4">
        <v>42013</v>
      </c>
      <c r="B374" s="3" t="s">
        <v>38</v>
      </c>
      <c r="C374" s="3" t="s">
        <v>10</v>
      </c>
      <c r="D374" s="3" t="s">
        <v>33</v>
      </c>
      <c r="E374" s="3">
        <v>12</v>
      </c>
      <c r="F374" s="5">
        <v>5</v>
      </c>
      <c r="G374" s="8">
        <f t="shared" si="5"/>
        <v>60</v>
      </c>
    </row>
    <row r="375" spans="1:7" hidden="1" x14ac:dyDescent="0.25">
      <c r="A375" s="4">
        <v>42079</v>
      </c>
      <c r="B375" s="3" t="s">
        <v>39</v>
      </c>
      <c r="C375" s="3" t="s">
        <v>2</v>
      </c>
      <c r="D375" s="3" t="s">
        <v>27</v>
      </c>
      <c r="E375" s="3">
        <v>16</v>
      </c>
      <c r="F375" s="5">
        <v>0.5</v>
      </c>
      <c r="G375" s="8">
        <f t="shared" si="5"/>
        <v>8</v>
      </c>
    </row>
    <row r="376" spans="1:7" hidden="1" x14ac:dyDescent="0.25">
      <c r="A376" s="4">
        <v>42092</v>
      </c>
      <c r="B376" s="3" t="s">
        <v>38</v>
      </c>
      <c r="C376" s="3" t="s">
        <v>10</v>
      </c>
      <c r="D376" s="3" t="s">
        <v>34</v>
      </c>
      <c r="E376" s="3">
        <v>27</v>
      </c>
      <c r="F376" s="5">
        <v>0.2</v>
      </c>
      <c r="G376" s="8">
        <f t="shared" si="5"/>
        <v>5.4</v>
      </c>
    </row>
    <row r="377" spans="1:7" x14ac:dyDescent="0.25">
      <c r="A377" s="4">
        <v>42110</v>
      </c>
      <c r="B377" s="3" t="s">
        <v>29</v>
      </c>
      <c r="C377" s="3" t="s">
        <v>5</v>
      </c>
      <c r="D377" s="3" t="s">
        <v>33</v>
      </c>
      <c r="E377" s="3">
        <v>31</v>
      </c>
      <c r="F377" s="5">
        <v>5</v>
      </c>
      <c r="G377" s="8">
        <f t="shared" si="5"/>
        <v>155</v>
      </c>
    </row>
    <row r="378" spans="1:7" hidden="1" x14ac:dyDescent="0.25">
      <c r="A378" s="4">
        <v>42046</v>
      </c>
      <c r="B378" s="3" t="s">
        <v>37</v>
      </c>
      <c r="C378" s="3" t="s">
        <v>2</v>
      </c>
      <c r="D378" s="3" t="s">
        <v>33</v>
      </c>
      <c r="E378" s="3">
        <v>11</v>
      </c>
      <c r="F378" s="5">
        <v>5</v>
      </c>
      <c r="G378" s="8">
        <f t="shared" si="5"/>
        <v>55</v>
      </c>
    </row>
    <row r="379" spans="1:7" hidden="1" x14ac:dyDescent="0.25">
      <c r="A379" s="4">
        <v>42031</v>
      </c>
      <c r="B379" s="3" t="s">
        <v>39</v>
      </c>
      <c r="C379" s="3" t="s">
        <v>19</v>
      </c>
      <c r="D379" s="3" t="s">
        <v>36</v>
      </c>
      <c r="E379" s="3">
        <v>4</v>
      </c>
      <c r="F379" s="5">
        <v>1.5</v>
      </c>
      <c r="G379" s="8">
        <f t="shared" si="5"/>
        <v>6</v>
      </c>
    </row>
    <row r="380" spans="1:7" hidden="1" x14ac:dyDescent="0.25">
      <c r="A380" s="4">
        <v>42070</v>
      </c>
      <c r="B380" s="3" t="s">
        <v>39</v>
      </c>
      <c r="C380" s="3" t="s">
        <v>2</v>
      </c>
      <c r="D380" s="3" t="s">
        <v>34</v>
      </c>
      <c r="E380" s="3">
        <v>6</v>
      </c>
      <c r="F380" s="5">
        <v>0.2</v>
      </c>
      <c r="G380" s="8">
        <f t="shared" si="5"/>
        <v>1.2000000000000002</v>
      </c>
    </row>
    <row r="381" spans="1:7" hidden="1" x14ac:dyDescent="0.25">
      <c r="A381" s="4">
        <v>42111</v>
      </c>
      <c r="B381" s="3" t="s">
        <v>29</v>
      </c>
      <c r="C381" s="3" t="s">
        <v>2</v>
      </c>
      <c r="D381" s="3" t="s">
        <v>36</v>
      </c>
      <c r="E381" s="3">
        <v>28</v>
      </c>
      <c r="F381" s="5">
        <v>1.5</v>
      </c>
      <c r="G381" s="8">
        <f t="shared" si="5"/>
        <v>42</v>
      </c>
    </row>
    <row r="382" spans="1:7" hidden="1" x14ac:dyDescent="0.25">
      <c r="A382" s="4">
        <v>42107</v>
      </c>
      <c r="B382" s="3" t="s">
        <v>37</v>
      </c>
      <c r="C382" s="3" t="s">
        <v>5</v>
      </c>
      <c r="D382" s="3" t="s">
        <v>27</v>
      </c>
      <c r="E382" s="3">
        <v>22</v>
      </c>
      <c r="F382" s="5">
        <v>0.5</v>
      </c>
      <c r="G382" s="8">
        <f t="shared" si="5"/>
        <v>11</v>
      </c>
    </row>
    <row r="383" spans="1:7" hidden="1" x14ac:dyDescent="0.25">
      <c r="A383" s="4">
        <v>42053</v>
      </c>
      <c r="B383" s="3" t="s">
        <v>39</v>
      </c>
      <c r="C383" s="3" t="s">
        <v>2</v>
      </c>
      <c r="D383" s="3" t="s">
        <v>28</v>
      </c>
      <c r="E383" s="3">
        <v>46</v>
      </c>
      <c r="F383" s="5">
        <v>2</v>
      </c>
      <c r="G383" s="8">
        <f t="shared" si="5"/>
        <v>92</v>
      </c>
    </row>
    <row r="384" spans="1:7" hidden="1" x14ac:dyDescent="0.25">
      <c r="A384" s="4">
        <v>42047</v>
      </c>
      <c r="B384" s="3" t="s">
        <v>38</v>
      </c>
      <c r="C384" s="3" t="s">
        <v>2</v>
      </c>
      <c r="D384" s="3" t="s">
        <v>27</v>
      </c>
      <c r="E384" s="3">
        <v>48</v>
      </c>
      <c r="F384" s="5">
        <v>0.5</v>
      </c>
      <c r="G384" s="8">
        <f t="shared" si="5"/>
        <v>24</v>
      </c>
    </row>
    <row r="385" spans="1:7" hidden="1" x14ac:dyDescent="0.25">
      <c r="A385" s="4">
        <v>42132</v>
      </c>
      <c r="B385" s="3" t="s">
        <v>26</v>
      </c>
      <c r="C385" s="3" t="s">
        <v>6</v>
      </c>
      <c r="D385" s="3" t="s">
        <v>27</v>
      </c>
      <c r="E385" s="3">
        <v>28</v>
      </c>
      <c r="F385" s="5">
        <v>0.5</v>
      </c>
      <c r="G385" s="8">
        <f t="shared" si="5"/>
        <v>14</v>
      </c>
    </row>
    <row r="386" spans="1:7" hidden="1" x14ac:dyDescent="0.25">
      <c r="A386" s="4">
        <v>42011</v>
      </c>
      <c r="B386" s="3" t="s">
        <v>26</v>
      </c>
      <c r="C386" s="3" t="s">
        <v>10</v>
      </c>
      <c r="D386" s="3" t="s">
        <v>27</v>
      </c>
      <c r="E386" s="3">
        <v>3</v>
      </c>
      <c r="F386" s="5">
        <v>0.5</v>
      </c>
      <c r="G386" s="8">
        <f t="shared" si="5"/>
        <v>1.5</v>
      </c>
    </row>
    <row r="387" spans="1:7" hidden="1" x14ac:dyDescent="0.25">
      <c r="A387" s="4">
        <v>42132</v>
      </c>
      <c r="B387" s="3" t="s">
        <v>38</v>
      </c>
      <c r="C387" s="3" t="s">
        <v>19</v>
      </c>
      <c r="D387" s="3" t="s">
        <v>34</v>
      </c>
      <c r="E387" s="3">
        <v>42</v>
      </c>
      <c r="F387" s="5">
        <v>0.2</v>
      </c>
      <c r="G387" s="8">
        <f t="shared" si="5"/>
        <v>8.4</v>
      </c>
    </row>
    <row r="388" spans="1:7" hidden="1" x14ac:dyDescent="0.25">
      <c r="A388" s="4">
        <v>42155</v>
      </c>
      <c r="B388" s="3" t="s">
        <v>37</v>
      </c>
      <c r="C388" s="3" t="s">
        <v>5</v>
      </c>
      <c r="D388" s="3" t="s">
        <v>34</v>
      </c>
      <c r="E388" s="3">
        <v>40</v>
      </c>
      <c r="F388" s="5">
        <v>0.2</v>
      </c>
      <c r="G388" s="8">
        <f t="shared" si="5"/>
        <v>8</v>
      </c>
    </row>
    <row r="389" spans="1:7" hidden="1" x14ac:dyDescent="0.25">
      <c r="A389" s="4">
        <v>42043</v>
      </c>
      <c r="B389" s="3" t="s">
        <v>29</v>
      </c>
      <c r="C389" s="3" t="s">
        <v>2</v>
      </c>
      <c r="D389" s="3" t="s">
        <v>30</v>
      </c>
      <c r="E389" s="3">
        <v>39</v>
      </c>
      <c r="F389" s="5">
        <v>0.1</v>
      </c>
      <c r="G389" s="8">
        <f t="shared" si="5"/>
        <v>3.9000000000000004</v>
      </c>
    </row>
    <row r="390" spans="1:7" x14ac:dyDescent="0.25">
      <c r="A390" s="4">
        <v>42184</v>
      </c>
      <c r="B390" s="3" t="s">
        <v>39</v>
      </c>
      <c r="C390" s="3" t="s">
        <v>6</v>
      </c>
      <c r="D390" s="3" t="s">
        <v>33</v>
      </c>
      <c r="E390" s="3">
        <v>41</v>
      </c>
      <c r="F390" s="5">
        <v>5</v>
      </c>
      <c r="G390" s="8">
        <f t="shared" si="5"/>
        <v>205</v>
      </c>
    </row>
    <row r="391" spans="1:7" hidden="1" x14ac:dyDescent="0.25">
      <c r="A391" s="4">
        <v>42163</v>
      </c>
      <c r="B391" s="3" t="s">
        <v>39</v>
      </c>
      <c r="C391" s="3" t="s">
        <v>10</v>
      </c>
      <c r="D391" s="3" t="s">
        <v>30</v>
      </c>
      <c r="E391" s="3">
        <v>18</v>
      </c>
      <c r="F391" s="5">
        <v>0.1</v>
      </c>
      <c r="G391" s="8">
        <f t="shared" ref="G391:G454" si="6">E391*F391</f>
        <v>1.8</v>
      </c>
    </row>
    <row r="392" spans="1:7" x14ac:dyDescent="0.25">
      <c r="A392" s="4">
        <v>42023</v>
      </c>
      <c r="B392" s="3" t="s">
        <v>37</v>
      </c>
      <c r="C392" s="3" t="s">
        <v>19</v>
      </c>
      <c r="D392" s="3" t="s">
        <v>35</v>
      </c>
      <c r="E392" s="3">
        <v>45</v>
      </c>
      <c r="F392" s="5">
        <v>4</v>
      </c>
      <c r="G392" s="8">
        <f t="shared" si="6"/>
        <v>180</v>
      </c>
    </row>
    <row r="393" spans="1:7" hidden="1" x14ac:dyDescent="0.25">
      <c r="A393" s="4">
        <v>42157</v>
      </c>
      <c r="B393" s="3" t="s">
        <v>32</v>
      </c>
      <c r="C393" s="3" t="s">
        <v>5</v>
      </c>
      <c r="D393" s="3" t="s">
        <v>31</v>
      </c>
      <c r="E393" s="3">
        <v>10</v>
      </c>
      <c r="F393" s="5">
        <v>2.5</v>
      </c>
      <c r="G393" s="8">
        <f t="shared" si="6"/>
        <v>25</v>
      </c>
    </row>
    <row r="394" spans="1:7" hidden="1" x14ac:dyDescent="0.25">
      <c r="A394" s="4">
        <v>42013</v>
      </c>
      <c r="B394" s="3" t="s">
        <v>37</v>
      </c>
      <c r="C394" s="3" t="s">
        <v>5</v>
      </c>
      <c r="D394" s="3" t="s">
        <v>34</v>
      </c>
      <c r="E394" s="3">
        <v>23</v>
      </c>
      <c r="F394" s="5">
        <v>0.2</v>
      </c>
      <c r="G394" s="8">
        <f t="shared" si="6"/>
        <v>4.6000000000000005</v>
      </c>
    </row>
    <row r="395" spans="1:7" x14ac:dyDescent="0.25">
      <c r="A395" s="4">
        <v>42153</v>
      </c>
      <c r="B395" s="3" t="s">
        <v>38</v>
      </c>
      <c r="C395" s="3" t="s">
        <v>6</v>
      </c>
      <c r="D395" s="3" t="s">
        <v>33</v>
      </c>
      <c r="E395" s="3">
        <v>49</v>
      </c>
      <c r="F395" s="5">
        <v>5</v>
      </c>
      <c r="G395" s="8">
        <f t="shared" si="6"/>
        <v>245</v>
      </c>
    </row>
    <row r="396" spans="1:7" hidden="1" x14ac:dyDescent="0.25">
      <c r="A396" s="4">
        <v>42098</v>
      </c>
      <c r="B396" s="3" t="s">
        <v>29</v>
      </c>
      <c r="C396" s="3" t="s">
        <v>6</v>
      </c>
      <c r="D396" s="3" t="s">
        <v>33</v>
      </c>
      <c r="E396" s="3">
        <v>14</v>
      </c>
      <c r="F396" s="5">
        <v>5</v>
      </c>
      <c r="G396" s="8">
        <f t="shared" si="6"/>
        <v>70</v>
      </c>
    </row>
    <row r="397" spans="1:7" hidden="1" x14ac:dyDescent="0.25">
      <c r="A397" s="4">
        <v>42006</v>
      </c>
      <c r="B397" s="3" t="s">
        <v>29</v>
      </c>
      <c r="C397" s="3" t="s">
        <v>19</v>
      </c>
      <c r="D397" s="3" t="s">
        <v>36</v>
      </c>
      <c r="E397" s="3">
        <v>37</v>
      </c>
      <c r="F397" s="5">
        <v>1.5</v>
      </c>
      <c r="G397" s="8">
        <f t="shared" si="6"/>
        <v>55.5</v>
      </c>
    </row>
    <row r="398" spans="1:7" x14ac:dyDescent="0.25">
      <c r="A398" s="4">
        <v>42181</v>
      </c>
      <c r="B398" s="3" t="s">
        <v>29</v>
      </c>
      <c r="C398" s="3" t="s">
        <v>5</v>
      </c>
      <c r="D398" s="3" t="s">
        <v>31</v>
      </c>
      <c r="E398" s="3">
        <v>50</v>
      </c>
      <c r="F398" s="5">
        <v>2.5</v>
      </c>
      <c r="G398" s="8">
        <f t="shared" si="6"/>
        <v>125</v>
      </c>
    </row>
    <row r="399" spans="1:7" x14ac:dyDescent="0.25">
      <c r="A399" s="4">
        <v>42006</v>
      </c>
      <c r="B399" s="3" t="s">
        <v>38</v>
      </c>
      <c r="C399" s="3" t="s">
        <v>5</v>
      </c>
      <c r="D399" s="3" t="s">
        <v>33</v>
      </c>
      <c r="E399" s="3">
        <v>27</v>
      </c>
      <c r="F399" s="5">
        <v>5</v>
      </c>
      <c r="G399" s="8">
        <f t="shared" si="6"/>
        <v>135</v>
      </c>
    </row>
    <row r="400" spans="1:7" x14ac:dyDescent="0.25">
      <c r="A400" s="4">
        <v>42036</v>
      </c>
      <c r="B400" s="3" t="s">
        <v>26</v>
      </c>
      <c r="C400" s="3" t="s">
        <v>2</v>
      </c>
      <c r="D400" s="3" t="s">
        <v>33</v>
      </c>
      <c r="E400" s="3">
        <v>41</v>
      </c>
      <c r="F400" s="5">
        <v>5</v>
      </c>
      <c r="G400" s="8">
        <f t="shared" si="6"/>
        <v>205</v>
      </c>
    </row>
    <row r="401" spans="1:7" x14ac:dyDescent="0.25">
      <c r="A401" s="4">
        <v>42161</v>
      </c>
      <c r="B401" s="3" t="s">
        <v>37</v>
      </c>
      <c r="C401" s="3" t="s">
        <v>5</v>
      </c>
      <c r="D401" s="3" t="s">
        <v>33</v>
      </c>
      <c r="E401" s="3">
        <v>27</v>
      </c>
      <c r="F401" s="5">
        <v>5</v>
      </c>
      <c r="G401" s="8">
        <f t="shared" si="6"/>
        <v>135</v>
      </c>
    </row>
    <row r="402" spans="1:7" hidden="1" x14ac:dyDescent="0.25">
      <c r="A402" s="4">
        <v>42059</v>
      </c>
      <c r="B402" s="3" t="s">
        <v>39</v>
      </c>
      <c r="C402" s="3" t="s">
        <v>10</v>
      </c>
      <c r="D402" s="3" t="s">
        <v>27</v>
      </c>
      <c r="E402" s="3">
        <v>4</v>
      </c>
      <c r="F402" s="5">
        <v>0.5</v>
      </c>
      <c r="G402" s="8">
        <f t="shared" si="6"/>
        <v>2</v>
      </c>
    </row>
    <row r="403" spans="1:7" hidden="1" x14ac:dyDescent="0.25">
      <c r="A403" s="4">
        <v>42132</v>
      </c>
      <c r="B403" s="3" t="s">
        <v>37</v>
      </c>
      <c r="C403" s="3" t="s">
        <v>5</v>
      </c>
      <c r="D403" s="3" t="s">
        <v>36</v>
      </c>
      <c r="E403" s="3">
        <v>31</v>
      </c>
      <c r="F403" s="5">
        <v>1.5</v>
      </c>
      <c r="G403" s="8">
        <f t="shared" si="6"/>
        <v>46.5</v>
      </c>
    </row>
    <row r="404" spans="1:7" x14ac:dyDescent="0.25">
      <c r="A404" s="4">
        <v>42005</v>
      </c>
      <c r="B404" s="3" t="s">
        <v>38</v>
      </c>
      <c r="C404" s="3" t="s">
        <v>2</v>
      </c>
      <c r="D404" s="3" t="s">
        <v>35</v>
      </c>
      <c r="E404" s="3">
        <v>30</v>
      </c>
      <c r="F404" s="5">
        <v>4</v>
      </c>
      <c r="G404" s="8">
        <f t="shared" si="6"/>
        <v>120</v>
      </c>
    </row>
    <row r="405" spans="1:7" hidden="1" x14ac:dyDescent="0.25">
      <c r="A405" s="4">
        <v>42066</v>
      </c>
      <c r="B405" s="3" t="s">
        <v>39</v>
      </c>
      <c r="C405" s="3" t="s">
        <v>5</v>
      </c>
      <c r="D405" s="3" t="s">
        <v>27</v>
      </c>
      <c r="E405" s="3">
        <v>23</v>
      </c>
      <c r="F405" s="5">
        <v>0.5</v>
      </c>
      <c r="G405" s="8">
        <f t="shared" si="6"/>
        <v>11.5</v>
      </c>
    </row>
    <row r="406" spans="1:7" hidden="1" x14ac:dyDescent="0.25">
      <c r="A406" s="4">
        <v>42080</v>
      </c>
      <c r="B406" s="3" t="s">
        <v>38</v>
      </c>
      <c r="C406" s="3" t="s">
        <v>5</v>
      </c>
      <c r="D406" s="3" t="s">
        <v>28</v>
      </c>
      <c r="E406" s="3">
        <v>22</v>
      </c>
      <c r="F406" s="5">
        <v>2</v>
      </c>
      <c r="G406" s="8">
        <f t="shared" si="6"/>
        <v>44</v>
      </c>
    </row>
    <row r="407" spans="1:7" hidden="1" x14ac:dyDescent="0.25">
      <c r="A407" s="4">
        <v>42118</v>
      </c>
      <c r="B407" s="3" t="s">
        <v>26</v>
      </c>
      <c r="C407" s="3" t="s">
        <v>2</v>
      </c>
      <c r="D407" s="3" t="s">
        <v>28</v>
      </c>
      <c r="E407" s="3">
        <v>34</v>
      </c>
      <c r="F407" s="5">
        <v>2</v>
      </c>
      <c r="G407" s="8">
        <f t="shared" si="6"/>
        <v>68</v>
      </c>
    </row>
    <row r="408" spans="1:7" x14ac:dyDescent="0.25">
      <c r="A408" s="4">
        <v>42040</v>
      </c>
      <c r="B408" s="3" t="s">
        <v>37</v>
      </c>
      <c r="C408" s="3" t="s">
        <v>2</v>
      </c>
      <c r="D408" s="3" t="s">
        <v>35</v>
      </c>
      <c r="E408" s="3">
        <v>33</v>
      </c>
      <c r="F408" s="5">
        <v>4</v>
      </c>
      <c r="G408" s="8">
        <f t="shared" si="6"/>
        <v>132</v>
      </c>
    </row>
    <row r="409" spans="1:7" hidden="1" x14ac:dyDescent="0.25">
      <c r="A409" s="4">
        <v>42036</v>
      </c>
      <c r="B409" s="3" t="s">
        <v>26</v>
      </c>
      <c r="C409" s="3" t="s">
        <v>10</v>
      </c>
      <c r="D409" s="3" t="s">
        <v>34</v>
      </c>
      <c r="E409" s="3">
        <v>23</v>
      </c>
      <c r="F409" s="5">
        <v>0.2</v>
      </c>
      <c r="G409" s="8">
        <f t="shared" si="6"/>
        <v>4.6000000000000005</v>
      </c>
    </row>
    <row r="410" spans="1:7" x14ac:dyDescent="0.25">
      <c r="A410" s="4">
        <v>42023</v>
      </c>
      <c r="B410" s="3" t="s">
        <v>29</v>
      </c>
      <c r="C410" s="3" t="s">
        <v>6</v>
      </c>
      <c r="D410" s="3" t="s">
        <v>35</v>
      </c>
      <c r="E410" s="3">
        <v>46</v>
      </c>
      <c r="F410" s="5">
        <v>4</v>
      </c>
      <c r="G410" s="8">
        <f t="shared" si="6"/>
        <v>184</v>
      </c>
    </row>
    <row r="411" spans="1:7" hidden="1" x14ac:dyDescent="0.25">
      <c r="A411" s="4">
        <v>42180</v>
      </c>
      <c r="B411" s="3" t="s">
        <v>26</v>
      </c>
      <c r="C411" s="3" t="s">
        <v>6</v>
      </c>
      <c r="D411" s="3" t="s">
        <v>28</v>
      </c>
      <c r="E411" s="3">
        <v>4</v>
      </c>
      <c r="F411" s="5">
        <v>2</v>
      </c>
      <c r="G411" s="8">
        <f t="shared" si="6"/>
        <v>8</v>
      </c>
    </row>
    <row r="412" spans="1:7" hidden="1" x14ac:dyDescent="0.25">
      <c r="A412" s="4">
        <v>42044</v>
      </c>
      <c r="B412" s="3" t="s">
        <v>38</v>
      </c>
      <c r="C412" s="3" t="s">
        <v>5</v>
      </c>
      <c r="D412" s="3" t="s">
        <v>35</v>
      </c>
      <c r="E412" s="3">
        <v>23</v>
      </c>
      <c r="F412" s="5">
        <v>4</v>
      </c>
      <c r="G412" s="8">
        <f t="shared" si="6"/>
        <v>92</v>
      </c>
    </row>
    <row r="413" spans="1:7" hidden="1" x14ac:dyDescent="0.25">
      <c r="A413" s="4">
        <v>42029</v>
      </c>
      <c r="B413" s="3" t="s">
        <v>29</v>
      </c>
      <c r="C413" s="3" t="s">
        <v>10</v>
      </c>
      <c r="D413" s="3" t="s">
        <v>27</v>
      </c>
      <c r="E413" s="3">
        <v>10</v>
      </c>
      <c r="F413" s="5">
        <v>0.5</v>
      </c>
      <c r="G413" s="8">
        <f t="shared" si="6"/>
        <v>5</v>
      </c>
    </row>
    <row r="414" spans="1:7" hidden="1" x14ac:dyDescent="0.25">
      <c r="A414" s="4">
        <v>42126</v>
      </c>
      <c r="B414" s="3" t="s">
        <v>26</v>
      </c>
      <c r="C414" s="3" t="s">
        <v>2</v>
      </c>
      <c r="D414" s="3" t="s">
        <v>31</v>
      </c>
      <c r="E414" s="3">
        <v>4</v>
      </c>
      <c r="F414" s="5">
        <v>2.5</v>
      </c>
      <c r="G414" s="8">
        <f t="shared" si="6"/>
        <v>10</v>
      </c>
    </row>
    <row r="415" spans="1:7" hidden="1" x14ac:dyDescent="0.25">
      <c r="A415" s="4">
        <v>42013</v>
      </c>
      <c r="B415" s="3" t="s">
        <v>26</v>
      </c>
      <c r="C415" s="3" t="s">
        <v>5</v>
      </c>
      <c r="D415" s="3" t="s">
        <v>27</v>
      </c>
      <c r="E415" s="3">
        <v>10</v>
      </c>
      <c r="F415" s="5">
        <v>0.5</v>
      </c>
      <c r="G415" s="8">
        <f t="shared" si="6"/>
        <v>5</v>
      </c>
    </row>
    <row r="416" spans="1:7" hidden="1" x14ac:dyDescent="0.25">
      <c r="A416" s="4">
        <v>42092</v>
      </c>
      <c r="B416" s="3" t="s">
        <v>32</v>
      </c>
      <c r="C416" s="3" t="s">
        <v>10</v>
      </c>
      <c r="D416" s="3" t="s">
        <v>27</v>
      </c>
      <c r="E416" s="3">
        <v>38</v>
      </c>
      <c r="F416" s="5">
        <v>0.5</v>
      </c>
      <c r="G416" s="8">
        <f t="shared" si="6"/>
        <v>19</v>
      </c>
    </row>
    <row r="417" spans="1:7" x14ac:dyDescent="0.25">
      <c r="A417" s="4">
        <v>42109</v>
      </c>
      <c r="B417" s="3" t="s">
        <v>32</v>
      </c>
      <c r="C417" s="3" t="s">
        <v>19</v>
      </c>
      <c r="D417" s="3" t="s">
        <v>31</v>
      </c>
      <c r="E417" s="3">
        <v>47</v>
      </c>
      <c r="F417" s="5">
        <v>2.5</v>
      </c>
      <c r="G417" s="8">
        <f t="shared" si="6"/>
        <v>117.5</v>
      </c>
    </row>
    <row r="418" spans="1:7" x14ac:dyDescent="0.25">
      <c r="A418" s="4">
        <v>42138</v>
      </c>
      <c r="B418" s="3" t="s">
        <v>26</v>
      </c>
      <c r="C418" s="3" t="s">
        <v>5</v>
      </c>
      <c r="D418" s="3" t="s">
        <v>33</v>
      </c>
      <c r="E418" s="3">
        <v>29</v>
      </c>
      <c r="F418" s="5">
        <v>5</v>
      </c>
      <c r="G418" s="8">
        <f t="shared" si="6"/>
        <v>145</v>
      </c>
    </row>
    <row r="419" spans="1:7" hidden="1" x14ac:dyDescent="0.25">
      <c r="A419" s="4">
        <v>42044</v>
      </c>
      <c r="B419" s="3" t="s">
        <v>37</v>
      </c>
      <c r="C419" s="3" t="s">
        <v>10</v>
      </c>
      <c r="D419" s="3" t="s">
        <v>27</v>
      </c>
      <c r="E419" s="3">
        <v>46</v>
      </c>
      <c r="F419" s="5">
        <v>0.5</v>
      </c>
      <c r="G419" s="8">
        <f t="shared" si="6"/>
        <v>23</v>
      </c>
    </row>
    <row r="420" spans="1:7" hidden="1" x14ac:dyDescent="0.25">
      <c r="A420" s="4">
        <v>42010</v>
      </c>
      <c r="B420" s="3" t="s">
        <v>26</v>
      </c>
      <c r="C420" s="3" t="s">
        <v>19</v>
      </c>
      <c r="D420" s="3" t="s">
        <v>31</v>
      </c>
      <c r="E420" s="3">
        <v>37</v>
      </c>
      <c r="F420" s="5">
        <v>2.5</v>
      </c>
      <c r="G420" s="8">
        <f t="shared" si="6"/>
        <v>92.5</v>
      </c>
    </row>
    <row r="421" spans="1:7" hidden="1" x14ac:dyDescent="0.25">
      <c r="A421" s="4">
        <v>42032</v>
      </c>
      <c r="B421" s="3" t="s">
        <v>29</v>
      </c>
      <c r="C421" s="3" t="s">
        <v>10</v>
      </c>
      <c r="D421" s="3" t="s">
        <v>36</v>
      </c>
      <c r="E421" s="3">
        <v>10</v>
      </c>
      <c r="F421" s="5">
        <v>1.5</v>
      </c>
      <c r="G421" s="8">
        <f t="shared" si="6"/>
        <v>15</v>
      </c>
    </row>
    <row r="422" spans="1:7" hidden="1" x14ac:dyDescent="0.25">
      <c r="A422" s="4">
        <v>42067</v>
      </c>
      <c r="B422" s="3" t="s">
        <v>37</v>
      </c>
      <c r="C422" s="3" t="s">
        <v>2</v>
      </c>
      <c r="D422" s="3" t="s">
        <v>28</v>
      </c>
      <c r="E422" s="3">
        <v>41</v>
      </c>
      <c r="F422" s="5">
        <v>2</v>
      </c>
      <c r="G422" s="8">
        <f t="shared" si="6"/>
        <v>82</v>
      </c>
    </row>
    <row r="423" spans="1:7" hidden="1" x14ac:dyDescent="0.25">
      <c r="A423" s="4">
        <v>42165</v>
      </c>
      <c r="B423" s="3" t="s">
        <v>26</v>
      </c>
      <c r="C423" s="3" t="s">
        <v>6</v>
      </c>
      <c r="D423" s="3" t="s">
        <v>34</v>
      </c>
      <c r="E423" s="3">
        <v>46</v>
      </c>
      <c r="F423" s="5">
        <v>0.2</v>
      </c>
      <c r="G423" s="8">
        <f t="shared" si="6"/>
        <v>9.2000000000000011</v>
      </c>
    </row>
    <row r="424" spans="1:7" hidden="1" x14ac:dyDescent="0.25">
      <c r="A424" s="4">
        <v>42128</v>
      </c>
      <c r="B424" s="3" t="s">
        <v>32</v>
      </c>
      <c r="C424" s="3" t="s">
        <v>19</v>
      </c>
      <c r="D424" s="3" t="s">
        <v>36</v>
      </c>
      <c r="E424" s="3">
        <v>41</v>
      </c>
      <c r="F424" s="5">
        <v>1.5</v>
      </c>
      <c r="G424" s="8">
        <f t="shared" si="6"/>
        <v>61.5</v>
      </c>
    </row>
    <row r="425" spans="1:7" hidden="1" x14ac:dyDescent="0.25">
      <c r="A425" s="4">
        <v>42139</v>
      </c>
      <c r="B425" s="3" t="s">
        <v>29</v>
      </c>
      <c r="C425" s="3" t="s">
        <v>5</v>
      </c>
      <c r="D425" s="3" t="s">
        <v>31</v>
      </c>
      <c r="E425" s="3">
        <v>37</v>
      </c>
      <c r="F425" s="5">
        <v>2.5</v>
      </c>
      <c r="G425" s="8">
        <f t="shared" si="6"/>
        <v>92.5</v>
      </c>
    </row>
    <row r="426" spans="1:7" x14ac:dyDescent="0.25">
      <c r="A426" s="4">
        <v>42047</v>
      </c>
      <c r="B426" s="3" t="s">
        <v>32</v>
      </c>
      <c r="C426" s="3" t="s">
        <v>19</v>
      </c>
      <c r="D426" s="3" t="s">
        <v>33</v>
      </c>
      <c r="E426" s="3">
        <v>34</v>
      </c>
      <c r="F426" s="5">
        <v>5</v>
      </c>
      <c r="G426" s="8">
        <f t="shared" si="6"/>
        <v>170</v>
      </c>
    </row>
    <row r="427" spans="1:7" hidden="1" x14ac:dyDescent="0.25">
      <c r="A427" s="4">
        <v>42087</v>
      </c>
      <c r="B427" s="3" t="s">
        <v>38</v>
      </c>
      <c r="C427" s="3" t="s">
        <v>2</v>
      </c>
      <c r="D427" s="3" t="s">
        <v>30</v>
      </c>
      <c r="E427" s="3">
        <v>39</v>
      </c>
      <c r="F427" s="5">
        <v>0.1</v>
      </c>
      <c r="G427" s="8">
        <f t="shared" si="6"/>
        <v>3.9000000000000004</v>
      </c>
    </row>
    <row r="428" spans="1:7" hidden="1" x14ac:dyDescent="0.25">
      <c r="A428" s="4">
        <v>42162</v>
      </c>
      <c r="B428" s="3" t="s">
        <v>37</v>
      </c>
      <c r="C428" s="3" t="s">
        <v>5</v>
      </c>
      <c r="D428" s="3" t="s">
        <v>35</v>
      </c>
      <c r="E428" s="3">
        <v>3</v>
      </c>
      <c r="F428" s="5">
        <v>4</v>
      </c>
      <c r="G428" s="8">
        <f t="shared" si="6"/>
        <v>12</v>
      </c>
    </row>
    <row r="429" spans="1:7" hidden="1" x14ac:dyDescent="0.25">
      <c r="A429" s="4">
        <v>42057</v>
      </c>
      <c r="B429" s="3" t="s">
        <v>29</v>
      </c>
      <c r="C429" s="3" t="s">
        <v>2</v>
      </c>
      <c r="D429" s="3" t="s">
        <v>28</v>
      </c>
      <c r="E429" s="3">
        <v>28</v>
      </c>
      <c r="F429" s="5">
        <v>2</v>
      </c>
      <c r="G429" s="8">
        <f t="shared" si="6"/>
        <v>56</v>
      </c>
    </row>
    <row r="430" spans="1:7" hidden="1" x14ac:dyDescent="0.25">
      <c r="A430" s="4">
        <v>42130</v>
      </c>
      <c r="B430" s="3" t="s">
        <v>37</v>
      </c>
      <c r="C430" s="3" t="s">
        <v>10</v>
      </c>
      <c r="D430" s="3" t="s">
        <v>34</v>
      </c>
      <c r="E430" s="3">
        <v>6</v>
      </c>
      <c r="F430" s="5">
        <v>0.2</v>
      </c>
      <c r="G430" s="8">
        <f t="shared" si="6"/>
        <v>1.2000000000000002</v>
      </c>
    </row>
    <row r="431" spans="1:7" hidden="1" x14ac:dyDescent="0.25">
      <c r="A431" s="4">
        <v>42152</v>
      </c>
      <c r="B431" s="3" t="s">
        <v>32</v>
      </c>
      <c r="C431" s="3" t="s">
        <v>2</v>
      </c>
      <c r="D431" s="3" t="s">
        <v>31</v>
      </c>
      <c r="E431" s="3">
        <v>11</v>
      </c>
      <c r="F431" s="5">
        <v>2.5</v>
      </c>
      <c r="G431" s="8">
        <f t="shared" si="6"/>
        <v>27.5</v>
      </c>
    </row>
    <row r="432" spans="1:7" hidden="1" x14ac:dyDescent="0.25">
      <c r="A432" s="4">
        <v>42014</v>
      </c>
      <c r="B432" s="3" t="s">
        <v>26</v>
      </c>
      <c r="C432" s="3" t="s">
        <v>2</v>
      </c>
      <c r="D432" s="3" t="s">
        <v>34</v>
      </c>
      <c r="E432" s="3">
        <v>14</v>
      </c>
      <c r="F432" s="5">
        <v>0.2</v>
      </c>
      <c r="G432" s="8">
        <f t="shared" si="6"/>
        <v>2.8000000000000003</v>
      </c>
    </row>
    <row r="433" spans="1:7" hidden="1" x14ac:dyDescent="0.25">
      <c r="A433" s="4">
        <v>42140</v>
      </c>
      <c r="B433" s="3" t="s">
        <v>37</v>
      </c>
      <c r="C433" s="3" t="s">
        <v>19</v>
      </c>
      <c r="D433" s="3" t="s">
        <v>30</v>
      </c>
      <c r="E433" s="3">
        <v>9</v>
      </c>
      <c r="F433" s="5">
        <v>0.1</v>
      </c>
      <c r="G433" s="8">
        <f t="shared" si="6"/>
        <v>0.9</v>
      </c>
    </row>
    <row r="434" spans="1:7" hidden="1" x14ac:dyDescent="0.25">
      <c r="A434" s="4">
        <v>42021</v>
      </c>
      <c r="B434" s="3" t="s">
        <v>38</v>
      </c>
      <c r="C434" s="3" t="s">
        <v>6</v>
      </c>
      <c r="D434" s="3" t="s">
        <v>27</v>
      </c>
      <c r="E434" s="3">
        <v>2</v>
      </c>
      <c r="F434" s="5">
        <v>0.5</v>
      </c>
      <c r="G434" s="8">
        <f t="shared" si="6"/>
        <v>1</v>
      </c>
    </row>
    <row r="435" spans="1:7" hidden="1" x14ac:dyDescent="0.25">
      <c r="A435" s="4">
        <v>42149</v>
      </c>
      <c r="B435" s="3" t="s">
        <v>39</v>
      </c>
      <c r="C435" s="3" t="s">
        <v>10</v>
      </c>
      <c r="D435" s="3" t="s">
        <v>36</v>
      </c>
      <c r="E435" s="3">
        <v>19</v>
      </c>
      <c r="F435" s="5">
        <v>1.5</v>
      </c>
      <c r="G435" s="8">
        <f t="shared" si="6"/>
        <v>28.5</v>
      </c>
    </row>
    <row r="436" spans="1:7" hidden="1" x14ac:dyDescent="0.25">
      <c r="A436" s="4">
        <v>42015</v>
      </c>
      <c r="B436" s="3" t="s">
        <v>32</v>
      </c>
      <c r="C436" s="3" t="s">
        <v>10</v>
      </c>
      <c r="D436" s="3" t="s">
        <v>36</v>
      </c>
      <c r="E436" s="3">
        <v>15</v>
      </c>
      <c r="F436" s="5">
        <v>1.5</v>
      </c>
      <c r="G436" s="8">
        <f t="shared" si="6"/>
        <v>22.5</v>
      </c>
    </row>
    <row r="437" spans="1:7" x14ac:dyDescent="0.25">
      <c r="A437" s="4">
        <v>42087</v>
      </c>
      <c r="B437" s="3" t="s">
        <v>32</v>
      </c>
      <c r="C437" s="3" t="s">
        <v>6</v>
      </c>
      <c r="D437" s="3" t="s">
        <v>33</v>
      </c>
      <c r="E437" s="3">
        <v>44</v>
      </c>
      <c r="F437" s="5">
        <v>5</v>
      </c>
      <c r="G437" s="8">
        <f t="shared" si="6"/>
        <v>220</v>
      </c>
    </row>
    <row r="438" spans="1:7" hidden="1" x14ac:dyDescent="0.25">
      <c r="A438" s="4">
        <v>42034</v>
      </c>
      <c r="B438" s="3" t="s">
        <v>39</v>
      </c>
      <c r="C438" s="3" t="s">
        <v>10</v>
      </c>
      <c r="D438" s="3" t="s">
        <v>27</v>
      </c>
      <c r="E438" s="3">
        <v>24</v>
      </c>
      <c r="F438" s="5">
        <v>0.5</v>
      </c>
      <c r="G438" s="8">
        <f t="shared" si="6"/>
        <v>12</v>
      </c>
    </row>
    <row r="439" spans="1:7" hidden="1" x14ac:dyDescent="0.25">
      <c r="A439" s="4">
        <v>42110</v>
      </c>
      <c r="B439" s="3" t="s">
        <v>39</v>
      </c>
      <c r="C439" s="3" t="s">
        <v>10</v>
      </c>
      <c r="D439" s="3" t="s">
        <v>28</v>
      </c>
      <c r="E439" s="3">
        <v>46</v>
      </c>
      <c r="F439" s="5">
        <v>2</v>
      </c>
      <c r="G439" s="8">
        <f t="shared" si="6"/>
        <v>92</v>
      </c>
    </row>
    <row r="440" spans="1:7" hidden="1" x14ac:dyDescent="0.25">
      <c r="A440" s="4">
        <v>42107</v>
      </c>
      <c r="B440" s="3" t="s">
        <v>39</v>
      </c>
      <c r="C440" s="3" t="s">
        <v>19</v>
      </c>
      <c r="D440" s="3" t="s">
        <v>34</v>
      </c>
      <c r="E440" s="3">
        <v>11</v>
      </c>
      <c r="F440" s="5">
        <v>0.2</v>
      </c>
      <c r="G440" s="8">
        <f t="shared" si="6"/>
        <v>2.2000000000000002</v>
      </c>
    </row>
    <row r="441" spans="1:7" hidden="1" x14ac:dyDescent="0.25">
      <c r="A441" s="4">
        <v>42130</v>
      </c>
      <c r="B441" s="3" t="s">
        <v>32</v>
      </c>
      <c r="C441" s="3" t="s">
        <v>6</v>
      </c>
      <c r="D441" s="3" t="s">
        <v>33</v>
      </c>
      <c r="E441" s="3">
        <v>20</v>
      </c>
      <c r="F441" s="5">
        <v>5</v>
      </c>
      <c r="G441" s="8">
        <f t="shared" si="6"/>
        <v>100</v>
      </c>
    </row>
    <row r="442" spans="1:7" hidden="1" x14ac:dyDescent="0.25">
      <c r="A442" s="4">
        <v>42076</v>
      </c>
      <c r="B442" s="3" t="s">
        <v>38</v>
      </c>
      <c r="C442" s="3" t="s">
        <v>5</v>
      </c>
      <c r="D442" s="3" t="s">
        <v>30</v>
      </c>
      <c r="E442" s="3">
        <v>10</v>
      </c>
      <c r="F442" s="5">
        <v>0.1</v>
      </c>
      <c r="G442" s="8">
        <f t="shared" si="6"/>
        <v>1</v>
      </c>
    </row>
    <row r="443" spans="1:7" hidden="1" x14ac:dyDescent="0.25">
      <c r="A443" s="4">
        <v>42023</v>
      </c>
      <c r="B443" s="3" t="s">
        <v>32</v>
      </c>
      <c r="C443" s="3" t="s">
        <v>10</v>
      </c>
      <c r="D443" s="3" t="s">
        <v>27</v>
      </c>
      <c r="E443" s="3">
        <v>25</v>
      </c>
      <c r="F443" s="5">
        <v>0.5</v>
      </c>
      <c r="G443" s="8">
        <f t="shared" si="6"/>
        <v>12.5</v>
      </c>
    </row>
    <row r="444" spans="1:7" hidden="1" x14ac:dyDescent="0.25">
      <c r="A444" s="4">
        <v>42093</v>
      </c>
      <c r="B444" s="3" t="s">
        <v>29</v>
      </c>
      <c r="C444" s="3" t="s">
        <v>2</v>
      </c>
      <c r="D444" s="3" t="s">
        <v>34</v>
      </c>
      <c r="E444" s="3">
        <v>47</v>
      </c>
      <c r="F444" s="5">
        <v>0.2</v>
      </c>
      <c r="G444" s="8">
        <f t="shared" si="6"/>
        <v>9.4</v>
      </c>
    </row>
    <row r="445" spans="1:7" hidden="1" x14ac:dyDescent="0.25">
      <c r="A445" s="4">
        <v>42035</v>
      </c>
      <c r="B445" s="3" t="s">
        <v>29</v>
      </c>
      <c r="C445" s="3" t="s">
        <v>6</v>
      </c>
      <c r="D445" s="3" t="s">
        <v>33</v>
      </c>
      <c r="E445" s="3">
        <v>17</v>
      </c>
      <c r="F445" s="5">
        <v>5</v>
      </c>
      <c r="G445" s="8">
        <f t="shared" si="6"/>
        <v>85</v>
      </c>
    </row>
    <row r="446" spans="1:7" hidden="1" x14ac:dyDescent="0.25">
      <c r="A446" s="4">
        <v>42099</v>
      </c>
      <c r="B446" s="3" t="s">
        <v>38</v>
      </c>
      <c r="C446" s="3" t="s">
        <v>5</v>
      </c>
      <c r="D446" s="3" t="s">
        <v>30</v>
      </c>
      <c r="E446" s="3">
        <v>10</v>
      </c>
      <c r="F446" s="5">
        <v>0.1</v>
      </c>
      <c r="G446" s="8">
        <f t="shared" si="6"/>
        <v>1</v>
      </c>
    </row>
    <row r="447" spans="1:7" hidden="1" x14ac:dyDescent="0.25">
      <c r="A447" s="4">
        <v>42080</v>
      </c>
      <c r="B447" s="3" t="s">
        <v>32</v>
      </c>
      <c r="C447" s="3" t="s">
        <v>6</v>
      </c>
      <c r="D447" s="3" t="s">
        <v>30</v>
      </c>
      <c r="E447" s="3">
        <v>30</v>
      </c>
      <c r="F447" s="5">
        <v>0.1</v>
      </c>
      <c r="G447" s="8">
        <f t="shared" si="6"/>
        <v>3</v>
      </c>
    </row>
    <row r="448" spans="1:7" hidden="1" x14ac:dyDescent="0.25">
      <c r="A448" s="4">
        <v>42006</v>
      </c>
      <c r="B448" s="3" t="s">
        <v>29</v>
      </c>
      <c r="C448" s="3" t="s">
        <v>19</v>
      </c>
      <c r="D448" s="3" t="s">
        <v>27</v>
      </c>
      <c r="E448" s="3">
        <v>13</v>
      </c>
      <c r="F448" s="5">
        <v>0.5</v>
      </c>
      <c r="G448" s="8">
        <f t="shared" si="6"/>
        <v>6.5</v>
      </c>
    </row>
    <row r="449" spans="1:7" hidden="1" x14ac:dyDescent="0.25">
      <c r="A449" s="4">
        <v>42179</v>
      </c>
      <c r="B449" s="3" t="s">
        <v>38</v>
      </c>
      <c r="C449" s="3" t="s">
        <v>2</v>
      </c>
      <c r="D449" s="3" t="s">
        <v>28</v>
      </c>
      <c r="E449" s="3">
        <v>17</v>
      </c>
      <c r="F449" s="5">
        <v>2</v>
      </c>
      <c r="G449" s="8">
        <f t="shared" si="6"/>
        <v>34</v>
      </c>
    </row>
    <row r="450" spans="1:7" hidden="1" x14ac:dyDescent="0.25">
      <c r="A450" s="4">
        <v>42170</v>
      </c>
      <c r="B450" s="3" t="s">
        <v>39</v>
      </c>
      <c r="C450" s="3" t="s">
        <v>5</v>
      </c>
      <c r="D450" s="3" t="s">
        <v>27</v>
      </c>
      <c r="E450" s="3">
        <v>32</v>
      </c>
      <c r="F450" s="5">
        <v>0.5</v>
      </c>
      <c r="G450" s="8">
        <f t="shared" si="6"/>
        <v>16</v>
      </c>
    </row>
    <row r="451" spans="1:7" hidden="1" x14ac:dyDescent="0.25">
      <c r="A451" s="4">
        <v>42068</v>
      </c>
      <c r="B451" s="3" t="s">
        <v>26</v>
      </c>
      <c r="C451" s="3" t="s">
        <v>10</v>
      </c>
      <c r="D451" s="3" t="s">
        <v>36</v>
      </c>
      <c r="E451" s="3">
        <v>34</v>
      </c>
      <c r="F451" s="5">
        <v>1.5</v>
      </c>
      <c r="G451" s="8">
        <f t="shared" si="6"/>
        <v>51</v>
      </c>
    </row>
    <row r="452" spans="1:7" hidden="1" x14ac:dyDescent="0.25">
      <c r="A452" s="4">
        <v>42118</v>
      </c>
      <c r="B452" s="3" t="s">
        <v>29</v>
      </c>
      <c r="C452" s="3" t="s">
        <v>19</v>
      </c>
      <c r="D452" s="3" t="s">
        <v>31</v>
      </c>
      <c r="E452" s="3">
        <v>14</v>
      </c>
      <c r="F452" s="5">
        <v>2.5</v>
      </c>
      <c r="G452" s="8">
        <f t="shared" si="6"/>
        <v>35</v>
      </c>
    </row>
    <row r="453" spans="1:7" hidden="1" x14ac:dyDescent="0.25">
      <c r="A453" s="4">
        <v>42042</v>
      </c>
      <c r="B453" s="3" t="s">
        <v>39</v>
      </c>
      <c r="C453" s="3" t="s">
        <v>10</v>
      </c>
      <c r="D453" s="3" t="s">
        <v>28</v>
      </c>
      <c r="E453" s="3">
        <v>37</v>
      </c>
      <c r="F453" s="5">
        <v>2</v>
      </c>
      <c r="G453" s="8">
        <f t="shared" si="6"/>
        <v>74</v>
      </c>
    </row>
    <row r="454" spans="1:7" hidden="1" x14ac:dyDescent="0.25">
      <c r="A454" s="4">
        <v>42016</v>
      </c>
      <c r="B454" s="3" t="s">
        <v>32</v>
      </c>
      <c r="C454" s="3" t="s">
        <v>10</v>
      </c>
      <c r="D454" s="3" t="s">
        <v>36</v>
      </c>
      <c r="E454" s="3">
        <v>31</v>
      </c>
      <c r="F454" s="5">
        <v>1.5</v>
      </c>
      <c r="G454" s="8">
        <f t="shared" si="6"/>
        <v>46.5</v>
      </c>
    </row>
    <row r="455" spans="1:7" hidden="1" x14ac:dyDescent="0.25">
      <c r="A455" s="4">
        <v>42126</v>
      </c>
      <c r="B455" s="3" t="s">
        <v>26</v>
      </c>
      <c r="C455" s="3" t="s">
        <v>10</v>
      </c>
      <c r="D455" s="3" t="s">
        <v>36</v>
      </c>
      <c r="E455" s="3">
        <v>32</v>
      </c>
      <c r="F455" s="5">
        <v>1.5</v>
      </c>
      <c r="G455" s="8">
        <f t="shared" ref="G455:G499" si="7">E455*F455</f>
        <v>48</v>
      </c>
    </row>
    <row r="456" spans="1:7" hidden="1" x14ac:dyDescent="0.25">
      <c r="A456" s="4">
        <v>42162</v>
      </c>
      <c r="B456" s="3" t="s">
        <v>37</v>
      </c>
      <c r="C456" s="3" t="s">
        <v>5</v>
      </c>
      <c r="D456" s="3" t="s">
        <v>30</v>
      </c>
      <c r="E456" s="3">
        <v>27</v>
      </c>
      <c r="F456" s="5">
        <v>0.1</v>
      </c>
      <c r="G456" s="8">
        <f t="shared" si="7"/>
        <v>2.7</v>
      </c>
    </row>
    <row r="457" spans="1:7" x14ac:dyDescent="0.25">
      <c r="A457" s="4">
        <v>42157</v>
      </c>
      <c r="B457" s="3" t="s">
        <v>32</v>
      </c>
      <c r="C457" s="3" t="s">
        <v>5</v>
      </c>
      <c r="D457" s="3" t="s">
        <v>33</v>
      </c>
      <c r="E457" s="3">
        <v>27</v>
      </c>
      <c r="F457" s="5">
        <v>5</v>
      </c>
      <c r="G457" s="8">
        <f t="shared" si="7"/>
        <v>135</v>
      </c>
    </row>
    <row r="458" spans="1:7" hidden="1" x14ac:dyDescent="0.25">
      <c r="A458" s="4">
        <v>42070</v>
      </c>
      <c r="B458" s="3" t="s">
        <v>29</v>
      </c>
      <c r="C458" s="3" t="s">
        <v>2</v>
      </c>
      <c r="D458" s="3" t="s">
        <v>27</v>
      </c>
      <c r="E458" s="3">
        <v>12</v>
      </c>
      <c r="F458" s="5">
        <v>0.5</v>
      </c>
      <c r="G458" s="8">
        <f t="shared" si="7"/>
        <v>6</v>
      </c>
    </row>
    <row r="459" spans="1:7" hidden="1" x14ac:dyDescent="0.25">
      <c r="A459" s="4">
        <v>42035</v>
      </c>
      <c r="B459" s="3" t="s">
        <v>29</v>
      </c>
      <c r="C459" s="3" t="s">
        <v>19</v>
      </c>
      <c r="D459" s="3" t="s">
        <v>34</v>
      </c>
      <c r="E459" s="3">
        <v>11</v>
      </c>
      <c r="F459" s="5">
        <v>0.2</v>
      </c>
      <c r="G459" s="8">
        <f t="shared" si="7"/>
        <v>2.2000000000000002</v>
      </c>
    </row>
    <row r="460" spans="1:7" hidden="1" x14ac:dyDescent="0.25">
      <c r="A460" s="4">
        <v>42026</v>
      </c>
      <c r="B460" s="3" t="s">
        <v>29</v>
      </c>
      <c r="C460" s="3" t="s">
        <v>2</v>
      </c>
      <c r="D460" s="3" t="s">
        <v>36</v>
      </c>
      <c r="E460" s="3">
        <v>32</v>
      </c>
      <c r="F460" s="5">
        <v>1.5</v>
      </c>
      <c r="G460" s="8">
        <f t="shared" si="7"/>
        <v>48</v>
      </c>
    </row>
    <row r="461" spans="1:7" hidden="1" x14ac:dyDescent="0.25">
      <c r="A461" s="4">
        <v>42159</v>
      </c>
      <c r="B461" s="3" t="s">
        <v>39</v>
      </c>
      <c r="C461" s="3" t="s">
        <v>10</v>
      </c>
      <c r="D461" s="3" t="s">
        <v>31</v>
      </c>
      <c r="E461" s="3">
        <v>23</v>
      </c>
      <c r="F461" s="5">
        <v>2.5</v>
      </c>
      <c r="G461" s="8">
        <f t="shared" si="7"/>
        <v>57.5</v>
      </c>
    </row>
    <row r="462" spans="1:7" hidden="1" x14ac:dyDescent="0.25">
      <c r="A462" s="4">
        <v>42050</v>
      </c>
      <c r="B462" s="3" t="s">
        <v>26</v>
      </c>
      <c r="C462" s="3" t="s">
        <v>6</v>
      </c>
      <c r="D462" s="3" t="s">
        <v>27</v>
      </c>
      <c r="E462" s="3">
        <v>45</v>
      </c>
      <c r="F462" s="5">
        <v>0.5</v>
      </c>
      <c r="G462" s="8">
        <f t="shared" si="7"/>
        <v>22.5</v>
      </c>
    </row>
    <row r="463" spans="1:7" hidden="1" x14ac:dyDescent="0.25">
      <c r="A463" s="4">
        <v>42118</v>
      </c>
      <c r="B463" s="3" t="s">
        <v>39</v>
      </c>
      <c r="C463" s="3" t="s">
        <v>5</v>
      </c>
      <c r="D463" s="3" t="s">
        <v>31</v>
      </c>
      <c r="E463" s="3">
        <v>11</v>
      </c>
      <c r="F463" s="5">
        <v>2.5</v>
      </c>
      <c r="G463" s="8">
        <f t="shared" si="7"/>
        <v>27.5</v>
      </c>
    </row>
    <row r="464" spans="1:7" hidden="1" x14ac:dyDescent="0.25">
      <c r="A464" s="4">
        <v>42013</v>
      </c>
      <c r="B464" s="3" t="s">
        <v>39</v>
      </c>
      <c r="C464" s="3" t="s">
        <v>6</v>
      </c>
      <c r="D464" s="3" t="s">
        <v>30</v>
      </c>
      <c r="E464" s="3">
        <v>33</v>
      </c>
      <c r="F464" s="5">
        <v>0.1</v>
      </c>
      <c r="G464" s="8">
        <f t="shared" si="7"/>
        <v>3.3000000000000003</v>
      </c>
    </row>
    <row r="465" spans="1:7" hidden="1" x14ac:dyDescent="0.25">
      <c r="A465" s="4">
        <v>42090</v>
      </c>
      <c r="B465" s="3" t="s">
        <v>29</v>
      </c>
      <c r="C465" s="3" t="s">
        <v>2</v>
      </c>
      <c r="D465" s="3" t="s">
        <v>31</v>
      </c>
      <c r="E465" s="3">
        <v>34</v>
      </c>
      <c r="F465" s="5">
        <v>2.5</v>
      </c>
      <c r="G465" s="8">
        <f t="shared" si="7"/>
        <v>85</v>
      </c>
    </row>
    <row r="466" spans="1:7" hidden="1" x14ac:dyDescent="0.25">
      <c r="A466" s="4">
        <v>42140</v>
      </c>
      <c r="B466" s="3" t="s">
        <v>37</v>
      </c>
      <c r="C466" s="3" t="s">
        <v>19</v>
      </c>
      <c r="D466" s="3" t="s">
        <v>36</v>
      </c>
      <c r="E466" s="3">
        <v>42</v>
      </c>
      <c r="F466" s="5">
        <v>1.5</v>
      </c>
      <c r="G466" s="8">
        <f t="shared" si="7"/>
        <v>63</v>
      </c>
    </row>
    <row r="467" spans="1:7" hidden="1" x14ac:dyDescent="0.25">
      <c r="A467" s="4">
        <v>42073</v>
      </c>
      <c r="B467" s="3" t="s">
        <v>29</v>
      </c>
      <c r="C467" s="3" t="s">
        <v>2</v>
      </c>
      <c r="D467" s="3" t="s">
        <v>31</v>
      </c>
      <c r="E467" s="3">
        <v>8</v>
      </c>
      <c r="F467" s="5">
        <v>2.5</v>
      </c>
      <c r="G467" s="8">
        <f t="shared" si="7"/>
        <v>20</v>
      </c>
    </row>
    <row r="468" spans="1:7" hidden="1" x14ac:dyDescent="0.25">
      <c r="A468" s="4">
        <v>42093</v>
      </c>
      <c r="B468" s="3" t="s">
        <v>37</v>
      </c>
      <c r="C468" s="3" t="s">
        <v>19</v>
      </c>
      <c r="D468" s="3" t="s">
        <v>33</v>
      </c>
      <c r="E468" s="3">
        <v>11</v>
      </c>
      <c r="F468" s="5">
        <v>5</v>
      </c>
      <c r="G468" s="8">
        <f t="shared" si="7"/>
        <v>55</v>
      </c>
    </row>
    <row r="469" spans="1:7" hidden="1" x14ac:dyDescent="0.25">
      <c r="A469" s="4">
        <v>42094</v>
      </c>
      <c r="B469" s="3" t="s">
        <v>29</v>
      </c>
      <c r="C469" s="3" t="s">
        <v>2</v>
      </c>
      <c r="D469" s="3" t="s">
        <v>27</v>
      </c>
      <c r="E469" s="3">
        <v>18</v>
      </c>
      <c r="F469" s="5">
        <v>0.5</v>
      </c>
      <c r="G469" s="8">
        <f t="shared" si="7"/>
        <v>9</v>
      </c>
    </row>
    <row r="470" spans="1:7" hidden="1" x14ac:dyDescent="0.25">
      <c r="A470" s="4">
        <v>42056</v>
      </c>
      <c r="B470" s="3" t="s">
        <v>38</v>
      </c>
      <c r="C470" s="3" t="s">
        <v>6</v>
      </c>
      <c r="D470" s="3" t="s">
        <v>30</v>
      </c>
      <c r="E470" s="3">
        <v>44</v>
      </c>
      <c r="F470" s="5">
        <v>0.1</v>
      </c>
      <c r="G470" s="8">
        <f t="shared" si="7"/>
        <v>4.4000000000000004</v>
      </c>
    </row>
    <row r="471" spans="1:7" hidden="1" x14ac:dyDescent="0.25">
      <c r="A471" s="4">
        <v>42143</v>
      </c>
      <c r="B471" s="3" t="s">
        <v>38</v>
      </c>
      <c r="C471" s="3" t="s">
        <v>5</v>
      </c>
      <c r="D471" s="3" t="s">
        <v>30</v>
      </c>
      <c r="E471" s="3">
        <v>47</v>
      </c>
      <c r="F471" s="5">
        <v>0.1</v>
      </c>
      <c r="G471" s="8">
        <f t="shared" si="7"/>
        <v>4.7</v>
      </c>
    </row>
    <row r="472" spans="1:7" hidden="1" x14ac:dyDescent="0.25">
      <c r="A472" s="4">
        <v>42032</v>
      </c>
      <c r="B472" s="3" t="s">
        <v>39</v>
      </c>
      <c r="C472" s="3" t="s">
        <v>2</v>
      </c>
      <c r="D472" s="3" t="s">
        <v>31</v>
      </c>
      <c r="E472" s="3">
        <v>35</v>
      </c>
      <c r="F472" s="5">
        <v>2.5</v>
      </c>
      <c r="G472" s="8">
        <f t="shared" si="7"/>
        <v>87.5</v>
      </c>
    </row>
    <row r="473" spans="1:7" hidden="1" x14ac:dyDescent="0.25">
      <c r="A473" s="4">
        <v>42041</v>
      </c>
      <c r="B473" s="3" t="s">
        <v>39</v>
      </c>
      <c r="C473" s="3" t="s">
        <v>6</v>
      </c>
      <c r="D473" s="3" t="s">
        <v>36</v>
      </c>
      <c r="E473" s="3">
        <v>13</v>
      </c>
      <c r="F473" s="5">
        <v>1.5</v>
      </c>
      <c r="G473" s="8">
        <f t="shared" si="7"/>
        <v>19.5</v>
      </c>
    </row>
    <row r="474" spans="1:7" hidden="1" x14ac:dyDescent="0.25">
      <c r="A474" s="4">
        <v>42062</v>
      </c>
      <c r="B474" s="3" t="s">
        <v>37</v>
      </c>
      <c r="C474" s="3" t="s">
        <v>10</v>
      </c>
      <c r="D474" s="3" t="s">
        <v>34</v>
      </c>
      <c r="E474" s="3">
        <v>30</v>
      </c>
      <c r="F474" s="5">
        <v>0.2</v>
      </c>
      <c r="G474" s="8">
        <f t="shared" si="7"/>
        <v>6</v>
      </c>
    </row>
    <row r="475" spans="1:7" hidden="1" x14ac:dyDescent="0.25">
      <c r="A475" s="4">
        <v>42145</v>
      </c>
      <c r="B475" s="3" t="s">
        <v>37</v>
      </c>
      <c r="C475" s="3" t="s">
        <v>19</v>
      </c>
      <c r="D475" s="3" t="s">
        <v>31</v>
      </c>
      <c r="E475" s="3">
        <v>14</v>
      </c>
      <c r="F475" s="5">
        <v>2.5</v>
      </c>
      <c r="G475" s="8">
        <f t="shared" si="7"/>
        <v>35</v>
      </c>
    </row>
    <row r="476" spans="1:7" hidden="1" x14ac:dyDescent="0.25">
      <c r="A476" s="4">
        <v>42144</v>
      </c>
      <c r="B476" s="3" t="s">
        <v>32</v>
      </c>
      <c r="C476" s="3" t="s">
        <v>5</v>
      </c>
      <c r="D476" s="3" t="s">
        <v>27</v>
      </c>
      <c r="E476" s="3">
        <v>27</v>
      </c>
      <c r="F476" s="5">
        <v>0.5</v>
      </c>
      <c r="G476" s="8">
        <f t="shared" si="7"/>
        <v>13.5</v>
      </c>
    </row>
    <row r="477" spans="1:7" hidden="1" x14ac:dyDescent="0.25">
      <c r="A477" s="4">
        <v>42079</v>
      </c>
      <c r="B477" s="3" t="s">
        <v>29</v>
      </c>
      <c r="C477" s="3" t="s">
        <v>10</v>
      </c>
      <c r="D477" s="3" t="s">
        <v>30</v>
      </c>
      <c r="E477" s="3">
        <v>4</v>
      </c>
      <c r="F477" s="5">
        <v>0.1</v>
      </c>
      <c r="G477" s="8">
        <f t="shared" si="7"/>
        <v>0.4</v>
      </c>
    </row>
    <row r="478" spans="1:7" hidden="1" x14ac:dyDescent="0.25">
      <c r="A478" s="4">
        <v>42138</v>
      </c>
      <c r="B478" s="3" t="s">
        <v>39</v>
      </c>
      <c r="C478" s="3" t="s">
        <v>5</v>
      </c>
      <c r="D478" s="3" t="s">
        <v>36</v>
      </c>
      <c r="E478" s="3">
        <v>6</v>
      </c>
      <c r="F478" s="5">
        <v>1.5</v>
      </c>
      <c r="G478" s="8">
        <f t="shared" si="7"/>
        <v>9</v>
      </c>
    </row>
    <row r="479" spans="1:7" hidden="1" x14ac:dyDescent="0.25">
      <c r="A479" s="4">
        <v>42078</v>
      </c>
      <c r="B479" s="3" t="s">
        <v>38</v>
      </c>
      <c r="C479" s="3" t="s">
        <v>5</v>
      </c>
      <c r="D479" s="3" t="s">
        <v>31</v>
      </c>
      <c r="E479" s="3">
        <v>35</v>
      </c>
      <c r="F479" s="5">
        <v>2.5</v>
      </c>
      <c r="G479" s="8">
        <f t="shared" si="7"/>
        <v>87.5</v>
      </c>
    </row>
    <row r="480" spans="1:7" hidden="1" x14ac:dyDescent="0.25">
      <c r="A480" s="4">
        <v>42161</v>
      </c>
      <c r="B480" s="3" t="s">
        <v>39</v>
      </c>
      <c r="C480" s="3" t="s">
        <v>2</v>
      </c>
      <c r="D480" s="3" t="s">
        <v>33</v>
      </c>
      <c r="E480" s="3">
        <v>12</v>
      </c>
      <c r="F480" s="5">
        <v>5</v>
      </c>
      <c r="G480" s="8">
        <f t="shared" si="7"/>
        <v>60</v>
      </c>
    </row>
    <row r="481" spans="1:7" hidden="1" x14ac:dyDescent="0.25">
      <c r="A481" s="4">
        <v>42101</v>
      </c>
      <c r="B481" s="3" t="s">
        <v>37</v>
      </c>
      <c r="C481" s="3" t="s">
        <v>2</v>
      </c>
      <c r="D481" s="3" t="s">
        <v>31</v>
      </c>
      <c r="E481" s="3">
        <v>32</v>
      </c>
      <c r="F481" s="5">
        <v>2.5</v>
      </c>
      <c r="G481" s="8">
        <f t="shared" si="7"/>
        <v>80</v>
      </c>
    </row>
    <row r="482" spans="1:7" hidden="1" x14ac:dyDescent="0.25">
      <c r="A482" s="4">
        <v>42181</v>
      </c>
      <c r="B482" s="3" t="s">
        <v>37</v>
      </c>
      <c r="C482" s="3" t="s">
        <v>10</v>
      </c>
      <c r="D482" s="3" t="s">
        <v>28</v>
      </c>
      <c r="E482" s="3">
        <v>41</v>
      </c>
      <c r="F482" s="5">
        <v>2</v>
      </c>
      <c r="G482" s="8">
        <f t="shared" si="7"/>
        <v>82</v>
      </c>
    </row>
    <row r="483" spans="1:7" hidden="1" x14ac:dyDescent="0.25">
      <c r="A483" s="4">
        <v>42053</v>
      </c>
      <c r="B483" s="3" t="s">
        <v>38</v>
      </c>
      <c r="C483" s="3" t="s">
        <v>10</v>
      </c>
      <c r="D483" s="3" t="s">
        <v>34</v>
      </c>
      <c r="E483" s="3">
        <v>49</v>
      </c>
      <c r="F483" s="5">
        <v>0.2</v>
      </c>
      <c r="G483" s="8">
        <f t="shared" si="7"/>
        <v>9.8000000000000007</v>
      </c>
    </row>
    <row r="484" spans="1:7" hidden="1" x14ac:dyDescent="0.25">
      <c r="A484" s="4">
        <v>42073</v>
      </c>
      <c r="B484" s="3" t="s">
        <v>38</v>
      </c>
      <c r="C484" s="3" t="s">
        <v>19</v>
      </c>
      <c r="D484" s="3" t="s">
        <v>31</v>
      </c>
      <c r="E484" s="3">
        <v>14</v>
      </c>
      <c r="F484" s="5">
        <v>2.5</v>
      </c>
      <c r="G484" s="8">
        <f t="shared" si="7"/>
        <v>35</v>
      </c>
    </row>
    <row r="485" spans="1:7" hidden="1" x14ac:dyDescent="0.25">
      <c r="A485" s="4">
        <v>42095</v>
      </c>
      <c r="B485" s="3" t="s">
        <v>38</v>
      </c>
      <c r="C485" s="3" t="s">
        <v>6</v>
      </c>
      <c r="D485" s="3" t="s">
        <v>27</v>
      </c>
      <c r="E485" s="3">
        <v>50</v>
      </c>
      <c r="F485" s="5">
        <v>0.5</v>
      </c>
      <c r="G485" s="8">
        <f t="shared" si="7"/>
        <v>25</v>
      </c>
    </row>
    <row r="486" spans="1:7" hidden="1" x14ac:dyDescent="0.25">
      <c r="A486" s="4">
        <v>42028</v>
      </c>
      <c r="B486" s="3" t="s">
        <v>29</v>
      </c>
      <c r="C486" s="3" t="s">
        <v>6</v>
      </c>
      <c r="D486" s="3" t="s">
        <v>36</v>
      </c>
      <c r="E486" s="3">
        <v>22</v>
      </c>
      <c r="F486" s="5">
        <v>1.5</v>
      </c>
      <c r="G486" s="8">
        <f t="shared" si="7"/>
        <v>33</v>
      </c>
    </row>
    <row r="487" spans="1:7" x14ac:dyDescent="0.25">
      <c r="A487" s="4">
        <v>42091</v>
      </c>
      <c r="B487" s="3" t="s">
        <v>38</v>
      </c>
      <c r="C487" s="3" t="s">
        <v>19</v>
      </c>
      <c r="D487" s="3" t="s">
        <v>33</v>
      </c>
      <c r="E487" s="3">
        <v>46</v>
      </c>
      <c r="F487" s="5">
        <v>5</v>
      </c>
      <c r="G487" s="8">
        <f t="shared" si="7"/>
        <v>230</v>
      </c>
    </row>
    <row r="488" spans="1:7" hidden="1" x14ac:dyDescent="0.25">
      <c r="A488" s="4">
        <v>42063</v>
      </c>
      <c r="B488" s="3" t="s">
        <v>37</v>
      </c>
      <c r="C488" s="3" t="s">
        <v>10</v>
      </c>
      <c r="D488" s="3" t="s">
        <v>30</v>
      </c>
      <c r="E488" s="3">
        <v>19</v>
      </c>
      <c r="F488" s="5">
        <v>0.1</v>
      </c>
      <c r="G488" s="8">
        <f t="shared" si="7"/>
        <v>1.9000000000000001</v>
      </c>
    </row>
    <row r="489" spans="1:7" hidden="1" x14ac:dyDescent="0.25">
      <c r="A489" s="4">
        <v>42093</v>
      </c>
      <c r="B489" s="3" t="s">
        <v>37</v>
      </c>
      <c r="C489" s="3" t="s">
        <v>6</v>
      </c>
      <c r="D489" s="3" t="s">
        <v>36</v>
      </c>
      <c r="E489" s="3">
        <v>23</v>
      </c>
      <c r="F489" s="5">
        <v>1.5</v>
      </c>
      <c r="G489" s="8">
        <f t="shared" si="7"/>
        <v>34.5</v>
      </c>
    </row>
    <row r="490" spans="1:7" hidden="1" x14ac:dyDescent="0.25">
      <c r="A490" s="4">
        <v>42060</v>
      </c>
      <c r="B490" s="3" t="s">
        <v>29</v>
      </c>
      <c r="C490" s="3" t="s">
        <v>5</v>
      </c>
      <c r="D490" s="3" t="s">
        <v>30</v>
      </c>
      <c r="E490" s="3">
        <v>49</v>
      </c>
      <c r="F490" s="5">
        <v>0.1</v>
      </c>
      <c r="G490" s="8">
        <f t="shared" si="7"/>
        <v>4.9000000000000004</v>
      </c>
    </row>
    <row r="491" spans="1:7" hidden="1" x14ac:dyDescent="0.25">
      <c r="A491" s="4">
        <v>42030</v>
      </c>
      <c r="B491" s="3" t="s">
        <v>37</v>
      </c>
      <c r="C491" s="3" t="s">
        <v>10</v>
      </c>
      <c r="D491" s="3" t="s">
        <v>27</v>
      </c>
      <c r="E491" s="3">
        <v>9</v>
      </c>
      <c r="F491" s="5">
        <v>0.5</v>
      </c>
      <c r="G491" s="8">
        <f t="shared" si="7"/>
        <v>4.5</v>
      </c>
    </row>
    <row r="492" spans="1:7" hidden="1" x14ac:dyDescent="0.25">
      <c r="A492" s="4">
        <v>42076</v>
      </c>
      <c r="B492" s="3" t="s">
        <v>32</v>
      </c>
      <c r="C492" s="3" t="s">
        <v>6</v>
      </c>
      <c r="D492" s="3" t="s">
        <v>27</v>
      </c>
      <c r="E492" s="3">
        <v>49</v>
      </c>
      <c r="F492" s="5">
        <v>0.5</v>
      </c>
      <c r="G492" s="8">
        <f t="shared" si="7"/>
        <v>24.5</v>
      </c>
    </row>
    <row r="493" spans="1:7" hidden="1" x14ac:dyDescent="0.25">
      <c r="A493" s="4">
        <v>42108</v>
      </c>
      <c r="B493" s="3" t="s">
        <v>38</v>
      </c>
      <c r="C493" s="3" t="s">
        <v>2</v>
      </c>
      <c r="D493" s="3" t="s">
        <v>27</v>
      </c>
      <c r="E493" s="3">
        <v>50</v>
      </c>
      <c r="F493" s="5">
        <v>0.5</v>
      </c>
      <c r="G493" s="8">
        <f t="shared" si="7"/>
        <v>25</v>
      </c>
    </row>
    <row r="494" spans="1:7" hidden="1" x14ac:dyDescent="0.25">
      <c r="A494" s="4">
        <v>42075</v>
      </c>
      <c r="B494" s="3" t="s">
        <v>39</v>
      </c>
      <c r="C494" s="3" t="s">
        <v>6</v>
      </c>
      <c r="D494" s="3" t="s">
        <v>31</v>
      </c>
      <c r="E494" s="3">
        <v>7</v>
      </c>
      <c r="F494" s="5">
        <v>2.5</v>
      </c>
      <c r="G494" s="8">
        <f t="shared" si="7"/>
        <v>17.5</v>
      </c>
    </row>
    <row r="495" spans="1:7" hidden="1" x14ac:dyDescent="0.25">
      <c r="A495" s="4">
        <v>42115</v>
      </c>
      <c r="B495" s="3" t="s">
        <v>26</v>
      </c>
      <c r="C495" s="3" t="s">
        <v>10</v>
      </c>
      <c r="D495" s="3" t="s">
        <v>28</v>
      </c>
      <c r="E495" s="3">
        <v>48</v>
      </c>
      <c r="F495" s="5">
        <v>2</v>
      </c>
      <c r="G495" s="8">
        <f t="shared" si="7"/>
        <v>96</v>
      </c>
    </row>
    <row r="496" spans="1:7" hidden="1" x14ac:dyDescent="0.25">
      <c r="A496" s="4">
        <v>42135</v>
      </c>
      <c r="B496" s="3" t="s">
        <v>38</v>
      </c>
      <c r="C496" s="3" t="s">
        <v>6</v>
      </c>
      <c r="D496" s="3" t="s">
        <v>36</v>
      </c>
      <c r="E496" s="3">
        <v>18</v>
      </c>
      <c r="F496" s="5">
        <v>1.5</v>
      </c>
      <c r="G496" s="8">
        <f t="shared" si="7"/>
        <v>27</v>
      </c>
    </row>
    <row r="497" spans="1:7" hidden="1" x14ac:dyDescent="0.25">
      <c r="A497" s="4">
        <v>42051</v>
      </c>
      <c r="B497" s="3" t="s">
        <v>26</v>
      </c>
      <c r="C497" s="3" t="s">
        <v>10</v>
      </c>
      <c r="D497" s="3" t="s">
        <v>27</v>
      </c>
      <c r="E497" s="3">
        <v>35</v>
      </c>
      <c r="F497" s="5">
        <v>0.5</v>
      </c>
      <c r="G497" s="8">
        <f t="shared" si="7"/>
        <v>17.5</v>
      </c>
    </row>
    <row r="498" spans="1:7" hidden="1" x14ac:dyDescent="0.25">
      <c r="A498" s="4">
        <v>42057</v>
      </c>
      <c r="B498" s="3" t="s">
        <v>38</v>
      </c>
      <c r="C498" s="3" t="s">
        <v>6</v>
      </c>
      <c r="D498" s="3" t="s">
        <v>28</v>
      </c>
      <c r="E498" s="3">
        <v>41</v>
      </c>
      <c r="F498" s="5">
        <v>2</v>
      </c>
      <c r="G498" s="8">
        <f t="shared" si="7"/>
        <v>82</v>
      </c>
    </row>
    <row r="499" spans="1:7" x14ac:dyDescent="0.25">
      <c r="A499" s="4">
        <v>42024</v>
      </c>
      <c r="B499" s="3" t="s">
        <v>32</v>
      </c>
      <c r="C499" s="3" t="s">
        <v>5</v>
      </c>
      <c r="D499" s="3" t="s">
        <v>33</v>
      </c>
      <c r="E499" s="3">
        <v>38</v>
      </c>
      <c r="F499" s="5">
        <v>5</v>
      </c>
      <c r="G499" s="8">
        <f t="shared" si="7"/>
        <v>190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>
    <tabColor rgb="FF2EA3F2"/>
  </sheetPr>
  <dimension ref="A1:N499"/>
  <sheetViews>
    <sheetView zoomScale="115" zoomScaleNormal="115" workbookViewId="0">
      <selection activeCell="F12" sqref="F12"/>
    </sheetView>
  </sheetViews>
  <sheetFormatPr defaultColWidth="8.85546875" defaultRowHeight="14.25" x14ac:dyDescent="0.25"/>
  <cols>
    <col min="1" max="1" width="10.42578125" style="2" bestFit="1" customWidth="1"/>
    <col min="2" max="2" width="12" style="2" customWidth="1"/>
    <col min="3" max="3" width="14.28515625" style="2" bestFit="1" customWidth="1"/>
    <col min="4" max="4" width="10.7109375" style="2" bestFit="1" customWidth="1"/>
    <col min="5" max="6" width="9.85546875" style="2" bestFit="1" customWidth="1"/>
    <col min="7" max="7" width="10.42578125" style="2" bestFit="1" customWidth="1"/>
    <col min="8" max="10" width="8.85546875" style="2"/>
    <col min="11" max="11" width="10.28515625" style="2" bestFit="1" customWidth="1"/>
    <col min="12" max="15" width="8.85546875" style="2"/>
    <col min="16" max="16" width="9.85546875" style="2" bestFit="1" customWidth="1"/>
    <col min="17" max="21" width="8.85546875" style="2"/>
    <col min="22" max="22" width="10.7109375" style="2" bestFit="1" customWidth="1"/>
    <col min="23" max="16384" width="8.85546875" style="2"/>
  </cols>
  <sheetData>
    <row r="1" spans="1:14" x14ac:dyDescent="0.25">
      <c r="A1" s="1" t="s">
        <v>52</v>
      </c>
      <c r="B1" s="1"/>
      <c r="C1" s="1"/>
      <c r="D1" s="1"/>
      <c r="E1" s="1"/>
      <c r="F1" s="1"/>
      <c r="I1" s="11" t="s">
        <v>0</v>
      </c>
      <c r="J1" s="11" t="s">
        <v>3</v>
      </c>
      <c r="K1" s="11" t="s">
        <v>1</v>
      </c>
      <c r="L1" s="11" t="s">
        <v>7</v>
      </c>
      <c r="M1" s="11" t="s">
        <v>49</v>
      </c>
      <c r="N1" s="11" t="s">
        <v>44</v>
      </c>
    </row>
    <row r="2" spans="1:14" x14ac:dyDescent="0.25">
      <c r="A2" s="11"/>
      <c r="B2" s="11"/>
      <c r="C2" s="11"/>
      <c r="D2" s="11"/>
      <c r="E2" s="11"/>
      <c r="F2" s="11"/>
      <c r="I2" s="4">
        <v>42012</v>
      </c>
      <c r="J2" s="3" t="s">
        <v>29</v>
      </c>
      <c r="K2" s="3" t="s">
        <v>2</v>
      </c>
      <c r="L2" s="3" t="s">
        <v>35</v>
      </c>
      <c r="M2" s="3">
        <v>32</v>
      </c>
      <c r="N2" s="5">
        <v>4</v>
      </c>
    </row>
    <row r="3" spans="1:14" x14ac:dyDescent="0.25">
      <c r="A3" s="3"/>
      <c r="B3" s="3"/>
      <c r="C3" s="3"/>
      <c r="D3" s="7"/>
      <c r="E3" s="3"/>
      <c r="F3" s="5" t="b">
        <f>$E6*$F6&gt;100</f>
        <v>0</v>
      </c>
      <c r="I3" s="4">
        <v>42051</v>
      </c>
      <c r="J3" s="3" t="s">
        <v>38</v>
      </c>
      <c r="K3" s="3" t="s">
        <v>10</v>
      </c>
      <c r="L3" s="3" t="s">
        <v>33</v>
      </c>
      <c r="M3" s="3">
        <v>34</v>
      </c>
      <c r="N3" s="5">
        <v>5</v>
      </c>
    </row>
    <row r="4" spans="1:14" x14ac:dyDescent="0.25">
      <c r="I4" s="4">
        <v>42063</v>
      </c>
      <c r="J4" s="3" t="s">
        <v>32</v>
      </c>
      <c r="K4" s="3" t="s">
        <v>5</v>
      </c>
      <c r="L4" s="3" t="s">
        <v>33</v>
      </c>
      <c r="M4" s="3">
        <v>21</v>
      </c>
      <c r="N4" s="5">
        <v>5</v>
      </c>
    </row>
    <row r="5" spans="1:14" x14ac:dyDescent="0.25">
      <c r="A5" s="11" t="s">
        <v>0</v>
      </c>
      <c r="B5" s="11" t="s">
        <v>3</v>
      </c>
      <c r="C5" s="11" t="s">
        <v>1</v>
      </c>
      <c r="D5" s="11" t="s">
        <v>7</v>
      </c>
      <c r="E5" s="11" t="s">
        <v>49</v>
      </c>
      <c r="F5" s="11" t="s">
        <v>44</v>
      </c>
      <c r="I5" s="4">
        <v>42150</v>
      </c>
      <c r="J5" s="3" t="s">
        <v>37</v>
      </c>
      <c r="K5" s="3" t="s">
        <v>6</v>
      </c>
      <c r="L5" s="3" t="s">
        <v>33</v>
      </c>
      <c r="M5" s="3">
        <v>48</v>
      </c>
      <c r="N5" s="5">
        <v>5</v>
      </c>
    </row>
    <row r="6" spans="1:14" x14ac:dyDescent="0.25">
      <c r="A6" s="4">
        <v>42067</v>
      </c>
      <c r="B6" s="3" t="s">
        <v>29</v>
      </c>
      <c r="C6" s="3" t="s">
        <v>5</v>
      </c>
      <c r="D6" s="3" t="s">
        <v>27</v>
      </c>
      <c r="E6" s="3">
        <v>13</v>
      </c>
      <c r="F6" s="5">
        <v>0.5</v>
      </c>
      <c r="G6" s="8"/>
      <c r="I6" s="4">
        <v>42013</v>
      </c>
      <c r="J6" s="3" t="s">
        <v>39</v>
      </c>
      <c r="K6" s="3" t="s">
        <v>6</v>
      </c>
      <c r="L6" s="3" t="s">
        <v>31</v>
      </c>
      <c r="M6" s="3">
        <v>50</v>
      </c>
      <c r="N6" s="5">
        <v>2.5</v>
      </c>
    </row>
    <row r="7" spans="1:14" x14ac:dyDescent="0.25">
      <c r="A7" s="4">
        <v>42074</v>
      </c>
      <c r="B7" s="3" t="s">
        <v>32</v>
      </c>
      <c r="C7" s="3" t="s">
        <v>5</v>
      </c>
      <c r="D7" s="3" t="s">
        <v>34</v>
      </c>
      <c r="E7" s="3">
        <v>12</v>
      </c>
      <c r="F7" s="5">
        <v>0.2</v>
      </c>
      <c r="G7" s="8"/>
      <c r="I7" s="4">
        <v>42015</v>
      </c>
      <c r="J7" s="3" t="s">
        <v>39</v>
      </c>
      <c r="K7" s="3" t="s">
        <v>2</v>
      </c>
      <c r="L7" s="3" t="s">
        <v>33</v>
      </c>
      <c r="M7" s="3">
        <v>24</v>
      </c>
      <c r="N7" s="5">
        <v>5</v>
      </c>
    </row>
    <row r="8" spans="1:14" x14ac:dyDescent="0.25">
      <c r="A8" s="4">
        <v>42177</v>
      </c>
      <c r="B8" s="3" t="s">
        <v>26</v>
      </c>
      <c r="C8" s="3" t="s">
        <v>10</v>
      </c>
      <c r="D8" s="3" t="s">
        <v>27</v>
      </c>
      <c r="E8" s="3">
        <v>29</v>
      </c>
      <c r="F8" s="5">
        <v>0.5</v>
      </c>
      <c r="G8" s="8"/>
      <c r="I8" s="4">
        <v>42059</v>
      </c>
      <c r="J8" s="3" t="s">
        <v>26</v>
      </c>
      <c r="K8" s="3" t="s">
        <v>6</v>
      </c>
      <c r="L8" s="3" t="s">
        <v>35</v>
      </c>
      <c r="M8" s="3">
        <v>49</v>
      </c>
      <c r="N8" s="5">
        <v>4</v>
      </c>
    </row>
    <row r="9" spans="1:14" x14ac:dyDescent="0.25">
      <c r="A9" s="4">
        <v>42103</v>
      </c>
      <c r="B9" s="3" t="s">
        <v>38</v>
      </c>
      <c r="C9" s="3" t="s">
        <v>2</v>
      </c>
      <c r="D9" s="3" t="s">
        <v>27</v>
      </c>
      <c r="E9" s="3">
        <v>33</v>
      </c>
      <c r="F9" s="5">
        <v>0.5</v>
      </c>
      <c r="G9" s="8"/>
      <c r="I9" s="4">
        <v>42135</v>
      </c>
      <c r="J9" s="3" t="s">
        <v>26</v>
      </c>
      <c r="K9" s="3" t="s">
        <v>5</v>
      </c>
      <c r="L9" s="3" t="s">
        <v>33</v>
      </c>
      <c r="M9" s="3">
        <v>47</v>
      </c>
      <c r="N9" s="5">
        <v>5</v>
      </c>
    </row>
    <row r="10" spans="1:14" x14ac:dyDescent="0.25">
      <c r="A10" s="4">
        <v>42007</v>
      </c>
      <c r="B10" s="3" t="s">
        <v>37</v>
      </c>
      <c r="C10" s="3" t="s">
        <v>19</v>
      </c>
      <c r="D10" s="3" t="s">
        <v>30</v>
      </c>
      <c r="E10" s="3">
        <v>41</v>
      </c>
      <c r="F10" s="5">
        <v>0.1</v>
      </c>
      <c r="G10" s="8"/>
      <c r="I10" s="4">
        <v>42174</v>
      </c>
      <c r="J10" s="3" t="s">
        <v>29</v>
      </c>
      <c r="K10" s="3" t="s">
        <v>6</v>
      </c>
      <c r="L10" s="3" t="s">
        <v>33</v>
      </c>
      <c r="M10" s="3">
        <v>21</v>
      </c>
      <c r="N10" s="5">
        <v>5</v>
      </c>
    </row>
    <row r="11" spans="1:14" x14ac:dyDescent="0.25">
      <c r="A11" s="4">
        <v>42012</v>
      </c>
      <c r="B11" s="3" t="s">
        <v>29</v>
      </c>
      <c r="C11" s="3" t="s">
        <v>2</v>
      </c>
      <c r="D11" s="3" t="s">
        <v>35</v>
      </c>
      <c r="E11" s="3">
        <v>32</v>
      </c>
      <c r="F11" s="5">
        <v>4</v>
      </c>
      <c r="G11" s="8"/>
      <c r="I11" s="4">
        <v>42167</v>
      </c>
      <c r="J11" s="3" t="s">
        <v>26</v>
      </c>
      <c r="K11" s="3" t="s">
        <v>2</v>
      </c>
      <c r="L11" s="3" t="s">
        <v>35</v>
      </c>
      <c r="M11" s="3">
        <v>49</v>
      </c>
      <c r="N11" s="5">
        <v>4</v>
      </c>
    </row>
    <row r="12" spans="1:14" x14ac:dyDescent="0.25">
      <c r="A12" s="4">
        <v>42051</v>
      </c>
      <c r="B12" s="3" t="s">
        <v>38</v>
      </c>
      <c r="C12" s="3" t="s">
        <v>10</v>
      </c>
      <c r="D12" s="3" t="s">
        <v>33</v>
      </c>
      <c r="E12" s="3">
        <v>34</v>
      </c>
      <c r="F12" s="5">
        <v>5</v>
      </c>
      <c r="G12" s="8"/>
      <c r="I12" s="4">
        <v>42026</v>
      </c>
      <c r="J12" s="3" t="s">
        <v>32</v>
      </c>
      <c r="K12" s="3" t="s">
        <v>2</v>
      </c>
      <c r="L12" s="3" t="s">
        <v>33</v>
      </c>
      <c r="M12" s="3">
        <v>24</v>
      </c>
      <c r="N12" s="5">
        <v>5</v>
      </c>
    </row>
    <row r="13" spans="1:14" x14ac:dyDescent="0.25">
      <c r="A13" s="4">
        <v>42163</v>
      </c>
      <c r="B13" s="3" t="s">
        <v>26</v>
      </c>
      <c r="C13" s="3" t="s">
        <v>6</v>
      </c>
      <c r="D13" s="3" t="s">
        <v>35</v>
      </c>
      <c r="E13" s="3">
        <v>12</v>
      </c>
      <c r="F13" s="5">
        <v>4</v>
      </c>
      <c r="G13" s="8"/>
      <c r="I13" s="4">
        <v>42047</v>
      </c>
      <c r="J13" s="3" t="s">
        <v>37</v>
      </c>
      <c r="K13" s="3" t="s">
        <v>2</v>
      </c>
      <c r="L13" s="3" t="s">
        <v>33</v>
      </c>
      <c r="M13" s="3">
        <v>29</v>
      </c>
      <c r="N13" s="5">
        <v>5</v>
      </c>
    </row>
    <row r="14" spans="1:14" x14ac:dyDescent="0.25">
      <c r="A14" s="4">
        <v>42118</v>
      </c>
      <c r="B14" s="3" t="s">
        <v>38</v>
      </c>
      <c r="C14" s="3" t="s">
        <v>19</v>
      </c>
      <c r="D14" s="3" t="s">
        <v>27</v>
      </c>
      <c r="E14" s="3">
        <v>20</v>
      </c>
      <c r="F14" s="5">
        <v>0.5</v>
      </c>
      <c r="G14" s="8"/>
      <c r="I14" s="4">
        <v>42011</v>
      </c>
      <c r="J14" s="3" t="s">
        <v>29</v>
      </c>
      <c r="K14" s="3" t="s">
        <v>6</v>
      </c>
      <c r="L14" s="3" t="s">
        <v>35</v>
      </c>
      <c r="M14" s="3">
        <v>31</v>
      </c>
      <c r="N14" s="5">
        <v>4</v>
      </c>
    </row>
    <row r="15" spans="1:14" x14ac:dyDescent="0.25">
      <c r="A15" s="4">
        <v>42071</v>
      </c>
      <c r="B15" s="3" t="s">
        <v>38</v>
      </c>
      <c r="C15" s="3" t="s">
        <v>2</v>
      </c>
      <c r="D15" s="3" t="s">
        <v>27</v>
      </c>
      <c r="E15" s="3">
        <v>15</v>
      </c>
      <c r="F15" s="5">
        <v>0.5</v>
      </c>
      <c r="G15" s="8"/>
      <c r="I15" s="4">
        <v>42118</v>
      </c>
      <c r="J15" s="3" t="s">
        <v>38</v>
      </c>
      <c r="K15" s="3" t="s">
        <v>5</v>
      </c>
      <c r="L15" s="3" t="s">
        <v>35</v>
      </c>
      <c r="M15" s="3">
        <v>48</v>
      </c>
      <c r="N15" s="5">
        <v>4</v>
      </c>
    </row>
    <row r="16" spans="1:14" x14ac:dyDescent="0.25">
      <c r="A16" s="4">
        <v>42134</v>
      </c>
      <c r="B16" s="3" t="s">
        <v>39</v>
      </c>
      <c r="C16" s="3" t="s">
        <v>5</v>
      </c>
      <c r="D16" s="3" t="s">
        <v>27</v>
      </c>
      <c r="E16" s="3">
        <v>35</v>
      </c>
      <c r="F16" s="5">
        <v>0.5</v>
      </c>
      <c r="G16" s="8"/>
      <c r="I16" s="4">
        <v>42141</v>
      </c>
      <c r="J16" s="3" t="s">
        <v>38</v>
      </c>
      <c r="K16" s="3" t="s">
        <v>10</v>
      </c>
      <c r="L16" s="3" t="s">
        <v>35</v>
      </c>
      <c r="M16" s="3">
        <v>32</v>
      </c>
      <c r="N16" s="5">
        <v>4</v>
      </c>
    </row>
    <row r="17" spans="1:14" x14ac:dyDescent="0.25">
      <c r="A17" s="4">
        <v>42063</v>
      </c>
      <c r="B17" s="3" t="s">
        <v>32</v>
      </c>
      <c r="C17" s="3" t="s">
        <v>5</v>
      </c>
      <c r="D17" s="3" t="s">
        <v>33</v>
      </c>
      <c r="E17" s="3">
        <v>21</v>
      </c>
      <c r="F17" s="5">
        <v>5</v>
      </c>
      <c r="G17" s="8"/>
      <c r="I17" s="4">
        <v>42141</v>
      </c>
      <c r="J17" s="3" t="s">
        <v>26</v>
      </c>
      <c r="K17" s="3" t="s">
        <v>6</v>
      </c>
      <c r="L17" s="3" t="s">
        <v>33</v>
      </c>
      <c r="M17" s="3">
        <v>35</v>
      </c>
      <c r="N17" s="5">
        <v>5</v>
      </c>
    </row>
    <row r="18" spans="1:14" x14ac:dyDescent="0.25">
      <c r="A18" s="4">
        <v>42012</v>
      </c>
      <c r="B18" s="3" t="s">
        <v>38</v>
      </c>
      <c r="C18" s="3" t="s">
        <v>5</v>
      </c>
      <c r="D18" s="3" t="s">
        <v>31</v>
      </c>
      <c r="E18" s="3">
        <v>40</v>
      </c>
      <c r="F18" s="5">
        <v>2.5</v>
      </c>
      <c r="G18" s="8"/>
      <c r="I18" s="4">
        <v>42090</v>
      </c>
      <c r="J18" s="3" t="s">
        <v>26</v>
      </c>
      <c r="K18" s="3" t="s">
        <v>6</v>
      </c>
      <c r="L18" s="3" t="s">
        <v>35</v>
      </c>
      <c r="M18" s="3">
        <v>50</v>
      </c>
      <c r="N18" s="5">
        <v>4</v>
      </c>
    </row>
    <row r="19" spans="1:14" x14ac:dyDescent="0.25">
      <c r="A19" s="4">
        <v>42097</v>
      </c>
      <c r="B19" s="3" t="s">
        <v>26</v>
      </c>
      <c r="C19" s="3" t="s">
        <v>10</v>
      </c>
      <c r="D19" s="3" t="s">
        <v>28</v>
      </c>
      <c r="E19" s="3">
        <v>3</v>
      </c>
      <c r="F19" s="5">
        <v>2</v>
      </c>
      <c r="G19" s="8"/>
      <c r="I19" s="4">
        <v>42123</v>
      </c>
      <c r="J19" s="3" t="s">
        <v>29</v>
      </c>
      <c r="K19" s="3" t="s">
        <v>6</v>
      </c>
      <c r="L19" s="3" t="s">
        <v>35</v>
      </c>
      <c r="M19" s="3">
        <v>36</v>
      </c>
      <c r="N19" s="5">
        <v>4</v>
      </c>
    </row>
    <row r="20" spans="1:14" x14ac:dyDescent="0.25">
      <c r="A20" s="4">
        <v>42058</v>
      </c>
      <c r="B20" s="3" t="s">
        <v>39</v>
      </c>
      <c r="C20" s="3" t="s">
        <v>2</v>
      </c>
      <c r="D20" s="3" t="s">
        <v>27</v>
      </c>
      <c r="E20" s="3">
        <v>25</v>
      </c>
      <c r="F20" s="5">
        <v>0.5</v>
      </c>
      <c r="G20" s="8"/>
      <c r="I20" s="4">
        <v>42035</v>
      </c>
      <c r="J20" s="3" t="s">
        <v>37</v>
      </c>
      <c r="K20" s="3" t="s">
        <v>5</v>
      </c>
      <c r="L20" s="3" t="s">
        <v>33</v>
      </c>
      <c r="M20" s="3">
        <v>40</v>
      </c>
      <c r="N20" s="5">
        <v>5</v>
      </c>
    </row>
    <row r="21" spans="1:14" x14ac:dyDescent="0.25">
      <c r="A21" s="4">
        <v>42018</v>
      </c>
      <c r="B21" s="3" t="s">
        <v>38</v>
      </c>
      <c r="C21" s="3" t="s">
        <v>2</v>
      </c>
      <c r="D21" s="3" t="s">
        <v>34</v>
      </c>
      <c r="E21" s="3">
        <v>11</v>
      </c>
      <c r="F21" s="5">
        <v>0.2</v>
      </c>
      <c r="G21" s="8"/>
      <c r="I21" s="4">
        <v>42046</v>
      </c>
      <c r="J21" s="3" t="s">
        <v>37</v>
      </c>
      <c r="K21" s="3" t="s">
        <v>6</v>
      </c>
      <c r="L21" s="3" t="s">
        <v>35</v>
      </c>
      <c r="M21" s="3">
        <v>49</v>
      </c>
      <c r="N21" s="5">
        <v>4</v>
      </c>
    </row>
    <row r="22" spans="1:14" x14ac:dyDescent="0.25">
      <c r="A22" s="4">
        <v>42085</v>
      </c>
      <c r="B22" s="3" t="s">
        <v>37</v>
      </c>
      <c r="C22" s="3" t="s">
        <v>6</v>
      </c>
      <c r="D22" s="3" t="s">
        <v>33</v>
      </c>
      <c r="E22" s="3">
        <v>9</v>
      </c>
      <c r="F22" s="5">
        <v>5</v>
      </c>
      <c r="G22" s="8"/>
      <c r="I22" s="4">
        <v>42010</v>
      </c>
      <c r="J22" s="3" t="s">
        <v>38</v>
      </c>
      <c r="K22" s="3" t="s">
        <v>19</v>
      </c>
      <c r="L22" s="3" t="s">
        <v>31</v>
      </c>
      <c r="M22" s="3">
        <v>44</v>
      </c>
      <c r="N22" s="5">
        <v>2.5</v>
      </c>
    </row>
    <row r="23" spans="1:14" x14ac:dyDescent="0.25">
      <c r="A23" s="4">
        <v>42150</v>
      </c>
      <c r="B23" s="3" t="s">
        <v>37</v>
      </c>
      <c r="C23" s="3" t="s">
        <v>6</v>
      </c>
      <c r="D23" s="3" t="s">
        <v>33</v>
      </c>
      <c r="E23" s="3">
        <v>48</v>
      </c>
      <c r="F23" s="5">
        <v>5</v>
      </c>
      <c r="G23" s="8"/>
      <c r="I23" s="4">
        <v>42138</v>
      </c>
      <c r="J23" s="3" t="s">
        <v>26</v>
      </c>
      <c r="K23" s="3" t="s">
        <v>5</v>
      </c>
      <c r="L23" s="3" t="s">
        <v>33</v>
      </c>
      <c r="M23" s="3">
        <v>34</v>
      </c>
      <c r="N23" s="5">
        <v>5</v>
      </c>
    </row>
    <row r="24" spans="1:14" x14ac:dyDescent="0.25">
      <c r="A24" s="4">
        <v>42015</v>
      </c>
      <c r="B24" s="3" t="s">
        <v>38</v>
      </c>
      <c r="C24" s="3" t="s">
        <v>5</v>
      </c>
      <c r="D24" s="3" t="s">
        <v>36</v>
      </c>
      <c r="E24" s="3">
        <v>19</v>
      </c>
      <c r="F24" s="5">
        <v>1.5</v>
      </c>
      <c r="G24" s="8"/>
      <c r="I24" s="4">
        <v>42043</v>
      </c>
      <c r="J24" s="3" t="s">
        <v>39</v>
      </c>
      <c r="K24" s="3" t="s">
        <v>6</v>
      </c>
      <c r="L24" s="3" t="s">
        <v>33</v>
      </c>
      <c r="M24" s="3">
        <v>40</v>
      </c>
      <c r="N24" s="5">
        <v>5</v>
      </c>
    </row>
    <row r="25" spans="1:14" x14ac:dyDescent="0.25">
      <c r="A25" s="4">
        <v>42013</v>
      </c>
      <c r="B25" s="3" t="s">
        <v>39</v>
      </c>
      <c r="C25" s="3" t="s">
        <v>6</v>
      </c>
      <c r="D25" s="3" t="s">
        <v>31</v>
      </c>
      <c r="E25" s="3">
        <v>50</v>
      </c>
      <c r="F25" s="5">
        <v>2.5</v>
      </c>
      <c r="G25" s="8"/>
      <c r="I25" s="4">
        <v>42184</v>
      </c>
      <c r="J25" s="3" t="s">
        <v>29</v>
      </c>
      <c r="K25" s="3" t="s">
        <v>6</v>
      </c>
      <c r="L25" s="3" t="s">
        <v>35</v>
      </c>
      <c r="M25" s="3">
        <v>50</v>
      </c>
      <c r="N25" s="5">
        <v>4</v>
      </c>
    </row>
    <row r="26" spans="1:14" x14ac:dyDescent="0.25">
      <c r="A26" s="4">
        <v>42015</v>
      </c>
      <c r="B26" s="3" t="s">
        <v>39</v>
      </c>
      <c r="C26" s="3" t="s">
        <v>2</v>
      </c>
      <c r="D26" s="3" t="s">
        <v>33</v>
      </c>
      <c r="E26" s="3">
        <v>24</v>
      </c>
      <c r="F26" s="5">
        <v>5</v>
      </c>
      <c r="G26" s="8"/>
      <c r="I26" s="4">
        <v>42162</v>
      </c>
      <c r="J26" s="3" t="s">
        <v>26</v>
      </c>
      <c r="K26" s="3" t="s">
        <v>19</v>
      </c>
      <c r="L26" s="3" t="s">
        <v>35</v>
      </c>
      <c r="M26" s="3">
        <v>42</v>
      </c>
      <c r="N26" s="5">
        <v>4</v>
      </c>
    </row>
    <row r="27" spans="1:14" x14ac:dyDescent="0.25">
      <c r="A27" s="4">
        <v>42075</v>
      </c>
      <c r="B27" s="3" t="s">
        <v>38</v>
      </c>
      <c r="C27" s="3" t="s">
        <v>19</v>
      </c>
      <c r="D27" s="3" t="s">
        <v>27</v>
      </c>
      <c r="E27" s="3">
        <v>26</v>
      </c>
      <c r="F27" s="5">
        <v>0.5</v>
      </c>
      <c r="G27" s="8"/>
      <c r="I27" s="4">
        <v>42153</v>
      </c>
      <c r="J27" s="3" t="s">
        <v>39</v>
      </c>
      <c r="K27" s="3" t="s">
        <v>6</v>
      </c>
      <c r="L27" s="3" t="s">
        <v>35</v>
      </c>
      <c r="M27" s="3">
        <v>26</v>
      </c>
      <c r="N27" s="5">
        <v>4</v>
      </c>
    </row>
    <row r="28" spans="1:14" x14ac:dyDescent="0.25">
      <c r="A28" s="4">
        <v>42080</v>
      </c>
      <c r="B28" s="3" t="s">
        <v>38</v>
      </c>
      <c r="C28" s="3" t="s">
        <v>6</v>
      </c>
      <c r="D28" s="3" t="s">
        <v>27</v>
      </c>
      <c r="E28" s="3">
        <v>11</v>
      </c>
      <c r="F28" s="5">
        <v>0.5</v>
      </c>
      <c r="G28" s="8"/>
      <c r="I28" s="4">
        <v>42094</v>
      </c>
      <c r="J28" s="3" t="s">
        <v>32</v>
      </c>
      <c r="K28" s="3" t="s">
        <v>10</v>
      </c>
      <c r="L28" s="3" t="s">
        <v>33</v>
      </c>
      <c r="M28" s="3">
        <v>41</v>
      </c>
      <c r="N28" s="5">
        <v>5</v>
      </c>
    </row>
    <row r="29" spans="1:14" x14ac:dyDescent="0.25">
      <c r="A29" s="4">
        <v>42119</v>
      </c>
      <c r="B29" s="3" t="s">
        <v>38</v>
      </c>
      <c r="C29" s="3" t="s">
        <v>5</v>
      </c>
      <c r="D29" s="3" t="s">
        <v>35</v>
      </c>
      <c r="E29" s="3">
        <v>4</v>
      </c>
      <c r="F29" s="5">
        <v>4</v>
      </c>
      <c r="G29" s="8"/>
      <c r="I29" s="4">
        <v>42025</v>
      </c>
      <c r="J29" s="3" t="s">
        <v>32</v>
      </c>
      <c r="K29" s="3" t="s">
        <v>10</v>
      </c>
      <c r="L29" s="3" t="s">
        <v>35</v>
      </c>
      <c r="M29" s="3">
        <v>42</v>
      </c>
      <c r="N29" s="5">
        <v>4</v>
      </c>
    </row>
    <row r="30" spans="1:14" x14ac:dyDescent="0.25">
      <c r="A30" s="4">
        <v>42043</v>
      </c>
      <c r="B30" s="3" t="s">
        <v>38</v>
      </c>
      <c r="C30" s="3" t="s">
        <v>2</v>
      </c>
      <c r="D30" s="3" t="s">
        <v>36</v>
      </c>
      <c r="E30" s="3">
        <v>20</v>
      </c>
      <c r="F30" s="5">
        <v>1.5</v>
      </c>
      <c r="G30" s="8"/>
      <c r="I30" s="4">
        <v>42154</v>
      </c>
      <c r="J30" s="3" t="s">
        <v>38</v>
      </c>
      <c r="K30" s="3" t="s">
        <v>5</v>
      </c>
      <c r="L30" s="3" t="s">
        <v>35</v>
      </c>
      <c r="M30" s="3">
        <v>32</v>
      </c>
      <c r="N30" s="5">
        <v>4</v>
      </c>
    </row>
    <row r="31" spans="1:14" x14ac:dyDescent="0.25">
      <c r="A31" s="4">
        <v>42057</v>
      </c>
      <c r="B31" s="3" t="s">
        <v>38</v>
      </c>
      <c r="C31" s="3" t="s">
        <v>6</v>
      </c>
      <c r="D31" s="3" t="s">
        <v>30</v>
      </c>
      <c r="E31" s="3">
        <v>24</v>
      </c>
      <c r="F31" s="5">
        <v>0.1</v>
      </c>
      <c r="G31" s="8"/>
      <c r="I31" s="4">
        <v>42005</v>
      </c>
      <c r="J31" s="3" t="s">
        <v>37</v>
      </c>
      <c r="K31" s="3" t="s">
        <v>5</v>
      </c>
      <c r="L31" s="3" t="s">
        <v>35</v>
      </c>
      <c r="M31" s="3">
        <v>40</v>
      </c>
      <c r="N31" s="5">
        <v>4</v>
      </c>
    </row>
    <row r="32" spans="1:14" x14ac:dyDescent="0.25">
      <c r="A32" s="4">
        <v>42053</v>
      </c>
      <c r="B32" s="3" t="s">
        <v>26</v>
      </c>
      <c r="C32" s="3" t="s">
        <v>5</v>
      </c>
      <c r="D32" s="3" t="s">
        <v>31</v>
      </c>
      <c r="E32" s="3">
        <v>31</v>
      </c>
      <c r="F32" s="5">
        <v>2.5</v>
      </c>
      <c r="G32" s="8"/>
      <c r="I32" s="4">
        <v>42008</v>
      </c>
      <c r="J32" s="3" t="s">
        <v>37</v>
      </c>
      <c r="K32" s="3" t="s">
        <v>6</v>
      </c>
      <c r="L32" s="3" t="s">
        <v>33</v>
      </c>
      <c r="M32" s="3">
        <v>38</v>
      </c>
      <c r="N32" s="5">
        <v>5</v>
      </c>
    </row>
    <row r="33" spans="1:14" x14ac:dyDescent="0.25">
      <c r="A33" s="4">
        <v>42059</v>
      </c>
      <c r="B33" s="3" t="s">
        <v>26</v>
      </c>
      <c r="C33" s="3" t="s">
        <v>6</v>
      </c>
      <c r="D33" s="3" t="s">
        <v>35</v>
      </c>
      <c r="E33" s="3">
        <v>49</v>
      </c>
      <c r="F33" s="5">
        <v>4</v>
      </c>
      <c r="G33" s="8"/>
      <c r="I33" s="4">
        <v>42038</v>
      </c>
      <c r="J33" s="3" t="s">
        <v>32</v>
      </c>
      <c r="K33" s="3" t="s">
        <v>5</v>
      </c>
      <c r="L33" s="3" t="s">
        <v>35</v>
      </c>
      <c r="M33" s="3">
        <v>41</v>
      </c>
      <c r="N33" s="5">
        <v>4</v>
      </c>
    </row>
    <row r="34" spans="1:14" x14ac:dyDescent="0.25">
      <c r="A34" s="4">
        <v>42120</v>
      </c>
      <c r="B34" s="3" t="s">
        <v>39</v>
      </c>
      <c r="C34" s="3" t="s">
        <v>10</v>
      </c>
      <c r="D34" s="3" t="s">
        <v>27</v>
      </c>
      <c r="E34" s="3">
        <v>38</v>
      </c>
      <c r="F34" s="5">
        <v>0.5</v>
      </c>
      <c r="G34" s="8"/>
      <c r="I34" s="4">
        <v>42016</v>
      </c>
      <c r="J34" s="3" t="s">
        <v>38</v>
      </c>
      <c r="K34" s="3" t="s">
        <v>6</v>
      </c>
      <c r="L34" s="3" t="s">
        <v>35</v>
      </c>
      <c r="M34" s="3">
        <v>49</v>
      </c>
      <c r="N34" s="5">
        <v>4</v>
      </c>
    </row>
    <row r="35" spans="1:14" x14ac:dyDescent="0.25">
      <c r="A35" s="4">
        <v>42026</v>
      </c>
      <c r="B35" s="3" t="s">
        <v>32</v>
      </c>
      <c r="C35" s="3" t="s">
        <v>6</v>
      </c>
      <c r="D35" s="3" t="s">
        <v>27</v>
      </c>
      <c r="E35" s="3">
        <v>31</v>
      </c>
      <c r="F35" s="5">
        <v>0.5</v>
      </c>
      <c r="G35" s="8"/>
      <c r="I35" s="4">
        <v>42087</v>
      </c>
      <c r="J35" s="3" t="s">
        <v>39</v>
      </c>
      <c r="K35" s="3" t="s">
        <v>6</v>
      </c>
      <c r="L35" s="3" t="s">
        <v>33</v>
      </c>
      <c r="M35" s="3">
        <v>23</v>
      </c>
      <c r="N35" s="5">
        <v>5</v>
      </c>
    </row>
    <row r="36" spans="1:14" x14ac:dyDescent="0.25">
      <c r="A36" s="4">
        <v>42117</v>
      </c>
      <c r="B36" s="3" t="s">
        <v>39</v>
      </c>
      <c r="C36" s="3" t="s">
        <v>10</v>
      </c>
      <c r="D36" s="3" t="s">
        <v>28</v>
      </c>
      <c r="E36" s="3">
        <v>16</v>
      </c>
      <c r="F36" s="5">
        <v>2</v>
      </c>
      <c r="G36" s="8"/>
      <c r="I36" s="4">
        <v>42041</v>
      </c>
      <c r="J36" s="3" t="s">
        <v>37</v>
      </c>
      <c r="K36" s="3" t="s">
        <v>5</v>
      </c>
      <c r="L36" s="3" t="s">
        <v>35</v>
      </c>
      <c r="M36" s="3">
        <v>41</v>
      </c>
      <c r="N36" s="5">
        <v>4</v>
      </c>
    </row>
    <row r="37" spans="1:14" x14ac:dyDescent="0.25">
      <c r="A37" s="4">
        <v>42135</v>
      </c>
      <c r="B37" s="3" t="s">
        <v>26</v>
      </c>
      <c r="C37" s="3" t="s">
        <v>5</v>
      </c>
      <c r="D37" s="3" t="s">
        <v>33</v>
      </c>
      <c r="E37" s="3">
        <v>47</v>
      </c>
      <c r="F37" s="5">
        <v>5</v>
      </c>
      <c r="G37" s="8"/>
      <c r="I37" s="4">
        <v>42008</v>
      </c>
      <c r="J37" s="3" t="s">
        <v>39</v>
      </c>
      <c r="K37" s="3" t="s">
        <v>6</v>
      </c>
      <c r="L37" s="3" t="s">
        <v>35</v>
      </c>
      <c r="M37" s="3">
        <v>38</v>
      </c>
      <c r="N37" s="5">
        <v>4</v>
      </c>
    </row>
    <row r="38" spans="1:14" x14ac:dyDescent="0.25">
      <c r="A38" s="4">
        <v>42056</v>
      </c>
      <c r="B38" s="3" t="s">
        <v>39</v>
      </c>
      <c r="C38" s="3" t="s">
        <v>5</v>
      </c>
      <c r="D38" s="3" t="s">
        <v>34</v>
      </c>
      <c r="E38" s="3">
        <v>5</v>
      </c>
      <c r="F38" s="5">
        <v>0.2</v>
      </c>
      <c r="G38" s="8"/>
      <c r="I38" s="4">
        <v>42055</v>
      </c>
      <c r="J38" s="3" t="s">
        <v>29</v>
      </c>
      <c r="K38" s="3" t="s">
        <v>2</v>
      </c>
      <c r="L38" s="3" t="s">
        <v>35</v>
      </c>
      <c r="M38" s="3">
        <v>44</v>
      </c>
      <c r="N38" s="5">
        <v>4</v>
      </c>
    </row>
    <row r="39" spans="1:14" x14ac:dyDescent="0.25">
      <c r="A39" s="4">
        <v>42171</v>
      </c>
      <c r="B39" s="3" t="s">
        <v>39</v>
      </c>
      <c r="C39" s="3" t="s">
        <v>6</v>
      </c>
      <c r="D39" s="3" t="s">
        <v>35</v>
      </c>
      <c r="E39" s="3">
        <v>11</v>
      </c>
      <c r="F39" s="5">
        <v>4</v>
      </c>
      <c r="G39" s="8"/>
      <c r="I39" s="4">
        <v>42010</v>
      </c>
      <c r="J39" s="3" t="s">
        <v>26</v>
      </c>
      <c r="K39" s="3" t="s">
        <v>5</v>
      </c>
      <c r="L39" s="3" t="s">
        <v>33</v>
      </c>
      <c r="M39" s="3">
        <v>43</v>
      </c>
      <c r="N39" s="5">
        <v>5</v>
      </c>
    </row>
    <row r="40" spans="1:14" x14ac:dyDescent="0.25">
      <c r="A40" s="4">
        <v>42174</v>
      </c>
      <c r="B40" s="3" t="s">
        <v>29</v>
      </c>
      <c r="C40" s="3" t="s">
        <v>6</v>
      </c>
      <c r="D40" s="3" t="s">
        <v>33</v>
      </c>
      <c r="E40" s="3">
        <v>21</v>
      </c>
      <c r="F40" s="5">
        <v>5</v>
      </c>
      <c r="G40" s="8"/>
      <c r="I40" s="4">
        <v>42086</v>
      </c>
      <c r="J40" s="3" t="s">
        <v>29</v>
      </c>
      <c r="K40" s="3" t="s">
        <v>2</v>
      </c>
      <c r="L40" s="3" t="s">
        <v>35</v>
      </c>
      <c r="M40" s="3">
        <v>49</v>
      </c>
      <c r="N40" s="5">
        <v>4</v>
      </c>
    </row>
    <row r="41" spans="1:14" x14ac:dyDescent="0.25">
      <c r="A41" s="4">
        <v>42167</v>
      </c>
      <c r="B41" s="3" t="s">
        <v>26</v>
      </c>
      <c r="C41" s="3" t="s">
        <v>2</v>
      </c>
      <c r="D41" s="3" t="s">
        <v>35</v>
      </c>
      <c r="E41" s="3">
        <v>49</v>
      </c>
      <c r="F41" s="5">
        <v>4</v>
      </c>
      <c r="G41" s="8"/>
      <c r="I41" s="4">
        <v>42063</v>
      </c>
      <c r="J41" s="3" t="s">
        <v>39</v>
      </c>
      <c r="K41" s="3" t="s">
        <v>10</v>
      </c>
      <c r="L41" s="3" t="s">
        <v>33</v>
      </c>
      <c r="M41" s="3">
        <v>40</v>
      </c>
      <c r="N41" s="5">
        <v>5</v>
      </c>
    </row>
    <row r="42" spans="1:14" x14ac:dyDescent="0.25">
      <c r="A42" s="4">
        <v>42066</v>
      </c>
      <c r="B42" s="3" t="s">
        <v>26</v>
      </c>
      <c r="C42" s="3" t="s">
        <v>5</v>
      </c>
      <c r="D42" s="3" t="s">
        <v>28</v>
      </c>
      <c r="E42" s="3">
        <v>44</v>
      </c>
      <c r="F42" s="5">
        <v>2</v>
      </c>
      <c r="G42" s="8"/>
      <c r="I42" s="4">
        <v>42038</v>
      </c>
      <c r="J42" s="3" t="s">
        <v>37</v>
      </c>
      <c r="K42" s="3" t="s">
        <v>19</v>
      </c>
      <c r="L42" s="3" t="s">
        <v>33</v>
      </c>
      <c r="M42" s="3">
        <v>45</v>
      </c>
      <c r="N42" s="5">
        <v>5</v>
      </c>
    </row>
    <row r="43" spans="1:14" x14ac:dyDescent="0.25">
      <c r="A43" s="4">
        <v>42040</v>
      </c>
      <c r="B43" s="3" t="s">
        <v>37</v>
      </c>
      <c r="C43" s="3" t="s">
        <v>6</v>
      </c>
      <c r="D43" s="3" t="s">
        <v>36</v>
      </c>
      <c r="E43" s="3">
        <v>27</v>
      </c>
      <c r="F43" s="5">
        <v>1.5</v>
      </c>
      <c r="G43" s="8"/>
      <c r="I43" s="4">
        <v>42106</v>
      </c>
      <c r="J43" s="3" t="s">
        <v>29</v>
      </c>
      <c r="K43" s="3" t="s">
        <v>19</v>
      </c>
      <c r="L43" s="3" t="s">
        <v>35</v>
      </c>
      <c r="M43" s="3">
        <v>47</v>
      </c>
      <c r="N43" s="5">
        <v>4</v>
      </c>
    </row>
    <row r="44" spans="1:14" x14ac:dyDescent="0.25">
      <c r="A44" s="4">
        <v>42142</v>
      </c>
      <c r="B44" s="3" t="s">
        <v>32</v>
      </c>
      <c r="C44" s="3" t="s">
        <v>6</v>
      </c>
      <c r="D44" s="3" t="s">
        <v>36</v>
      </c>
      <c r="E44" s="3">
        <v>30</v>
      </c>
      <c r="F44" s="5">
        <v>1.5</v>
      </c>
      <c r="G44" s="8"/>
      <c r="I44" s="4">
        <v>42126</v>
      </c>
      <c r="J44" s="3" t="s">
        <v>38</v>
      </c>
      <c r="K44" s="3" t="s">
        <v>2</v>
      </c>
      <c r="L44" s="3" t="s">
        <v>31</v>
      </c>
      <c r="M44" s="3">
        <v>47</v>
      </c>
      <c r="N44" s="5">
        <v>2.5</v>
      </c>
    </row>
    <row r="45" spans="1:14" x14ac:dyDescent="0.25">
      <c r="A45" s="4">
        <v>42172</v>
      </c>
      <c r="B45" s="3" t="s">
        <v>26</v>
      </c>
      <c r="C45" s="3" t="s">
        <v>10</v>
      </c>
      <c r="D45" s="3" t="s">
        <v>36</v>
      </c>
      <c r="E45" s="3">
        <v>31</v>
      </c>
      <c r="F45" s="5">
        <v>1.5</v>
      </c>
      <c r="G45" s="8"/>
      <c r="I45" s="4">
        <v>42010</v>
      </c>
      <c r="J45" s="3" t="s">
        <v>29</v>
      </c>
      <c r="K45" s="3" t="s">
        <v>19</v>
      </c>
      <c r="L45" s="3" t="s">
        <v>31</v>
      </c>
      <c r="M45" s="3">
        <v>45</v>
      </c>
      <c r="N45" s="5">
        <v>2.5</v>
      </c>
    </row>
    <row r="46" spans="1:14" x14ac:dyDescent="0.25">
      <c r="A46" s="4">
        <v>42118</v>
      </c>
      <c r="B46" s="3" t="s">
        <v>39</v>
      </c>
      <c r="C46" s="3" t="s">
        <v>6</v>
      </c>
      <c r="D46" s="3" t="s">
        <v>27</v>
      </c>
      <c r="E46" s="3">
        <v>3</v>
      </c>
      <c r="F46" s="5">
        <v>0.5</v>
      </c>
      <c r="G46" s="8"/>
      <c r="I46" s="4">
        <v>42104</v>
      </c>
      <c r="J46" s="3" t="s">
        <v>32</v>
      </c>
      <c r="K46" s="3" t="s">
        <v>19</v>
      </c>
      <c r="L46" s="3" t="s">
        <v>31</v>
      </c>
      <c r="M46" s="3">
        <v>43</v>
      </c>
      <c r="N46" s="5">
        <v>2.5</v>
      </c>
    </row>
    <row r="47" spans="1:14" x14ac:dyDescent="0.25">
      <c r="A47" s="4">
        <v>42180</v>
      </c>
      <c r="B47" s="3" t="s">
        <v>38</v>
      </c>
      <c r="C47" s="3" t="s">
        <v>19</v>
      </c>
      <c r="D47" s="3" t="s">
        <v>28</v>
      </c>
      <c r="E47" s="3">
        <v>9</v>
      </c>
      <c r="F47" s="5">
        <v>2</v>
      </c>
      <c r="G47" s="8"/>
      <c r="I47" s="4">
        <v>42153</v>
      </c>
      <c r="J47" s="3" t="s">
        <v>26</v>
      </c>
      <c r="K47" s="3" t="s">
        <v>5</v>
      </c>
      <c r="L47" s="3" t="s">
        <v>31</v>
      </c>
      <c r="M47" s="3">
        <v>50</v>
      </c>
      <c r="N47" s="5">
        <v>2.5</v>
      </c>
    </row>
    <row r="48" spans="1:14" x14ac:dyDescent="0.25">
      <c r="A48" s="4">
        <v>42114</v>
      </c>
      <c r="B48" s="3" t="s">
        <v>26</v>
      </c>
      <c r="C48" s="3" t="s">
        <v>19</v>
      </c>
      <c r="D48" s="3" t="s">
        <v>36</v>
      </c>
      <c r="E48" s="3">
        <v>50</v>
      </c>
      <c r="F48" s="5">
        <v>1.5</v>
      </c>
      <c r="G48" s="8"/>
      <c r="I48" s="4">
        <v>42054</v>
      </c>
      <c r="J48" s="3" t="s">
        <v>37</v>
      </c>
      <c r="K48" s="3" t="s">
        <v>19</v>
      </c>
      <c r="L48" s="3" t="s">
        <v>35</v>
      </c>
      <c r="M48" s="3">
        <v>44</v>
      </c>
      <c r="N48" s="5">
        <v>4</v>
      </c>
    </row>
    <row r="49" spans="1:14" x14ac:dyDescent="0.25">
      <c r="A49" s="4">
        <v>42026</v>
      </c>
      <c r="B49" s="3" t="s">
        <v>32</v>
      </c>
      <c r="C49" s="3" t="s">
        <v>2</v>
      </c>
      <c r="D49" s="3" t="s">
        <v>33</v>
      </c>
      <c r="E49" s="3">
        <v>24</v>
      </c>
      <c r="F49" s="5">
        <v>5</v>
      </c>
      <c r="G49" s="8"/>
      <c r="I49" s="4">
        <v>42009</v>
      </c>
      <c r="J49" s="3" t="s">
        <v>38</v>
      </c>
      <c r="K49" s="3" t="s">
        <v>2</v>
      </c>
      <c r="L49" s="3" t="s">
        <v>35</v>
      </c>
      <c r="M49" s="3">
        <v>45</v>
      </c>
      <c r="N49" s="5">
        <v>4</v>
      </c>
    </row>
    <row r="50" spans="1:14" x14ac:dyDescent="0.25">
      <c r="A50" s="4">
        <v>42087</v>
      </c>
      <c r="B50" s="3" t="s">
        <v>39</v>
      </c>
      <c r="C50" s="3" t="s">
        <v>2</v>
      </c>
      <c r="D50" s="3" t="s">
        <v>36</v>
      </c>
      <c r="E50" s="3">
        <v>29</v>
      </c>
      <c r="F50" s="5">
        <v>1.5</v>
      </c>
      <c r="G50" s="8"/>
      <c r="I50" s="4">
        <v>42077</v>
      </c>
      <c r="J50" s="3" t="s">
        <v>38</v>
      </c>
      <c r="K50" s="3" t="s">
        <v>10</v>
      </c>
      <c r="L50" s="3" t="s">
        <v>35</v>
      </c>
      <c r="M50" s="3">
        <v>48</v>
      </c>
      <c r="N50" s="5">
        <v>4</v>
      </c>
    </row>
    <row r="51" spans="1:14" x14ac:dyDescent="0.25">
      <c r="A51" s="4">
        <v>42102</v>
      </c>
      <c r="B51" s="3" t="s">
        <v>26</v>
      </c>
      <c r="C51" s="3" t="s">
        <v>2</v>
      </c>
      <c r="D51" s="3" t="s">
        <v>35</v>
      </c>
      <c r="E51" s="3">
        <v>5</v>
      </c>
      <c r="F51" s="5">
        <v>4</v>
      </c>
      <c r="G51" s="8"/>
      <c r="I51" s="4">
        <v>42028</v>
      </c>
      <c r="J51" s="3" t="s">
        <v>38</v>
      </c>
      <c r="K51" s="3" t="s">
        <v>5</v>
      </c>
      <c r="L51" s="3" t="s">
        <v>33</v>
      </c>
      <c r="M51" s="3">
        <v>24</v>
      </c>
      <c r="N51" s="5">
        <v>5</v>
      </c>
    </row>
    <row r="52" spans="1:14" x14ac:dyDescent="0.25">
      <c r="A52" s="4">
        <v>42127</v>
      </c>
      <c r="B52" s="3" t="s">
        <v>37</v>
      </c>
      <c r="C52" s="3" t="s">
        <v>10</v>
      </c>
      <c r="D52" s="3" t="s">
        <v>28</v>
      </c>
      <c r="E52" s="3">
        <v>29</v>
      </c>
      <c r="F52" s="5">
        <v>2</v>
      </c>
      <c r="G52" s="8"/>
      <c r="I52" s="4">
        <v>42166</v>
      </c>
      <c r="J52" s="3" t="s">
        <v>26</v>
      </c>
      <c r="K52" s="3" t="s">
        <v>19</v>
      </c>
      <c r="L52" s="3" t="s">
        <v>33</v>
      </c>
      <c r="M52" s="3">
        <v>26</v>
      </c>
      <c r="N52" s="5">
        <v>5</v>
      </c>
    </row>
    <row r="53" spans="1:14" x14ac:dyDescent="0.25">
      <c r="A53" s="4">
        <v>42150</v>
      </c>
      <c r="B53" s="3" t="s">
        <v>32</v>
      </c>
      <c r="C53" s="3" t="s">
        <v>5</v>
      </c>
      <c r="D53" s="3" t="s">
        <v>30</v>
      </c>
      <c r="E53" s="3">
        <v>37</v>
      </c>
      <c r="F53" s="5">
        <v>0.1</v>
      </c>
      <c r="G53" s="8"/>
      <c r="I53" s="4">
        <v>42107</v>
      </c>
      <c r="J53" s="3" t="s">
        <v>26</v>
      </c>
      <c r="K53" s="3" t="s">
        <v>19</v>
      </c>
      <c r="L53" s="3" t="s">
        <v>35</v>
      </c>
      <c r="M53" s="3">
        <v>50</v>
      </c>
      <c r="N53" s="5">
        <v>4</v>
      </c>
    </row>
    <row r="54" spans="1:14" x14ac:dyDescent="0.25">
      <c r="A54" s="4">
        <v>42070</v>
      </c>
      <c r="B54" s="3" t="s">
        <v>26</v>
      </c>
      <c r="C54" s="3" t="s">
        <v>6</v>
      </c>
      <c r="D54" s="3" t="s">
        <v>27</v>
      </c>
      <c r="E54" s="3">
        <v>44</v>
      </c>
      <c r="F54" s="5">
        <v>0.5</v>
      </c>
      <c r="G54" s="8"/>
      <c r="I54" s="4">
        <v>42060</v>
      </c>
      <c r="J54" s="3" t="s">
        <v>37</v>
      </c>
      <c r="K54" s="3" t="s">
        <v>10</v>
      </c>
      <c r="L54" s="3" t="s">
        <v>33</v>
      </c>
      <c r="M54" s="3">
        <v>39</v>
      </c>
      <c r="N54" s="5">
        <v>5</v>
      </c>
    </row>
    <row r="55" spans="1:14" x14ac:dyDescent="0.25">
      <c r="A55" s="4">
        <v>42138</v>
      </c>
      <c r="B55" s="3" t="s">
        <v>29</v>
      </c>
      <c r="C55" s="3" t="s">
        <v>10</v>
      </c>
      <c r="D55" s="3" t="s">
        <v>36</v>
      </c>
      <c r="E55" s="3">
        <v>18</v>
      </c>
      <c r="F55" s="5">
        <v>1.5</v>
      </c>
      <c r="G55" s="8"/>
      <c r="I55" s="4">
        <v>42081</v>
      </c>
      <c r="J55" s="3" t="s">
        <v>38</v>
      </c>
      <c r="K55" s="3" t="s">
        <v>19</v>
      </c>
      <c r="L55" s="3" t="s">
        <v>33</v>
      </c>
      <c r="M55" s="3">
        <v>45</v>
      </c>
      <c r="N55" s="5">
        <v>5</v>
      </c>
    </row>
    <row r="56" spans="1:14" x14ac:dyDescent="0.25">
      <c r="A56" s="4">
        <v>42032</v>
      </c>
      <c r="B56" s="3" t="s">
        <v>39</v>
      </c>
      <c r="C56" s="3" t="s">
        <v>2</v>
      </c>
      <c r="D56" s="3" t="s">
        <v>35</v>
      </c>
      <c r="E56" s="3">
        <v>13</v>
      </c>
      <c r="F56" s="5">
        <v>4</v>
      </c>
      <c r="G56" s="8"/>
      <c r="I56" s="4">
        <v>42105</v>
      </c>
      <c r="J56" s="3" t="s">
        <v>29</v>
      </c>
      <c r="K56" s="3" t="s">
        <v>6</v>
      </c>
      <c r="L56" s="3" t="s">
        <v>31</v>
      </c>
      <c r="M56" s="3">
        <v>50</v>
      </c>
      <c r="N56" s="5">
        <v>2.5</v>
      </c>
    </row>
    <row r="57" spans="1:14" x14ac:dyDescent="0.25">
      <c r="A57" s="4">
        <v>42173</v>
      </c>
      <c r="B57" s="3" t="s">
        <v>29</v>
      </c>
      <c r="C57" s="3" t="s">
        <v>10</v>
      </c>
      <c r="D57" s="3" t="s">
        <v>36</v>
      </c>
      <c r="E57" s="3">
        <v>17</v>
      </c>
      <c r="F57" s="5">
        <v>1.5</v>
      </c>
      <c r="G57" s="8"/>
      <c r="I57" s="4">
        <v>42130</v>
      </c>
      <c r="J57" s="3" t="s">
        <v>37</v>
      </c>
      <c r="K57" s="3" t="s">
        <v>19</v>
      </c>
      <c r="L57" s="3" t="s">
        <v>35</v>
      </c>
      <c r="M57" s="3">
        <v>31</v>
      </c>
      <c r="N57" s="5">
        <v>4</v>
      </c>
    </row>
    <row r="58" spans="1:14" x14ac:dyDescent="0.25">
      <c r="A58" s="4">
        <v>42019</v>
      </c>
      <c r="B58" s="3" t="s">
        <v>39</v>
      </c>
      <c r="C58" s="3" t="s">
        <v>2</v>
      </c>
      <c r="D58" s="3" t="s">
        <v>36</v>
      </c>
      <c r="E58" s="3">
        <v>45</v>
      </c>
      <c r="F58" s="5">
        <v>1.5</v>
      </c>
      <c r="G58" s="8"/>
      <c r="I58" s="4">
        <v>42117</v>
      </c>
      <c r="J58" s="3" t="s">
        <v>38</v>
      </c>
      <c r="K58" s="3" t="s">
        <v>5</v>
      </c>
      <c r="L58" s="3" t="s">
        <v>33</v>
      </c>
      <c r="M58" s="3">
        <v>50</v>
      </c>
      <c r="N58" s="5">
        <v>5</v>
      </c>
    </row>
    <row r="59" spans="1:14" x14ac:dyDescent="0.25">
      <c r="A59" s="4">
        <v>42047</v>
      </c>
      <c r="B59" s="3" t="s">
        <v>37</v>
      </c>
      <c r="C59" s="3" t="s">
        <v>2</v>
      </c>
      <c r="D59" s="3" t="s">
        <v>33</v>
      </c>
      <c r="E59" s="3">
        <v>29</v>
      </c>
      <c r="F59" s="5">
        <v>5</v>
      </c>
      <c r="G59" s="8"/>
      <c r="I59" s="4">
        <v>42082</v>
      </c>
      <c r="J59" s="3" t="s">
        <v>37</v>
      </c>
      <c r="K59" s="3" t="s">
        <v>10</v>
      </c>
      <c r="L59" s="3" t="s">
        <v>33</v>
      </c>
      <c r="M59" s="3">
        <v>32</v>
      </c>
      <c r="N59" s="5">
        <v>5</v>
      </c>
    </row>
    <row r="60" spans="1:14" x14ac:dyDescent="0.25">
      <c r="A60" s="4">
        <v>42017</v>
      </c>
      <c r="B60" s="3" t="s">
        <v>38</v>
      </c>
      <c r="C60" s="3" t="s">
        <v>2</v>
      </c>
      <c r="D60" s="3" t="s">
        <v>36</v>
      </c>
      <c r="E60" s="3">
        <v>11</v>
      </c>
      <c r="F60" s="5">
        <v>1.5</v>
      </c>
      <c r="G60" s="8"/>
      <c r="I60" s="4">
        <v>42144</v>
      </c>
      <c r="J60" s="3" t="s">
        <v>38</v>
      </c>
      <c r="K60" s="3" t="s">
        <v>19</v>
      </c>
      <c r="L60" s="3" t="s">
        <v>33</v>
      </c>
      <c r="M60" s="3">
        <v>37</v>
      </c>
      <c r="N60" s="5">
        <v>5</v>
      </c>
    </row>
    <row r="61" spans="1:14" x14ac:dyDescent="0.25">
      <c r="A61" s="4">
        <v>42043</v>
      </c>
      <c r="B61" s="3" t="s">
        <v>38</v>
      </c>
      <c r="C61" s="3" t="s">
        <v>10</v>
      </c>
      <c r="D61" s="3" t="s">
        <v>36</v>
      </c>
      <c r="E61" s="3">
        <v>4</v>
      </c>
      <c r="F61" s="5">
        <v>1.5</v>
      </c>
      <c r="G61" s="8"/>
      <c r="I61" s="4">
        <v>42089</v>
      </c>
      <c r="J61" s="3" t="s">
        <v>26</v>
      </c>
      <c r="K61" s="3" t="s">
        <v>5</v>
      </c>
      <c r="L61" s="3" t="s">
        <v>33</v>
      </c>
      <c r="M61" s="3">
        <v>37</v>
      </c>
      <c r="N61" s="5">
        <v>5</v>
      </c>
    </row>
    <row r="62" spans="1:14" x14ac:dyDescent="0.25">
      <c r="A62" s="4">
        <v>42160</v>
      </c>
      <c r="B62" s="3" t="s">
        <v>32</v>
      </c>
      <c r="C62" s="3" t="s">
        <v>6</v>
      </c>
      <c r="D62" s="3" t="s">
        <v>31</v>
      </c>
      <c r="E62" s="3">
        <v>10</v>
      </c>
      <c r="F62" s="5">
        <v>2.5</v>
      </c>
      <c r="G62" s="8"/>
      <c r="I62" s="4">
        <v>42157</v>
      </c>
      <c r="J62" s="3" t="s">
        <v>39</v>
      </c>
      <c r="K62" s="3" t="s">
        <v>10</v>
      </c>
      <c r="L62" s="3" t="s">
        <v>35</v>
      </c>
      <c r="M62" s="3">
        <v>31</v>
      </c>
      <c r="N62" s="5">
        <v>4</v>
      </c>
    </row>
    <row r="63" spans="1:14" x14ac:dyDescent="0.25">
      <c r="A63" s="4">
        <v>42018</v>
      </c>
      <c r="B63" s="3" t="s">
        <v>29</v>
      </c>
      <c r="C63" s="3" t="s">
        <v>10</v>
      </c>
      <c r="D63" s="3" t="s">
        <v>33</v>
      </c>
      <c r="E63" s="3">
        <v>15</v>
      </c>
      <c r="F63" s="5">
        <v>5</v>
      </c>
      <c r="G63" s="8"/>
      <c r="I63" s="4">
        <v>42110</v>
      </c>
      <c r="J63" s="3" t="s">
        <v>29</v>
      </c>
      <c r="K63" s="3" t="s">
        <v>5</v>
      </c>
      <c r="L63" s="3" t="s">
        <v>33</v>
      </c>
      <c r="M63" s="3">
        <v>31</v>
      </c>
      <c r="N63" s="5">
        <v>5</v>
      </c>
    </row>
    <row r="64" spans="1:14" x14ac:dyDescent="0.25">
      <c r="A64" s="4">
        <v>42076</v>
      </c>
      <c r="B64" s="3" t="s">
        <v>32</v>
      </c>
      <c r="C64" s="3" t="s">
        <v>2</v>
      </c>
      <c r="D64" s="3" t="s">
        <v>28</v>
      </c>
      <c r="E64" s="3">
        <v>29</v>
      </c>
      <c r="F64" s="5">
        <v>2</v>
      </c>
      <c r="G64" s="8"/>
      <c r="I64" s="4">
        <v>42184</v>
      </c>
      <c r="J64" s="3" t="s">
        <v>39</v>
      </c>
      <c r="K64" s="3" t="s">
        <v>6</v>
      </c>
      <c r="L64" s="3" t="s">
        <v>33</v>
      </c>
      <c r="M64" s="3">
        <v>41</v>
      </c>
      <c r="N64" s="5">
        <v>5</v>
      </c>
    </row>
    <row r="65" spans="1:14" x14ac:dyDescent="0.25">
      <c r="A65" s="4">
        <v>42032</v>
      </c>
      <c r="B65" s="3" t="s">
        <v>32</v>
      </c>
      <c r="C65" s="3" t="s">
        <v>19</v>
      </c>
      <c r="D65" s="3" t="s">
        <v>27</v>
      </c>
      <c r="E65" s="3">
        <v>9</v>
      </c>
      <c r="F65" s="5">
        <v>0.5</v>
      </c>
      <c r="G65" s="8"/>
      <c r="I65" s="4">
        <v>42023</v>
      </c>
      <c r="J65" s="3" t="s">
        <v>37</v>
      </c>
      <c r="K65" s="3" t="s">
        <v>19</v>
      </c>
      <c r="L65" s="3" t="s">
        <v>35</v>
      </c>
      <c r="M65" s="3">
        <v>45</v>
      </c>
      <c r="N65" s="5">
        <v>4</v>
      </c>
    </row>
    <row r="66" spans="1:14" x14ac:dyDescent="0.25">
      <c r="A66" s="4">
        <v>42021</v>
      </c>
      <c r="B66" s="3" t="s">
        <v>38</v>
      </c>
      <c r="C66" s="3" t="s">
        <v>6</v>
      </c>
      <c r="D66" s="3" t="s">
        <v>30</v>
      </c>
      <c r="E66" s="3">
        <v>21</v>
      </c>
      <c r="F66" s="5">
        <v>0.1</v>
      </c>
      <c r="G66" s="8"/>
      <c r="I66" s="4">
        <v>42153</v>
      </c>
      <c r="J66" s="3" t="s">
        <v>38</v>
      </c>
      <c r="K66" s="3" t="s">
        <v>6</v>
      </c>
      <c r="L66" s="3" t="s">
        <v>33</v>
      </c>
      <c r="M66" s="3">
        <v>49</v>
      </c>
      <c r="N66" s="5">
        <v>5</v>
      </c>
    </row>
    <row r="67" spans="1:14" x14ac:dyDescent="0.25">
      <c r="A67" s="4">
        <v>42077</v>
      </c>
      <c r="B67" s="3" t="s">
        <v>39</v>
      </c>
      <c r="C67" s="3" t="s">
        <v>5</v>
      </c>
      <c r="D67" s="3" t="s">
        <v>34</v>
      </c>
      <c r="E67" s="3">
        <v>35</v>
      </c>
      <c r="F67" s="5">
        <v>0.2</v>
      </c>
      <c r="G67" s="8"/>
      <c r="I67" s="4">
        <v>42181</v>
      </c>
      <c r="J67" s="3" t="s">
        <v>29</v>
      </c>
      <c r="K67" s="3" t="s">
        <v>5</v>
      </c>
      <c r="L67" s="3" t="s">
        <v>31</v>
      </c>
      <c r="M67" s="3">
        <v>50</v>
      </c>
      <c r="N67" s="5">
        <v>2.5</v>
      </c>
    </row>
    <row r="68" spans="1:14" x14ac:dyDescent="0.25">
      <c r="A68" s="4">
        <v>42070</v>
      </c>
      <c r="B68" s="3" t="s">
        <v>37</v>
      </c>
      <c r="C68" s="3" t="s">
        <v>6</v>
      </c>
      <c r="D68" s="3" t="s">
        <v>34</v>
      </c>
      <c r="E68" s="3">
        <v>21</v>
      </c>
      <c r="F68" s="5">
        <v>0.2</v>
      </c>
      <c r="G68" s="8"/>
      <c r="I68" s="4">
        <v>42006</v>
      </c>
      <c r="J68" s="3" t="s">
        <v>38</v>
      </c>
      <c r="K68" s="3" t="s">
        <v>5</v>
      </c>
      <c r="L68" s="3" t="s">
        <v>33</v>
      </c>
      <c r="M68" s="3">
        <v>27</v>
      </c>
      <c r="N68" s="5">
        <v>5</v>
      </c>
    </row>
    <row r="69" spans="1:14" x14ac:dyDescent="0.25">
      <c r="A69" s="4">
        <v>42146</v>
      </c>
      <c r="B69" s="3" t="s">
        <v>39</v>
      </c>
      <c r="C69" s="3" t="s">
        <v>2</v>
      </c>
      <c r="D69" s="3" t="s">
        <v>28</v>
      </c>
      <c r="E69" s="3">
        <v>4</v>
      </c>
      <c r="F69" s="5">
        <v>2</v>
      </c>
      <c r="G69" s="8"/>
      <c r="I69" s="4">
        <v>42036</v>
      </c>
      <c r="J69" s="3" t="s">
        <v>26</v>
      </c>
      <c r="K69" s="3" t="s">
        <v>2</v>
      </c>
      <c r="L69" s="3" t="s">
        <v>33</v>
      </c>
      <c r="M69" s="3">
        <v>41</v>
      </c>
      <c r="N69" s="5">
        <v>5</v>
      </c>
    </row>
    <row r="70" spans="1:14" x14ac:dyDescent="0.25">
      <c r="A70" s="4">
        <v>42169</v>
      </c>
      <c r="B70" s="3" t="s">
        <v>38</v>
      </c>
      <c r="C70" s="3" t="s">
        <v>2</v>
      </c>
      <c r="D70" s="3" t="s">
        <v>36</v>
      </c>
      <c r="E70" s="3">
        <v>5</v>
      </c>
      <c r="F70" s="5">
        <v>1.5</v>
      </c>
      <c r="G70" s="8"/>
      <c r="I70" s="4">
        <v>42161</v>
      </c>
      <c r="J70" s="3" t="s">
        <v>37</v>
      </c>
      <c r="K70" s="3" t="s">
        <v>5</v>
      </c>
      <c r="L70" s="3" t="s">
        <v>33</v>
      </c>
      <c r="M70" s="3">
        <v>27</v>
      </c>
      <c r="N70" s="5">
        <v>5</v>
      </c>
    </row>
    <row r="71" spans="1:14" x14ac:dyDescent="0.25">
      <c r="A71" s="4">
        <v>42098</v>
      </c>
      <c r="B71" s="3" t="s">
        <v>37</v>
      </c>
      <c r="C71" s="3" t="s">
        <v>2</v>
      </c>
      <c r="D71" s="3" t="s">
        <v>30</v>
      </c>
      <c r="E71" s="3">
        <v>17</v>
      </c>
      <c r="F71" s="5">
        <v>0.1</v>
      </c>
      <c r="G71" s="8"/>
      <c r="I71" s="4">
        <v>42005</v>
      </c>
      <c r="J71" s="3" t="s">
        <v>38</v>
      </c>
      <c r="K71" s="3" t="s">
        <v>2</v>
      </c>
      <c r="L71" s="3" t="s">
        <v>35</v>
      </c>
      <c r="M71" s="3">
        <v>30</v>
      </c>
      <c r="N71" s="5">
        <v>4</v>
      </c>
    </row>
    <row r="72" spans="1:14" x14ac:dyDescent="0.25">
      <c r="A72" s="4">
        <v>42080</v>
      </c>
      <c r="B72" s="3" t="s">
        <v>38</v>
      </c>
      <c r="C72" s="3" t="s">
        <v>19</v>
      </c>
      <c r="D72" s="3" t="s">
        <v>27</v>
      </c>
      <c r="E72" s="3">
        <v>2</v>
      </c>
      <c r="F72" s="5">
        <v>0.5</v>
      </c>
      <c r="G72" s="8"/>
      <c r="I72" s="4">
        <v>42040</v>
      </c>
      <c r="J72" s="3" t="s">
        <v>37</v>
      </c>
      <c r="K72" s="3" t="s">
        <v>2</v>
      </c>
      <c r="L72" s="3" t="s">
        <v>35</v>
      </c>
      <c r="M72" s="3">
        <v>33</v>
      </c>
      <c r="N72" s="5">
        <v>4</v>
      </c>
    </row>
    <row r="73" spans="1:14" x14ac:dyDescent="0.25">
      <c r="A73" s="4">
        <v>42132</v>
      </c>
      <c r="B73" s="3" t="s">
        <v>37</v>
      </c>
      <c r="C73" s="3" t="s">
        <v>5</v>
      </c>
      <c r="D73" s="3" t="s">
        <v>30</v>
      </c>
      <c r="E73" s="3">
        <v>11</v>
      </c>
      <c r="F73" s="5">
        <v>0.1</v>
      </c>
      <c r="G73" s="8"/>
      <c r="I73" s="4">
        <v>42023</v>
      </c>
      <c r="J73" s="3" t="s">
        <v>29</v>
      </c>
      <c r="K73" s="3" t="s">
        <v>6</v>
      </c>
      <c r="L73" s="3" t="s">
        <v>35</v>
      </c>
      <c r="M73" s="3">
        <v>46</v>
      </c>
      <c r="N73" s="5">
        <v>4</v>
      </c>
    </row>
    <row r="74" spans="1:14" x14ac:dyDescent="0.25">
      <c r="A74" s="4">
        <v>42145</v>
      </c>
      <c r="B74" s="3" t="s">
        <v>38</v>
      </c>
      <c r="C74" s="3" t="s">
        <v>10</v>
      </c>
      <c r="D74" s="3" t="s">
        <v>30</v>
      </c>
      <c r="E74" s="3">
        <v>37</v>
      </c>
      <c r="F74" s="5">
        <v>0.1</v>
      </c>
      <c r="G74" s="8"/>
      <c r="I74" s="4">
        <v>42109</v>
      </c>
      <c r="J74" s="3" t="s">
        <v>32</v>
      </c>
      <c r="K74" s="3" t="s">
        <v>19</v>
      </c>
      <c r="L74" s="3" t="s">
        <v>31</v>
      </c>
      <c r="M74" s="3">
        <v>47</v>
      </c>
      <c r="N74" s="5">
        <v>2.5</v>
      </c>
    </row>
    <row r="75" spans="1:14" x14ac:dyDescent="0.25">
      <c r="A75" s="4">
        <v>42179</v>
      </c>
      <c r="B75" s="3" t="s">
        <v>37</v>
      </c>
      <c r="C75" s="3" t="s">
        <v>2</v>
      </c>
      <c r="D75" s="3" t="s">
        <v>34</v>
      </c>
      <c r="E75" s="3">
        <v>26</v>
      </c>
      <c r="F75" s="5">
        <v>0.2</v>
      </c>
      <c r="G75" s="8"/>
      <c r="I75" s="4">
        <v>42138</v>
      </c>
      <c r="J75" s="3" t="s">
        <v>26</v>
      </c>
      <c r="K75" s="3" t="s">
        <v>5</v>
      </c>
      <c r="L75" s="3" t="s">
        <v>33</v>
      </c>
      <c r="M75" s="3">
        <v>29</v>
      </c>
      <c r="N75" s="5">
        <v>5</v>
      </c>
    </row>
    <row r="76" spans="1:14" x14ac:dyDescent="0.25">
      <c r="A76" s="4">
        <v>42016</v>
      </c>
      <c r="B76" s="3" t="s">
        <v>32</v>
      </c>
      <c r="C76" s="3" t="s">
        <v>19</v>
      </c>
      <c r="D76" s="3" t="s">
        <v>27</v>
      </c>
      <c r="E76" s="3">
        <v>45</v>
      </c>
      <c r="F76" s="5">
        <v>0.5</v>
      </c>
      <c r="G76" s="8"/>
      <c r="I76" s="4">
        <v>42047</v>
      </c>
      <c r="J76" s="3" t="s">
        <v>32</v>
      </c>
      <c r="K76" s="3" t="s">
        <v>19</v>
      </c>
      <c r="L76" s="3" t="s">
        <v>33</v>
      </c>
      <c r="M76" s="3">
        <v>34</v>
      </c>
      <c r="N76" s="5">
        <v>5</v>
      </c>
    </row>
    <row r="77" spans="1:14" x14ac:dyDescent="0.25">
      <c r="A77" s="4">
        <v>42011</v>
      </c>
      <c r="B77" s="3" t="s">
        <v>29</v>
      </c>
      <c r="C77" s="3" t="s">
        <v>6</v>
      </c>
      <c r="D77" s="3" t="s">
        <v>35</v>
      </c>
      <c r="E77" s="3">
        <v>31</v>
      </c>
      <c r="F77" s="5">
        <v>4</v>
      </c>
      <c r="G77" s="8"/>
      <c r="I77" s="4">
        <v>42087</v>
      </c>
      <c r="J77" s="3" t="s">
        <v>32</v>
      </c>
      <c r="K77" s="3" t="s">
        <v>6</v>
      </c>
      <c r="L77" s="3" t="s">
        <v>33</v>
      </c>
      <c r="M77" s="3">
        <v>44</v>
      </c>
      <c r="N77" s="5">
        <v>5</v>
      </c>
    </row>
    <row r="78" spans="1:14" x14ac:dyDescent="0.25">
      <c r="A78" s="4">
        <v>42107</v>
      </c>
      <c r="B78" s="3" t="s">
        <v>39</v>
      </c>
      <c r="C78" s="3" t="s">
        <v>6</v>
      </c>
      <c r="D78" s="3" t="s">
        <v>30</v>
      </c>
      <c r="E78" s="3">
        <v>25</v>
      </c>
      <c r="F78" s="5">
        <v>0.1</v>
      </c>
      <c r="G78" s="8"/>
      <c r="I78" s="4">
        <v>42157</v>
      </c>
      <c r="J78" s="3" t="s">
        <v>32</v>
      </c>
      <c r="K78" s="3" t="s">
        <v>5</v>
      </c>
      <c r="L78" s="3" t="s">
        <v>33</v>
      </c>
      <c r="M78" s="3">
        <v>27</v>
      </c>
      <c r="N78" s="5">
        <v>5</v>
      </c>
    </row>
    <row r="79" spans="1:14" x14ac:dyDescent="0.25">
      <c r="A79" s="4">
        <v>42152</v>
      </c>
      <c r="B79" s="3" t="s">
        <v>38</v>
      </c>
      <c r="C79" s="3" t="s">
        <v>10</v>
      </c>
      <c r="D79" s="3" t="s">
        <v>28</v>
      </c>
      <c r="E79" s="3">
        <v>12</v>
      </c>
      <c r="F79" s="5">
        <v>2</v>
      </c>
      <c r="G79" s="8"/>
      <c r="I79" s="4">
        <v>42091</v>
      </c>
      <c r="J79" s="3" t="s">
        <v>38</v>
      </c>
      <c r="K79" s="3" t="s">
        <v>19</v>
      </c>
      <c r="L79" s="3" t="s">
        <v>33</v>
      </c>
      <c r="M79" s="3">
        <v>46</v>
      </c>
      <c r="N79" s="5">
        <v>5</v>
      </c>
    </row>
    <row r="80" spans="1:14" x14ac:dyDescent="0.25">
      <c r="A80" s="4">
        <v>42161</v>
      </c>
      <c r="B80" s="3" t="s">
        <v>32</v>
      </c>
      <c r="C80" s="3" t="s">
        <v>6</v>
      </c>
      <c r="D80" s="3" t="s">
        <v>28</v>
      </c>
      <c r="E80" s="3">
        <v>25</v>
      </c>
      <c r="F80" s="5">
        <v>2</v>
      </c>
      <c r="G80" s="8"/>
      <c r="I80" s="4">
        <v>42024</v>
      </c>
      <c r="J80" s="3" t="s">
        <v>32</v>
      </c>
      <c r="K80" s="3" t="s">
        <v>5</v>
      </c>
      <c r="L80" s="3" t="s">
        <v>33</v>
      </c>
      <c r="M80" s="3">
        <v>38</v>
      </c>
      <c r="N80" s="5">
        <v>5</v>
      </c>
    </row>
    <row r="81" spans="1:7" x14ac:dyDescent="0.25">
      <c r="A81" s="4">
        <v>42118</v>
      </c>
      <c r="B81" s="3" t="s">
        <v>38</v>
      </c>
      <c r="C81" s="3" t="s">
        <v>5</v>
      </c>
      <c r="D81" s="3" t="s">
        <v>35</v>
      </c>
      <c r="E81" s="3">
        <v>48</v>
      </c>
      <c r="F81" s="5">
        <v>4</v>
      </c>
      <c r="G81" s="8"/>
    </row>
    <row r="82" spans="1:7" x14ac:dyDescent="0.25">
      <c r="A82" s="4">
        <v>42141</v>
      </c>
      <c r="B82" s="3" t="s">
        <v>38</v>
      </c>
      <c r="C82" s="3" t="s">
        <v>10</v>
      </c>
      <c r="D82" s="3" t="s">
        <v>35</v>
      </c>
      <c r="E82" s="3">
        <v>32</v>
      </c>
      <c r="F82" s="5">
        <v>4</v>
      </c>
      <c r="G82" s="8"/>
    </row>
    <row r="83" spans="1:7" x14ac:dyDescent="0.25">
      <c r="A83" s="4">
        <v>42064</v>
      </c>
      <c r="B83" s="3" t="s">
        <v>29</v>
      </c>
      <c r="C83" s="3" t="s">
        <v>5</v>
      </c>
      <c r="D83" s="3" t="s">
        <v>33</v>
      </c>
      <c r="E83" s="3">
        <v>4</v>
      </c>
      <c r="F83" s="5">
        <v>5</v>
      </c>
      <c r="G83" s="8"/>
    </row>
    <row r="84" spans="1:7" x14ac:dyDescent="0.25">
      <c r="A84" s="4">
        <v>42141</v>
      </c>
      <c r="B84" s="3" t="s">
        <v>26</v>
      </c>
      <c r="C84" s="3" t="s">
        <v>6</v>
      </c>
      <c r="D84" s="3" t="s">
        <v>33</v>
      </c>
      <c r="E84" s="3">
        <v>35</v>
      </c>
      <c r="F84" s="5">
        <v>5</v>
      </c>
      <c r="G84" s="8"/>
    </row>
    <row r="85" spans="1:7" x14ac:dyDescent="0.25">
      <c r="A85" s="4">
        <v>42090</v>
      </c>
      <c r="B85" s="3" t="s">
        <v>26</v>
      </c>
      <c r="C85" s="3" t="s">
        <v>6</v>
      </c>
      <c r="D85" s="3" t="s">
        <v>35</v>
      </c>
      <c r="E85" s="3">
        <v>50</v>
      </c>
      <c r="F85" s="5">
        <v>4</v>
      </c>
      <c r="G85" s="8"/>
    </row>
    <row r="86" spans="1:7" x14ac:dyDescent="0.25">
      <c r="A86" s="4">
        <v>42052</v>
      </c>
      <c r="B86" s="3" t="s">
        <v>39</v>
      </c>
      <c r="C86" s="3" t="s">
        <v>2</v>
      </c>
      <c r="D86" s="3" t="s">
        <v>30</v>
      </c>
      <c r="E86" s="3">
        <v>27</v>
      </c>
      <c r="F86" s="5">
        <v>0.1</v>
      </c>
      <c r="G86" s="8"/>
    </row>
    <row r="87" spans="1:7" x14ac:dyDescent="0.25">
      <c r="A87" s="4">
        <v>42123</v>
      </c>
      <c r="B87" s="3" t="s">
        <v>29</v>
      </c>
      <c r="C87" s="3" t="s">
        <v>6</v>
      </c>
      <c r="D87" s="3" t="s">
        <v>35</v>
      </c>
      <c r="E87" s="3">
        <v>36</v>
      </c>
      <c r="F87" s="5">
        <v>4</v>
      </c>
      <c r="G87" s="8"/>
    </row>
    <row r="88" spans="1:7" x14ac:dyDescent="0.25">
      <c r="A88" s="4">
        <v>42182</v>
      </c>
      <c r="B88" s="3" t="s">
        <v>38</v>
      </c>
      <c r="C88" s="3" t="s">
        <v>6</v>
      </c>
      <c r="D88" s="3" t="s">
        <v>28</v>
      </c>
      <c r="E88" s="3">
        <v>36</v>
      </c>
      <c r="F88" s="5">
        <v>2</v>
      </c>
      <c r="G88" s="8"/>
    </row>
    <row r="89" spans="1:7" x14ac:dyDescent="0.25">
      <c r="A89" s="4">
        <v>42126</v>
      </c>
      <c r="B89" s="3" t="s">
        <v>29</v>
      </c>
      <c r="C89" s="3" t="s">
        <v>2</v>
      </c>
      <c r="D89" s="3" t="s">
        <v>35</v>
      </c>
      <c r="E89" s="3">
        <v>5</v>
      </c>
      <c r="F89" s="5">
        <v>4</v>
      </c>
      <c r="G89" s="8"/>
    </row>
    <row r="90" spans="1:7" x14ac:dyDescent="0.25">
      <c r="A90" s="4">
        <v>42050</v>
      </c>
      <c r="B90" s="3" t="s">
        <v>38</v>
      </c>
      <c r="C90" s="3" t="s">
        <v>19</v>
      </c>
      <c r="D90" s="3" t="s">
        <v>27</v>
      </c>
      <c r="E90" s="3">
        <v>11</v>
      </c>
      <c r="F90" s="5">
        <v>0.5</v>
      </c>
      <c r="G90" s="8"/>
    </row>
    <row r="91" spans="1:7" x14ac:dyDescent="0.25">
      <c r="A91" s="4">
        <v>42072</v>
      </c>
      <c r="B91" s="3" t="s">
        <v>39</v>
      </c>
      <c r="C91" s="3" t="s">
        <v>10</v>
      </c>
      <c r="D91" s="3" t="s">
        <v>33</v>
      </c>
      <c r="E91" s="3">
        <v>7</v>
      </c>
      <c r="F91" s="5">
        <v>5</v>
      </c>
      <c r="G91" s="8"/>
    </row>
    <row r="92" spans="1:7" x14ac:dyDescent="0.25">
      <c r="A92" s="4">
        <v>42035</v>
      </c>
      <c r="B92" s="3" t="s">
        <v>37</v>
      </c>
      <c r="C92" s="3" t="s">
        <v>5</v>
      </c>
      <c r="D92" s="3" t="s">
        <v>33</v>
      </c>
      <c r="E92" s="3">
        <v>40</v>
      </c>
      <c r="F92" s="5">
        <v>5</v>
      </c>
      <c r="G92" s="8"/>
    </row>
    <row r="93" spans="1:7" x14ac:dyDescent="0.25">
      <c r="A93" s="4">
        <v>42169</v>
      </c>
      <c r="B93" s="3" t="s">
        <v>37</v>
      </c>
      <c r="C93" s="3" t="s">
        <v>5</v>
      </c>
      <c r="D93" s="3" t="s">
        <v>28</v>
      </c>
      <c r="E93" s="3">
        <v>44</v>
      </c>
      <c r="F93" s="5">
        <v>2</v>
      </c>
      <c r="G93" s="8"/>
    </row>
    <row r="94" spans="1:7" x14ac:dyDescent="0.25">
      <c r="A94" s="4">
        <v>42133</v>
      </c>
      <c r="B94" s="3" t="s">
        <v>39</v>
      </c>
      <c r="C94" s="3" t="s">
        <v>2</v>
      </c>
      <c r="D94" s="3" t="s">
        <v>34</v>
      </c>
      <c r="E94" s="3">
        <v>50</v>
      </c>
      <c r="F94" s="5">
        <v>0.2</v>
      </c>
      <c r="G94" s="8"/>
    </row>
    <row r="95" spans="1:7" x14ac:dyDescent="0.25">
      <c r="A95" s="4">
        <v>42132</v>
      </c>
      <c r="B95" s="3" t="s">
        <v>37</v>
      </c>
      <c r="C95" s="3" t="s">
        <v>2</v>
      </c>
      <c r="D95" s="3" t="s">
        <v>35</v>
      </c>
      <c r="E95" s="3">
        <v>22</v>
      </c>
      <c r="F95" s="5">
        <v>4</v>
      </c>
      <c r="G95" s="8"/>
    </row>
    <row r="96" spans="1:7" x14ac:dyDescent="0.25">
      <c r="A96" s="4">
        <v>42091</v>
      </c>
      <c r="B96" s="3" t="s">
        <v>37</v>
      </c>
      <c r="C96" s="3" t="s">
        <v>10</v>
      </c>
      <c r="D96" s="3" t="s">
        <v>27</v>
      </c>
      <c r="E96" s="3">
        <v>35</v>
      </c>
      <c r="F96" s="5">
        <v>0.5</v>
      </c>
      <c r="G96" s="8"/>
    </row>
    <row r="97" spans="1:7" x14ac:dyDescent="0.25">
      <c r="A97" s="4">
        <v>42180</v>
      </c>
      <c r="B97" s="3" t="s">
        <v>26</v>
      </c>
      <c r="C97" s="3" t="s">
        <v>10</v>
      </c>
      <c r="D97" s="3" t="s">
        <v>35</v>
      </c>
      <c r="E97" s="3">
        <v>22</v>
      </c>
      <c r="F97" s="5">
        <v>4</v>
      </c>
      <c r="G97" s="8"/>
    </row>
    <row r="98" spans="1:7" x14ac:dyDescent="0.25">
      <c r="A98" s="4">
        <v>42172</v>
      </c>
      <c r="B98" s="3" t="s">
        <v>26</v>
      </c>
      <c r="C98" s="3" t="s">
        <v>5</v>
      </c>
      <c r="D98" s="3" t="s">
        <v>30</v>
      </c>
      <c r="E98" s="3">
        <v>6</v>
      </c>
      <c r="F98" s="5">
        <v>0.1</v>
      </c>
      <c r="G98" s="8"/>
    </row>
    <row r="99" spans="1:7" x14ac:dyDescent="0.25">
      <c r="A99" s="4">
        <v>42046</v>
      </c>
      <c r="B99" s="3" t="s">
        <v>37</v>
      </c>
      <c r="C99" s="3" t="s">
        <v>6</v>
      </c>
      <c r="D99" s="3" t="s">
        <v>35</v>
      </c>
      <c r="E99" s="3">
        <v>49</v>
      </c>
      <c r="F99" s="5">
        <v>4</v>
      </c>
      <c r="G99" s="8"/>
    </row>
    <row r="100" spans="1:7" x14ac:dyDescent="0.25">
      <c r="A100" s="4">
        <v>42039</v>
      </c>
      <c r="B100" s="3" t="s">
        <v>37</v>
      </c>
      <c r="C100" s="3" t="s">
        <v>19</v>
      </c>
      <c r="D100" s="3" t="s">
        <v>35</v>
      </c>
      <c r="E100" s="3">
        <v>24</v>
      </c>
      <c r="F100" s="5">
        <v>4</v>
      </c>
      <c r="G100" s="8"/>
    </row>
    <row r="101" spans="1:7" x14ac:dyDescent="0.25">
      <c r="A101" s="4">
        <v>42114</v>
      </c>
      <c r="B101" s="3" t="s">
        <v>26</v>
      </c>
      <c r="C101" s="3" t="s">
        <v>10</v>
      </c>
      <c r="D101" s="3" t="s">
        <v>31</v>
      </c>
      <c r="E101" s="3">
        <v>2</v>
      </c>
      <c r="F101" s="5">
        <v>2.5</v>
      </c>
      <c r="G101" s="8"/>
    </row>
    <row r="102" spans="1:7" x14ac:dyDescent="0.25">
      <c r="A102" s="4">
        <v>42165</v>
      </c>
      <c r="B102" s="3" t="s">
        <v>37</v>
      </c>
      <c r="C102" s="3" t="s">
        <v>2</v>
      </c>
      <c r="D102" s="3" t="s">
        <v>34</v>
      </c>
      <c r="E102" s="3">
        <v>20</v>
      </c>
      <c r="F102" s="5">
        <v>0.2</v>
      </c>
      <c r="G102" s="8"/>
    </row>
    <row r="103" spans="1:7" x14ac:dyDescent="0.25">
      <c r="A103" s="4">
        <v>42136</v>
      </c>
      <c r="B103" s="3" t="s">
        <v>38</v>
      </c>
      <c r="C103" s="3" t="s">
        <v>10</v>
      </c>
      <c r="D103" s="3" t="s">
        <v>36</v>
      </c>
      <c r="E103" s="3">
        <v>26</v>
      </c>
      <c r="F103" s="5">
        <v>1.5</v>
      </c>
      <c r="G103" s="8"/>
    </row>
    <row r="104" spans="1:7" x14ac:dyDescent="0.25">
      <c r="A104" s="4">
        <v>42121</v>
      </c>
      <c r="B104" s="3" t="s">
        <v>39</v>
      </c>
      <c r="C104" s="3" t="s">
        <v>19</v>
      </c>
      <c r="D104" s="3" t="s">
        <v>36</v>
      </c>
      <c r="E104" s="3">
        <v>24</v>
      </c>
      <c r="F104" s="5">
        <v>1.5</v>
      </c>
      <c r="G104" s="8"/>
    </row>
    <row r="105" spans="1:7" x14ac:dyDescent="0.25">
      <c r="A105" s="4">
        <v>42184</v>
      </c>
      <c r="B105" s="3" t="s">
        <v>38</v>
      </c>
      <c r="C105" s="3" t="s">
        <v>2</v>
      </c>
      <c r="D105" s="3" t="s">
        <v>28</v>
      </c>
      <c r="E105" s="3">
        <v>41</v>
      </c>
      <c r="F105" s="5">
        <v>2</v>
      </c>
      <c r="G105" s="8"/>
    </row>
    <row r="106" spans="1:7" x14ac:dyDescent="0.25">
      <c r="A106" s="4">
        <v>42026</v>
      </c>
      <c r="B106" s="3" t="s">
        <v>26</v>
      </c>
      <c r="C106" s="3" t="s">
        <v>2</v>
      </c>
      <c r="D106" s="3" t="s">
        <v>31</v>
      </c>
      <c r="E106" s="3">
        <v>27</v>
      </c>
      <c r="F106" s="5">
        <v>2.5</v>
      </c>
      <c r="G106" s="8"/>
    </row>
    <row r="107" spans="1:7" x14ac:dyDescent="0.25">
      <c r="A107" s="4">
        <v>42039</v>
      </c>
      <c r="B107" s="3" t="s">
        <v>29</v>
      </c>
      <c r="C107" s="3" t="s">
        <v>6</v>
      </c>
      <c r="D107" s="3" t="s">
        <v>31</v>
      </c>
      <c r="E107" s="3">
        <v>29</v>
      </c>
      <c r="F107" s="5">
        <v>2.5</v>
      </c>
      <c r="G107" s="8"/>
    </row>
    <row r="108" spans="1:7" x14ac:dyDescent="0.25">
      <c r="A108" s="4">
        <v>42174</v>
      </c>
      <c r="B108" s="3" t="s">
        <v>29</v>
      </c>
      <c r="C108" s="3" t="s">
        <v>5</v>
      </c>
      <c r="D108" s="3" t="s">
        <v>28</v>
      </c>
      <c r="E108" s="3">
        <v>40</v>
      </c>
      <c r="F108" s="5">
        <v>2</v>
      </c>
      <c r="G108" s="8"/>
    </row>
    <row r="109" spans="1:7" x14ac:dyDescent="0.25">
      <c r="A109" s="4">
        <v>42130</v>
      </c>
      <c r="B109" s="3" t="s">
        <v>37</v>
      </c>
      <c r="C109" s="3" t="s">
        <v>19</v>
      </c>
      <c r="D109" s="3" t="s">
        <v>34</v>
      </c>
      <c r="E109" s="3">
        <v>32</v>
      </c>
      <c r="F109" s="5">
        <v>0.2</v>
      </c>
      <c r="G109" s="8"/>
    </row>
    <row r="110" spans="1:7" x14ac:dyDescent="0.25">
      <c r="A110" s="4">
        <v>42013</v>
      </c>
      <c r="B110" s="3" t="s">
        <v>38</v>
      </c>
      <c r="C110" s="3" t="s">
        <v>2</v>
      </c>
      <c r="D110" s="3" t="s">
        <v>28</v>
      </c>
      <c r="E110" s="3">
        <v>29</v>
      </c>
      <c r="F110" s="5">
        <v>2</v>
      </c>
      <c r="G110" s="8"/>
    </row>
    <row r="111" spans="1:7" x14ac:dyDescent="0.25">
      <c r="A111" s="4">
        <v>42068</v>
      </c>
      <c r="B111" s="3" t="s">
        <v>32</v>
      </c>
      <c r="C111" s="3" t="s">
        <v>6</v>
      </c>
      <c r="D111" s="3" t="s">
        <v>31</v>
      </c>
      <c r="E111" s="3">
        <v>19</v>
      </c>
      <c r="F111" s="5">
        <v>2.5</v>
      </c>
      <c r="G111" s="8"/>
    </row>
    <row r="112" spans="1:7" x14ac:dyDescent="0.25">
      <c r="A112" s="4">
        <v>42093</v>
      </c>
      <c r="B112" s="3" t="s">
        <v>29</v>
      </c>
      <c r="C112" s="3" t="s">
        <v>5</v>
      </c>
      <c r="D112" s="3" t="s">
        <v>28</v>
      </c>
      <c r="E112" s="3">
        <v>15</v>
      </c>
      <c r="F112" s="5">
        <v>2</v>
      </c>
      <c r="G112" s="8"/>
    </row>
    <row r="113" spans="1:7" x14ac:dyDescent="0.25">
      <c r="A113" s="4">
        <v>42178</v>
      </c>
      <c r="B113" s="3" t="s">
        <v>37</v>
      </c>
      <c r="C113" s="3" t="s">
        <v>6</v>
      </c>
      <c r="D113" s="3" t="s">
        <v>30</v>
      </c>
      <c r="E113" s="3">
        <v>24</v>
      </c>
      <c r="F113" s="5">
        <v>0.1</v>
      </c>
      <c r="G113" s="8"/>
    </row>
    <row r="114" spans="1:7" x14ac:dyDescent="0.25">
      <c r="A114" s="4">
        <v>42097</v>
      </c>
      <c r="B114" s="3" t="s">
        <v>38</v>
      </c>
      <c r="C114" s="3" t="s">
        <v>5</v>
      </c>
      <c r="D114" s="3" t="s">
        <v>28</v>
      </c>
      <c r="E114" s="3">
        <v>21</v>
      </c>
      <c r="F114" s="5">
        <v>2</v>
      </c>
      <c r="G114" s="8"/>
    </row>
    <row r="115" spans="1:7" x14ac:dyDescent="0.25">
      <c r="A115" s="4">
        <v>42140</v>
      </c>
      <c r="B115" s="3" t="s">
        <v>32</v>
      </c>
      <c r="C115" s="3" t="s">
        <v>10</v>
      </c>
      <c r="D115" s="3" t="s">
        <v>28</v>
      </c>
      <c r="E115" s="3">
        <v>16</v>
      </c>
      <c r="F115" s="5">
        <v>2</v>
      </c>
      <c r="G115" s="8"/>
    </row>
    <row r="116" spans="1:7" x14ac:dyDescent="0.25">
      <c r="A116" s="4">
        <v>42010</v>
      </c>
      <c r="B116" s="3" t="s">
        <v>38</v>
      </c>
      <c r="C116" s="3" t="s">
        <v>19</v>
      </c>
      <c r="D116" s="3" t="s">
        <v>31</v>
      </c>
      <c r="E116" s="3">
        <v>44</v>
      </c>
      <c r="F116" s="5">
        <v>2.5</v>
      </c>
      <c r="G116" s="8"/>
    </row>
    <row r="117" spans="1:7" x14ac:dyDescent="0.25">
      <c r="A117" s="4">
        <v>42019</v>
      </c>
      <c r="B117" s="3" t="s">
        <v>29</v>
      </c>
      <c r="C117" s="3" t="s">
        <v>5</v>
      </c>
      <c r="D117" s="3" t="s">
        <v>28</v>
      </c>
      <c r="E117" s="3">
        <v>4</v>
      </c>
      <c r="F117" s="5">
        <v>2</v>
      </c>
      <c r="G117" s="8"/>
    </row>
    <row r="118" spans="1:7" x14ac:dyDescent="0.25">
      <c r="A118" s="4">
        <v>42095</v>
      </c>
      <c r="B118" s="3" t="s">
        <v>39</v>
      </c>
      <c r="C118" s="3" t="s">
        <v>19</v>
      </c>
      <c r="D118" s="3" t="s">
        <v>28</v>
      </c>
      <c r="E118" s="3">
        <v>5</v>
      </c>
      <c r="F118" s="5">
        <v>2</v>
      </c>
      <c r="G118" s="8"/>
    </row>
    <row r="119" spans="1:7" x14ac:dyDescent="0.25">
      <c r="A119" s="4">
        <v>42089</v>
      </c>
      <c r="B119" s="3" t="s">
        <v>39</v>
      </c>
      <c r="C119" s="3" t="s">
        <v>19</v>
      </c>
      <c r="D119" s="3" t="s">
        <v>33</v>
      </c>
      <c r="E119" s="3">
        <v>1</v>
      </c>
      <c r="F119" s="5">
        <v>5</v>
      </c>
      <c r="G119" s="8"/>
    </row>
    <row r="120" spans="1:7" x14ac:dyDescent="0.25">
      <c r="A120" s="4">
        <v>42175</v>
      </c>
      <c r="B120" s="3" t="s">
        <v>37</v>
      </c>
      <c r="C120" s="3" t="s">
        <v>19</v>
      </c>
      <c r="D120" s="3" t="s">
        <v>30</v>
      </c>
      <c r="E120" s="3">
        <v>43</v>
      </c>
      <c r="F120" s="5">
        <v>0.1</v>
      </c>
      <c r="G120" s="8"/>
    </row>
    <row r="121" spans="1:7" x14ac:dyDescent="0.25">
      <c r="A121" s="4">
        <v>42138</v>
      </c>
      <c r="B121" s="3" t="s">
        <v>26</v>
      </c>
      <c r="C121" s="3" t="s">
        <v>5</v>
      </c>
      <c r="D121" s="3" t="s">
        <v>33</v>
      </c>
      <c r="E121" s="3">
        <v>34</v>
      </c>
      <c r="F121" s="5">
        <v>5</v>
      </c>
      <c r="G121" s="8"/>
    </row>
    <row r="122" spans="1:7" x14ac:dyDescent="0.25">
      <c r="A122" s="4">
        <v>42143</v>
      </c>
      <c r="B122" s="3" t="s">
        <v>29</v>
      </c>
      <c r="C122" s="3" t="s">
        <v>2</v>
      </c>
      <c r="D122" s="3" t="s">
        <v>31</v>
      </c>
      <c r="E122" s="3">
        <v>20</v>
      </c>
      <c r="F122" s="5">
        <v>2.5</v>
      </c>
      <c r="G122" s="8"/>
    </row>
    <row r="123" spans="1:7" x14ac:dyDescent="0.25">
      <c r="A123" s="4">
        <v>42011</v>
      </c>
      <c r="B123" s="3" t="s">
        <v>38</v>
      </c>
      <c r="C123" s="3" t="s">
        <v>5</v>
      </c>
      <c r="D123" s="3" t="s">
        <v>36</v>
      </c>
      <c r="E123" s="3">
        <v>17</v>
      </c>
      <c r="F123" s="5">
        <v>1.5</v>
      </c>
      <c r="G123" s="8"/>
    </row>
    <row r="124" spans="1:7" x14ac:dyDescent="0.25">
      <c r="A124" s="4">
        <v>42138</v>
      </c>
      <c r="B124" s="3" t="s">
        <v>39</v>
      </c>
      <c r="C124" s="3" t="s">
        <v>6</v>
      </c>
      <c r="D124" s="3" t="s">
        <v>36</v>
      </c>
      <c r="E124" s="3">
        <v>23</v>
      </c>
      <c r="F124" s="5">
        <v>1.5</v>
      </c>
      <c r="G124" s="8"/>
    </row>
    <row r="125" spans="1:7" x14ac:dyDescent="0.25">
      <c r="A125" s="4">
        <v>42166</v>
      </c>
      <c r="B125" s="3" t="s">
        <v>37</v>
      </c>
      <c r="C125" s="3" t="s">
        <v>19</v>
      </c>
      <c r="D125" s="3" t="s">
        <v>30</v>
      </c>
      <c r="E125" s="3">
        <v>22</v>
      </c>
      <c r="F125" s="5">
        <v>0.1</v>
      </c>
      <c r="G125" s="8"/>
    </row>
    <row r="126" spans="1:7" x14ac:dyDescent="0.25">
      <c r="A126" s="4">
        <v>42043</v>
      </c>
      <c r="B126" s="3" t="s">
        <v>39</v>
      </c>
      <c r="C126" s="3" t="s">
        <v>6</v>
      </c>
      <c r="D126" s="3" t="s">
        <v>33</v>
      </c>
      <c r="E126" s="3">
        <v>40</v>
      </c>
      <c r="F126" s="5">
        <v>5</v>
      </c>
      <c r="G126" s="8"/>
    </row>
    <row r="127" spans="1:7" x14ac:dyDescent="0.25">
      <c r="A127" s="4">
        <v>42184</v>
      </c>
      <c r="B127" s="3" t="s">
        <v>29</v>
      </c>
      <c r="C127" s="3" t="s">
        <v>6</v>
      </c>
      <c r="D127" s="3" t="s">
        <v>35</v>
      </c>
      <c r="E127" s="3">
        <v>50</v>
      </c>
      <c r="F127" s="5">
        <v>4</v>
      </c>
      <c r="G127" s="8"/>
    </row>
    <row r="128" spans="1:7" x14ac:dyDescent="0.25">
      <c r="A128" s="4">
        <v>42176</v>
      </c>
      <c r="B128" s="3" t="s">
        <v>39</v>
      </c>
      <c r="C128" s="3" t="s">
        <v>5</v>
      </c>
      <c r="D128" s="3" t="s">
        <v>30</v>
      </c>
      <c r="E128" s="3">
        <v>29</v>
      </c>
      <c r="F128" s="5">
        <v>0.1</v>
      </c>
      <c r="G128" s="8"/>
    </row>
    <row r="129" spans="1:7" x14ac:dyDescent="0.25">
      <c r="A129" s="4">
        <v>42062</v>
      </c>
      <c r="B129" s="3" t="s">
        <v>38</v>
      </c>
      <c r="C129" s="3" t="s">
        <v>10</v>
      </c>
      <c r="D129" s="3" t="s">
        <v>34</v>
      </c>
      <c r="E129" s="3">
        <v>17</v>
      </c>
      <c r="F129" s="5">
        <v>0.2</v>
      </c>
      <c r="G129" s="8"/>
    </row>
    <row r="130" spans="1:7" x14ac:dyDescent="0.25">
      <c r="A130" s="4">
        <v>42162</v>
      </c>
      <c r="B130" s="3" t="s">
        <v>26</v>
      </c>
      <c r="C130" s="3" t="s">
        <v>19</v>
      </c>
      <c r="D130" s="3" t="s">
        <v>35</v>
      </c>
      <c r="E130" s="3">
        <v>42</v>
      </c>
      <c r="F130" s="5">
        <v>4</v>
      </c>
      <c r="G130" s="8"/>
    </row>
    <row r="131" spans="1:7" x14ac:dyDescent="0.25">
      <c r="A131" s="4">
        <v>42127</v>
      </c>
      <c r="B131" s="3" t="s">
        <v>26</v>
      </c>
      <c r="C131" s="3" t="s">
        <v>10</v>
      </c>
      <c r="D131" s="3" t="s">
        <v>28</v>
      </c>
      <c r="E131" s="3">
        <v>50</v>
      </c>
      <c r="F131" s="5">
        <v>2</v>
      </c>
      <c r="G131" s="8"/>
    </row>
    <row r="132" spans="1:7" x14ac:dyDescent="0.25">
      <c r="A132" s="4">
        <v>42100</v>
      </c>
      <c r="B132" s="3" t="s">
        <v>39</v>
      </c>
      <c r="C132" s="3" t="s">
        <v>19</v>
      </c>
      <c r="D132" s="3" t="s">
        <v>35</v>
      </c>
      <c r="E132" s="3">
        <v>20</v>
      </c>
      <c r="F132" s="5">
        <v>4</v>
      </c>
      <c r="G132" s="8"/>
    </row>
    <row r="133" spans="1:7" x14ac:dyDescent="0.25">
      <c r="A133" s="4">
        <v>42164</v>
      </c>
      <c r="B133" s="3" t="s">
        <v>32</v>
      </c>
      <c r="C133" s="3" t="s">
        <v>2</v>
      </c>
      <c r="D133" s="3" t="s">
        <v>30</v>
      </c>
      <c r="E133" s="3">
        <v>7</v>
      </c>
      <c r="F133" s="5">
        <v>0.1</v>
      </c>
      <c r="G133" s="8"/>
    </row>
    <row r="134" spans="1:7" x14ac:dyDescent="0.25">
      <c r="A134" s="4">
        <v>42074</v>
      </c>
      <c r="B134" s="3" t="s">
        <v>26</v>
      </c>
      <c r="C134" s="3" t="s">
        <v>6</v>
      </c>
      <c r="D134" s="3" t="s">
        <v>34</v>
      </c>
      <c r="E134" s="3">
        <v>23</v>
      </c>
      <c r="F134" s="5">
        <v>0.2</v>
      </c>
      <c r="G134" s="8"/>
    </row>
    <row r="135" spans="1:7" x14ac:dyDescent="0.25">
      <c r="A135" s="4">
        <v>42168</v>
      </c>
      <c r="B135" s="3" t="s">
        <v>29</v>
      </c>
      <c r="C135" s="3" t="s">
        <v>10</v>
      </c>
      <c r="D135" s="3" t="s">
        <v>30</v>
      </c>
      <c r="E135" s="3">
        <v>41</v>
      </c>
      <c r="F135" s="5">
        <v>0.1</v>
      </c>
      <c r="G135" s="8"/>
    </row>
    <row r="136" spans="1:7" x14ac:dyDescent="0.25">
      <c r="A136" s="4">
        <v>42067</v>
      </c>
      <c r="B136" s="3" t="s">
        <v>32</v>
      </c>
      <c r="C136" s="3" t="s">
        <v>10</v>
      </c>
      <c r="D136" s="3" t="s">
        <v>33</v>
      </c>
      <c r="E136" s="3">
        <v>10</v>
      </c>
      <c r="F136" s="5">
        <v>5</v>
      </c>
      <c r="G136" s="8"/>
    </row>
    <row r="137" spans="1:7" x14ac:dyDescent="0.25">
      <c r="A137" s="4">
        <v>42133</v>
      </c>
      <c r="B137" s="3" t="s">
        <v>32</v>
      </c>
      <c r="C137" s="3" t="s">
        <v>6</v>
      </c>
      <c r="D137" s="3" t="s">
        <v>27</v>
      </c>
      <c r="E137" s="3">
        <v>50</v>
      </c>
      <c r="F137" s="5">
        <v>0.5</v>
      </c>
      <c r="G137" s="8"/>
    </row>
    <row r="138" spans="1:7" x14ac:dyDescent="0.25">
      <c r="A138" s="4">
        <v>42161</v>
      </c>
      <c r="B138" s="3" t="s">
        <v>38</v>
      </c>
      <c r="C138" s="3" t="s">
        <v>19</v>
      </c>
      <c r="D138" s="3" t="s">
        <v>34</v>
      </c>
      <c r="E138" s="3">
        <v>6</v>
      </c>
      <c r="F138" s="5">
        <v>0.2</v>
      </c>
      <c r="G138" s="8"/>
    </row>
    <row r="139" spans="1:7" x14ac:dyDescent="0.25">
      <c r="A139" s="4">
        <v>42032</v>
      </c>
      <c r="B139" s="3" t="s">
        <v>37</v>
      </c>
      <c r="C139" s="3" t="s">
        <v>2</v>
      </c>
      <c r="D139" s="3" t="s">
        <v>31</v>
      </c>
      <c r="E139" s="3">
        <v>37</v>
      </c>
      <c r="F139" s="5">
        <v>2.5</v>
      </c>
      <c r="G139" s="8"/>
    </row>
    <row r="140" spans="1:7" x14ac:dyDescent="0.25">
      <c r="A140" s="4">
        <v>42117</v>
      </c>
      <c r="B140" s="3" t="s">
        <v>26</v>
      </c>
      <c r="C140" s="3" t="s">
        <v>2</v>
      </c>
      <c r="D140" s="3" t="s">
        <v>30</v>
      </c>
      <c r="E140" s="3">
        <v>2</v>
      </c>
      <c r="F140" s="5">
        <v>0.1</v>
      </c>
      <c r="G140" s="8"/>
    </row>
    <row r="141" spans="1:7" x14ac:dyDescent="0.25">
      <c r="A141" s="4">
        <v>42125</v>
      </c>
      <c r="B141" s="3" t="s">
        <v>37</v>
      </c>
      <c r="C141" s="3" t="s">
        <v>2</v>
      </c>
      <c r="D141" s="3" t="s">
        <v>36</v>
      </c>
      <c r="E141" s="3">
        <v>36</v>
      </c>
      <c r="F141" s="5">
        <v>1.5</v>
      </c>
      <c r="G141" s="8"/>
    </row>
    <row r="142" spans="1:7" x14ac:dyDescent="0.25">
      <c r="A142" s="4">
        <v>42153</v>
      </c>
      <c r="B142" s="3" t="s">
        <v>38</v>
      </c>
      <c r="C142" s="3" t="s">
        <v>5</v>
      </c>
      <c r="D142" s="3" t="s">
        <v>30</v>
      </c>
      <c r="E142" s="3">
        <v>28</v>
      </c>
      <c r="F142" s="5">
        <v>0.1</v>
      </c>
      <c r="G142" s="8"/>
    </row>
    <row r="143" spans="1:7" x14ac:dyDescent="0.25">
      <c r="A143" s="4">
        <v>42149</v>
      </c>
      <c r="B143" s="3" t="s">
        <v>32</v>
      </c>
      <c r="C143" s="3" t="s">
        <v>10</v>
      </c>
      <c r="D143" s="3" t="s">
        <v>33</v>
      </c>
      <c r="E143" s="3">
        <v>10</v>
      </c>
      <c r="F143" s="5">
        <v>5</v>
      </c>
      <c r="G143" s="8"/>
    </row>
    <row r="144" spans="1:7" x14ac:dyDescent="0.25">
      <c r="A144" s="4">
        <v>42107</v>
      </c>
      <c r="B144" s="3" t="s">
        <v>39</v>
      </c>
      <c r="C144" s="3" t="s">
        <v>5</v>
      </c>
      <c r="D144" s="3" t="s">
        <v>36</v>
      </c>
      <c r="E144" s="3">
        <v>47</v>
      </c>
      <c r="F144" s="5">
        <v>1.5</v>
      </c>
      <c r="G144" s="8"/>
    </row>
    <row r="145" spans="1:7" x14ac:dyDescent="0.25">
      <c r="A145" s="4">
        <v>42178</v>
      </c>
      <c r="B145" s="3" t="s">
        <v>39</v>
      </c>
      <c r="C145" s="3" t="s">
        <v>10</v>
      </c>
      <c r="D145" s="3" t="s">
        <v>28</v>
      </c>
      <c r="E145" s="3">
        <v>44</v>
      </c>
      <c r="F145" s="5">
        <v>2</v>
      </c>
      <c r="G145" s="8"/>
    </row>
    <row r="146" spans="1:7" x14ac:dyDescent="0.25">
      <c r="A146" s="4">
        <v>42033</v>
      </c>
      <c r="B146" s="3" t="s">
        <v>37</v>
      </c>
      <c r="C146" s="3" t="s">
        <v>2</v>
      </c>
      <c r="D146" s="3" t="s">
        <v>35</v>
      </c>
      <c r="E146" s="3">
        <v>12</v>
      </c>
      <c r="F146" s="5">
        <v>4</v>
      </c>
      <c r="G146" s="8"/>
    </row>
    <row r="147" spans="1:7" x14ac:dyDescent="0.25">
      <c r="A147" s="4">
        <v>42132</v>
      </c>
      <c r="B147" s="3" t="s">
        <v>29</v>
      </c>
      <c r="C147" s="3" t="s">
        <v>2</v>
      </c>
      <c r="D147" s="3" t="s">
        <v>27</v>
      </c>
      <c r="E147" s="3">
        <v>14</v>
      </c>
      <c r="F147" s="5">
        <v>0.5</v>
      </c>
      <c r="G147" s="8"/>
    </row>
    <row r="148" spans="1:7" x14ac:dyDescent="0.25">
      <c r="A148" s="4">
        <v>42006</v>
      </c>
      <c r="B148" s="3" t="s">
        <v>32</v>
      </c>
      <c r="C148" s="3" t="s">
        <v>6</v>
      </c>
      <c r="D148" s="3" t="s">
        <v>34</v>
      </c>
      <c r="E148" s="3">
        <v>44</v>
      </c>
      <c r="F148" s="5">
        <v>0.2</v>
      </c>
      <c r="G148" s="8"/>
    </row>
    <row r="149" spans="1:7" x14ac:dyDescent="0.25">
      <c r="A149" s="4">
        <v>42173</v>
      </c>
      <c r="B149" s="3" t="s">
        <v>29</v>
      </c>
      <c r="C149" s="3" t="s">
        <v>10</v>
      </c>
      <c r="D149" s="3" t="s">
        <v>31</v>
      </c>
      <c r="E149" s="3">
        <v>12</v>
      </c>
      <c r="F149" s="5">
        <v>2.5</v>
      </c>
      <c r="G149" s="8"/>
    </row>
    <row r="150" spans="1:7" x14ac:dyDescent="0.25">
      <c r="A150" s="4">
        <v>42093</v>
      </c>
      <c r="B150" s="3" t="s">
        <v>26</v>
      </c>
      <c r="C150" s="3" t="s">
        <v>19</v>
      </c>
      <c r="D150" s="3" t="s">
        <v>31</v>
      </c>
      <c r="E150" s="3">
        <v>35</v>
      </c>
      <c r="F150" s="5">
        <v>2.5</v>
      </c>
      <c r="G150" s="8"/>
    </row>
    <row r="151" spans="1:7" x14ac:dyDescent="0.25">
      <c r="A151" s="4">
        <v>42093</v>
      </c>
      <c r="B151" s="3" t="s">
        <v>32</v>
      </c>
      <c r="C151" s="3" t="s">
        <v>6</v>
      </c>
      <c r="D151" s="3" t="s">
        <v>36</v>
      </c>
      <c r="E151" s="3">
        <v>19</v>
      </c>
      <c r="F151" s="5">
        <v>1.5</v>
      </c>
      <c r="G151" s="8"/>
    </row>
    <row r="152" spans="1:7" x14ac:dyDescent="0.25">
      <c r="A152" s="4">
        <v>42033</v>
      </c>
      <c r="B152" s="3" t="s">
        <v>38</v>
      </c>
      <c r="C152" s="3" t="s">
        <v>10</v>
      </c>
      <c r="D152" s="3" t="s">
        <v>34</v>
      </c>
      <c r="E152" s="3">
        <v>9</v>
      </c>
      <c r="F152" s="5">
        <v>0.2</v>
      </c>
      <c r="G152" s="8"/>
    </row>
    <row r="153" spans="1:7" x14ac:dyDescent="0.25">
      <c r="A153" s="4">
        <v>42184</v>
      </c>
      <c r="B153" s="3" t="s">
        <v>32</v>
      </c>
      <c r="C153" s="3" t="s">
        <v>5</v>
      </c>
      <c r="D153" s="3" t="s">
        <v>36</v>
      </c>
      <c r="E153" s="3">
        <v>16</v>
      </c>
      <c r="F153" s="5">
        <v>1.5</v>
      </c>
      <c r="G153" s="8"/>
    </row>
    <row r="154" spans="1:7" x14ac:dyDescent="0.25">
      <c r="A154" s="4">
        <v>42072</v>
      </c>
      <c r="B154" s="3" t="s">
        <v>37</v>
      </c>
      <c r="C154" s="3" t="s">
        <v>2</v>
      </c>
      <c r="D154" s="3" t="s">
        <v>31</v>
      </c>
      <c r="E154" s="3">
        <v>39</v>
      </c>
      <c r="F154" s="5">
        <v>2.5</v>
      </c>
      <c r="G154" s="8"/>
    </row>
    <row r="155" spans="1:7" x14ac:dyDescent="0.25">
      <c r="A155" s="4">
        <v>42131</v>
      </c>
      <c r="B155" s="3" t="s">
        <v>39</v>
      </c>
      <c r="C155" s="3" t="s">
        <v>5</v>
      </c>
      <c r="D155" s="3" t="s">
        <v>34</v>
      </c>
      <c r="E155" s="3">
        <v>25</v>
      </c>
      <c r="F155" s="5">
        <v>0.2</v>
      </c>
      <c r="G155" s="8"/>
    </row>
    <row r="156" spans="1:7" x14ac:dyDescent="0.25">
      <c r="A156" s="4">
        <v>42018</v>
      </c>
      <c r="B156" s="3" t="s">
        <v>39</v>
      </c>
      <c r="C156" s="3" t="s">
        <v>19</v>
      </c>
      <c r="D156" s="3" t="s">
        <v>28</v>
      </c>
      <c r="E156" s="3">
        <v>13</v>
      </c>
      <c r="F156" s="5">
        <v>2</v>
      </c>
      <c r="G156" s="8"/>
    </row>
    <row r="157" spans="1:7" x14ac:dyDescent="0.25">
      <c r="A157" s="4">
        <v>42128</v>
      </c>
      <c r="B157" s="3" t="s">
        <v>39</v>
      </c>
      <c r="C157" s="3" t="s">
        <v>10</v>
      </c>
      <c r="D157" s="3" t="s">
        <v>27</v>
      </c>
      <c r="E157" s="3">
        <v>40</v>
      </c>
      <c r="F157" s="5">
        <v>0.5</v>
      </c>
      <c r="G157" s="8"/>
    </row>
    <row r="158" spans="1:7" x14ac:dyDescent="0.25">
      <c r="A158" s="4">
        <v>42029</v>
      </c>
      <c r="B158" s="3" t="s">
        <v>37</v>
      </c>
      <c r="C158" s="3" t="s">
        <v>2</v>
      </c>
      <c r="D158" s="3" t="s">
        <v>36</v>
      </c>
      <c r="E158" s="3">
        <v>20</v>
      </c>
      <c r="F158" s="5">
        <v>1.5</v>
      </c>
      <c r="G158" s="8"/>
    </row>
    <row r="159" spans="1:7" x14ac:dyDescent="0.25">
      <c r="A159" s="4">
        <v>42133</v>
      </c>
      <c r="B159" s="3" t="s">
        <v>38</v>
      </c>
      <c r="C159" s="3" t="s">
        <v>5</v>
      </c>
      <c r="D159" s="3" t="s">
        <v>34</v>
      </c>
      <c r="E159" s="3">
        <v>24</v>
      </c>
      <c r="F159" s="5">
        <v>0.2</v>
      </c>
      <c r="G159" s="8"/>
    </row>
    <row r="160" spans="1:7" x14ac:dyDescent="0.25">
      <c r="A160" s="4">
        <v>42079</v>
      </c>
      <c r="B160" s="3" t="s">
        <v>26</v>
      </c>
      <c r="C160" s="3" t="s">
        <v>2</v>
      </c>
      <c r="D160" s="3" t="s">
        <v>30</v>
      </c>
      <c r="E160" s="3">
        <v>47</v>
      </c>
      <c r="F160" s="5">
        <v>0.1</v>
      </c>
      <c r="G160" s="8"/>
    </row>
    <row r="161" spans="1:7" x14ac:dyDescent="0.25">
      <c r="A161" s="4">
        <v>42112</v>
      </c>
      <c r="B161" s="3" t="s">
        <v>32</v>
      </c>
      <c r="C161" s="3" t="s">
        <v>6</v>
      </c>
      <c r="D161" s="3" t="s">
        <v>34</v>
      </c>
      <c r="E161" s="3">
        <v>4</v>
      </c>
      <c r="F161" s="5">
        <v>0.2</v>
      </c>
      <c r="G161" s="8"/>
    </row>
    <row r="162" spans="1:7" x14ac:dyDescent="0.25">
      <c r="A162" s="4">
        <v>42083</v>
      </c>
      <c r="B162" s="3" t="s">
        <v>38</v>
      </c>
      <c r="C162" s="3" t="s">
        <v>5</v>
      </c>
      <c r="D162" s="3" t="s">
        <v>36</v>
      </c>
      <c r="E162" s="3">
        <v>34</v>
      </c>
      <c r="F162" s="5">
        <v>1.5</v>
      </c>
      <c r="G162" s="8"/>
    </row>
    <row r="163" spans="1:7" x14ac:dyDescent="0.25">
      <c r="A163" s="4">
        <v>42136</v>
      </c>
      <c r="B163" s="3" t="s">
        <v>29</v>
      </c>
      <c r="C163" s="3" t="s">
        <v>5</v>
      </c>
      <c r="D163" s="3" t="s">
        <v>34</v>
      </c>
      <c r="E163" s="3">
        <v>26</v>
      </c>
      <c r="F163" s="5">
        <v>0.2</v>
      </c>
      <c r="G163" s="8"/>
    </row>
    <row r="164" spans="1:7" x14ac:dyDescent="0.25">
      <c r="A164" s="4">
        <v>42016</v>
      </c>
      <c r="B164" s="3" t="s">
        <v>26</v>
      </c>
      <c r="C164" s="3" t="s">
        <v>5</v>
      </c>
      <c r="D164" s="3" t="s">
        <v>30</v>
      </c>
      <c r="E164" s="3">
        <v>8</v>
      </c>
      <c r="F164" s="5">
        <v>0.1</v>
      </c>
      <c r="G164" s="8"/>
    </row>
    <row r="165" spans="1:7" x14ac:dyDescent="0.25">
      <c r="A165" s="4">
        <v>42097</v>
      </c>
      <c r="B165" s="3" t="s">
        <v>29</v>
      </c>
      <c r="C165" s="3" t="s">
        <v>5</v>
      </c>
      <c r="D165" s="3" t="s">
        <v>36</v>
      </c>
      <c r="E165" s="3">
        <v>33</v>
      </c>
      <c r="F165" s="5">
        <v>1.5</v>
      </c>
      <c r="G165" s="8"/>
    </row>
    <row r="166" spans="1:7" x14ac:dyDescent="0.25">
      <c r="A166" s="4">
        <v>42150</v>
      </c>
      <c r="B166" s="3" t="s">
        <v>26</v>
      </c>
      <c r="C166" s="3" t="s">
        <v>19</v>
      </c>
      <c r="D166" s="3" t="s">
        <v>30</v>
      </c>
      <c r="E166" s="3">
        <v>40</v>
      </c>
      <c r="F166" s="5">
        <v>0.1</v>
      </c>
      <c r="G166" s="8"/>
    </row>
    <row r="167" spans="1:7" x14ac:dyDescent="0.25">
      <c r="A167" s="4">
        <v>42039</v>
      </c>
      <c r="B167" s="3" t="s">
        <v>26</v>
      </c>
      <c r="C167" s="3" t="s">
        <v>10</v>
      </c>
      <c r="D167" s="3" t="s">
        <v>28</v>
      </c>
      <c r="E167" s="3">
        <v>8</v>
      </c>
      <c r="F167" s="5">
        <v>2</v>
      </c>
      <c r="G167" s="8"/>
    </row>
    <row r="168" spans="1:7" x14ac:dyDescent="0.25">
      <c r="A168" s="4">
        <v>42147</v>
      </c>
      <c r="B168" s="3" t="s">
        <v>32</v>
      </c>
      <c r="C168" s="3" t="s">
        <v>10</v>
      </c>
      <c r="D168" s="3" t="s">
        <v>27</v>
      </c>
      <c r="E168" s="3">
        <v>40</v>
      </c>
      <c r="F168" s="5">
        <v>0.5</v>
      </c>
      <c r="G168" s="8"/>
    </row>
    <row r="169" spans="1:7" x14ac:dyDescent="0.25">
      <c r="A169" s="4">
        <v>42172</v>
      </c>
      <c r="B169" s="3" t="s">
        <v>39</v>
      </c>
      <c r="C169" s="3" t="s">
        <v>10</v>
      </c>
      <c r="D169" s="3" t="s">
        <v>34</v>
      </c>
      <c r="E169" s="3">
        <v>48</v>
      </c>
      <c r="F169" s="5">
        <v>0.2</v>
      </c>
      <c r="G169" s="8"/>
    </row>
    <row r="170" spans="1:7" x14ac:dyDescent="0.25">
      <c r="A170" s="4">
        <v>42170</v>
      </c>
      <c r="B170" s="3" t="s">
        <v>26</v>
      </c>
      <c r="C170" s="3" t="s">
        <v>6</v>
      </c>
      <c r="D170" s="3" t="s">
        <v>30</v>
      </c>
      <c r="E170" s="3">
        <v>7</v>
      </c>
      <c r="F170" s="5">
        <v>0.1</v>
      </c>
      <c r="G170" s="8"/>
    </row>
    <row r="171" spans="1:7" x14ac:dyDescent="0.25">
      <c r="A171" s="4">
        <v>42139</v>
      </c>
      <c r="B171" s="3" t="s">
        <v>37</v>
      </c>
      <c r="C171" s="3" t="s">
        <v>10</v>
      </c>
      <c r="D171" s="3" t="s">
        <v>27</v>
      </c>
      <c r="E171" s="3">
        <v>47</v>
      </c>
      <c r="F171" s="5">
        <v>0.5</v>
      </c>
      <c r="G171" s="8"/>
    </row>
    <row r="172" spans="1:7" x14ac:dyDescent="0.25">
      <c r="A172" s="4">
        <v>42167</v>
      </c>
      <c r="B172" s="3" t="s">
        <v>26</v>
      </c>
      <c r="C172" s="3" t="s">
        <v>6</v>
      </c>
      <c r="D172" s="3" t="s">
        <v>28</v>
      </c>
      <c r="E172" s="3">
        <v>46</v>
      </c>
      <c r="F172" s="5">
        <v>2</v>
      </c>
      <c r="G172" s="8"/>
    </row>
    <row r="173" spans="1:7" x14ac:dyDescent="0.25">
      <c r="A173" s="4">
        <v>42078</v>
      </c>
      <c r="B173" s="3" t="s">
        <v>37</v>
      </c>
      <c r="C173" s="3" t="s">
        <v>19</v>
      </c>
      <c r="D173" s="3" t="s">
        <v>28</v>
      </c>
      <c r="E173" s="3">
        <v>31</v>
      </c>
      <c r="F173" s="5">
        <v>2</v>
      </c>
      <c r="G173" s="8"/>
    </row>
    <row r="174" spans="1:7" x14ac:dyDescent="0.25">
      <c r="A174" s="4">
        <v>42127</v>
      </c>
      <c r="B174" s="3" t="s">
        <v>29</v>
      </c>
      <c r="C174" s="3" t="s">
        <v>10</v>
      </c>
      <c r="D174" s="3" t="s">
        <v>27</v>
      </c>
      <c r="E174" s="3">
        <v>41</v>
      </c>
      <c r="F174" s="5">
        <v>0.5</v>
      </c>
      <c r="G174" s="8"/>
    </row>
    <row r="175" spans="1:7" x14ac:dyDescent="0.25">
      <c r="A175" s="4">
        <v>42040</v>
      </c>
      <c r="B175" s="3" t="s">
        <v>26</v>
      </c>
      <c r="C175" s="3" t="s">
        <v>5</v>
      </c>
      <c r="D175" s="3" t="s">
        <v>27</v>
      </c>
      <c r="E175" s="3">
        <v>43</v>
      </c>
      <c r="F175" s="5">
        <v>0.5</v>
      </c>
      <c r="G175" s="8"/>
    </row>
    <row r="176" spans="1:7" x14ac:dyDescent="0.25">
      <c r="A176" s="4">
        <v>42157</v>
      </c>
      <c r="B176" s="3" t="s">
        <v>39</v>
      </c>
      <c r="C176" s="3" t="s">
        <v>6</v>
      </c>
      <c r="D176" s="3" t="s">
        <v>35</v>
      </c>
      <c r="E176" s="3">
        <v>3</v>
      </c>
      <c r="F176" s="5">
        <v>4</v>
      </c>
      <c r="G176" s="8"/>
    </row>
    <row r="177" spans="1:7" x14ac:dyDescent="0.25">
      <c r="A177" s="4">
        <v>42112</v>
      </c>
      <c r="B177" s="3" t="s">
        <v>37</v>
      </c>
      <c r="C177" s="3" t="s">
        <v>6</v>
      </c>
      <c r="D177" s="3" t="s">
        <v>33</v>
      </c>
      <c r="E177" s="3">
        <v>18</v>
      </c>
      <c r="F177" s="5">
        <v>5</v>
      </c>
      <c r="G177" s="8"/>
    </row>
    <row r="178" spans="1:7" x14ac:dyDescent="0.25">
      <c r="A178" s="4">
        <v>42014</v>
      </c>
      <c r="B178" s="3" t="s">
        <v>37</v>
      </c>
      <c r="C178" s="3" t="s">
        <v>5</v>
      </c>
      <c r="D178" s="3" t="s">
        <v>34</v>
      </c>
      <c r="E178" s="3">
        <v>12</v>
      </c>
      <c r="F178" s="5">
        <v>0.2</v>
      </c>
      <c r="G178" s="8"/>
    </row>
    <row r="179" spans="1:7" x14ac:dyDescent="0.25">
      <c r="A179" s="4">
        <v>42159</v>
      </c>
      <c r="B179" s="3" t="s">
        <v>32</v>
      </c>
      <c r="C179" s="3" t="s">
        <v>2</v>
      </c>
      <c r="D179" s="3" t="s">
        <v>28</v>
      </c>
      <c r="E179" s="3">
        <v>24</v>
      </c>
      <c r="F179" s="5">
        <v>2</v>
      </c>
      <c r="G179" s="8"/>
    </row>
    <row r="180" spans="1:7" x14ac:dyDescent="0.25">
      <c r="A180" s="4">
        <v>42018</v>
      </c>
      <c r="B180" s="3" t="s">
        <v>38</v>
      </c>
      <c r="C180" s="3" t="s">
        <v>2</v>
      </c>
      <c r="D180" s="3" t="s">
        <v>30</v>
      </c>
      <c r="E180" s="3">
        <v>31</v>
      </c>
      <c r="F180" s="5">
        <v>0.1</v>
      </c>
      <c r="G180" s="8"/>
    </row>
    <row r="181" spans="1:7" x14ac:dyDescent="0.25">
      <c r="A181" s="4">
        <v>42122</v>
      </c>
      <c r="B181" s="3" t="s">
        <v>26</v>
      </c>
      <c r="C181" s="3" t="s">
        <v>10</v>
      </c>
      <c r="D181" s="3" t="s">
        <v>36</v>
      </c>
      <c r="E181" s="3">
        <v>32</v>
      </c>
      <c r="F181" s="5">
        <v>1.5</v>
      </c>
      <c r="G181" s="8"/>
    </row>
    <row r="182" spans="1:7" x14ac:dyDescent="0.25">
      <c r="A182" s="4">
        <v>42158</v>
      </c>
      <c r="B182" s="3" t="s">
        <v>32</v>
      </c>
      <c r="C182" s="3" t="s">
        <v>10</v>
      </c>
      <c r="D182" s="3" t="s">
        <v>35</v>
      </c>
      <c r="E182" s="3">
        <v>17</v>
      </c>
      <c r="F182" s="5">
        <v>4</v>
      </c>
      <c r="G182" s="8"/>
    </row>
    <row r="183" spans="1:7" x14ac:dyDescent="0.25">
      <c r="A183" s="4">
        <v>42007</v>
      </c>
      <c r="B183" s="3" t="s">
        <v>39</v>
      </c>
      <c r="C183" s="3" t="s">
        <v>6</v>
      </c>
      <c r="D183" s="3" t="s">
        <v>34</v>
      </c>
      <c r="E183" s="3">
        <v>5</v>
      </c>
      <c r="F183" s="5">
        <v>0.2</v>
      </c>
      <c r="G183" s="8"/>
    </row>
    <row r="184" spans="1:7" x14ac:dyDescent="0.25">
      <c r="A184" s="4">
        <v>42152</v>
      </c>
      <c r="B184" s="3" t="s">
        <v>37</v>
      </c>
      <c r="C184" s="3" t="s">
        <v>5</v>
      </c>
      <c r="D184" s="3" t="s">
        <v>36</v>
      </c>
      <c r="E184" s="3">
        <v>6</v>
      </c>
      <c r="F184" s="5">
        <v>1.5</v>
      </c>
      <c r="G184" s="8"/>
    </row>
    <row r="185" spans="1:7" x14ac:dyDescent="0.25">
      <c r="A185" s="4">
        <v>42124</v>
      </c>
      <c r="B185" s="3" t="s">
        <v>26</v>
      </c>
      <c r="C185" s="3" t="s">
        <v>19</v>
      </c>
      <c r="D185" s="3" t="s">
        <v>36</v>
      </c>
      <c r="E185" s="3">
        <v>28</v>
      </c>
      <c r="F185" s="5">
        <v>1.5</v>
      </c>
      <c r="G185" s="8"/>
    </row>
    <row r="186" spans="1:7" x14ac:dyDescent="0.25">
      <c r="A186" s="4">
        <v>42084</v>
      </c>
      <c r="B186" s="3" t="s">
        <v>26</v>
      </c>
      <c r="C186" s="3" t="s">
        <v>6</v>
      </c>
      <c r="D186" s="3" t="s">
        <v>31</v>
      </c>
      <c r="E186" s="3">
        <v>36</v>
      </c>
      <c r="F186" s="5">
        <v>2.5</v>
      </c>
      <c r="G186" s="8"/>
    </row>
    <row r="187" spans="1:7" x14ac:dyDescent="0.25">
      <c r="A187" s="4">
        <v>42116</v>
      </c>
      <c r="B187" s="3" t="s">
        <v>32</v>
      </c>
      <c r="C187" s="3" t="s">
        <v>10</v>
      </c>
      <c r="D187" s="3" t="s">
        <v>30</v>
      </c>
      <c r="E187" s="3">
        <v>30</v>
      </c>
      <c r="F187" s="5">
        <v>0.1</v>
      </c>
      <c r="G187" s="8"/>
    </row>
    <row r="188" spans="1:7" x14ac:dyDescent="0.25">
      <c r="A188" s="4">
        <v>42153</v>
      </c>
      <c r="B188" s="3" t="s">
        <v>39</v>
      </c>
      <c r="C188" s="3" t="s">
        <v>6</v>
      </c>
      <c r="D188" s="3" t="s">
        <v>35</v>
      </c>
      <c r="E188" s="3">
        <v>26</v>
      </c>
      <c r="F188" s="5">
        <v>4</v>
      </c>
      <c r="G188" s="8"/>
    </row>
    <row r="189" spans="1:7" x14ac:dyDescent="0.25">
      <c r="A189" s="4">
        <v>42006</v>
      </c>
      <c r="B189" s="3" t="s">
        <v>38</v>
      </c>
      <c r="C189" s="3" t="s">
        <v>10</v>
      </c>
      <c r="D189" s="3" t="s">
        <v>34</v>
      </c>
      <c r="E189" s="3">
        <v>33</v>
      </c>
      <c r="F189" s="5">
        <v>0.2</v>
      </c>
      <c r="G189" s="8"/>
    </row>
    <row r="190" spans="1:7" x14ac:dyDescent="0.25">
      <c r="A190" s="4">
        <v>42138</v>
      </c>
      <c r="B190" s="3" t="s">
        <v>26</v>
      </c>
      <c r="C190" s="3" t="s">
        <v>6</v>
      </c>
      <c r="D190" s="3" t="s">
        <v>28</v>
      </c>
      <c r="E190" s="3">
        <v>26</v>
      </c>
      <c r="F190" s="5">
        <v>2</v>
      </c>
      <c r="G190" s="8"/>
    </row>
    <row r="191" spans="1:7" x14ac:dyDescent="0.25">
      <c r="A191" s="4">
        <v>42054</v>
      </c>
      <c r="B191" s="3" t="s">
        <v>38</v>
      </c>
      <c r="C191" s="3" t="s">
        <v>6</v>
      </c>
      <c r="D191" s="3" t="s">
        <v>27</v>
      </c>
      <c r="E191" s="3">
        <v>17</v>
      </c>
      <c r="F191" s="5">
        <v>0.5</v>
      </c>
      <c r="G191" s="8"/>
    </row>
    <row r="192" spans="1:7" x14ac:dyDescent="0.25">
      <c r="A192" s="4">
        <v>42030</v>
      </c>
      <c r="B192" s="3" t="s">
        <v>26</v>
      </c>
      <c r="C192" s="3" t="s">
        <v>19</v>
      </c>
      <c r="D192" s="3" t="s">
        <v>31</v>
      </c>
      <c r="E192" s="3">
        <v>7</v>
      </c>
      <c r="F192" s="5">
        <v>2.5</v>
      </c>
      <c r="G192" s="8"/>
    </row>
    <row r="193" spans="1:7" x14ac:dyDescent="0.25">
      <c r="A193" s="4">
        <v>42119</v>
      </c>
      <c r="B193" s="3" t="s">
        <v>38</v>
      </c>
      <c r="C193" s="3" t="s">
        <v>2</v>
      </c>
      <c r="D193" s="3" t="s">
        <v>34</v>
      </c>
      <c r="E193" s="3">
        <v>35</v>
      </c>
      <c r="F193" s="5">
        <v>0.2</v>
      </c>
      <c r="G193" s="8"/>
    </row>
    <row r="194" spans="1:7" x14ac:dyDescent="0.25">
      <c r="A194" s="4">
        <v>42109</v>
      </c>
      <c r="B194" s="3" t="s">
        <v>29</v>
      </c>
      <c r="C194" s="3" t="s">
        <v>5</v>
      </c>
      <c r="D194" s="3" t="s">
        <v>34</v>
      </c>
      <c r="E194" s="3">
        <v>12</v>
      </c>
      <c r="F194" s="5">
        <v>0.2</v>
      </c>
      <c r="G194" s="8"/>
    </row>
    <row r="195" spans="1:7" x14ac:dyDescent="0.25">
      <c r="A195" s="4">
        <v>42122</v>
      </c>
      <c r="B195" s="3" t="s">
        <v>29</v>
      </c>
      <c r="C195" s="3" t="s">
        <v>2</v>
      </c>
      <c r="D195" s="3" t="s">
        <v>35</v>
      </c>
      <c r="E195" s="3">
        <v>22</v>
      </c>
      <c r="F195" s="5">
        <v>4</v>
      </c>
      <c r="G195" s="8"/>
    </row>
    <row r="196" spans="1:7" x14ac:dyDescent="0.25">
      <c r="A196" s="4">
        <v>42014</v>
      </c>
      <c r="B196" s="3" t="s">
        <v>37</v>
      </c>
      <c r="C196" s="3" t="s">
        <v>10</v>
      </c>
      <c r="D196" s="3" t="s">
        <v>35</v>
      </c>
      <c r="E196" s="3">
        <v>11</v>
      </c>
      <c r="F196" s="5">
        <v>4</v>
      </c>
      <c r="G196" s="8"/>
    </row>
    <row r="197" spans="1:7" x14ac:dyDescent="0.25">
      <c r="A197" s="4">
        <v>42173</v>
      </c>
      <c r="B197" s="3" t="s">
        <v>39</v>
      </c>
      <c r="C197" s="3" t="s">
        <v>6</v>
      </c>
      <c r="D197" s="3" t="s">
        <v>33</v>
      </c>
      <c r="E197" s="3">
        <v>18</v>
      </c>
      <c r="F197" s="5">
        <v>5</v>
      </c>
      <c r="G197" s="8"/>
    </row>
    <row r="198" spans="1:7" x14ac:dyDescent="0.25">
      <c r="A198" s="4">
        <v>42147</v>
      </c>
      <c r="B198" s="3" t="s">
        <v>26</v>
      </c>
      <c r="C198" s="3" t="s">
        <v>6</v>
      </c>
      <c r="D198" s="3" t="s">
        <v>36</v>
      </c>
      <c r="E198" s="3">
        <v>49</v>
      </c>
      <c r="F198" s="5">
        <v>1.5</v>
      </c>
      <c r="G198" s="8"/>
    </row>
    <row r="199" spans="1:7" x14ac:dyDescent="0.25">
      <c r="A199" s="4">
        <v>42138</v>
      </c>
      <c r="B199" s="3" t="s">
        <v>37</v>
      </c>
      <c r="C199" s="3" t="s">
        <v>2</v>
      </c>
      <c r="D199" s="3" t="s">
        <v>33</v>
      </c>
      <c r="E199" s="3">
        <v>8</v>
      </c>
      <c r="F199" s="5">
        <v>5</v>
      </c>
      <c r="G199" s="8"/>
    </row>
    <row r="200" spans="1:7" x14ac:dyDescent="0.25">
      <c r="A200" s="4">
        <v>42086</v>
      </c>
      <c r="B200" s="3" t="s">
        <v>38</v>
      </c>
      <c r="C200" s="3" t="s">
        <v>6</v>
      </c>
      <c r="D200" s="3" t="s">
        <v>35</v>
      </c>
      <c r="E200" s="3">
        <v>18</v>
      </c>
      <c r="F200" s="5">
        <v>4</v>
      </c>
      <c r="G200" s="8"/>
    </row>
    <row r="201" spans="1:7" x14ac:dyDescent="0.25">
      <c r="A201" s="4">
        <v>42105</v>
      </c>
      <c r="B201" s="3" t="s">
        <v>39</v>
      </c>
      <c r="C201" s="3" t="s">
        <v>6</v>
      </c>
      <c r="D201" s="3" t="s">
        <v>36</v>
      </c>
      <c r="E201" s="3">
        <v>5</v>
      </c>
      <c r="F201" s="5">
        <v>1.5</v>
      </c>
      <c r="G201" s="8"/>
    </row>
    <row r="202" spans="1:7" x14ac:dyDescent="0.25">
      <c r="A202" s="4">
        <v>42096</v>
      </c>
      <c r="B202" s="3" t="s">
        <v>29</v>
      </c>
      <c r="C202" s="3" t="s">
        <v>5</v>
      </c>
      <c r="D202" s="3" t="s">
        <v>28</v>
      </c>
      <c r="E202" s="3">
        <v>43</v>
      </c>
      <c r="F202" s="5">
        <v>2</v>
      </c>
      <c r="G202" s="8"/>
    </row>
    <row r="203" spans="1:7" x14ac:dyDescent="0.25">
      <c r="A203" s="4">
        <v>42130</v>
      </c>
      <c r="B203" s="3" t="s">
        <v>38</v>
      </c>
      <c r="C203" s="3" t="s">
        <v>10</v>
      </c>
      <c r="D203" s="3" t="s">
        <v>36</v>
      </c>
      <c r="E203" s="3">
        <v>45</v>
      </c>
      <c r="F203" s="5">
        <v>1.5</v>
      </c>
      <c r="G203" s="8"/>
    </row>
    <row r="204" spans="1:7" x14ac:dyDescent="0.25">
      <c r="A204" s="4">
        <v>42094</v>
      </c>
      <c r="B204" s="3" t="s">
        <v>32</v>
      </c>
      <c r="C204" s="3" t="s">
        <v>10</v>
      </c>
      <c r="D204" s="3" t="s">
        <v>33</v>
      </c>
      <c r="E204" s="3">
        <v>41</v>
      </c>
      <c r="F204" s="5">
        <v>5</v>
      </c>
      <c r="G204" s="8"/>
    </row>
    <row r="205" spans="1:7" x14ac:dyDescent="0.25">
      <c r="A205" s="4">
        <v>42025</v>
      </c>
      <c r="B205" s="3" t="s">
        <v>32</v>
      </c>
      <c r="C205" s="3" t="s">
        <v>10</v>
      </c>
      <c r="D205" s="3" t="s">
        <v>35</v>
      </c>
      <c r="E205" s="3">
        <v>42</v>
      </c>
      <c r="F205" s="5">
        <v>4</v>
      </c>
      <c r="G205" s="8"/>
    </row>
    <row r="206" spans="1:7" x14ac:dyDescent="0.25">
      <c r="A206" s="4">
        <v>42122</v>
      </c>
      <c r="B206" s="3" t="s">
        <v>39</v>
      </c>
      <c r="C206" s="3" t="s">
        <v>2</v>
      </c>
      <c r="D206" s="3" t="s">
        <v>36</v>
      </c>
      <c r="E206" s="3">
        <v>3</v>
      </c>
      <c r="F206" s="5">
        <v>1.5</v>
      </c>
      <c r="G206" s="8"/>
    </row>
    <row r="207" spans="1:7" x14ac:dyDescent="0.25">
      <c r="A207" s="4">
        <v>42014</v>
      </c>
      <c r="B207" s="3" t="s">
        <v>37</v>
      </c>
      <c r="C207" s="3" t="s">
        <v>5</v>
      </c>
      <c r="D207" s="3" t="s">
        <v>31</v>
      </c>
      <c r="E207" s="3">
        <v>28</v>
      </c>
      <c r="F207" s="5">
        <v>2.5</v>
      </c>
      <c r="G207" s="8"/>
    </row>
    <row r="208" spans="1:7" x14ac:dyDescent="0.25">
      <c r="A208" s="4">
        <v>42054</v>
      </c>
      <c r="B208" s="3" t="s">
        <v>37</v>
      </c>
      <c r="C208" s="3" t="s">
        <v>19</v>
      </c>
      <c r="D208" s="3" t="s">
        <v>28</v>
      </c>
      <c r="E208" s="3">
        <v>1</v>
      </c>
      <c r="F208" s="5">
        <v>2</v>
      </c>
      <c r="G208" s="8"/>
    </row>
    <row r="209" spans="1:7" x14ac:dyDescent="0.25">
      <c r="A209" s="4">
        <v>42060</v>
      </c>
      <c r="B209" s="3" t="s">
        <v>38</v>
      </c>
      <c r="C209" s="3" t="s">
        <v>6</v>
      </c>
      <c r="D209" s="3" t="s">
        <v>27</v>
      </c>
      <c r="E209" s="3">
        <v>14</v>
      </c>
      <c r="F209" s="5">
        <v>0.5</v>
      </c>
      <c r="G209" s="8"/>
    </row>
    <row r="210" spans="1:7" x14ac:dyDescent="0.25">
      <c r="A210" s="4">
        <v>42154</v>
      </c>
      <c r="B210" s="3" t="s">
        <v>38</v>
      </c>
      <c r="C210" s="3" t="s">
        <v>5</v>
      </c>
      <c r="D210" s="3" t="s">
        <v>35</v>
      </c>
      <c r="E210" s="3">
        <v>32</v>
      </c>
      <c r="F210" s="5">
        <v>4</v>
      </c>
      <c r="G210" s="8"/>
    </row>
    <row r="211" spans="1:7" x14ac:dyDescent="0.25">
      <c r="A211" s="4">
        <v>42152</v>
      </c>
      <c r="B211" s="3" t="s">
        <v>37</v>
      </c>
      <c r="C211" s="3" t="s">
        <v>10</v>
      </c>
      <c r="D211" s="3" t="s">
        <v>36</v>
      </c>
      <c r="E211" s="3">
        <v>11</v>
      </c>
      <c r="F211" s="5">
        <v>1.5</v>
      </c>
      <c r="G211" s="8"/>
    </row>
    <row r="212" spans="1:7" x14ac:dyDescent="0.25">
      <c r="A212" s="4">
        <v>42009</v>
      </c>
      <c r="B212" s="3" t="s">
        <v>32</v>
      </c>
      <c r="C212" s="3" t="s">
        <v>2</v>
      </c>
      <c r="D212" s="3" t="s">
        <v>35</v>
      </c>
      <c r="E212" s="3">
        <v>19</v>
      </c>
      <c r="F212" s="5">
        <v>4</v>
      </c>
      <c r="G212" s="8"/>
    </row>
    <row r="213" spans="1:7" x14ac:dyDescent="0.25">
      <c r="A213" s="4">
        <v>42176</v>
      </c>
      <c r="B213" s="3" t="s">
        <v>32</v>
      </c>
      <c r="C213" s="3" t="s">
        <v>10</v>
      </c>
      <c r="D213" s="3" t="s">
        <v>28</v>
      </c>
      <c r="E213" s="3">
        <v>4</v>
      </c>
      <c r="F213" s="5">
        <v>2</v>
      </c>
      <c r="G213" s="8"/>
    </row>
    <row r="214" spans="1:7" x14ac:dyDescent="0.25">
      <c r="A214" s="4">
        <v>42111</v>
      </c>
      <c r="B214" s="3" t="s">
        <v>39</v>
      </c>
      <c r="C214" s="3" t="s">
        <v>6</v>
      </c>
      <c r="D214" s="3" t="s">
        <v>34</v>
      </c>
      <c r="E214" s="3">
        <v>32</v>
      </c>
      <c r="F214" s="5">
        <v>0.2</v>
      </c>
      <c r="G214" s="8"/>
    </row>
    <row r="215" spans="1:7" x14ac:dyDescent="0.25">
      <c r="A215" s="4">
        <v>42093</v>
      </c>
      <c r="B215" s="3" t="s">
        <v>39</v>
      </c>
      <c r="C215" s="3" t="s">
        <v>10</v>
      </c>
      <c r="D215" s="3" t="s">
        <v>28</v>
      </c>
      <c r="E215" s="3">
        <v>29</v>
      </c>
      <c r="F215" s="5">
        <v>2</v>
      </c>
      <c r="G215" s="8"/>
    </row>
    <row r="216" spans="1:7" x14ac:dyDescent="0.25">
      <c r="A216" s="4">
        <v>42005</v>
      </c>
      <c r="B216" s="3" t="s">
        <v>37</v>
      </c>
      <c r="C216" s="3" t="s">
        <v>5</v>
      </c>
      <c r="D216" s="3" t="s">
        <v>35</v>
      </c>
      <c r="E216" s="3">
        <v>40</v>
      </c>
      <c r="F216" s="5">
        <v>4</v>
      </c>
      <c r="G216" s="8"/>
    </row>
    <row r="217" spans="1:7" x14ac:dyDescent="0.25">
      <c r="A217" s="4">
        <v>42008</v>
      </c>
      <c r="B217" s="3" t="s">
        <v>37</v>
      </c>
      <c r="C217" s="3" t="s">
        <v>6</v>
      </c>
      <c r="D217" s="3" t="s">
        <v>33</v>
      </c>
      <c r="E217" s="3">
        <v>38</v>
      </c>
      <c r="F217" s="5">
        <v>5</v>
      </c>
      <c r="G217" s="8"/>
    </row>
    <row r="218" spans="1:7" x14ac:dyDescent="0.25">
      <c r="A218" s="4">
        <v>42151</v>
      </c>
      <c r="B218" s="3" t="s">
        <v>32</v>
      </c>
      <c r="C218" s="3" t="s">
        <v>19</v>
      </c>
      <c r="D218" s="3" t="s">
        <v>33</v>
      </c>
      <c r="E218" s="3">
        <v>13</v>
      </c>
      <c r="F218" s="5">
        <v>5</v>
      </c>
      <c r="G218" s="8"/>
    </row>
    <row r="219" spans="1:7" x14ac:dyDescent="0.25">
      <c r="A219" s="4">
        <v>42026</v>
      </c>
      <c r="B219" s="3" t="s">
        <v>32</v>
      </c>
      <c r="C219" s="3" t="s">
        <v>2</v>
      </c>
      <c r="D219" s="3" t="s">
        <v>34</v>
      </c>
      <c r="E219" s="3">
        <v>19</v>
      </c>
      <c r="F219" s="5">
        <v>0.2</v>
      </c>
      <c r="G219" s="8"/>
    </row>
    <row r="220" spans="1:7" x14ac:dyDescent="0.25">
      <c r="A220" s="4">
        <v>42028</v>
      </c>
      <c r="B220" s="3" t="s">
        <v>37</v>
      </c>
      <c r="C220" s="3" t="s">
        <v>5</v>
      </c>
      <c r="D220" s="3" t="s">
        <v>28</v>
      </c>
      <c r="E220" s="3">
        <v>2</v>
      </c>
      <c r="F220" s="5">
        <v>2</v>
      </c>
      <c r="G220" s="8"/>
    </row>
    <row r="221" spans="1:7" x14ac:dyDescent="0.25">
      <c r="A221" s="4">
        <v>42105</v>
      </c>
      <c r="B221" s="3" t="s">
        <v>32</v>
      </c>
      <c r="C221" s="3" t="s">
        <v>10</v>
      </c>
      <c r="D221" s="3" t="s">
        <v>27</v>
      </c>
      <c r="E221" s="3">
        <v>46</v>
      </c>
      <c r="F221" s="5">
        <v>0.5</v>
      </c>
      <c r="G221" s="8"/>
    </row>
    <row r="222" spans="1:7" x14ac:dyDescent="0.25">
      <c r="A222" s="4">
        <v>42038</v>
      </c>
      <c r="B222" s="3" t="s">
        <v>32</v>
      </c>
      <c r="C222" s="3" t="s">
        <v>5</v>
      </c>
      <c r="D222" s="3" t="s">
        <v>35</v>
      </c>
      <c r="E222" s="3">
        <v>41</v>
      </c>
      <c r="F222" s="5">
        <v>4</v>
      </c>
      <c r="G222" s="8"/>
    </row>
    <row r="223" spans="1:7" x14ac:dyDescent="0.25">
      <c r="A223" s="4">
        <v>42014</v>
      </c>
      <c r="B223" s="3" t="s">
        <v>38</v>
      </c>
      <c r="C223" s="3" t="s">
        <v>10</v>
      </c>
      <c r="D223" s="3" t="s">
        <v>36</v>
      </c>
      <c r="E223" s="3">
        <v>11</v>
      </c>
      <c r="F223" s="5">
        <v>1.5</v>
      </c>
      <c r="G223" s="8"/>
    </row>
    <row r="224" spans="1:7" x14ac:dyDescent="0.25">
      <c r="A224" s="4">
        <v>42005</v>
      </c>
      <c r="B224" s="3" t="s">
        <v>38</v>
      </c>
      <c r="C224" s="3" t="s">
        <v>10</v>
      </c>
      <c r="D224" s="3" t="s">
        <v>34</v>
      </c>
      <c r="E224" s="3">
        <v>21</v>
      </c>
      <c r="F224" s="5">
        <v>0.2</v>
      </c>
      <c r="G224" s="8"/>
    </row>
    <row r="225" spans="1:7" x14ac:dyDescent="0.25">
      <c r="A225" s="4">
        <v>42117</v>
      </c>
      <c r="B225" s="3" t="s">
        <v>32</v>
      </c>
      <c r="C225" s="3" t="s">
        <v>6</v>
      </c>
      <c r="D225" s="3" t="s">
        <v>31</v>
      </c>
      <c r="E225" s="3">
        <v>8</v>
      </c>
      <c r="F225" s="5">
        <v>2.5</v>
      </c>
      <c r="G225" s="8"/>
    </row>
    <row r="226" spans="1:7" x14ac:dyDescent="0.25">
      <c r="A226" s="4">
        <v>42048</v>
      </c>
      <c r="B226" s="3" t="s">
        <v>26</v>
      </c>
      <c r="C226" s="3" t="s">
        <v>19</v>
      </c>
      <c r="D226" s="3" t="s">
        <v>35</v>
      </c>
      <c r="E226" s="3">
        <v>15</v>
      </c>
      <c r="F226" s="5">
        <v>4</v>
      </c>
      <c r="G226" s="8"/>
    </row>
    <row r="227" spans="1:7" x14ac:dyDescent="0.25">
      <c r="A227" s="4">
        <v>42152</v>
      </c>
      <c r="B227" s="3" t="s">
        <v>37</v>
      </c>
      <c r="C227" s="3" t="s">
        <v>2</v>
      </c>
      <c r="D227" s="3" t="s">
        <v>30</v>
      </c>
      <c r="E227" s="3">
        <v>15</v>
      </c>
      <c r="F227" s="5">
        <v>0.1</v>
      </c>
      <c r="G227" s="8"/>
    </row>
    <row r="228" spans="1:7" x14ac:dyDescent="0.25">
      <c r="A228" s="4">
        <v>42055</v>
      </c>
      <c r="B228" s="3" t="s">
        <v>38</v>
      </c>
      <c r="C228" s="3" t="s">
        <v>19</v>
      </c>
      <c r="D228" s="3" t="s">
        <v>28</v>
      </c>
      <c r="E228" s="3">
        <v>14</v>
      </c>
      <c r="F228" s="5">
        <v>2</v>
      </c>
      <c r="G228" s="8"/>
    </row>
    <row r="229" spans="1:7" x14ac:dyDescent="0.25">
      <c r="A229" s="4">
        <v>42016</v>
      </c>
      <c r="B229" s="3" t="s">
        <v>38</v>
      </c>
      <c r="C229" s="3" t="s">
        <v>6</v>
      </c>
      <c r="D229" s="3" t="s">
        <v>35</v>
      </c>
      <c r="E229" s="3">
        <v>49</v>
      </c>
      <c r="F229" s="5">
        <v>4</v>
      </c>
      <c r="G229" s="8"/>
    </row>
    <row r="230" spans="1:7" x14ac:dyDescent="0.25">
      <c r="A230" s="4">
        <v>42075</v>
      </c>
      <c r="B230" s="3" t="s">
        <v>37</v>
      </c>
      <c r="C230" s="3" t="s">
        <v>2</v>
      </c>
      <c r="D230" s="3" t="s">
        <v>31</v>
      </c>
      <c r="E230" s="3">
        <v>5</v>
      </c>
      <c r="F230" s="5">
        <v>2.5</v>
      </c>
      <c r="G230" s="8"/>
    </row>
    <row r="231" spans="1:7" x14ac:dyDescent="0.25">
      <c r="A231" s="4">
        <v>42128</v>
      </c>
      <c r="B231" s="3" t="s">
        <v>39</v>
      </c>
      <c r="C231" s="3" t="s">
        <v>6</v>
      </c>
      <c r="D231" s="3" t="s">
        <v>34</v>
      </c>
      <c r="E231" s="3">
        <v>19</v>
      </c>
      <c r="F231" s="5">
        <v>0.2</v>
      </c>
      <c r="G231" s="8"/>
    </row>
    <row r="232" spans="1:7" x14ac:dyDescent="0.25">
      <c r="A232" s="4">
        <v>42122</v>
      </c>
      <c r="B232" s="3" t="s">
        <v>32</v>
      </c>
      <c r="C232" s="3" t="s">
        <v>10</v>
      </c>
      <c r="D232" s="3" t="s">
        <v>34</v>
      </c>
      <c r="E232" s="3">
        <v>22</v>
      </c>
      <c r="F232" s="5">
        <v>0.2</v>
      </c>
      <c r="G232" s="8"/>
    </row>
    <row r="233" spans="1:7" x14ac:dyDescent="0.25">
      <c r="A233" s="4">
        <v>42151</v>
      </c>
      <c r="B233" s="3" t="s">
        <v>37</v>
      </c>
      <c r="C233" s="3" t="s">
        <v>19</v>
      </c>
      <c r="D233" s="3" t="s">
        <v>31</v>
      </c>
      <c r="E233" s="3">
        <v>28</v>
      </c>
      <c r="F233" s="5">
        <v>2.5</v>
      </c>
      <c r="G233" s="8"/>
    </row>
    <row r="234" spans="1:7" x14ac:dyDescent="0.25">
      <c r="A234" s="4">
        <v>42020</v>
      </c>
      <c r="B234" s="3" t="s">
        <v>37</v>
      </c>
      <c r="C234" s="3" t="s">
        <v>2</v>
      </c>
      <c r="D234" s="3" t="s">
        <v>28</v>
      </c>
      <c r="E234" s="3">
        <v>26</v>
      </c>
      <c r="F234" s="5">
        <v>2</v>
      </c>
      <c r="G234" s="8"/>
    </row>
    <row r="235" spans="1:7" x14ac:dyDescent="0.25">
      <c r="A235" s="4">
        <v>42087</v>
      </c>
      <c r="B235" s="3" t="s">
        <v>39</v>
      </c>
      <c r="C235" s="3" t="s">
        <v>6</v>
      </c>
      <c r="D235" s="3" t="s">
        <v>33</v>
      </c>
      <c r="E235" s="3">
        <v>23</v>
      </c>
      <c r="F235" s="5">
        <v>5</v>
      </c>
      <c r="G235" s="8"/>
    </row>
    <row r="236" spans="1:7" x14ac:dyDescent="0.25">
      <c r="A236" s="4">
        <v>42030</v>
      </c>
      <c r="B236" s="3" t="s">
        <v>39</v>
      </c>
      <c r="C236" s="3" t="s">
        <v>10</v>
      </c>
      <c r="D236" s="3" t="s">
        <v>34</v>
      </c>
      <c r="E236" s="3">
        <v>39</v>
      </c>
      <c r="F236" s="5">
        <v>0.2</v>
      </c>
      <c r="G236" s="8"/>
    </row>
    <row r="237" spans="1:7" x14ac:dyDescent="0.25">
      <c r="A237" s="4">
        <v>42104</v>
      </c>
      <c r="B237" s="3" t="s">
        <v>29</v>
      </c>
      <c r="C237" s="3" t="s">
        <v>19</v>
      </c>
      <c r="D237" s="3" t="s">
        <v>27</v>
      </c>
      <c r="E237" s="3">
        <v>14</v>
      </c>
      <c r="F237" s="5">
        <v>0.5</v>
      </c>
      <c r="G237" s="8"/>
    </row>
    <row r="238" spans="1:7" x14ac:dyDescent="0.25">
      <c r="A238" s="4">
        <v>42137</v>
      </c>
      <c r="B238" s="3" t="s">
        <v>26</v>
      </c>
      <c r="C238" s="3" t="s">
        <v>2</v>
      </c>
      <c r="D238" s="3" t="s">
        <v>28</v>
      </c>
      <c r="E238" s="3">
        <v>35</v>
      </c>
      <c r="F238" s="5">
        <v>2</v>
      </c>
      <c r="G238" s="8"/>
    </row>
    <row r="239" spans="1:7" x14ac:dyDescent="0.25">
      <c r="A239" s="4">
        <v>42149</v>
      </c>
      <c r="B239" s="3" t="s">
        <v>37</v>
      </c>
      <c r="C239" s="3" t="s">
        <v>19</v>
      </c>
      <c r="D239" s="3" t="s">
        <v>28</v>
      </c>
      <c r="E239" s="3">
        <v>26</v>
      </c>
      <c r="F239" s="5">
        <v>2</v>
      </c>
      <c r="G239" s="8"/>
    </row>
    <row r="240" spans="1:7" x14ac:dyDescent="0.25">
      <c r="A240" s="4">
        <v>42108</v>
      </c>
      <c r="B240" s="3" t="s">
        <v>37</v>
      </c>
      <c r="C240" s="3" t="s">
        <v>10</v>
      </c>
      <c r="D240" s="3" t="s">
        <v>34</v>
      </c>
      <c r="E240" s="3">
        <v>26</v>
      </c>
      <c r="F240" s="5">
        <v>0.2</v>
      </c>
      <c r="G240" s="8"/>
    </row>
    <row r="241" spans="1:7" x14ac:dyDescent="0.25">
      <c r="A241" s="4">
        <v>42183</v>
      </c>
      <c r="B241" s="3" t="s">
        <v>32</v>
      </c>
      <c r="C241" s="3" t="s">
        <v>6</v>
      </c>
      <c r="D241" s="3" t="s">
        <v>28</v>
      </c>
      <c r="E241" s="3">
        <v>50</v>
      </c>
      <c r="F241" s="5">
        <v>2</v>
      </c>
      <c r="G241" s="8"/>
    </row>
    <row r="242" spans="1:7" x14ac:dyDescent="0.25">
      <c r="A242" s="4">
        <v>42064</v>
      </c>
      <c r="B242" s="3" t="s">
        <v>29</v>
      </c>
      <c r="C242" s="3" t="s">
        <v>6</v>
      </c>
      <c r="D242" s="3" t="s">
        <v>28</v>
      </c>
      <c r="E242" s="3">
        <v>17</v>
      </c>
      <c r="F242" s="5">
        <v>2</v>
      </c>
      <c r="G242" s="8"/>
    </row>
    <row r="243" spans="1:7" x14ac:dyDescent="0.25">
      <c r="A243" s="4">
        <v>42041</v>
      </c>
      <c r="B243" s="3" t="s">
        <v>37</v>
      </c>
      <c r="C243" s="3" t="s">
        <v>5</v>
      </c>
      <c r="D243" s="3" t="s">
        <v>35</v>
      </c>
      <c r="E243" s="3">
        <v>41</v>
      </c>
      <c r="F243" s="5">
        <v>4</v>
      </c>
      <c r="G243" s="8"/>
    </row>
    <row r="244" spans="1:7" x14ac:dyDescent="0.25">
      <c r="A244" s="4">
        <v>42161</v>
      </c>
      <c r="B244" s="3" t="s">
        <v>38</v>
      </c>
      <c r="C244" s="3" t="s">
        <v>19</v>
      </c>
      <c r="D244" s="3" t="s">
        <v>31</v>
      </c>
      <c r="E244" s="3">
        <v>21</v>
      </c>
      <c r="F244" s="5">
        <v>2.5</v>
      </c>
      <c r="G244" s="8"/>
    </row>
    <row r="245" spans="1:7" x14ac:dyDescent="0.25">
      <c r="A245" s="4">
        <v>42079</v>
      </c>
      <c r="B245" s="3" t="s">
        <v>32</v>
      </c>
      <c r="C245" s="3" t="s">
        <v>5</v>
      </c>
      <c r="D245" s="3" t="s">
        <v>30</v>
      </c>
      <c r="E245" s="3">
        <v>45</v>
      </c>
      <c r="F245" s="5">
        <v>0.1</v>
      </c>
      <c r="G245" s="8"/>
    </row>
    <row r="246" spans="1:7" x14ac:dyDescent="0.25">
      <c r="A246" s="4">
        <v>42008</v>
      </c>
      <c r="B246" s="3" t="s">
        <v>39</v>
      </c>
      <c r="C246" s="3" t="s">
        <v>6</v>
      </c>
      <c r="D246" s="3" t="s">
        <v>35</v>
      </c>
      <c r="E246" s="3">
        <v>38</v>
      </c>
      <c r="F246" s="5">
        <v>4</v>
      </c>
      <c r="G246" s="8"/>
    </row>
    <row r="247" spans="1:7" x14ac:dyDescent="0.25">
      <c r="A247" s="4">
        <v>42055</v>
      </c>
      <c r="B247" s="3" t="s">
        <v>29</v>
      </c>
      <c r="C247" s="3" t="s">
        <v>2</v>
      </c>
      <c r="D247" s="3" t="s">
        <v>35</v>
      </c>
      <c r="E247" s="3">
        <v>44</v>
      </c>
      <c r="F247" s="5">
        <v>4</v>
      </c>
      <c r="G247" s="8"/>
    </row>
    <row r="248" spans="1:7" x14ac:dyDescent="0.25">
      <c r="A248" s="4">
        <v>42010</v>
      </c>
      <c r="B248" s="3" t="s">
        <v>26</v>
      </c>
      <c r="C248" s="3" t="s">
        <v>5</v>
      </c>
      <c r="D248" s="3" t="s">
        <v>33</v>
      </c>
      <c r="E248" s="3">
        <v>43</v>
      </c>
      <c r="F248" s="5">
        <v>5</v>
      </c>
      <c r="G248" s="8"/>
    </row>
    <row r="249" spans="1:7" x14ac:dyDescent="0.25">
      <c r="A249" s="4">
        <v>42109</v>
      </c>
      <c r="B249" s="3" t="s">
        <v>38</v>
      </c>
      <c r="C249" s="3" t="s">
        <v>19</v>
      </c>
      <c r="D249" s="3" t="s">
        <v>34</v>
      </c>
      <c r="E249" s="3">
        <v>10</v>
      </c>
      <c r="F249" s="5">
        <v>0.2</v>
      </c>
      <c r="G249" s="8"/>
    </row>
    <row r="250" spans="1:7" x14ac:dyDescent="0.25">
      <c r="A250" s="4">
        <v>42057</v>
      </c>
      <c r="B250" s="3" t="s">
        <v>39</v>
      </c>
      <c r="C250" s="3" t="s">
        <v>2</v>
      </c>
      <c r="D250" s="3" t="s">
        <v>28</v>
      </c>
      <c r="E250" s="3">
        <v>30</v>
      </c>
      <c r="F250" s="5">
        <v>2</v>
      </c>
      <c r="G250" s="8"/>
    </row>
    <row r="251" spans="1:7" x14ac:dyDescent="0.25">
      <c r="A251" s="4">
        <v>42131</v>
      </c>
      <c r="B251" s="3" t="s">
        <v>39</v>
      </c>
      <c r="C251" s="3" t="s">
        <v>2</v>
      </c>
      <c r="D251" s="3" t="s">
        <v>30</v>
      </c>
      <c r="E251" s="3">
        <v>22</v>
      </c>
      <c r="F251" s="5">
        <v>0.1</v>
      </c>
      <c r="G251" s="8"/>
    </row>
    <row r="252" spans="1:7" x14ac:dyDescent="0.25">
      <c r="A252" s="4">
        <v>42025</v>
      </c>
      <c r="B252" s="3" t="s">
        <v>29</v>
      </c>
      <c r="C252" s="3" t="s">
        <v>6</v>
      </c>
      <c r="D252" s="3" t="s">
        <v>36</v>
      </c>
      <c r="E252" s="3">
        <v>39</v>
      </c>
      <c r="F252" s="5">
        <v>1.5</v>
      </c>
      <c r="G252" s="8"/>
    </row>
    <row r="253" spans="1:7" x14ac:dyDescent="0.25">
      <c r="A253" s="4">
        <v>42084</v>
      </c>
      <c r="B253" s="3" t="s">
        <v>29</v>
      </c>
      <c r="C253" s="3" t="s">
        <v>2</v>
      </c>
      <c r="D253" s="3" t="s">
        <v>30</v>
      </c>
      <c r="E253" s="3">
        <v>45</v>
      </c>
      <c r="F253" s="5">
        <v>0.1</v>
      </c>
      <c r="G253" s="8"/>
    </row>
    <row r="254" spans="1:7" x14ac:dyDescent="0.25">
      <c r="A254" s="4">
        <v>42146</v>
      </c>
      <c r="B254" s="3" t="s">
        <v>39</v>
      </c>
      <c r="C254" s="3" t="s">
        <v>2</v>
      </c>
      <c r="D254" s="3" t="s">
        <v>35</v>
      </c>
      <c r="E254" s="3">
        <v>24</v>
      </c>
      <c r="F254" s="5">
        <v>4</v>
      </c>
      <c r="G254" s="8"/>
    </row>
    <row r="255" spans="1:7" x14ac:dyDescent="0.25">
      <c r="A255" s="4">
        <v>42119</v>
      </c>
      <c r="B255" s="3" t="s">
        <v>26</v>
      </c>
      <c r="C255" s="3" t="s">
        <v>10</v>
      </c>
      <c r="D255" s="3" t="s">
        <v>28</v>
      </c>
      <c r="E255" s="3">
        <v>1</v>
      </c>
      <c r="F255" s="5">
        <v>2</v>
      </c>
      <c r="G255" s="8"/>
    </row>
    <row r="256" spans="1:7" x14ac:dyDescent="0.25">
      <c r="A256" s="4">
        <v>42009</v>
      </c>
      <c r="B256" s="3" t="s">
        <v>38</v>
      </c>
      <c r="C256" s="3" t="s">
        <v>6</v>
      </c>
      <c r="D256" s="3" t="s">
        <v>34</v>
      </c>
      <c r="E256" s="3">
        <v>49</v>
      </c>
      <c r="F256" s="5">
        <v>0.2</v>
      </c>
      <c r="G256" s="8"/>
    </row>
    <row r="257" spans="1:7" x14ac:dyDescent="0.25">
      <c r="A257" s="4">
        <v>42177</v>
      </c>
      <c r="B257" s="3" t="s">
        <v>26</v>
      </c>
      <c r="C257" s="3" t="s">
        <v>5</v>
      </c>
      <c r="D257" s="3" t="s">
        <v>36</v>
      </c>
      <c r="E257" s="3">
        <v>32</v>
      </c>
      <c r="F257" s="5">
        <v>1.5</v>
      </c>
      <c r="G257" s="8"/>
    </row>
    <row r="258" spans="1:7" x14ac:dyDescent="0.25">
      <c r="A258" s="4">
        <v>42083</v>
      </c>
      <c r="B258" s="3" t="s">
        <v>32</v>
      </c>
      <c r="C258" s="3" t="s">
        <v>10</v>
      </c>
      <c r="D258" s="3" t="s">
        <v>27</v>
      </c>
      <c r="E258" s="3">
        <v>17</v>
      </c>
      <c r="F258" s="5">
        <v>0.5</v>
      </c>
      <c r="G258" s="8"/>
    </row>
    <row r="259" spans="1:7" x14ac:dyDescent="0.25">
      <c r="A259" s="4">
        <v>42095</v>
      </c>
      <c r="B259" s="3" t="s">
        <v>38</v>
      </c>
      <c r="C259" s="3" t="s">
        <v>10</v>
      </c>
      <c r="D259" s="3" t="s">
        <v>35</v>
      </c>
      <c r="E259" s="3">
        <v>9</v>
      </c>
      <c r="F259" s="5">
        <v>4</v>
      </c>
      <c r="G259" s="8"/>
    </row>
    <row r="260" spans="1:7" x14ac:dyDescent="0.25">
      <c r="A260" s="4">
        <v>42025</v>
      </c>
      <c r="B260" s="3" t="s">
        <v>38</v>
      </c>
      <c r="C260" s="3" t="s">
        <v>19</v>
      </c>
      <c r="D260" s="3" t="s">
        <v>35</v>
      </c>
      <c r="E260" s="3">
        <v>23</v>
      </c>
      <c r="F260" s="5">
        <v>4</v>
      </c>
      <c r="G260" s="8"/>
    </row>
    <row r="261" spans="1:7" x14ac:dyDescent="0.25">
      <c r="A261" s="4">
        <v>42086</v>
      </c>
      <c r="B261" s="3" t="s">
        <v>29</v>
      </c>
      <c r="C261" s="3" t="s">
        <v>2</v>
      </c>
      <c r="D261" s="3" t="s">
        <v>35</v>
      </c>
      <c r="E261" s="3">
        <v>49</v>
      </c>
      <c r="F261" s="5">
        <v>4</v>
      </c>
      <c r="G261" s="8"/>
    </row>
    <row r="262" spans="1:7" x14ac:dyDescent="0.25">
      <c r="A262" s="4">
        <v>42077</v>
      </c>
      <c r="B262" s="3" t="s">
        <v>32</v>
      </c>
      <c r="C262" s="3" t="s">
        <v>19</v>
      </c>
      <c r="D262" s="3" t="s">
        <v>31</v>
      </c>
      <c r="E262" s="3">
        <v>25</v>
      </c>
      <c r="F262" s="5">
        <v>2.5</v>
      </c>
      <c r="G262" s="8"/>
    </row>
    <row r="263" spans="1:7" x14ac:dyDescent="0.25">
      <c r="A263" s="4">
        <v>42059</v>
      </c>
      <c r="B263" s="3" t="s">
        <v>32</v>
      </c>
      <c r="C263" s="3" t="s">
        <v>19</v>
      </c>
      <c r="D263" s="3" t="s">
        <v>31</v>
      </c>
      <c r="E263" s="3">
        <v>11</v>
      </c>
      <c r="F263" s="5">
        <v>2.5</v>
      </c>
      <c r="G263" s="8"/>
    </row>
    <row r="264" spans="1:7" x14ac:dyDescent="0.25">
      <c r="A264" s="4">
        <v>42033</v>
      </c>
      <c r="B264" s="3" t="s">
        <v>37</v>
      </c>
      <c r="C264" s="3" t="s">
        <v>2</v>
      </c>
      <c r="D264" s="3" t="s">
        <v>34</v>
      </c>
      <c r="E264" s="3">
        <v>18</v>
      </c>
      <c r="F264" s="5">
        <v>0.2</v>
      </c>
      <c r="G264" s="8"/>
    </row>
    <row r="265" spans="1:7" x14ac:dyDescent="0.25">
      <c r="A265" s="4">
        <v>42063</v>
      </c>
      <c r="B265" s="3" t="s">
        <v>39</v>
      </c>
      <c r="C265" s="3" t="s">
        <v>10</v>
      </c>
      <c r="D265" s="3" t="s">
        <v>33</v>
      </c>
      <c r="E265" s="3">
        <v>40</v>
      </c>
      <c r="F265" s="5">
        <v>5</v>
      </c>
      <c r="G265" s="8"/>
    </row>
    <row r="266" spans="1:7" x14ac:dyDescent="0.25">
      <c r="A266" s="4">
        <v>42063</v>
      </c>
      <c r="B266" s="3" t="s">
        <v>38</v>
      </c>
      <c r="C266" s="3" t="s">
        <v>6</v>
      </c>
      <c r="D266" s="3" t="s">
        <v>30</v>
      </c>
      <c r="E266" s="3">
        <v>3</v>
      </c>
      <c r="F266" s="5">
        <v>0.1</v>
      </c>
      <c r="G266" s="8"/>
    </row>
    <row r="267" spans="1:7" x14ac:dyDescent="0.25">
      <c r="A267" s="4">
        <v>42122</v>
      </c>
      <c r="B267" s="3" t="s">
        <v>26</v>
      </c>
      <c r="C267" s="3" t="s">
        <v>2</v>
      </c>
      <c r="D267" s="3" t="s">
        <v>27</v>
      </c>
      <c r="E267" s="3">
        <v>17</v>
      </c>
      <c r="F267" s="5">
        <v>0.5</v>
      </c>
      <c r="G267" s="8"/>
    </row>
    <row r="268" spans="1:7" x14ac:dyDescent="0.25">
      <c r="A268" s="4">
        <v>42118</v>
      </c>
      <c r="B268" s="3" t="s">
        <v>37</v>
      </c>
      <c r="C268" s="3" t="s">
        <v>10</v>
      </c>
      <c r="D268" s="3" t="s">
        <v>31</v>
      </c>
      <c r="E268" s="3">
        <v>9</v>
      </c>
      <c r="F268" s="5">
        <v>2.5</v>
      </c>
      <c r="G268" s="8"/>
    </row>
    <row r="269" spans="1:7" x14ac:dyDescent="0.25">
      <c r="A269" s="4">
        <v>42177</v>
      </c>
      <c r="B269" s="3" t="s">
        <v>29</v>
      </c>
      <c r="C269" s="3" t="s">
        <v>10</v>
      </c>
      <c r="D269" s="3" t="s">
        <v>30</v>
      </c>
      <c r="E269" s="3">
        <v>34</v>
      </c>
      <c r="F269" s="5">
        <v>0.1</v>
      </c>
      <c r="G269" s="8"/>
    </row>
    <row r="270" spans="1:7" x14ac:dyDescent="0.25">
      <c r="A270" s="4">
        <v>42053</v>
      </c>
      <c r="B270" s="3" t="s">
        <v>32</v>
      </c>
      <c r="C270" s="3" t="s">
        <v>10</v>
      </c>
      <c r="D270" s="3" t="s">
        <v>28</v>
      </c>
      <c r="E270" s="3">
        <v>22</v>
      </c>
      <c r="F270" s="5">
        <v>2</v>
      </c>
      <c r="G270" s="8"/>
    </row>
    <row r="271" spans="1:7" x14ac:dyDescent="0.25">
      <c r="A271" s="4">
        <v>42030</v>
      </c>
      <c r="B271" s="3" t="s">
        <v>38</v>
      </c>
      <c r="C271" s="3" t="s">
        <v>2</v>
      </c>
      <c r="D271" s="3" t="s">
        <v>31</v>
      </c>
      <c r="E271" s="3">
        <v>28</v>
      </c>
      <c r="F271" s="5">
        <v>2.5</v>
      </c>
      <c r="G271" s="8"/>
    </row>
    <row r="272" spans="1:7" x14ac:dyDescent="0.25">
      <c r="A272" s="4">
        <v>42090</v>
      </c>
      <c r="B272" s="3" t="s">
        <v>32</v>
      </c>
      <c r="C272" s="3" t="s">
        <v>2</v>
      </c>
      <c r="D272" s="3" t="s">
        <v>31</v>
      </c>
      <c r="E272" s="3">
        <v>21</v>
      </c>
      <c r="F272" s="5">
        <v>2.5</v>
      </c>
      <c r="G272" s="8"/>
    </row>
    <row r="273" spans="1:7" x14ac:dyDescent="0.25">
      <c r="A273" s="4">
        <v>42158</v>
      </c>
      <c r="B273" s="3" t="s">
        <v>29</v>
      </c>
      <c r="C273" s="3" t="s">
        <v>10</v>
      </c>
      <c r="D273" s="3" t="s">
        <v>30</v>
      </c>
      <c r="E273" s="3">
        <v>45</v>
      </c>
      <c r="F273" s="5">
        <v>0.1</v>
      </c>
      <c r="G273" s="8"/>
    </row>
    <row r="274" spans="1:7" x14ac:dyDescent="0.25">
      <c r="A274" s="4">
        <v>42185</v>
      </c>
      <c r="B274" s="3" t="s">
        <v>29</v>
      </c>
      <c r="C274" s="3" t="s">
        <v>2</v>
      </c>
      <c r="D274" s="3" t="s">
        <v>33</v>
      </c>
      <c r="E274" s="3">
        <v>17</v>
      </c>
      <c r="F274" s="5">
        <v>5</v>
      </c>
      <c r="G274" s="8"/>
    </row>
    <row r="275" spans="1:7" x14ac:dyDescent="0.25">
      <c r="A275" s="4">
        <v>42079</v>
      </c>
      <c r="B275" s="3" t="s">
        <v>38</v>
      </c>
      <c r="C275" s="3" t="s">
        <v>5</v>
      </c>
      <c r="D275" s="3" t="s">
        <v>28</v>
      </c>
      <c r="E275" s="3">
        <v>44</v>
      </c>
      <c r="F275" s="5">
        <v>2</v>
      </c>
      <c r="G275" s="8"/>
    </row>
    <row r="276" spans="1:7" x14ac:dyDescent="0.25">
      <c r="A276" s="4">
        <v>42078</v>
      </c>
      <c r="B276" s="3" t="s">
        <v>29</v>
      </c>
      <c r="C276" s="3" t="s">
        <v>19</v>
      </c>
      <c r="D276" s="3" t="s">
        <v>33</v>
      </c>
      <c r="E276" s="3">
        <v>20</v>
      </c>
      <c r="F276" s="5">
        <v>5</v>
      </c>
      <c r="G276" s="8"/>
    </row>
    <row r="277" spans="1:7" x14ac:dyDescent="0.25">
      <c r="A277" s="4">
        <v>42170</v>
      </c>
      <c r="B277" s="3" t="s">
        <v>39</v>
      </c>
      <c r="C277" s="3" t="s">
        <v>10</v>
      </c>
      <c r="D277" s="3" t="s">
        <v>36</v>
      </c>
      <c r="E277" s="3">
        <v>29</v>
      </c>
      <c r="F277" s="5">
        <v>1.5</v>
      </c>
      <c r="G277" s="8"/>
    </row>
    <row r="278" spans="1:7" x14ac:dyDescent="0.25">
      <c r="A278" s="4">
        <v>42027</v>
      </c>
      <c r="B278" s="3" t="s">
        <v>26</v>
      </c>
      <c r="C278" s="3" t="s">
        <v>10</v>
      </c>
      <c r="D278" s="3" t="s">
        <v>36</v>
      </c>
      <c r="E278" s="3">
        <v>13</v>
      </c>
      <c r="F278" s="5">
        <v>1.5</v>
      </c>
      <c r="G278" s="8"/>
    </row>
    <row r="279" spans="1:7" x14ac:dyDescent="0.25">
      <c r="A279" s="4">
        <v>42038</v>
      </c>
      <c r="B279" s="3" t="s">
        <v>37</v>
      </c>
      <c r="C279" s="3" t="s">
        <v>19</v>
      </c>
      <c r="D279" s="3" t="s">
        <v>33</v>
      </c>
      <c r="E279" s="3">
        <v>45</v>
      </c>
      <c r="F279" s="5">
        <v>5</v>
      </c>
      <c r="G279" s="8"/>
    </row>
    <row r="280" spans="1:7" x14ac:dyDescent="0.25">
      <c r="A280" s="4">
        <v>42066</v>
      </c>
      <c r="B280" s="3" t="s">
        <v>29</v>
      </c>
      <c r="C280" s="3" t="s">
        <v>2</v>
      </c>
      <c r="D280" s="3" t="s">
        <v>36</v>
      </c>
      <c r="E280" s="3">
        <v>40</v>
      </c>
      <c r="F280" s="5">
        <v>1.5</v>
      </c>
      <c r="G280" s="8"/>
    </row>
    <row r="281" spans="1:7" x14ac:dyDescent="0.25">
      <c r="A281" s="4">
        <v>42069</v>
      </c>
      <c r="B281" s="3" t="s">
        <v>29</v>
      </c>
      <c r="C281" s="3" t="s">
        <v>5</v>
      </c>
      <c r="D281" s="3" t="s">
        <v>31</v>
      </c>
      <c r="E281" s="3">
        <v>10</v>
      </c>
      <c r="F281" s="5">
        <v>2.5</v>
      </c>
      <c r="G281" s="8"/>
    </row>
    <row r="282" spans="1:7" x14ac:dyDescent="0.25">
      <c r="A282" s="4">
        <v>42131</v>
      </c>
      <c r="B282" s="3" t="s">
        <v>29</v>
      </c>
      <c r="C282" s="3" t="s">
        <v>5</v>
      </c>
      <c r="D282" s="3" t="s">
        <v>36</v>
      </c>
      <c r="E282" s="3">
        <v>40</v>
      </c>
      <c r="F282" s="5">
        <v>1.5</v>
      </c>
      <c r="G282" s="8"/>
    </row>
    <row r="283" spans="1:7" x14ac:dyDescent="0.25">
      <c r="A283" s="4">
        <v>42164</v>
      </c>
      <c r="B283" s="3" t="s">
        <v>26</v>
      </c>
      <c r="C283" s="3" t="s">
        <v>10</v>
      </c>
      <c r="D283" s="3" t="s">
        <v>34</v>
      </c>
      <c r="E283" s="3">
        <v>24</v>
      </c>
      <c r="F283" s="5">
        <v>0.2</v>
      </c>
      <c r="G283" s="8"/>
    </row>
    <row r="284" spans="1:7" x14ac:dyDescent="0.25">
      <c r="A284" s="4">
        <v>42013</v>
      </c>
      <c r="B284" s="3" t="s">
        <v>38</v>
      </c>
      <c r="C284" s="3" t="s">
        <v>6</v>
      </c>
      <c r="D284" s="3" t="s">
        <v>35</v>
      </c>
      <c r="E284" s="3">
        <v>5</v>
      </c>
      <c r="F284" s="5">
        <v>4</v>
      </c>
      <c r="G284" s="8"/>
    </row>
    <row r="285" spans="1:7" x14ac:dyDescent="0.25">
      <c r="A285" s="4">
        <v>42106</v>
      </c>
      <c r="B285" s="3" t="s">
        <v>29</v>
      </c>
      <c r="C285" s="3" t="s">
        <v>19</v>
      </c>
      <c r="D285" s="3" t="s">
        <v>35</v>
      </c>
      <c r="E285" s="3">
        <v>47</v>
      </c>
      <c r="F285" s="5">
        <v>4</v>
      </c>
      <c r="G285" s="8"/>
    </row>
    <row r="286" spans="1:7" x14ac:dyDescent="0.25">
      <c r="A286" s="4">
        <v>42126</v>
      </c>
      <c r="B286" s="3" t="s">
        <v>38</v>
      </c>
      <c r="C286" s="3" t="s">
        <v>2</v>
      </c>
      <c r="D286" s="3" t="s">
        <v>31</v>
      </c>
      <c r="E286" s="3">
        <v>47</v>
      </c>
      <c r="F286" s="5">
        <v>2.5</v>
      </c>
      <c r="G286" s="8"/>
    </row>
    <row r="287" spans="1:7" x14ac:dyDescent="0.25">
      <c r="A287" s="4">
        <v>42157</v>
      </c>
      <c r="B287" s="3" t="s">
        <v>32</v>
      </c>
      <c r="C287" s="3" t="s">
        <v>6</v>
      </c>
      <c r="D287" s="3" t="s">
        <v>36</v>
      </c>
      <c r="E287" s="3">
        <v>27</v>
      </c>
      <c r="F287" s="5">
        <v>1.5</v>
      </c>
      <c r="G287" s="8"/>
    </row>
    <row r="288" spans="1:7" x14ac:dyDescent="0.25">
      <c r="A288" s="4">
        <v>42128</v>
      </c>
      <c r="B288" s="3" t="s">
        <v>26</v>
      </c>
      <c r="C288" s="3" t="s">
        <v>5</v>
      </c>
      <c r="D288" s="3" t="s">
        <v>36</v>
      </c>
      <c r="E288" s="3">
        <v>8</v>
      </c>
      <c r="F288" s="5">
        <v>1.5</v>
      </c>
      <c r="G288" s="8"/>
    </row>
    <row r="289" spans="1:7" x14ac:dyDescent="0.25">
      <c r="A289" s="4">
        <v>42010</v>
      </c>
      <c r="B289" s="3" t="s">
        <v>29</v>
      </c>
      <c r="C289" s="3" t="s">
        <v>19</v>
      </c>
      <c r="D289" s="3" t="s">
        <v>31</v>
      </c>
      <c r="E289" s="3">
        <v>45</v>
      </c>
      <c r="F289" s="5">
        <v>2.5</v>
      </c>
      <c r="G289" s="8"/>
    </row>
    <row r="290" spans="1:7" x14ac:dyDescent="0.25">
      <c r="A290" s="4">
        <v>42046</v>
      </c>
      <c r="B290" s="3" t="s">
        <v>32</v>
      </c>
      <c r="C290" s="3" t="s">
        <v>19</v>
      </c>
      <c r="D290" s="3" t="s">
        <v>28</v>
      </c>
      <c r="E290" s="3">
        <v>8</v>
      </c>
      <c r="F290" s="5">
        <v>2</v>
      </c>
      <c r="G290" s="8"/>
    </row>
    <row r="291" spans="1:7" x14ac:dyDescent="0.25">
      <c r="A291" s="4">
        <v>42128</v>
      </c>
      <c r="B291" s="3" t="s">
        <v>26</v>
      </c>
      <c r="C291" s="3" t="s">
        <v>10</v>
      </c>
      <c r="D291" s="3" t="s">
        <v>36</v>
      </c>
      <c r="E291" s="3">
        <v>41</v>
      </c>
      <c r="F291" s="5">
        <v>1.5</v>
      </c>
      <c r="G291" s="8"/>
    </row>
    <row r="292" spans="1:7" x14ac:dyDescent="0.25">
      <c r="A292" s="4">
        <v>42104</v>
      </c>
      <c r="B292" s="3" t="s">
        <v>32</v>
      </c>
      <c r="C292" s="3" t="s">
        <v>19</v>
      </c>
      <c r="D292" s="3" t="s">
        <v>31</v>
      </c>
      <c r="E292" s="3">
        <v>43</v>
      </c>
      <c r="F292" s="5">
        <v>2.5</v>
      </c>
      <c r="G292" s="8"/>
    </row>
    <row r="293" spans="1:7" x14ac:dyDescent="0.25">
      <c r="A293" s="4">
        <v>42170</v>
      </c>
      <c r="B293" s="3" t="s">
        <v>26</v>
      </c>
      <c r="C293" s="3" t="s">
        <v>19</v>
      </c>
      <c r="D293" s="3" t="s">
        <v>28</v>
      </c>
      <c r="E293" s="3">
        <v>3</v>
      </c>
      <c r="F293" s="5">
        <v>2</v>
      </c>
      <c r="G293" s="8"/>
    </row>
    <row r="294" spans="1:7" x14ac:dyDescent="0.25">
      <c r="A294" s="4">
        <v>42179</v>
      </c>
      <c r="B294" s="3" t="s">
        <v>39</v>
      </c>
      <c r="C294" s="3" t="s">
        <v>6</v>
      </c>
      <c r="D294" s="3" t="s">
        <v>34</v>
      </c>
      <c r="E294" s="3">
        <v>10</v>
      </c>
      <c r="F294" s="5">
        <v>0.2</v>
      </c>
      <c r="G294" s="8"/>
    </row>
    <row r="295" spans="1:7" x14ac:dyDescent="0.25">
      <c r="A295" s="4">
        <v>42098</v>
      </c>
      <c r="B295" s="3" t="s">
        <v>37</v>
      </c>
      <c r="C295" s="3" t="s">
        <v>19</v>
      </c>
      <c r="D295" s="3" t="s">
        <v>36</v>
      </c>
      <c r="E295" s="3">
        <v>33</v>
      </c>
      <c r="F295" s="5">
        <v>1.5</v>
      </c>
      <c r="G295" s="8"/>
    </row>
    <row r="296" spans="1:7" x14ac:dyDescent="0.25">
      <c r="A296" s="4">
        <v>42011</v>
      </c>
      <c r="B296" s="3" t="s">
        <v>32</v>
      </c>
      <c r="C296" s="3" t="s">
        <v>10</v>
      </c>
      <c r="D296" s="3" t="s">
        <v>36</v>
      </c>
      <c r="E296" s="3">
        <v>30</v>
      </c>
      <c r="F296" s="5">
        <v>1.5</v>
      </c>
      <c r="G296" s="8"/>
    </row>
    <row r="297" spans="1:7" x14ac:dyDescent="0.25">
      <c r="A297" s="4">
        <v>42153</v>
      </c>
      <c r="B297" s="3" t="s">
        <v>26</v>
      </c>
      <c r="C297" s="3" t="s">
        <v>5</v>
      </c>
      <c r="D297" s="3" t="s">
        <v>31</v>
      </c>
      <c r="E297" s="3">
        <v>50</v>
      </c>
      <c r="F297" s="5">
        <v>2.5</v>
      </c>
      <c r="G297" s="8"/>
    </row>
    <row r="298" spans="1:7" x14ac:dyDescent="0.25">
      <c r="A298" s="4">
        <v>42040</v>
      </c>
      <c r="B298" s="3" t="s">
        <v>37</v>
      </c>
      <c r="C298" s="3" t="s">
        <v>19</v>
      </c>
      <c r="D298" s="3" t="s">
        <v>28</v>
      </c>
      <c r="E298" s="3">
        <v>24</v>
      </c>
      <c r="F298" s="5">
        <v>2</v>
      </c>
      <c r="G298" s="8"/>
    </row>
    <row r="299" spans="1:7" x14ac:dyDescent="0.25">
      <c r="A299" s="4">
        <v>42089</v>
      </c>
      <c r="B299" s="3" t="s">
        <v>38</v>
      </c>
      <c r="C299" s="3" t="s">
        <v>2</v>
      </c>
      <c r="D299" s="3" t="s">
        <v>27</v>
      </c>
      <c r="E299" s="3">
        <v>19</v>
      </c>
      <c r="F299" s="5">
        <v>0.5</v>
      </c>
      <c r="G299" s="8"/>
    </row>
    <row r="300" spans="1:7" x14ac:dyDescent="0.25">
      <c r="A300" s="4">
        <v>42054</v>
      </c>
      <c r="B300" s="3" t="s">
        <v>37</v>
      </c>
      <c r="C300" s="3" t="s">
        <v>19</v>
      </c>
      <c r="D300" s="3" t="s">
        <v>35</v>
      </c>
      <c r="E300" s="3">
        <v>44</v>
      </c>
      <c r="F300" s="5">
        <v>4</v>
      </c>
      <c r="G300" s="8"/>
    </row>
    <row r="301" spans="1:7" x14ac:dyDescent="0.25">
      <c r="A301" s="4">
        <v>42028</v>
      </c>
      <c r="B301" s="3" t="s">
        <v>29</v>
      </c>
      <c r="C301" s="3" t="s">
        <v>10</v>
      </c>
      <c r="D301" s="3" t="s">
        <v>27</v>
      </c>
      <c r="E301" s="3">
        <v>33</v>
      </c>
      <c r="F301" s="5">
        <v>0.5</v>
      </c>
      <c r="G301" s="8"/>
    </row>
    <row r="302" spans="1:7" x14ac:dyDescent="0.25">
      <c r="A302" s="4">
        <v>42009</v>
      </c>
      <c r="B302" s="3" t="s">
        <v>38</v>
      </c>
      <c r="C302" s="3" t="s">
        <v>2</v>
      </c>
      <c r="D302" s="3" t="s">
        <v>35</v>
      </c>
      <c r="E302" s="3">
        <v>45</v>
      </c>
      <c r="F302" s="5">
        <v>4</v>
      </c>
      <c r="G302" s="8"/>
    </row>
    <row r="303" spans="1:7" x14ac:dyDescent="0.25">
      <c r="A303" s="4">
        <v>42077</v>
      </c>
      <c r="B303" s="3" t="s">
        <v>38</v>
      </c>
      <c r="C303" s="3" t="s">
        <v>10</v>
      </c>
      <c r="D303" s="3" t="s">
        <v>35</v>
      </c>
      <c r="E303" s="3">
        <v>48</v>
      </c>
      <c r="F303" s="5">
        <v>4</v>
      </c>
      <c r="G303" s="8"/>
    </row>
    <row r="304" spans="1:7" x14ac:dyDescent="0.25">
      <c r="A304" s="4">
        <v>42161</v>
      </c>
      <c r="B304" s="3" t="s">
        <v>38</v>
      </c>
      <c r="C304" s="3" t="s">
        <v>6</v>
      </c>
      <c r="D304" s="3" t="s">
        <v>30</v>
      </c>
      <c r="E304" s="3">
        <v>25</v>
      </c>
      <c r="F304" s="5">
        <v>0.1</v>
      </c>
      <c r="G304" s="8"/>
    </row>
    <row r="305" spans="1:7" x14ac:dyDescent="0.25">
      <c r="A305" s="4">
        <v>42168</v>
      </c>
      <c r="B305" s="3" t="s">
        <v>32</v>
      </c>
      <c r="C305" s="3" t="s">
        <v>2</v>
      </c>
      <c r="D305" s="3" t="s">
        <v>28</v>
      </c>
      <c r="E305" s="3">
        <v>39</v>
      </c>
      <c r="F305" s="5">
        <v>2</v>
      </c>
      <c r="G305" s="8"/>
    </row>
    <row r="306" spans="1:7" x14ac:dyDescent="0.25">
      <c r="A306" s="4">
        <v>42053</v>
      </c>
      <c r="B306" s="3" t="s">
        <v>39</v>
      </c>
      <c r="C306" s="3" t="s">
        <v>5</v>
      </c>
      <c r="D306" s="3" t="s">
        <v>30</v>
      </c>
      <c r="E306" s="3">
        <v>38</v>
      </c>
      <c r="F306" s="5">
        <v>0.1</v>
      </c>
      <c r="G306" s="8"/>
    </row>
    <row r="307" spans="1:7" x14ac:dyDescent="0.25">
      <c r="A307" s="4">
        <v>42028</v>
      </c>
      <c r="B307" s="3" t="s">
        <v>38</v>
      </c>
      <c r="C307" s="3" t="s">
        <v>5</v>
      </c>
      <c r="D307" s="3" t="s">
        <v>33</v>
      </c>
      <c r="E307" s="3">
        <v>24</v>
      </c>
      <c r="F307" s="5">
        <v>5</v>
      </c>
      <c r="G307" s="8"/>
    </row>
    <row r="308" spans="1:7" x14ac:dyDescent="0.25">
      <c r="A308" s="4">
        <v>42091</v>
      </c>
      <c r="B308" s="3" t="s">
        <v>26</v>
      </c>
      <c r="C308" s="3" t="s">
        <v>6</v>
      </c>
      <c r="D308" s="3" t="s">
        <v>30</v>
      </c>
      <c r="E308" s="3">
        <v>27</v>
      </c>
      <c r="F308" s="5">
        <v>0.1</v>
      </c>
      <c r="G308" s="8"/>
    </row>
    <row r="309" spans="1:7" x14ac:dyDescent="0.25">
      <c r="A309" s="4">
        <v>42102</v>
      </c>
      <c r="B309" s="3" t="s">
        <v>39</v>
      </c>
      <c r="C309" s="3" t="s">
        <v>6</v>
      </c>
      <c r="D309" s="3" t="s">
        <v>28</v>
      </c>
      <c r="E309" s="3">
        <v>27</v>
      </c>
      <c r="F309" s="5">
        <v>2</v>
      </c>
      <c r="G309" s="8"/>
    </row>
    <row r="310" spans="1:7" x14ac:dyDescent="0.25">
      <c r="A310" s="4">
        <v>42032</v>
      </c>
      <c r="B310" s="3" t="s">
        <v>38</v>
      </c>
      <c r="C310" s="3" t="s">
        <v>2</v>
      </c>
      <c r="D310" s="3" t="s">
        <v>33</v>
      </c>
      <c r="E310" s="3">
        <v>5</v>
      </c>
      <c r="F310" s="5">
        <v>5</v>
      </c>
      <c r="G310" s="8"/>
    </row>
    <row r="311" spans="1:7" x14ac:dyDescent="0.25">
      <c r="A311" s="4">
        <v>42096</v>
      </c>
      <c r="B311" s="3" t="s">
        <v>38</v>
      </c>
      <c r="C311" s="3" t="s">
        <v>5</v>
      </c>
      <c r="D311" s="3" t="s">
        <v>33</v>
      </c>
      <c r="E311" s="3">
        <v>10</v>
      </c>
      <c r="F311" s="5">
        <v>5</v>
      </c>
      <c r="G311" s="8"/>
    </row>
    <row r="312" spans="1:7" x14ac:dyDescent="0.25">
      <c r="A312" s="4">
        <v>42005</v>
      </c>
      <c r="B312" s="3" t="s">
        <v>29</v>
      </c>
      <c r="C312" s="3" t="s">
        <v>10</v>
      </c>
      <c r="D312" s="3" t="s">
        <v>33</v>
      </c>
      <c r="E312" s="3">
        <v>12</v>
      </c>
      <c r="F312" s="5">
        <v>5</v>
      </c>
      <c r="G312" s="8"/>
    </row>
    <row r="313" spans="1:7" x14ac:dyDescent="0.25">
      <c r="A313" s="4">
        <v>42071</v>
      </c>
      <c r="B313" s="3" t="s">
        <v>37</v>
      </c>
      <c r="C313" s="3" t="s">
        <v>6</v>
      </c>
      <c r="D313" s="3" t="s">
        <v>36</v>
      </c>
      <c r="E313" s="3">
        <v>10</v>
      </c>
      <c r="F313" s="5">
        <v>1.5</v>
      </c>
      <c r="G313" s="8"/>
    </row>
    <row r="314" spans="1:7" x14ac:dyDescent="0.25">
      <c r="A314" s="4">
        <v>42086</v>
      </c>
      <c r="B314" s="3" t="s">
        <v>37</v>
      </c>
      <c r="C314" s="3" t="s">
        <v>5</v>
      </c>
      <c r="D314" s="3" t="s">
        <v>36</v>
      </c>
      <c r="E314" s="3">
        <v>34</v>
      </c>
      <c r="F314" s="5">
        <v>1.5</v>
      </c>
      <c r="G314" s="8"/>
    </row>
    <row r="315" spans="1:7" x14ac:dyDescent="0.25">
      <c r="A315" s="4">
        <v>42175</v>
      </c>
      <c r="B315" s="3" t="s">
        <v>26</v>
      </c>
      <c r="C315" s="3" t="s">
        <v>6</v>
      </c>
      <c r="D315" s="3" t="s">
        <v>31</v>
      </c>
      <c r="E315" s="3">
        <v>1</v>
      </c>
      <c r="F315" s="5">
        <v>2.5</v>
      </c>
      <c r="G315" s="8"/>
    </row>
    <row r="316" spans="1:7" x14ac:dyDescent="0.25">
      <c r="A316" s="4">
        <v>42080</v>
      </c>
      <c r="B316" s="3" t="s">
        <v>29</v>
      </c>
      <c r="C316" s="3" t="s">
        <v>6</v>
      </c>
      <c r="D316" s="3" t="s">
        <v>30</v>
      </c>
      <c r="E316" s="3">
        <v>48</v>
      </c>
      <c r="F316" s="5">
        <v>0.1</v>
      </c>
      <c r="G316" s="8"/>
    </row>
    <row r="317" spans="1:7" x14ac:dyDescent="0.25">
      <c r="A317" s="4">
        <v>42166</v>
      </c>
      <c r="B317" s="3" t="s">
        <v>26</v>
      </c>
      <c r="C317" s="3" t="s">
        <v>19</v>
      </c>
      <c r="D317" s="3" t="s">
        <v>33</v>
      </c>
      <c r="E317" s="3">
        <v>26</v>
      </c>
      <c r="F317" s="5">
        <v>5</v>
      </c>
      <c r="G317" s="8"/>
    </row>
    <row r="318" spans="1:7" x14ac:dyDescent="0.25">
      <c r="A318" s="4">
        <v>42151</v>
      </c>
      <c r="B318" s="3" t="s">
        <v>32</v>
      </c>
      <c r="C318" s="3" t="s">
        <v>10</v>
      </c>
      <c r="D318" s="3" t="s">
        <v>28</v>
      </c>
      <c r="E318" s="3">
        <v>48</v>
      </c>
      <c r="F318" s="5">
        <v>2</v>
      </c>
      <c r="G318" s="8"/>
    </row>
    <row r="319" spans="1:7" x14ac:dyDescent="0.25">
      <c r="A319" s="4">
        <v>42157</v>
      </c>
      <c r="B319" s="3" t="s">
        <v>38</v>
      </c>
      <c r="C319" s="3" t="s">
        <v>19</v>
      </c>
      <c r="D319" s="3" t="s">
        <v>35</v>
      </c>
      <c r="E319" s="3">
        <v>6</v>
      </c>
      <c r="F319" s="5">
        <v>4</v>
      </c>
      <c r="G319" s="8"/>
    </row>
    <row r="320" spans="1:7" x14ac:dyDescent="0.25">
      <c r="A320" s="4">
        <v>42107</v>
      </c>
      <c r="B320" s="3" t="s">
        <v>26</v>
      </c>
      <c r="C320" s="3" t="s">
        <v>19</v>
      </c>
      <c r="D320" s="3" t="s">
        <v>35</v>
      </c>
      <c r="E320" s="3">
        <v>50</v>
      </c>
      <c r="F320" s="5">
        <v>4</v>
      </c>
      <c r="G320" s="8"/>
    </row>
    <row r="321" spans="1:7" x14ac:dyDescent="0.25">
      <c r="A321" s="4">
        <v>42149</v>
      </c>
      <c r="B321" s="3" t="s">
        <v>37</v>
      </c>
      <c r="C321" s="3" t="s">
        <v>19</v>
      </c>
      <c r="D321" s="3" t="s">
        <v>30</v>
      </c>
      <c r="E321" s="3">
        <v>14</v>
      </c>
      <c r="F321" s="5">
        <v>0.1</v>
      </c>
      <c r="G321" s="8"/>
    </row>
    <row r="322" spans="1:7" x14ac:dyDescent="0.25">
      <c r="A322" s="4">
        <v>42060</v>
      </c>
      <c r="B322" s="3" t="s">
        <v>37</v>
      </c>
      <c r="C322" s="3" t="s">
        <v>10</v>
      </c>
      <c r="D322" s="3" t="s">
        <v>33</v>
      </c>
      <c r="E322" s="3">
        <v>39</v>
      </c>
      <c r="F322" s="5">
        <v>5</v>
      </c>
      <c r="G322" s="8"/>
    </row>
    <row r="323" spans="1:7" x14ac:dyDescent="0.25">
      <c r="A323" s="4">
        <v>42136</v>
      </c>
      <c r="B323" s="3" t="s">
        <v>37</v>
      </c>
      <c r="C323" s="3" t="s">
        <v>5</v>
      </c>
      <c r="D323" s="3" t="s">
        <v>28</v>
      </c>
      <c r="E323" s="3">
        <v>5</v>
      </c>
      <c r="F323" s="5">
        <v>2</v>
      </c>
      <c r="G323" s="8"/>
    </row>
    <row r="324" spans="1:7" x14ac:dyDescent="0.25">
      <c r="A324" s="4">
        <v>42171</v>
      </c>
      <c r="B324" s="3" t="s">
        <v>26</v>
      </c>
      <c r="C324" s="3" t="s">
        <v>2</v>
      </c>
      <c r="D324" s="3" t="s">
        <v>31</v>
      </c>
      <c r="E324" s="3">
        <v>15</v>
      </c>
      <c r="F324" s="5">
        <v>2.5</v>
      </c>
      <c r="G324" s="8"/>
    </row>
    <row r="325" spans="1:7" x14ac:dyDescent="0.25">
      <c r="A325" s="4">
        <v>42101</v>
      </c>
      <c r="B325" s="3" t="s">
        <v>32</v>
      </c>
      <c r="C325" s="3" t="s">
        <v>2</v>
      </c>
      <c r="D325" s="3" t="s">
        <v>36</v>
      </c>
      <c r="E325" s="3">
        <v>26</v>
      </c>
      <c r="F325" s="5">
        <v>1.5</v>
      </c>
      <c r="G325" s="8"/>
    </row>
    <row r="326" spans="1:7" x14ac:dyDescent="0.25">
      <c r="A326" s="4">
        <v>42150</v>
      </c>
      <c r="B326" s="3" t="s">
        <v>32</v>
      </c>
      <c r="C326" s="3" t="s">
        <v>5</v>
      </c>
      <c r="D326" s="3" t="s">
        <v>30</v>
      </c>
      <c r="E326" s="3">
        <v>43</v>
      </c>
      <c r="F326" s="5">
        <v>0.1</v>
      </c>
      <c r="G326" s="8"/>
    </row>
    <row r="327" spans="1:7" x14ac:dyDescent="0.25">
      <c r="A327" s="4">
        <v>42046</v>
      </c>
      <c r="B327" s="3" t="s">
        <v>37</v>
      </c>
      <c r="C327" s="3" t="s">
        <v>19</v>
      </c>
      <c r="D327" s="3" t="s">
        <v>30</v>
      </c>
      <c r="E327" s="3">
        <v>29</v>
      </c>
      <c r="F327" s="5">
        <v>0.1</v>
      </c>
      <c r="G327" s="8"/>
    </row>
    <row r="328" spans="1:7" x14ac:dyDescent="0.25">
      <c r="A328" s="4">
        <v>42067</v>
      </c>
      <c r="B328" s="3" t="s">
        <v>39</v>
      </c>
      <c r="C328" s="3" t="s">
        <v>6</v>
      </c>
      <c r="D328" s="3" t="s">
        <v>36</v>
      </c>
      <c r="E328" s="3">
        <v>9</v>
      </c>
      <c r="F328" s="5">
        <v>1.5</v>
      </c>
      <c r="G328" s="8"/>
    </row>
    <row r="329" spans="1:7" x14ac:dyDescent="0.25">
      <c r="A329" s="4">
        <v>42166</v>
      </c>
      <c r="B329" s="3" t="s">
        <v>39</v>
      </c>
      <c r="C329" s="3" t="s">
        <v>6</v>
      </c>
      <c r="D329" s="3" t="s">
        <v>36</v>
      </c>
      <c r="E329" s="3">
        <v>13</v>
      </c>
      <c r="F329" s="5">
        <v>1.5</v>
      </c>
      <c r="G329" s="8"/>
    </row>
    <row r="330" spans="1:7" x14ac:dyDescent="0.25">
      <c r="A330" s="4">
        <v>42039</v>
      </c>
      <c r="B330" s="3" t="s">
        <v>38</v>
      </c>
      <c r="C330" s="3" t="s">
        <v>19</v>
      </c>
      <c r="D330" s="3" t="s">
        <v>30</v>
      </c>
      <c r="E330" s="3">
        <v>48</v>
      </c>
      <c r="F330" s="5">
        <v>0.1</v>
      </c>
      <c r="G330" s="8"/>
    </row>
    <row r="331" spans="1:7" x14ac:dyDescent="0.25">
      <c r="A331" s="4">
        <v>42174</v>
      </c>
      <c r="B331" s="3" t="s">
        <v>39</v>
      </c>
      <c r="C331" s="3" t="s">
        <v>5</v>
      </c>
      <c r="D331" s="3" t="s">
        <v>33</v>
      </c>
      <c r="E331" s="3">
        <v>5</v>
      </c>
      <c r="F331" s="5">
        <v>5</v>
      </c>
      <c r="G331" s="8"/>
    </row>
    <row r="332" spans="1:7" x14ac:dyDescent="0.25">
      <c r="A332" s="4">
        <v>42146</v>
      </c>
      <c r="B332" s="3" t="s">
        <v>32</v>
      </c>
      <c r="C332" s="3" t="s">
        <v>2</v>
      </c>
      <c r="D332" s="3" t="s">
        <v>30</v>
      </c>
      <c r="E332" s="3">
        <v>18</v>
      </c>
      <c r="F332" s="5">
        <v>0.1</v>
      </c>
      <c r="G332" s="8"/>
    </row>
    <row r="333" spans="1:7" x14ac:dyDescent="0.25">
      <c r="A333" s="4">
        <v>42182</v>
      </c>
      <c r="B333" s="3" t="s">
        <v>37</v>
      </c>
      <c r="C333" s="3" t="s">
        <v>19</v>
      </c>
      <c r="D333" s="3" t="s">
        <v>35</v>
      </c>
      <c r="E333" s="3">
        <v>9</v>
      </c>
      <c r="F333" s="5">
        <v>4</v>
      </c>
      <c r="G333" s="8"/>
    </row>
    <row r="334" spans="1:7" x14ac:dyDescent="0.25">
      <c r="A334" s="4">
        <v>42025</v>
      </c>
      <c r="B334" s="3" t="s">
        <v>32</v>
      </c>
      <c r="C334" s="3" t="s">
        <v>6</v>
      </c>
      <c r="D334" s="3" t="s">
        <v>35</v>
      </c>
      <c r="E334" s="3">
        <v>22</v>
      </c>
      <c r="F334" s="5">
        <v>4</v>
      </c>
      <c r="G334" s="8"/>
    </row>
    <row r="335" spans="1:7" x14ac:dyDescent="0.25">
      <c r="A335" s="4">
        <v>42019</v>
      </c>
      <c r="B335" s="3" t="s">
        <v>29</v>
      </c>
      <c r="C335" s="3" t="s">
        <v>5</v>
      </c>
      <c r="D335" s="3" t="s">
        <v>36</v>
      </c>
      <c r="E335" s="3">
        <v>23</v>
      </c>
      <c r="F335" s="5">
        <v>1.5</v>
      </c>
      <c r="G335" s="8"/>
    </row>
    <row r="336" spans="1:7" x14ac:dyDescent="0.25">
      <c r="A336" s="4">
        <v>42110</v>
      </c>
      <c r="B336" s="3" t="s">
        <v>32</v>
      </c>
      <c r="C336" s="3" t="s">
        <v>6</v>
      </c>
      <c r="D336" s="3" t="s">
        <v>36</v>
      </c>
      <c r="E336" s="3">
        <v>20</v>
      </c>
      <c r="F336" s="5">
        <v>1.5</v>
      </c>
      <c r="G336" s="8"/>
    </row>
    <row r="337" spans="1:7" x14ac:dyDescent="0.25">
      <c r="A337" s="4">
        <v>42081</v>
      </c>
      <c r="B337" s="3" t="s">
        <v>38</v>
      </c>
      <c r="C337" s="3" t="s">
        <v>19</v>
      </c>
      <c r="D337" s="3" t="s">
        <v>33</v>
      </c>
      <c r="E337" s="3">
        <v>45</v>
      </c>
      <c r="F337" s="5">
        <v>5</v>
      </c>
      <c r="G337" s="8"/>
    </row>
    <row r="338" spans="1:7" x14ac:dyDescent="0.25">
      <c r="A338" s="4">
        <v>42027</v>
      </c>
      <c r="B338" s="3" t="s">
        <v>37</v>
      </c>
      <c r="C338" s="3" t="s">
        <v>10</v>
      </c>
      <c r="D338" s="3" t="s">
        <v>28</v>
      </c>
      <c r="E338" s="3">
        <v>45</v>
      </c>
      <c r="F338" s="5">
        <v>2</v>
      </c>
      <c r="G338" s="8"/>
    </row>
    <row r="339" spans="1:7" x14ac:dyDescent="0.25">
      <c r="A339" s="4">
        <v>42115</v>
      </c>
      <c r="B339" s="3" t="s">
        <v>38</v>
      </c>
      <c r="C339" s="3" t="s">
        <v>10</v>
      </c>
      <c r="D339" s="3" t="s">
        <v>31</v>
      </c>
      <c r="E339" s="3">
        <v>36</v>
      </c>
      <c r="F339" s="5">
        <v>2.5</v>
      </c>
      <c r="G339" s="8"/>
    </row>
    <row r="340" spans="1:7" x14ac:dyDescent="0.25">
      <c r="A340" s="4">
        <v>42088</v>
      </c>
      <c r="B340" s="3" t="s">
        <v>38</v>
      </c>
      <c r="C340" s="3" t="s">
        <v>19</v>
      </c>
      <c r="D340" s="3" t="s">
        <v>28</v>
      </c>
      <c r="E340" s="3">
        <v>38</v>
      </c>
      <c r="F340" s="5">
        <v>2</v>
      </c>
      <c r="G340" s="8"/>
    </row>
    <row r="341" spans="1:7" x14ac:dyDescent="0.25">
      <c r="A341" s="4">
        <v>42105</v>
      </c>
      <c r="B341" s="3" t="s">
        <v>29</v>
      </c>
      <c r="C341" s="3" t="s">
        <v>6</v>
      </c>
      <c r="D341" s="3" t="s">
        <v>31</v>
      </c>
      <c r="E341" s="3">
        <v>50</v>
      </c>
      <c r="F341" s="5">
        <v>2.5</v>
      </c>
      <c r="G341" s="8"/>
    </row>
    <row r="342" spans="1:7" x14ac:dyDescent="0.25">
      <c r="A342" s="4">
        <v>42097</v>
      </c>
      <c r="B342" s="3" t="s">
        <v>32</v>
      </c>
      <c r="C342" s="3" t="s">
        <v>2</v>
      </c>
      <c r="D342" s="3" t="s">
        <v>28</v>
      </c>
      <c r="E342" s="3">
        <v>17</v>
      </c>
      <c r="F342" s="5">
        <v>2</v>
      </c>
      <c r="G342" s="8"/>
    </row>
    <row r="343" spans="1:7" x14ac:dyDescent="0.25">
      <c r="A343" s="4">
        <v>42100</v>
      </c>
      <c r="B343" s="3" t="s">
        <v>26</v>
      </c>
      <c r="C343" s="3" t="s">
        <v>19</v>
      </c>
      <c r="D343" s="3" t="s">
        <v>33</v>
      </c>
      <c r="E343" s="3">
        <v>13</v>
      </c>
      <c r="F343" s="5">
        <v>5</v>
      </c>
      <c r="G343" s="8"/>
    </row>
    <row r="344" spans="1:7" x14ac:dyDescent="0.25">
      <c r="A344" s="4">
        <v>42130</v>
      </c>
      <c r="B344" s="3" t="s">
        <v>37</v>
      </c>
      <c r="C344" s="3" t="s">
        <v>19</v>
      </c>
      <c r="D344" s="3" t="s">
        <v>35</v>
      </c>
      <c r="E344" s="3">
        <v>31</v>
      </c>
      <c r="F344" s="5">
        <v>4</v>
      </c>
      <c r="G344" s="8"/>
    </row>
    <row r="345" spans="1:7" x14ac:dyDescent="0.25">
      <c r="A345" s="4">
        <v>42095</v>
      </c>
      <c r="B345" s="3" t="s">
        <v>37</v>
      </c>
      <c r="C345" s="3" t="s">
        <v>19</v>
      </c>
      <c r="D345" s="3" t="s">
        <v>33</v>
      </c>
      <c r="E345" s="3">
        <v>14</v>
      </c>
      <c r="F345" s="5">
        <v>5</v>
      </c>
      <c r="G345" s="8"/>
    </row>
    <row r="346" spans="1:7" x14ac:dyDescent="0.25">
      <c r="A346" s="4">
        <v>42117</v>
      </c>
      <c r="B346" s="3" t="s">
        <v>39</v>
      </c>
      <c r="C346" s="3" t="s">
        <v>19</v>
      </c>
      <c r="D346" s="3" t="s">
        <v>30</v>
      </c>
      <c r="E346" s="3">
        <v>16</v>
      </c>
      <c r="F346" s="5">
        <v>0.1</v>
      </c>
      <c r="G346" s="8"/>
    </row>
    <row r="347" spans="1:7" x14ac:dyDescent="0.25">
      <c r="A347" s="4">
        <v>42019</v>
      </c>
      <c r="B347" s="3" t="s">
        <v>39</v>
      </c>
      <c r="C347" s="3" t="s">
        <v>19</v>
      </c>
      <c r="D347" s="3" t="s">
        <v>36</v>
      </c>
      <c r="E347" s="3">
        <v>42</v>
      </c>
      <c r="F347" s="5">
        <v>1.5</v>
      </c>
      <c r="G347" s="8"/>
    </row>
    <row r="348" spans="1:7" x14ac:dyDescent="0.25">
      <c r="A348" s="4">
        <v>42093</v>
      </c>
      <c r="B348" s="3" t="s">
        <v>32</v>
      </c>
      <c r="C348" s="3" t="s">
        <v>6</v>
      </c>
      <c r="D348" s="3" t="s">
        <v>35</v>
      </c>
      <c r="E348" s="3">
        <v>11</v>
      </c>
      <c r="F348" s="5">
        <v>4</v>
      </c>
      <c r="G348" s="8"/>
    </row>
    <row r="349" spans="1:7" x14ac:dyDescent="0.25">
      <c r="A349" s="4">
        <v>42110</v>
      </c>
      <c r="B349" s="3" t="s">
        <v>38</v>
      </c>
      <c r="C349" s="3" t="s">
        <v>2</v>
      </c>
      <c r="D349" s="3" t="s">
        <v>36</v>
      </c>
      <c r="E349" s="3">
        <v>36</v>
      </c>
      <c r="F349" s="5">
        <v>1.5</v>
      </c>
      <c r="G349" s="8"/>
    </row>
    <row r="350" spans="1:7" x14ac:dyDescent="0.25">
      <c r="A350" s="4">
        <v>42087</v>
      </c>
      <c r="B350" s="3" t="s">
        <v>37</v>
      </c>
      <c r="C350" s="3" t="s">
        <v>2</v>
      </c>
      <c r="D350" s="3" t="s">
        <v>34</v>
      </c>
      <c r="E350" s="3">
        <v>14</v>
      </c>
      <c r="F350" s="5">
        <v>0.2</v>
      </c>
      <c r="G350" s="8"/>
    </row>
    <row r="351" spans="1:7" x14ac:dyDescent="0.25">
      <c r="A351" s="4">
        <v>42138</v>
      </c>
      <c r="B351" s="3" t="s">
        <v>37</v>
      </c>
      <c r="C351" s="3" t="s">
        <v>19</v>
      </c>
      <c r="D351" s="3" t="s">
        <v>31</v>
      </c>
      <c r="E351" s="3">
        <v>4</v>
      </c>
      <c r="F351" s="5">
        <v>2.5</v>
      </c>
      <c r="G351" s="8"/>
    </row>
    <row r="352" spans="1:7" x14ac:dyDescent="0.25">
      <c r="A352" s="4">
        <v>42036</v>
      </c>
      <c r="B352" s="3" t="s">
        <v>26</v>
      </c>
      <c r="C352" s="3" t="s">
        <v>19</v>
      </c>
      <c r="D352" s="3" t="s">
        <v>31</v>
      </c>
      <c r="E352" s="3">
        <v>14</v>
      </c>
      <c r="F352" s="5">
        <v>2.5</v>
      </c>
      <c r="G352" s="8"/>
    </row>
    <row r="353" spans="1:7" x14ac:dyDescent="0.25">
      <c r="A353" s="4">
        <v>42084</v>
      </c>
      <c r="B353" s="3" t="s">
        <v>37</v>
      </c>
      <c r="C353" s="3" t="s">
        <v>19</v>
      </c>
      <c r="D353" s="3" t="s">
        <v>34</v>
      </c>
      <c r="E353" s="3">
        <v>20</v>
      </c>
      <c r="F353" s="5">
        <v>0.2</v>
      </c>
      <c r="G353" s="8"/>
    </row>
    <row r="354" spans="1:7" x14ac:dyDescent="0.25">
      <c r="A354" s="4">
        <v>42018</v>
      </c>
      <c r="B354" s="3" t="s">
        <v>39</v>
      </c>
      <c r="C354" s="3" t="s">
        <v>19</v>
      </c>
      <c r="D354" s="3" t="s">
        <v>34</v>
      </c>
      <c r="E354" s="3">
        <v>44</v>
      </c>
      <c r="F354" s="5">
        <v>0.2</v>
      </c>
      <c r="G354" s="8"/>
    </row>
    <row r="355" spans="1:7" x14ac:dyDescent="0.25">
      <c r="A355" s="4">
        <v>42117</v>
      </c>
      <c r="B355" s="3" t="s">
        <v>38</v>
      </c>
      <c r="C355" s="3" t="s">
        <v>5</v>
      </c>
      <c r="D355" s="3" t="s">
        <v>33</v>
      </c>
      <c r="E355" s="3">
        <v>50</v>
      </c>
      <c r="F355" s="5">
        <v>5</v>
      </c>
      <c r="G355" s="8"/>
    </row>
    <row r="356" spans="1:7" x14ac:dyDescent="0.25">
      <c r="A356" s="4">
        <v>42125</v>
      </c>
      <c r="B356" s="3" t="s">
        <v>32</v>
      </c>
      <c r="C356" s="3" t="s">
        <v>2</v>
      </c>
      <c r="D356" s="3" t="s">
        <v>34</v>
      </c>
      <c r="E356" s="3">
        <v>26</v>
      </c>
      <c r="F356" s="5">
        <v>0.2</v>
      </c>
      <c r="G356" s="8"/>
    </row>
    <row r="357" spans="1:7" x14ac:dyDescent="0.25">
      <c r="A357" s="4">
        <v>42155</v>
      </c>
      <c r="B357" s="3" t="s">
        <v>37</v>
      </c>
      <c r="C357" s="3" t="s">
        <v>19</v>
      </c>
      <c r="D357" s="3" t="s">
        <v>34</v>
      </c>
      <c r="E357" s="3">
        <v>49</v>
      </c>
      <c r="F357" s="5">
        <v>0.2</v>
      </c>
      <c r="G357" s="8"/>
    </row>
    <row r="358" spans="1:7" x14ac:dyDescent="0.25">
      <c r="A358" s="4">
        <v>42083</v>
      </c>
      <c r="B358" s="3" t="s">
        <v>38</v>
      </c>
      <c r="C358" s="3" t="s">
        <v>6</v>
      </c>
      <c r="D358" s="3" t="s">
        <v>27</v>
      </c>
      <c r="E358" s="3">
        <v>28</v>
      </c>
      <c r="F358" s="5">
        <v>0.5</v>
      </c>
      <c r="G358" s="8"/>
    </row>
    <row r="359" spans="1:7" x14ac:dyDescent="0.25">
      <c r="A359" s="4">
        <v>42185</v>
      </c>
      <c r="B359" s="3" t="s">
        <v>39</v>
      </c>
      <c r="C359" s="3" t="s">
        <v>2</v>
      </c>
      <c r="D359" s="3" t="s">
        <v>34</v>
      </c>
      <c r="E359" s="3">
        <v>28</v>
      </c>
      <c r="F359" s="5">
        <v>0.2</v>
      </c>
      <c r="G359" s="8"/>
    </row>
    <row r="360" spans="1:7" x14ac:dyDescent="0.25">
      <c r="A360" s="4">
        <v>42098</v>
      </c>
      <c r="B360" s="3" t="s">
        <v>32</v>
      </c>
      <c r="C360" s="3" t="s">
        <v>19</v>
      </c>
      <c r="D360" s="3" t="s">
        <v>27</v>
      </c>
      <c r="E360" s="3">
        <v>18</v>
      </c>
      <c r="F360" s="5">
        <v>0.5</v>
      </c>
      <c r="G360" s="8"/>
    </row>
    <row r="361" spans="1:7" x14ac:dyDescent="0.25">
      <c r="A361" s="4">
        <v>42056</v>
      </c>
      <c r="B361" s="3" t="s">
        <v>37</v>
      </c>
      <c r="C361" s="3" t="s">
        <v>19</v>
      </c>
      <c r="D361" s="3" t="s">
        <v>33</v>
      </c>
      <c r="E361" s="3">
        <v>8</v>
      </c>
      <c r="F361" s="5">
        <v>5</v>
      </c>
      <c r="G361" s="8"/>
    </row>
    <row r="362" spans="1:7" x14ac:dyDescent="0.25">
      <c r="A362" s="4">
        <v>42082</v>
      </c>
      <c r="B362" s="3" t="s">
        <v>37</v>
      </c>
      <c r="C362" s="3" t="s">
        <v>10</v>
      </c>
      <c r="D362" s="3" t="s">
        <v>33</v>
      </c>
      <c r="E362" s="3">
        <v>32</v>
      </c>
      <c r="F362" s="5">
        <v>5</v>
      </c>
      <c r="G362" s="8"/>
    </row>
    <row r="363" spans="1:7" x14ac:dyDescent="0.25">
      <c r="A363" s="4">
        <v>42144</v>
      </c>
      <c r="B363" s="3" t="s">
        <v>38</v>
      </c>
      <c r="C363" s="3" t="s">
        <v>19</v>
      </c>
      <c r="D363" s="3" t="s">
        <v>33</v>
      </c>
      <c r="E363" s="3">
        <v>37</v>
      </c>
      <c r="F363" s="5">
        <v>5</v>
      </c>
      <c r="G363" s="8"/>
    </row>
    <row r="364" spans="1:7" x14ac:dyDescent="0.25">
      <c r="A364" s="4">
        <v>42040</v>
      </c>
      <c r="B364" s="3" t="s">
        <v>37</v>
      </c>
      <c r="C364" s="3" t="s">
        <v>10</v>
      </c>
      <c r="D364" s="3" t="s">
        <v>36</v>
      </c>
      <c r="E364" s="3">
        <v>46</v>
      </c>
      <c r="F364" s="5">
        <v>1.5</v>
      </c>
      <c r="G364" s="8"/>
    </row>
    <row r="365" spans="1:7" x14ac:dyDescent="0.25">
      <c r="A365" s="4">
        <v>42173</v>
      </c>
      <c r="B365" s="3" t="s">
        <v>26</v>
      </c>
      <c r="C365" s="3" t="s">
        <v>19</v>
      </c>
      <c r="D365" s="3" t="s">
        <v>31</v>
      </c>
      <c r="E365" s="3">
        <v>40</v>
      </c>
      <c r="F365" s="5">
        <v>2.5</v>
      </c>
      <c r="G365" s="8"/>
    </row>
    <row r="366" spans="1:7" x14ac:dyDescent="0.25">
      <c r="A366" s="4">
        <v>42183</v>
      </c>
      <c r="B366" s="3" t="s">
        <v>26</v>
      </c>
      <c r="C366" s="3" t="s">
        <v>2</v>
      </c>
      <c r="D366" s="3" t="s">
        <v>28</v>
      </c>
      <c r="E366" s="3">
        <v>12</v>
      </c>
      <c r="F366" s="5">
        <v>2</v>
      </c>
      <c r="G366" s="8"/>
    </row>
    <row r="367" spans="1:7" x14ac:dyDescent="0.25">
      <c r="A367" s="4">
        <v>42089</v>
      </c>
      <c r="B367" s="3" t="s">
        <v>26</v>
      </c>
      <c r="C367" s="3" t="s">
        <v>5</v>
      </c>
      <c r="D367" s="3" t="s">
        <v>33</v>
      </c>
      <c r="E367" s="3">
        <v>37</v>
      </c>
      <c r="F367" s="5">
        <v>5</v>
      </c>
      <c r="G367" s="8"/>
    </row>
    <row r="368" spans="1:7" x14ac:dyDescent="0.25">
      <c r="A368" s="4">
        <v>42061</v>
      </c>
      <c r="B368" s="3" t="s">
        <v>38</v>
      </c>
      <c r="C368" s="3" t="s">
        <v>6</v>
      </c>
      <c r="D368" s="3" t="s">
        <v>35</v>
      </c>
      <c r="E368" s="3">
        <v>11</v>
      </c>
      <c r="F368" s="5">
        <v>4</v>
      </c>
      <c r="G368" s="8"/>
    </row>
    <row r="369" spans="1:7" x14ac:dyDescent="0.25">
      <c r="A369" s="4">
        <v>42157</v>
      </c>
      <c r="B369" s="3" t="s">
        <v>39</v>
      </c>
      <c r="C369" s="3" t="s">
        <v>10</v>
      </c>
      <c r="D369" s="3" t="s">
        <v>35</v>
      </c>
      <c r="E369" s="3">
        <v>31</v>
      </c>
      <c r="F369" s="5">
        <v>4</v>
      </c>
      <c r="G369" s="8"/>
    </row>
    <row r="370" spans="1:7" x14ac:dyDescent="0.25">
      <c r="A370" s="4">
        <v>42070</v>
      </c>
      <c r="B370" s="3" t="s">
        <v>26</v>
      </c>
      <c r="C370" s="3" t="s">
        <v>5</v>
      </c>
      <c r="D370" s="3" t="s">
        <v>27</v>
      </c>
      <c r="E370" s="3">
        <v>12</v>
      </c>
      <c r="F370" s="5">
        <v>0.5</v>
      </c>
      <c r="G370" s="8"/>
    </row>
    <row r="371" spans="1:7" x14ac:dyDescent="0.25">
      <c r="A371" s="4">
        <v>42104</v>
      </c>
      <c r="B371" s="3" t="s">
        <v>29</v>
      </c>
      <c r="C371" s="3" t="s">
        <v>19</v>
      </c>
      <c r="D371" s="3" t="s">
        <v>27</v>
      </c>
      <c r="E371" s="3">
        <v>24</v>
      </c>
      <c r="F371" s="5">
        <v>0.5</v>
      </c>
      <c r="G371" s="8"/>
    </row>
    <row r="372" spans="1:7" x14ac:dyDescent="0.25">
      <c r="A372" s="4">
        <v>42135</v>
      </c>
      <c r="B372" s="3" t="s">
        <v>37</v>
      </c>
      <c r="C372" s="3" t="s">
        <v>10</v>
      </c>
      <c r="D372" s="3" t="s">
        <v>34</v>
      </c>
      <c r="E372" s="3">
        <v>36</v>
      </c>
      <c r="F372" s="5">
        <v>0.2</v>
      </c>
      <c r="G372" s="8"/>
    </row>
    <row r="373" spans="1:7" x14ac:dyDescent="0.25">
      <c r="A373" s="4">
        <v>42174</v>
      </c>
      <c r="B373" s="3" t="s">
        <v>39</v>
      </c>
      <c r="C373" s="3" t="s">
        <v>6</v>
      </c>
      <c r="D373" s="3" t="s">
        <v>30</v>
      </c>
      <c r="E373" s="3">
        <v>40</v>
      </c>
      <c r="F373" s="5">
        <v>0.1</v>
      </c>
      <c r="G373" s="8"/>
    </row>
    <row r="374" spans="1:7" x14ac:dyDescent="0.25">
      <c r="A374" s="4">
        <v>42013</v>
      </c>
      <c r="B374" s="3" t="s">
        <v>38</v>
      </c>
      <c r="C374" s="3" t="s">
        <v>10</v>
      </c>
      <c r="D374" s="3" t="s">
        <v>33</v>
      </c>
      <c r="E374" s="3">
        <v>12</v>
      </c>
      <c r="F374" s="5">
        <v>5</v>
      </c>
      <c r="G374" s="8"/>
    </row>
    <row r="375" spans="1:7" x14ac:dyDescent="0.25">
      <c r="A375" s="4">
        <v>42079</v>
      </c>
      <c r="B375" s="3" t="s">
        <v>39</v>
      </c>
      <c r="C375" s="3" t="s">
        <v>2</v>
      </c>
      <c r="D375" s="3" t="s">
        <v>27</v>
      </c>
      <c r="E375" s="3">
        <v>16</v>
      </c>
      <c r="F375" s="5">
        <v>0.5</v>
      </c>
      <c r="G375" s="8"/>
    </row>
    <row r="376" spans="1:7" x14ac:dyDescent="0.25">
      <c r="A376" s="4">
        <v>42092</v>
      </c>
      <c r="B376" s="3" t="s">
        <v>38</v>
      </c>
      <c r="C376" s="3" t="s">
        <v>10</v>
      </c>
      <c r="D376" s="3" t="s">
        <v>34</v>
      </c>
      <c r="E376" s="3">
        <v>27</v>
      </c>
      <c r="F376" s="5">
        <v>0.2</v>
      </c>
      <c r="G376" s="8"/>
    </row>
    <row r="377" spans="1:7" x14ac:dyDescent="0.25">
      <c r="A377" s="4">
        <v>42110</v>
      </c>
      <c r="B377" s="3" t="s">
        <v>29</v>
      </c>
      <c r="C377" s="3" t="s">
        <v>5</v>
      </c>
      <c r="D377" s="3" t="s">
        <v>33</v>
      </c>
      <c r="E377" s="3">
        <v>31</v>
      </c>
      <c r="F377" s="5">
        <v>5</v>
      </c>
      <c r="G377" s="8"/>
    </row>
    <row r="378" spans="1:7" x14ac:dyDescent="0.25">
      <c r="A378" s="4">
        <v>42046</v>
      </c>
      <c r="B378" s="3" t="s">
        <v>37</v>
      </c>
      <c r="C378" s="3" t="s">
        <v>2</v>
      </c>
      <c r="D378" s="3" t="s">
        <v>33</v>
      </c>
      <c r="E378" s="3">
        <v>11</v>
      </c>
      <c r="F378" s="5">
        <v>5</v>
      </c>
      <c r="G378" s="8"/>
    </row>
    <row r="379" spans="1:7" x14ac:dyDescent="0.25">
      <c r="A379" s="4">
        <v>42031</v>
      </c>
      <c r="B379" s="3" t="s">
        <v>39</v>
      </c>
      <c r="C379" s="3" t="s">
        <v>19</v>
      </c>
      <c r="D379" s="3" t="s">
        <v>36</v>
      </c>
      <c r="E379" s="3">
        <v>4</v>
      </c>
      <c r="F379" s="5">
        <v>1.5</v>
      </c>
      <c r="G379" s="8"/>
    </row>
    <row r="380" spans="1:7" x14ac:dyDescent="0.25">
      <c r="A380" s="4">
        <v>42070</v>
      </c>
      <c r="B380" s="3" t="s">
        <v>39</v>
      </c>
      <c r="C380" s="3" t="s">
        <v>2</v>
      </c>
      <c r="D380" s="3" t="s">
        <v>34</v>
      </c>
      <c r="E380" s="3">
        <v>6</v>
      </c>
      <c r="F380" s="5">
        <v>0.2</v>
      </c>
      <c r="G380" s="8"/>
    </row>
    <row r="381" spans="1:7" x14ac:dyDescent="0.25">
      <c r="A381" s="4">
        <v>42111</v>
      </c>
      <c r="B381" s="3" t="s">
        <v>29</v>
      </c>
      <c r="C381" s="3" t="s">
        <v>2</v>
      </c>
      <c r="D381" s="3" t="s">
        <v>36</v>
      </c>
      <c r="E381" s="3">
        <v>28</v>
      </c>
      <c r="F381" s="5">
        <v>1.5</v>
      </c>
      <c r="G381" s="8"/>
    </row>
    <row r="382" spans="1:7" x14ac:dyDescent="0.25">
      <c r="A382" s="4">
        <v>42107</v>
      </c>
      <c r="B382" s="3" t="s">
        <v>37</v>
      </c>
      <c r="C382" s="3" t="s">
        <v>5</v>
      </c>
      <c r="D382" s="3" t="s">
        <v>27</v>
      </c>
      <c r="E382" s="3">
        <v>22</v>
      </c>
      <c r="F382" s="5">
        <v>0.5</v>
      </c>
      <c r="G382" s="8"/>
    </row>
    <row r="383" spans="1:7" x14ac:dyDescent="0.25">
      <c r="A383" s="4">
        <v>42053</v>
      </c>
      <c r="B383" s="3" t="s">
        <v>39</v>
      </c>
      <c r="C383" s="3" t="s">
        <v>2</v>
      </c>
      <c r="D383" s="3" t="s">
        <v>28</v>
      </c>
      <c r="E383" s="3">
        <v>46</v>
      </c>
      <c r="F383" s="5">
        <v>2</v>
      </c>
      <c r="G383" s="8"/>
    </row>
    <row r="384" spans="1:7" x14ac:dyDescent="0.25">
      <c r="A384" s="4">
        <v>42047</v>
      </c>
      <c r="B384" s="3" t="s">
        <v>38</v>
      </c>
      <c r="C384" s="3" t="s">
        <v>2</v>
      </c>
      <c r="D384" s="3" t="s">
        <v>27</v>
      </c>
      <c r="E384" s="3">
        <v>48</v>
      </c>
      <c r="F384" s="5">
        <v>0.5</v>
      </c>
      <c r="G384" s="8"/>
    </row>
    <row r="385" spans="1:7" x14ac:dyDescent="0.25">
      <c r="A385" s="4">
        <v>42132</v>
      </c>
      <c r="B385" s="3" t="s">
        <v>26</v>
      </c>
      <c r="C385" s="3" t="s">
        <v>6</v>
      </c>
      <c r="D385" s="3" t="s">
        <v>27</v>
      </c>
      <c r="E385" s="3">
        <v>28</v>
      </c>
      <c r="F385" s="5">
        <v>0.5</v>
      </c>
      <c r="G385" s="8"/>
    </row>
    <row r="386" spans="1:7" x14ac:dyDescent="0.25">
      <c r="A386" s="4">
        <v>42011</v>
      </c>
      <c r="B386" s="3" t="s">
        <v>26</v>
      </c>
      <c r="C386" s="3" t="s">
        <v>10</v>
      </c>
      <c r="D386" s="3" t="s">
        <v>27</v>
      </c>
      <c r="E386" s="3">
        <v>3</v>
      </c>
      <c r="F386" s="5">
        <v>0.5</v>
      </c>
      <c r="G386" s="8"/>
    </row>
    <row r="387" spans="1:7" x14ac:dyDescent="0.25">
      <c r="A387" s="4">
        <v>42132</v>
      </c>
      <c r="B387" s="3" t="s">
        <v>38</v>
      </c>
      <c r="C387" s="3" t="s">
        <v>19</v>
      </c>
      <c r="D387" s="3" t="s">
        <v>34</v>
      </c>
      <c r="E387" s="3">
        <v>42</v>
      </c>
      <c r="F387" s="5">
        <v>0.2</v>
      </c>
      <c r="G387" s="8"/>
    </row>
    <row r="388" spans="1:7" x14ac:dyDescent="0.25">
      <c r="A388" s="4">
        <v>42155</v>
      </c>
      <c r="B388" s="3" t="s">
        <v>37</v>
      </c>
      <c r="C388" s="3" t="s">
        <v>5</v>
      </c>
      <c r="D388" s="3" t="s">
        <v>34</v>
      </c>
      <c r="E388" s="3">
        <v>40</v>
      </c>
      <c r="F388" s="5">
        <v>0.2</v>
      </c>
      <c r="G388" s="8"/>
    </row>
    <row r="389" spans="1:7" x14ac:dyDescent="0.25">
      <c r="A389" s="4">
        <v>42043</v>
      </c>
      <c r="B389" s="3" t="s">
        <v>29</v>
      </c>
      <c r="C389" s="3" t="s">
        <v>2</v>
      </c>
      <c r="D389" s="3" t="s">
        <v>30</v>
      </c>
      <c r="E389" s="3">
        <v>39</v>
      </c>
      <c r="F389" s="5">
        <v>0.1</v>
      </c>
      <c r="G389" s="8"/>
    </row>
    <row r="390" spans="1:7" x14ac:dyDescent="0.25">
      <c r="A390" s="4">
        <v>42184</v>
      </c>
      <c r="B390" s="3" t="s">
        <v>39</v>
      </c>
      <c r="C390" s="3" t="s">
        <v>6</v>
      </c>
      <c r="D390" s="3" t="s">
        <v>33</v>
      </c>
      <c r="E390" s="3">
        <v>41</v>
      </c>
      <c r="F390" s="5">
        <v>5</v>
      </c>
      <c r="G390" s="8"/>
    </row>
    <row r="391" spans="1:7" x14ac:dyDescent="0.25">
      <c r="A391" s="4">
        <v>42163</v>
      </c>
      <c r="B391" s="3" t="s">
        <v>39</v>
      </c>
      <c r="C391" s="3" t="s">
        <v>10</v>
      </c>
      <c r="D391" s="3" t="s">
        <v>30</v>
      </c>
      <c r="E391" s="3">
        <v>18</v>
      </c>
      <c r="F391" s="5">
        <v>0.1</v>
      </c>
      <c r="G391" s="8"/>
    </row>
    <row r="392" spans="1:7" x14ac:dyDescent="0.25">
      <c r="A392" s="4">
        <v>42023</v>
      </c>
      <c r="B392" s="3" t="s">
        <v>37</v>
      </c>
      <c r="C392" s="3" t="s">
        <v>19</v>
      </c>
      <c r="D392" s="3" t="s">
        <v>35</v>
      </c>
      <c r="E392" s="3">
        <v>45</v>
      </c>
      <c r="F392" s="5">
        <v>4</v>
      </c>
      <c r="G392" s="8"/>
    </row>
    <row r="393" spans="1:7" x14ac:dyDescent="0.25">
      <c r="A393" s="4">
        <v>42157</v>
      </c>
      <c r="B393" s="3" t="s">
        <v>32</v>
      </c>
      <c r="C393" s="3" t="s">
        <v>5</v>
      </c>
      <c r="D393" s="3" t="s">
        <v>31</v>
      </c>
      <c r="E393" s="3">
        <v>10</v>
      </c>
      <c r="F393" s="5">
        <v>2.5</v>
      </c>
      <c r="G393" s="8"/>
    </row>
    <row r="394" spans="1:7" x14ac:dyDescent="0.25">
      <c r="A394" s="4">
        <v>42013</v>
      </c>
      <c r="B394" s="3" t="s">
        <v>37</v>
      </c>
      <c r="C394" s="3" t="s">
        <v>5</v>
      </c>
      <c r="D394" s="3" t="s">
        <v>34</v>
      </c>
      <c r="E394" s="3">
        <v>23</v>
      </c>
      <c r="F394" s="5">
        <v>0.2</v>
      </c>
      <c r="G394" s="8"/>
    </row>
    <row r="395" spans="1:7" x14ac:dyDescent="0.25">
      <c r="A395" s="4">
        <v>42153</v>
      </c>
      <c r="B395" s="3" t="s">
        <v>38</v>
      </c>
      <c r="C395" s="3" t="s">
        <v>6</v>
      </c>
      <c r="D395" s="3" t="s">
        <v>33</v>
      </c>
      <c r="E395" s="3">
        <v>49</v>
      </c>
      <c r="F395" s="5">
        <v>5</v>
      </c>
      <c r="G395" s="8"/>
    </row>
    <row r="396" spans="1:7" x14ac:dyDescent="0.25">
      <c r="A396" s="4">
        <v>42098</v>
      </c>
      <c r="B396" s="3" t="s">
        <v>29</v>
      </c>
      <c r="C396" s="3" t="s">
        <v>6</v>
      </c>
      <c r="D396" s="3" t="s">
        <v>33</v>
      </c>
      <c r="E396" s="3">
        <v>14</v>
      </c>
      <c r="F396" s="5">
        <v>5</v>
      </c>
      <c r="G396" s="8"/>
    </row>
    <row r="397" spans="1:7" x14ac:dyDescent="0.25">
      <c r="A397" s="4">
        <v>42006</v>
      </c>
      <c r="B397" s="3" t="s">
        <v>29</v>
      </c>
      <c r="C397" s="3" t="s">
        <v>19</v>
      </c>
      <c r="D397" s="3" t="s">
        <v>36</v>
      </c>
      <c r="E397" s="3">
        <v>37</v>
      </c>
      <c r="F397" s="5">
        <v>1.5</v>
      </c>
      <c r="G397" s="8"/>
    </row>
    <row r="398" spans="1:7" x14ac:dyDescent="0.25">
      <c r="A398" s="4">
        <v>42181</v>
      </c>
      <c r="B398" s="3" t="s">
        <v>29</v>
      </c>
      <c r="C398" s="3" t="s">
        <v>5</v>
      </c>
      <c r="D398" s="3" t="s">
        <v>31</v>
      </c>
      <c r="E398" s="3">
        <v>50</v>
      </c>
      <c r="F398" s="5">
        <v>2.5</v>
      </c>
      <c r="G398" s="8"/>
    </row>
    <row r="399" spans="1:7" x14ac:dyDescent="0.25">
      <c r="A399" s="4">
        <v>42006</v>
      </c>
      <c r="B399" s="3" t="s">
        <v>38</v>
      </c>
      <c r="C399" s="3" t="s">
        <v>5</v>
      </c>
      <c r="D399" s="3" t="s">
        <v>33</v>
      </c>
      <c r="E399" s="3">
        <v>27</v>
      </c>
      <c r="F399" s="5">
        <v>5</v>
      </c>
      <c r="G399" s="8"/>
    </row>
    <row r="400" spans="1:7" x14ac:dyDescent="0.25">
      <c r="A400" s="4">
        <v>42036</v>
      </c>
      <c r="B400" s="3" t="s">
        <v>26</v>
      </c>
      <c r="C400" s="3" t="s">
        <v>2</v>
      </c>
      <c r="D400" s="3" t="s">
        <v>33</v>
      </c>
      <c r="E400" s="3">
        <v>41</v>
      </c>
      <c r="F400" s="5">
        <v>5</v>
      </c>
      <c r="G400" s="8"/>
    </row>
    <row r="401" spans="1:7" x14ac:dyDescent="0.25">
      <c r="A401" s="4">
        <v>42161</v>
      </c>
      <c r="B401" s="3" t="s">
        <v>37</v>
      </c>
      <c r="C401" s="3" t="s">
        <v>5</v>
      </c>
      <c r="D401" s="3" t="s">
        <v>33</v>
      </c>
      <c r="E401" s="3">
        <v>27</v>
      </c>
      <c r="F401" s="5">
        <v>5</v>
      </c>
      <c r="G401" s="8"/>
    </row>
    <row r="402" spans="1:7" x14ac:dyDescent="0.25">
      <c r="A402" s="4">
        <v>42059</v>
      </c>
      <c r="B402" s="3" t="s">
        <v>39</v>
      </c>
      <c r="C402" s="3" t="s">
        <v>10</v>
      </c>
      <c r="D402" s="3" t="s">
        <v>27</v>
      </c>
      <c r="E402" s="3">
        <v>4</v>
      </c>
      <c r="F402" s="5">
        <v>0.5</v>
      </c>
      <c r="G402" s="8"/>
    </row>
    <row r="403" spans="1:7" x14ac:dyDescent="0.25">
      <c r="A403" s="4">
        <v>42132</v>
      </c>
      <c r="B403" s="3" t="s">
        <v>37</v>
      </c>
      <c r="C403" s="3" t="s">
        <v>5</v>
      </c>
      <c r="D403" s="3" t="s">
        <v>36</v>
      </c>
      <c r="E403" s="3">
        <v>31</v>
      </c>
      <c r="F403" s="5">
        <v>1.5</v>
      </c>
      <c r="G403" s="8"/>
    </row>
    <row r="404" spans="1:7" x14ac:dyDescent="0.25">
      <c r="A404" s="4">
        <v>42005</v>
      </c>
      <c r="B404" s="3" t="s">
        <v>38</v>
      </c>
      <c r="C404" s="3" t="s">
        <v>2</v>
      </c>
      <c r="D404" s="3" t="s">
        <v>35</v>
      </c>
      <c r="E404" s="3">
        <v>30</v>
      </c>
      <c r="F404" s="5">
        <v>4</v>
      </c>
      <c r="G404" s="8"/>
    </row>
    <row r="405" spans="1:7" x14ac:dyDescent="0.25">
      <c r="A405" s="4">
        <v>42066</v>
      </c>
      <c r="B405" s="3" t="s">
        <v>39</v>
      </c>
      <c r="C405" s="3" t="s">
        <v>5</v>
      </c>
      <c r="D405" s="3" t="s">
        <v>27</v>
      </c>
      <c r="E405" s="3">
        <v>23</v>
      </c>
      <c r="F405" s="5">
        <v>0.5</v>
      </c>
      <c r="G405" s="8"/>
    </row>
    <row r="406" spans="1:7" x14ac:dyDescent="0.25">
      <c r="A406" s="4">
        <v>42080</v>
      </c>
      <c r="B406" s="3" t="s">
        <v>38</v>
      </c>
      <c r="C406" s="3" t="s">
        <v>5</v>
      </c>
      <c r="D406" s="3" t="s">
        <v>28</v>
      </c>
      <c r="E406" s="3">
        <v>22</v>
      </c>
      <c r="F406" s="5">
        <v>2</v>
      </c>
      <c r="G406" s="8"/>
    </row>
    <row r="407" spans="1:7" x14ac:dyDescent="0.25">
      <c r="A407" s="4">
        <v>42118</v>
      </c>
      <c r="B407" s="3" t="s">
        <v>26</v>
      </c>
      <c r="C407" s="3" t="s">
        <v>2</v>
      </c>
      <c r="D407" s="3" t="s">
        <v>28</v>
      </c>
      <c r="E407" s="3">
        <v>34</v>
      </c>
      <c r="F407" s="5">
        <v>2</v>
      </c>
      <c r="G407" s="8"/>
    </row>
    <row r="408" spans="1:7" x14ac:dyDescent="0.25">
      <c r="A408" s="4">
        <v>42040</v>
      </c>
      <c r="B408" s="3" t="s">
        <v>37</v>
      </c>
      <c r="C408" s="3" t="s">
        <v>2</v>
      </c>
      <c r="D408" s="3" t="s">
        <v>35</v>
      </c>
      <c r="E408" s="3">
        <v>33</v>
      </c>
      <c r="F408" s="5">
        <v>4</v>
      </c>
      <c r="G408" s="8"/>
    </row>
    <row r="409" spans="1:7" x14ac:dyDescent="0.25">
      <c r="A409" s="4">
        <v>42036</v>
      </c>
      <c r="B409" s="3" t="s">
        <v>26</v>
      </c>
      <c r="C409" s="3" t="s">
        <v>10</v>
      </c>
      <c r="D409" s="3" t="s">
        <v>34</v>
      </c>
      <c r="E409" s="3">
        <v>23</v>
      </c>
      <c r="F409" s="5">
        <v>0.2</v>
      </c>
      <c r="G409" s="8"/>
    </row>
    <row r="410" spans="1:7" x14ac:dyDescent="0.25">
      <c r="A410" s="4">
        <v>42023</v>
      </c>
      <c r="B410" s="3" t="s">
        <v>29</v>
      </c>
      <c r="C410" s="3" t="s">
        <v>6</v>
      </c>
      <c r="D410" s="3" t="s">
        <v>35</v>
      </c>
      <c r="E410" s="3">
        <v>46</v>
      </c>
      <c r="F410" s="5">
        <v>4</v>
      </c>
      <c r="G410" s="8"/>
    </row>
    <row r="411" spans="1:7" x14ac:dyDescent="0.25">
      <c r="A411" s="4">
        <v>42180</v>
      </c>
      <c r="B411" s="3" t="s">
        <v>26</v>
      </c>
      <c r="C411" s="3" t="s">
        <v>6</v>
      </c>
      <c r="D411" s="3" t="s">
        <v>28</v>
      </c>
      <c r="E411" s="3">
        <v>4</v>
      </c>
      <c r="F411" s="5">
        <v>2</v>
      </c>
      <c r="G411" s="8"/>
    </row>
    <row r="412" spans="1:7" x14ac:dyDescent="0.25">
      <c r="A412" s="4">
        <v>42044</v>
      </c>
      <c r="B412" s="3" t="s">
        <v>38</v>
      </c>
      <c r="C412" s="3" t="s">
        <v>5</v>
      </c>
      <c r="D412" s="3" t="s">
        <v>35</v>
      </c>
      <c r="E412" s="3">
        <v>23</v>
      </c>
      <c r="F412" s="5">
        <v>4</v>
      </c>
      <c r="G412" s="8"/>
    </row>
    <row r="413" spans="1:7" x14ac:dyDescent="0.25">
      <c r="A413" s="4">
        <v>42029</v>
      </c>
      <c r="B413" s="3" t="s">
        <v>29</v>
      </c>
      <c r="C413" s="3" t="s">
        <v>10</v>
      </c>
      <c r="D413" s="3" t="s">
        <v>27</v>
      </c>
      <c r="E413" s="3">
        <v>10</v>
      </c>
      <c r="F413" s="5">
        <v>0.5</v>
      </c>
      <c r="G413" s="8"/>
    </row>
    <row r="414" spans="1:7" x14ac:dyDescent="0.25">
      <c r="A414" s="4">
        <v>42126</v>
      </c>
      <c r="B414" s="3" t="s">
        <v>26</v>
      </c>
      <c r="C414" s="3" t="s">
        <v>2</v>
      </c>
      <c r="D414" s="3" t="s">
        <v>31</v>
      </c>
      <c r="E414" s="3">
        <v>4</v>
      </c>
      <c r="F414" s="5">
        <v>2.5</v>
      </c>
      <c r="G414" s="8"/>
    </row>
    <row r="415" spans="1:7" x14ac:dyDescent="0.25">
      <c r="A415" s="4">
        <v>42013</v>
      </c>
      <c r="B415" s="3" t="s">
        <v>26</v>
      </c>
      <c r="C415" s="3" t="s">
        <v>5</v>
      </c>
      <c r="D415" s="3" t="s">
        <v>27</v>
      </c>
      <c r="E415" s="3">
        <v>10</v>
      </c>
      <c r="F415" s="5">
        <v>0.5</v>
      </c>
      <c r="G415" s="8"/>
    </row>
    <row r="416" spans="1:7" x14ac:dyDescent="0.25">
      <c r="A416" s="4">
        <v>42092</v>
      </c>
      <c r="B416" s="3" t="s">
        <v>32</v>
      </c>
      <c r="C416" s="3" t="s">
        <v>10</v>
      </c>
      <c r="D416" s="3" t="s">
        <v>27</v>
      </c>
      <c r="E416" s="3">
        <v>38</v>
      </c>
      <c r="F416" s="5">
        <v>0.5</v>
      </c>
      <c r="G416" s="8"/>
    </row>
    <row r="417" spans="1:7" x14ac:dyDescent="0.25">
      <c r="A417" s="4">
        <v>42109</v>
      </c>
      <c r="B417" s="3" t="s">
        <v>32</v>
      </c>
      <c r="C417" s="3" t="s">
        <v>19</v>
      </c>
      <c r="D417" s="3" t="s">
        <v>31</v>
      </c>
      <c r="E417" s="3">
        <v>47</v>
      </c>
      <c r="F417" s="5">
        <v>2.5</v>
      </c>
      <c r="G417" s="8"/>
    </row>
    <row r="418" spans="1:7" x14ac:dyDescent="0.25">
      <c r="A418" s="4">
        <v>42138</v>
      </c>
      <c r="B418" s="3" t="s">
        <v>26</v>
      </c>
      <c r="C418" s="3" t="s">
        <v>5</v>
      </c>
      <c r="D418" s="3" t="s">
        <v>33</v>
      </c>
      <c r="E418" s="3">
        <v>29</v>
      </c>
      <c r="F418" s="5">
        <v>5</v>
      </c>
      <c r="G418" s="8"/>
    </row>
    <row r="419" spans="1:7" x14ac:dyDescent="0.25">
      <c r="A419" s="4">
        <v>42044</v>
      </c>
      <c r="B419" s="3" t="s">
        <v>37</v>
      </c>
      <c r="C419" s="3" t="s">
        <v>10</v>
      </c>
      <c r="D419" s="3" t="s">
        <v>27</v>
      </c>
      <c r="E419" s="3">
        <v>46</v>
      </c>
      <c r="F419" s="5">
        <v>0.5</v>
      </c>
      <c r="G419" s="8"/>
    </row>
    <row r="420" spans="1:7" x14ac:dyDescent="0.25">
      <c r="A420" s="4">
        <v>42010</v>
      </c>
      <c r="B420" s="3" t="s">
        <v>26</v>
      </c>
      <c r="C420" s="3" t="s">
        <v>19</v>
      </c>
      <c r="D420" s="3" t="s">
        <v>31</v>
      </c>
      <c r="E420" s="3">
        <v>37</v>
      </c>
      <c r="F420" s="5">
        <v>2.5</v>
      </c>
      <c r="G420" s="8"/>
    </row>
    <row r="421" spans="1:7" x14ac:dyDescent="0.25">
      <c r="A421" s="4">
        <v>42032</v>
      </c>
      <c r="B421" s="3" t="s">
        <v>29</v>
      </c>
      <c r="C421" s="3" t="s">
        <v>10</v>
      </c>
      <c r="D421" s="3" t="s">
        <v>36</v>
      </c>
      <c r="E421" s="3">
        <v>10</v>
      </c>
      <c r="F421" s="5">
        <v>1.5</v>
      </c>
      <c r="G421" s="8"/>
    </row>
    <row r="422" spans="1:7" x14ac:dyDescent="0.25">
      <c r="A422" s="4">
        <v>42067</v>
      </c>
      <c r="B422" s="3" t="s">
        <v>37</v>
      </c>
      <c r="C422" s="3" t="s">
        <v>2</v>
      </c>
      <c r="D422" s="3" t="s">
        <v>28</v>
      </c>
      <c r="E422" s="3">
        <v>41</v>
      </c>
      <c r="F422" s="5">
        <v>2</v>
      </c>
      <c r="G422" s="8"/>
    </row>
    <row r="423" spans="1:7" x14ac:dyDescent="0.25">
      <c r="A423" s="4">
        <v>42165</v>
      </c>
      <c r="B423" s="3" t="s">
        <v>26</v>
      </c>
      <c r="C423" s="3" t="s">
        <v>6</v>
      </c>
      <c r="D423" s="3" t="s">
        <v>34</v>
      </c>
      <c r="E423" s="3">
        <v>46</v>
      </c>
      <c r="F423" s="5">
        <v>0.2</v>
      </c>
      <c r="G423" s="8"/>
    </row>
    <row r="424" spans="1:7" x14ac:dyDescent="0.25">
      <c r="A424" s="4">
        <v>42128</v>
      </c>
      <c r="B424" s="3" t="s">
        <v>32</v>
      </c>
      <c r="C424" s="3" t="s">
        <v>19</v>
      </c>
      <c r="D424" s="3" t="s">
        <v>36</v>
      </c>
      <c r="E424" s="3">
        <v>41</v>
      </c>
      <c r="F424" s="5">
        <v>1.5</v>
      </c>
      <c r="G424" s="8"/>
    </row>
    <row r="425" spans="1:7" x14ac:dyDescent="0.25">
      <c r="A425" s="4">
        <v>42139</v>
      </c>
      <c r="B425" s="3" t="s">
        <v>29</v>
      </c>
      <c r="C425" s="3" t="s">
        <v>5</v>
      </c>
      <c r="D425" s="3" t="s">
        <v>31</v>
      </c>
      <c r="E425" s="3">
        <v>37</v>
      </c>
      <c r="F425" s="5">
        <v>2.5</v>
      </c>
      <c r="G425" s="8"/>
    </row>
    <row r="426" spans="1:7" x14ac:dyDescent="0.25">
      <c r="A426" s="4">
        <v>42047</v>
      </c>
      <c r="B426" s="3" t="s">
        <v>32</v>
      </c>
      <c r="C426" s="3" t="s">
        <v>19</v>
      </c>
      <c r="D426" s="3" t="s">
        <v>33</v>
      </c>
      <c r="E426" s="3">
        <v>34</v>
      </c>
      <c r="F426" s="5">
        <v>5</v>
      </c>
      <c r="G426" s="8"/>
    </row>
    <row r="427" spans="1:7" x14ac:dyDescent="0.25">
      <c r="A427" s="4">
        <v>42087</v>
      </c>
      <c r="B427" s="3" t="s">
        <v>38</v>
      </c>
      <c r="C427" s="3" t="s">
        <v>2</v>
      </c>
      <c r="D427" s="3" t="s">
        <v>30</v>
      </c>
      <c r="E427" s="3">
        <v>39</v>
      </c>
      <c r="F427" s="5">
        <v>0.1</v>
      </c>
      <c r="G427" s="8"/>
    </row>
    <row r="428" spans="1:7" x14ac:dyDescent="0.25">
      <c r="A428" s="4">
        <v>42162</v>
      </c>
      <c r="B428" s="3" t="s">
        <v>37</v>
      </c>
      <c r="C428" s="3" t="s">
        <v>5</v>
      </c>
      <c r="D428" s="3" t="s">
        <v>35</v>
      </c>
      <c r="E428" s="3">
        <v>3</v>
      </c>
      <c r="F428" s="5">
        <v>4</v>
      </c>
      <c r="G428" s="8"/>
    </row>
    <row r="429" spans="1:7" x14ac:dyDescent="0.25">
      <c r="A429" s="4">
        <v>42057</v>
      </c>
      <c r="B429" s="3" t="s">
        <v>29</v>
      </c>
      <c r="C429" s="3" t="s">
        <v>2</v>
      </c>
      <c r="D429" s="3" t="s">
        <v>28</v>
      </c>
      <c r="E429" s="3">
        <v>28</v>
      </c>
      <c r="F429" s="5">
        <v>2</v>
      </c>
      <c r="G429" s="8"/>
    </row>
    <row r="430" spans="1:7" x14ac:dyDescent="0.25">
      <c r="A430" s="4">
        <v>42130</v>
      </c>
      <c r="B430" s="3" t="s">
        <v>37</v>
      </c>
      <c r="C430" s="3" t="s">
        <v>10</v>
      </c>
      <c r="D430" s="3" t="s">
        <v>34</v>
      </c>
      <c r="E430" s="3">
        <v>6</v>
      </c>
      <c r="F430" s="5">
        <v>0.2</v>
      </c>
      <c r="G430" s="8"/>
    </row>
    <row r="431" spans="1:7" x14ac:dyDescent="0.25">
      <c r="A431" s="4">
        <v>42152</v>
      </c>
      <c r="B431" s="3" t="s">
        <v>32</v>
      </c>
      <c r="C431" s="3" t="s">
        <v>2</v>
      </c>
      <c r="D431" s="3" t="s">
        <v>31</v>
      </c>
      <c r="E431" s="3">
        <v>11</v>
      </c>
      <c r="F431" s="5">
        <v>2.5</v>
      </c>
      <c r="G431" s="8"/>
    </row>
    <row r="432" spans="1:7" x14ac:dyDescent="0.25">
      <c r="A432" s="4">
        <v>42014</v>
      </c>
      <c r="B432" s="3" t="s">
        <v>26</v>
      </c>
      <c r="C432" s="3" t="s">
        <v>2</v>
      </c>
      <c r="D432" s="3" t="s">
        <v>34</v>
      </c>
      <c r="E432" s="3">
        <v>14</v>
      </c>
      <c r="F432" s="5">
        <v>0.2</v>
      </c>
      <c r="G432" s="8"/>
    </row>
    <row r="433" spans="1:7" x14ac:dyDescent="0.25">
      <c r="A433" s="4">
        <v>42140</v>
      </c>
      <c r="B433" s="3" t="s">
        <v>37</v>
      </c>
      <c r="C433" s="3" t="s">
        <v>19</v>
      </c>
      <c r="D433" s="3" t="s">
        <v>30</v>
      </c>
      <c r="E433" s="3">
        <v>9</v>
      </c>
      <c r="F433" s="5">
        <v>0.1</v>
      </c>
      <c r="G433" s="8"/>
    </row>
    <row r="434" spans="1:7" x14ac:dyDescent="0.25">
      <c r="A434" s="4">
        <v>42021</v>
      </c>
      <c r="B434" s="3" t="s">
        <v>38</v>
      </c>
      <c r="C434" s="3" t="s">
        <v>6</v>
      </c>
      <c r="D434" s="3" t="s">
        <v>27</v>
      </c>
      <c r="E434" s="3">
        <v>2</v>
      </c>
      <c r="F434" s="5">
        <v>0.5</v>
      </c>
      <c r="G434" s="8"/>
    </row>
    <row r="435" spans="1:7" x14ac:dyDescent="0.25">
      <c r="A435" s="4">
        <v>42149</v>
      </c>
      <c r="B435" s="3" t="s">
        <v>39</v>
      </c>
      <c r="C435" s="3" t="s">
        <v>10</v>
      </c>
      <c r="D435" s="3" t="s">
        <v>36</v>
      </c>
      <c r="E435" s="3">
        <v>19</v>
      </c>
      <c r="F435" s="5">
        <v>1.5</v>
      </c>
      <c r="G435" s="8"/>
    </row>
    <row r="436" spans="1:7" x14ac:dyDescent="0.25">
      <c r="A436" s="4">
        <v>42015</v>
      </c>
      <c r="B436" s="3" t="s">
        <v>32</v>
      </c>
      <c r="C436" s="3" t="s">
        <v>10</v>
      </c>
      <c r="D436" s="3" t="s">
        <v>36</v>
      </c>
      <c r="E436" s="3">
        <v>15</v>
      </c>
      <c r="F436" s="5">
        <v>1.5</v>
      </c>
      <c r="G436" s="8"/>
    </row>
    <row r="437" spans="1:7" x14ac:dyDescent="0.25">
      <c r="A437" s="4">
        <v>42087</v>
      </c>
      <c r="B437" s="3" t="s">
        <v>32</v>
      </c>
      <c r="C437" s="3" t="s">
        <v>6</v>
      </c>
      <c r="D437" s="3" t="s">
        <v>33</v>
      </c>
      <c r="E437" s="3">
        <v>44</v>
      </c>
      <c r="F437" s="5">
        <v>5</v>
      </c>
      <c r="G437" s="8"/>
    </row>
    <row r="438" spans="1:7" x14ac:dyDescent="0.25">
      <c r="A438" s="4">
        <v>42034</v>
      </c>
      <c r="B438" s="3" t="s">
        <v>39</v>
      </c>
      <c r="C438" s="3" t="s">
        <v>10</v>
      </c>
      <c r="D438" s="3" t="s">
        <v>27</v>
      </c>
      <c r="E438" s="3">
        <v>24</v>
      </c>
      <c r="F438" s="5">
        <v>0.5</v>
      </c>
      <c r="G438" s="8"/>
    </row>
    <row r="439" spans="1:7" x14ac:dyDescent="0.25">
      <c r="A439" s="4">
        <v>42110</v>
      </c>
      <c r="B439" s="3" t="s">
        <v>39</v>
      </c>
      <c r="C439" s="3" t="s">
        <v>10</v>
      </c>
      <c r="D439" s="3" t="s">
        <v>28</v>
      </c>
      <c r="E439" s="3">
        <v>46</v>
      </c>
      <c r="F439" s="5">
        <v>2</v>
      </c>
      <c r="G439" s="8"/>
    </row>
    <row r="440" spans="1:7" x14ac:dyDescent="0.25">
      <c r="A440" s="4">
        <v>42107</v>
      </c>
      <c r="B440" s="3" t="s">
        <v>39</v>
      </c>
      <c r="C440" s="3" t="s">
        <v>19</v>
      </c>
      <c r="D440" s="3" t="s">
        <v>34</v>
      </c>
      <c r="E440" s="3">
        <v>11</v>
      </c>
      <c r="F440" s="5">
        <v>0.2</v>
      </c>
      <c r="G440" s="8"/>
    </row>
    <row r="441" spans="1:7" x14ac:dyDescent="0.25">
      <c r="A441" s="4">
        <v>42130</v>
      </c>
      <c r="B441" s="3" t="s">
        <v>32</v>
      </c>
      <c r="C441" s="3" t="s">
        <v>6</v>
      </c>
      <c r="D441" s="3" t="s">
        <v>33</v>
      </c>
      <c r="E441" s="3">
        <v>20</v>
      </c>
      <c r="F441" s="5">
        <v>5</v>
      </c>
      <c r="G441" s="8"/>
    </row>
    <row r="442" spans="1:7" x14ac:dyDescent="0.25">
      <c r="A442" s="4">
        <v>42076</v>
      </c>
      <c r="B442" s="3" t="s">
        <v>38</v>
      </c>
      <c r="C442" s="3" t="s">
        <v>5</v>
      </c>
      <c r="D442" s="3" t="s">
        <v>30</v>
      </c>
      <c r="E442" s="3">
        <v>10</v>
      </c>
      <c r="F442" s="5">
        <v>0.1</v>
      </c>
      <c r="G442" s="8"/>
    </row>
    <row r="443" spans="1:7" x14ac:dyDescent="0.25">
      <c r="A443" s="4">
        <v>42023</v>
      </c>
      <c r="B443" s="3" t="s">
        <v>32</v>
      </c>
      <c r="C443" s="3" t="s">
        <v>10</v>
      </c>
      <c r="D443" s="3" t="s">
        <v>27</v>
      </c>
      <c r="E443" s="3">
        <v>25</v>
      </c>
      <c r="F443" s="5">
        <v>0.5</v>
      </c>
      <c r="G443" s="8"/>
    </row>
    <row r="444" spans="1:7" x14ac:dyDescent="0.25">
      <c r="A444" s="4">
        <v>42093</v>
      </c>
      <c r="B444" s="3" t="s">
        <v>29</v>
      </c>
      <c r="C444" s="3" t="s">
        <v>2</v>
      </c>
      <c r="D444" s="3" t="s">
        <v>34</v>
      </c>
      <c r="E444" s="3">
        <v>47</v>
      </c>
      <c r="F444" s="5">
        <v>0.2</v>
      </c>
      <c r="G444" s="8"/>
    </row>
    <row r="445" spans="1:7" x14ac:dyDescent="0.25">
      <c r="A445" s="4">
        <v>42035</v>
      </c>
      <c r="B445" s="3" t="s">
        <v>29</v>
      </c>
      <c r="C445" s="3" t="s">
        <v>6</v>
      </c>
      <c r="D445" s="3" t="s">
        <v>33</v>
      </c>
      <c r="E445" s="3">
        <v>17</v>
      </c>
      <c r="F445" s="5">
        <v>5</v>
      </c>
      <c r="G445" s="8"/>
    </row>
    <row r="446" spans="1:7" x14ac:dyDescent="0.25">
      <c r="A446" s="4">
        <v>42099</v>
      </c>
      <c r="B446" s="3" t="s">
        <v>38</v>
      </c>
      <c r="C446" s="3" t="s">
        <v>5</v>
      </c>
      <c r="D446" s="3" t="s">
        <v>30</v>
      </c>
      <c r="E446" s="3">
        <v>10</v>
      </c>
      <c r="F446" s="5">
        <v>0.1</v>
      </c>
      <c r="G446" s="8"/>
    </row>
    <row r="447" spans="1:7" x14ac:dyDescent="0.25">
      <c r="A447" s="4">
        <v>42080</v>
      </c>
      <c r="B447" s="3" t="s">
        <v>32</v>
      </c>
      <c r="C447" s="3" t="s">
        <v>6</v>
      </c>
      <c r="D447" s="3" t="s">
        <v>30</v>
      </c>
      <c r="E447" s="3">
        <v>30</v>
      </c>
      <c r="F447" s="5">
        <v>0.1</v>
      </c>
      <c r="G447" s="8"/>
    </row>
    <row r="448" spans="1:7" x14ac:dyDescent="0.25">
      <c r="A448" s="4">
        <v>42006</v>
      </c>
      <c r="B448" s="3" t="s">
        <v>29</v>
      </c>
      <c r="C448" s="3" t="s">
        <v>19</v>
      </c>
      <c r="D448" s="3" t="s">
        <v>27</v>
      </c>
      <c r="E448" s="3">
        <v>13</v>
      </c>
      <c r="F448" s="5">
        <v>0.5</v>
      </c>
      <c r="G448" s="8"/>
    </row>
    <row r="449" spans="1:7" x14ac:dyDescent="0.25">
      <c r="A449" s="4">
        <v>42179</v>
      </c>
      <c r="B449" s="3" t="s">
        <v>38</v>
      </c>
      <c r="C449" s="3" t="s">
        <v>2</v>
      </c>
      <c r="D449" s="3" t="s">
        <v>28</v>
      </c>
      <c r="E449" s="3">
        <v>17</v>
      </c>
      <c r="F449" s="5">
        <v>2</v>
      </c>
      <c r="G449" s="8"/>
    </row>
    <row r="450" spans="1:7" x14ac:dyDescent="0.25">
      <c r="A450" s="4">
        <v>42170</v>
      </c>
      <c r="B450" s="3" t="s">
        <v>39</v>
      </c>
      <c r="C450" s="3" t="s">
        <v>5</v>
      </c>
      <c r="D450" s="3" t="s">
        <v>27</v>
      </c>
      <c r="E450" s="3">
        <v>32</v>
      </c>
      <c r="F450" s="5">
        <v>0.5</v>
      </c>
      <c r="G450" s="8"/>
    </row>
    <row r="451" spans="1:7" x14ac:dyDescent="0.25">
      <c r="A451" s="4">
        <v>42068</v>
      </c>
      <c r="B451" s="3" t="s">
        <v>26</v>
      </c>
      <c r="C451" s="3" t="s">
        <v>10</v>
      </c>
      <c r="D451" s="3" t="s">
        <v>36</v>
      </c>
      <c r="E451" s="3">
        <v>34</v>
      </c>
      <c r="F451" s="5">
        <v>1.5</v>
      </c>
      <c r="G451" s="8"/>
    </row>
    <row r="452" spans="1:7" x14ac:dyDescent="0.25">
      <c r="A452" s="4">
        <v>42118</v>
      </c>
      <c r="B452" s="3" t="s">
        <v>29</v>
      </c>
      <c r="C452" s="3" t="s">
        <v>19</v>
      </c>
      <c r="D452" s="3" t="s">
        <v>31</v>
      </c>
      <c r="E452" s="3">
        <v>14</v>
      </c>
      <c r="F452" s="5">
        <v>2.5</v>
      </c>
      <c r="G452" s="8"/>
    </row>
    <row r="453" spans="1:7" x14ac:dyDescent="0.25">
      <c r="A453" s="4">
        <v>42042</v>
      </c>
      <c r="B453" s="3" t="s">
        <v>39</v>
      </c>
      <c r="C453" s="3" t="s">
        <v>10</v>
      </c>
      <c r="D453" s="3" t="s">
        <v>28</v>
      </c>
      <c r="E453" s="3">
        <v>37</v>
      </c>
      <c r="F453" s="5">
        <v>2</v>
      </c>
      <c r="G453" s="8"/>
    </row>
    <row r="454" spans="1:7" x14ac:dyDescent="0.25">
      <c r="A454" s="4">
        <v>42016</v>
      </c>
      <c r="B454" s="3" t="s">
        <v>32</v>
      </c>
      <c r="C454" s="3" t="s">
        <v>10</v>
      </c>
      <c r="D454" s="3" t="s">
        <v>36</v>
      </c>
      <c r="E454" s="3">
        <v>31</v>
      </c>
      <c r="F454" s="5">
        <v>1.5</v>
      </c>
      <c r="G454" s="8"/>
    </row>
    <row r="455" spans="1:7" x14ac:dyDescent="0.25">
      <c r="A455" s="4">
        <v>42126</v>
      </c>
      <c r="B455" s="3" t="s">
        <v>26</v>
      </c>
      <c r="C455" s="3" t="s">
        <v>10</v>
      </c>
      <c r="D455" s="3" t="s">
        <v>36</v>
      </c>
      <c r="E455" s="3">
        <v>32</v>
      </c>
      <c r="F455" s="5">
        <v>1.5</v>
      </c>
      <c r="G455" s="8"/>
    </row>
    <row r="456" spans="1:7" x14ac:dyDescent="0.25">
      <c r="A456" s="4">
        <v>42162</v>
      </c>
      <c r="B456" s="3" t="s">
        <v>37</v>
      </c>
      <c r="C456" s="3" t="s">
        <v>5</v>
      </c>
      <c r="D456" s="3" t="s">
        <v>30</v>
      </c>
      <c r="E456" s="3">
        <v>27</v>
      </c>
      <c r="F456" s="5">
        <v>0.1</v>
      </c>
      <c r="G456" s="8"/>
    </row>
    <row r="457" spans="1:7" x14ac:dyDescent="0.25">
      <c r="A457" s="4">
        <v>42157</v>
      </c>
      <c r="B457" s="3" t="s">
        <v>32</v>
      </c>
      <c r="C457" s="3" t="s">
        <v>5</v>
      </c>
      <c r="D457" s="3" t="s">
        <v>33</v>
      </c>
      <c r="E457" s="3">
        <v>27</v>
      </c>
      <c r="F457" s="5">
        <v>5</v>
      </c>
      <c r="G457" s="8"/>
    </row>
    <row r="458" spans="1:7" x14ac:dyDescent="0.25">
      <c r="A458" s="4">
        <v>42070</v>
      </c>
      <c r="B458" s="3" t="s">
        <v>29</v>
      </c>
      <c r="C458" s="3" t="s">
        <v>2</v>
      </c>
      <c r="D458" s="3" t="s">
        <v>27</v>
      </c>
      <c r="E458" s="3">
        <v>12</v>
      </c>
      <c r="F458" s="5">
        <v>0.5</v>
      </c>
      <c r="G458" s="8"/>
    </row>
    <row r="459" spans="1:7" x14ac:dyDescent="0.25">
      <c r="A459" s="4">
        <v>42035</v>
      </c>
      <c r="B459" s="3" t="s">
        <v>29</v>
      </c>
      <c r="C459" s="3" t="s">
        <v>19</v>
      </c>
      <c r="D459" s="3" t="s">
        <v>34</v>
      </c>
      <c r="E459" s="3">
        <v>11</v>
      </c>
      <c r="F459" s="5">
        <v>0.2</v>
      </c>
      <c r="G459" s="8"/>
    </row>
    <row r="460" spans="1:7" x14ac:dyDescent="0.25">
      <c r="A460" s="4">
        <v>42026</v>
      </c>
      <c r="B460" s="3" t="s">
        <v>29</v>
      </c>
      <c r="C460" s="3" t="s">
        <v>2</v>
      </c>
      <c r="D460" s="3" t="s">
        <v>36</v>
      </c>
      <c r="E460" s="3">
        <v>32</v>
      </c>
      <c r="F460" s="5">
        <v>1.5</v>
      </c>
      <c r="G460" s="8"/>
    </row>
    <row r="461" spans="1:7" x14ac:dyDescent="0.25">
      <c r="A461" s="4">
        <v>42159</v>
      </c>
      <c r="B461" s="3" t="s">
        <v>39</v>
      </c>
      <c r="C461" s="3" t="s">
        <v>10</v>
      </c>
      <c r="D461" s="3" t="s">
        <v>31</v>
      </c>
      <c r="E461" s="3">
        <v>23</v>
      </c>
      <c r="F461" s="5">
        <v>2.5</v>
      </c>
      <c r="G461" s="8"/>
    </row>
    <row r="462" spans="1:7" x14ac:dyDescent="0.25">
      <c r="A462" s="4">
        <v>42050</v>
      </c>
      <c r="B462" s="3" t="s">
        <v>26</v>
      </c>
      <c r="C462" s="3" t="s">
        <v>6</v>
      </c>
      <c r="D462" s="3" t="s">
        <v>27</v>
      </c>
      <c r="E462" s="3">
        <v>45</v>
      </c>
      <c r="F462" s="5">
        <v>0.5</v>
      </c>
      <c r="G462" s="8"/>
    </row>
    <row r="463" spans="1:7" x14ac:dyDescent="0.25">
      <c r="A463" s="4">
        <v>42118</v>
      </c>
      <c r="B463" s="3" t="s">
        <v>39</v>
      </c>
      <c r="C463" s="3" t="s">
        <v>5</v>
      </c>
      <c r="D463" s="3" t="s">
        <v>31</v>
      </c>
      <c r="E463" s="3">
        <v>11</v>
      </c>
      <c r="F463" s="5">
        <v>2.5</v>
      </c>
      <c r="G463" s="8"/>
    </row>
    <row r="464" spans="1:7" x14ac:dyDescent="0.25">
      <c r="A464" s="4">
        <v>42013</v>
      </c>
      <c r="B464" s="3" t="s">
        <v>39</v>
      </c>
      <c r="C464" s="3" t="s">
        <v>6</v>
      </c>
      <c r="D464" s="3" t="s">
        <v>30</v>
      </c>
      <c r="E464" s="3">
        <v>33</v>
      </c>
      <c r="F464" s="5">
        <v>0.1</v>
      </c>
      <c r="G464" s="8"/>
    </row>
    <row r="465" spans="1:7" x14ac:dyDescent="0.25">
      <c r="A465" s="4">
        <v>42090</v>
      </c>
      <c r="B465" s="3" t="s">
        <v>29</v>
      </c>
      <c r="C465" s="3" t="s">
        <v>2</v>
      </c>
      <c r="D465" s="3" t="s">
        <v>31</v>
      </c>
      <c r="E465" s="3">
        <v>34</v>
      </c>
      <c r="F465" s="5">
        <v>2.5</v>
      </c>
      <c r="G465" s="8"/>
    </row>
    <row r="466" spans="1:7" x14ac:dyDescent="0.25">
      <c r="A466" s="4">
        <v>42140</v>
      </c>
      <c r="B466" s="3" t="s">
        <v>37</v>
      </c>
      <c r="C466" s="3" t="s">
        <v>19</v>
      </c>
      <c r="D466" s="3" t="s">
        <v>36</v>
      </c>
      <c r="E466" s="3">
        <v>42</v>
      </c>
      <c r="F466" s="5">
        <v>1.5</v>
      </c>
      <c r="G466" s="8"/>
    </row>
    <row r="467" spans="1:7" x14ac:dyDescent="0.25">
      <c r="A467" s="4">
        <v>42073</v>
      </c>
      <c r="B467" s="3" t="s">
        <v>29</v>
      </c>
      <c r="C467" s="3" t="s">
        <v>2</v>
      </c>
      <c r="D467" s="3" t="s">
        <v>31</v>
      </c>
      <c r="E467" s="3">
        <v>8</v>
      </c>
      <c r="F467" s="5">
        <v>2.5</v>
      </c>
      <c r="G467" s="8"/>
    </row>
    <row r="468" spans="1:7" x14ac:dyDescent="0.25">
      <c r="A468" s="4">
        <v>42093</v>
      </c>
      <c r="B468" s="3" t="s">
        <v>37</v>
      </c>
      <c r="C468" s="3" t="s">
        <v>19</v>
      </c>
      <c r="D468" s="3" t="s">
        <v>33</v>
      </c>
      <c r="E468" s="3">
        <v>11</v>
      </c>
      <c r="F468" s="5">
        <v>5</v>
      </c>
      <c r="G468" s="8"/>
    </row>
    <row r="469" spans="1:7" x14ac:dyDescent="0.25">
      <c r="A469" s="4">
        <v>42094</v>
      </c>
      <c r="B469" s="3" t="s">
        <v>29</v>
      </c>
      <c r="C469" s="3" t="s">
        <v>2</v>
      </c>
      <c r="D469" s="3" t="s">
        <v>27</v>
      </c>
      <c r="E469" s="3">
        <v>18</v>
      </c>
      <c r="F469" s="5">
        <v>0.5</v>
      </c>
      <c r="G469" s="8"/>
    </row>
    <row r="470" spans="1:7" x14ac:dyDescent="0.25">
      <c r="A470" s="4">
        <v>42056</v>
      </c>
      <c r="B470" s="3" t="s">
        <v>38</v>
      </c>
      <c r="C470" s="3" t="s">
        <v>6</v>
      </c>
      <c r="D470" s="3" t="s">
        <v>30</v>
      </c>
      <c r="E470" s="3">
        <v>44</v>
      </c>
      <c r="F470" s="5">
        <v>0.1</v>
      </c>
      <c r="G470" s="8"/>
    </row>
    <row r="471" spans="1:7" x14ac:dyDescent="0.25">
      <c r="A471" s="4">
        <v>42143</v>
      </c>
      <c r="B471" s="3" t="s">
        <v>38</v>
      </c>
      <c r="C471" s="3" t="s">
        <v>5</v>
      </c>
      <c r="D471" s="3" t="s">
        <v>30</v>
      </c>
      <c r="E471" s="3">
        <v>47</v>
      </c>
      <c r="F471" s="5">
        <v>0.1</v>
      </c>
      <c r="G471" s="8"/>
    </row>
    <row r="472" spans="1:7" x14ac:dyDescent="0.25">
      <c r="A472" s="4">
        <v>42032</v>
      </c>
      <c r="B472" s="3" t="s">
        <v>39</v>
      </c>
      <c r="C472" s="3" t="s">
        <v>2</v>
      </c>
      <c r="D472" s="3" t="s">
        <v>31</v>
      </c>
      <c r="E472" s="3">
        <v>35</v>
      </c>
      <c r="F472" s="5">
        <v>2.5</v>
      </c>
      <c r="G472" s="8"/>
    </row>
    <row r="473" spans="1:7" x14ac:dyDescent="0.25">
      <c r="A473" s="4">
        <v>42041</v>
      </c>
      <c r="B473" s="3" t="s">
        <v>39</v>
      </c>
      <c r="C473" s="3" t="s">
        <v>6</v>
      </c>
      <c r="D473" s="3" t="s">
        <v>36</v>
      </c>
      <c r="E473" s="3">
        <v>13</v>
      </c>
      <c r="F473" s="5">
        <v>1.5</v>
      </c>
      <c r="G473" s="8"/>
    </row>
    <row r="474" spans="1:7" x14ac:dyDescent="0.25">
      <c r="A474" s="4">
        <v>42062</v>
      </c>
      <c r="B474" s="3" t="s">
        <v>37</v>
      </c>
      <c r="C474" s="3" t="s">
        <v>10</v>
      </c>
      <c r="D474" s="3" t="s">
        <v>34</v>
      </c>
      <c r="E474" s="3">
        <v>30</v>
      </c>
      <c r="F474" s="5">
        <v>0.2</v>
      </c>
      <c r="G474" s="8"/>
    </row>
    <row r="475" spans="1:7" x14ac:dyDescent="0.25">
      <c r="A475" s="4">
        <v>42145</v>
      </c>
      <c r="B475" s="3" t="s">
        <v>37</v>
      </c>
      <c r="C475" s="3" t="s">
        <v>19</v>
      </c>
      <c r="D475" s="3" t="s">
        <v>31</v>
      </c>
      <c r="E475" s="3">
        <v>14</v>
      </c>
      <c r="F475" s="5">
        <v>2.5</v>
      </c>
      <c r="G475" s="8"/>
    </row>
    <row r="476" spans="1:7" x14ac:dyDescent="0.25">
      <c r="A476" s="4">
        <v>42144</v>
      </c>
      <c r="B476" s="3" t="s">
        <v>32</v>
      </c>
      <c r="C476" s="3" t="s">
        <v>5</v>
      </c>
      <c r="D476" s="3" t="s">
        <v>27</v>
      </c>
      <c r="E476" s="3">
        <v>27</v>
      </c>
      <c r="F476" s="5">
        <v>0.5</v>
      </c>
      <c r="G476" s="8"/>
    </row>
    <row r="477" spans="1:7" x14ac:dyDescent="0.25">
      <c r="A477" s="4">
        <v>42079</v>
      </c>
      <c r="B477" s="3" t="s">
        <v>29</v>
      </c>
      <c r="C477" s="3" t="s">
        <v>10</v>
      </c>
      <c r="D477" s="3" t="s">
        <v>30</v>
      </c>
      <c r="E477" s="3">
        <v>4</v>
      </c>
      <c r="F477" s="5">
        <v>0.1</v>
      </c>
      <c r="G477" s="8"/>
    </row>
    <row r="478" spans="1:7" x14ac:dyDescent="0.25">
      <c r="A478" s="4">
        <v>42138</v>
      </c>
      <c r="B478" s="3" t="s">
        <v>39</v>
      </c>
      <c r="C478" s="3" t="s">
        <v>5</v>
      </c>
      <c r="D478" s="3" t="s">
        <v>36</v>
      </c>
      <c r="E478" s="3">
        <v>6</v>
      </c>
      <c r="F478" s="5">
        <v>1.5</v>
      </c>
      <c r="G478" s="8"/>
    </row>
    <row r="479" spans="1:7" x14ac:dyDescent="0.25">
      <c r="A479" s="4">
        <v>42078</v>
      </c>
      <c r="B479" s="3" t="s">
        <v>38</v>
      </c>
      <c r="C479" s="3" t="s">
        <v>5</v>
      </c>
      <c r="D479" s="3" t="s">
        <v>31</v>
      </c>
      <c r="E479" s="3">
        <v>35</v>
      </c>
      <c r="F479" s="5">
        <v>2.5</v>
      </c>
      <c r="G479" s="8"/>
    </row>
    <row r="480" spans="1:7" x14ac:dyDescent="0.25">
      <c r="A480" s="4">
        <v>42161</v>
      </c>
      <c r="B480" s="3" t="s">
        <v>39</v>
      </c>
      <c r="C480" s="3" t="s">
        <v>2</v>
      </c>
      <c r="D480" s="3" t="s">
        <v>33</v>
      </c>
      <c r="E480" s="3">
        <v>12</v>
      </c>
      <c r="F480" s="5">
        <v>5</v>
      </c>
      <c r="G480" s="8"/>
    </row>
    <row r="481" spans="1:7" x14ac:dyDescent="0.25">
      <c r="A481" s="4">
        <v>42101</v>
      </c>
      <c r="B481" s="3" t="s">
        <v>37</v>
      </c>
      <c r="C481" s="3" t="s">
        <v>2</v>
      </c>
      <c r="D481" s="3" t="s">
        <v>31</v>
      </c>
      <c r="E481" s="3">
        <v>32</v>
      </c>
      <c r="F481" s="5">
        <v>2.5</v>
      </c>
      <c r="G481" s="8"/>
    </row>
    <row r="482" spans="1:7" x14ac:dyDescent="0.25">
      <c r="A482" s="4">
        <v>42181</v>
      </c>
      <c r="B482" s="3" t="s">
        <v>37</v>
      </c>
      <c r="C482" s="3" t="s">
        <v>10</v>
      </c>
      <c r="D482" s="3" t="s">
        <v>28</v>
      </c>
      <c r="E482" s="3">
        <v>41</v>
      </c>
      <c r="F482" s="5">
        <v>2</v>
      </c>
      <c r="G482" s="8"/>
    </row>
    <row r="483" spans="1:7" x14ac:dyDescent="0.25">
      <c r="A483" s="4">
        <v>42053</v>
      </c>
      <c r="B483" s="3" t="s">
        <v>38</v>
      </c>
      <c r="C483" s="3" t="s">
        <v>10</v>
      </c>
      <c r="D483" s="3" t="s">
        <v>34</v>
      </c>
      <c r="E483" s="3">
        <v>49</v>
      </c>
      <c r="F483" s="5">
        <v>0.2</v>
      </c>
      <c r="G483" s="8"/>
    </row>
    <row r="484" spans="1:7" x14ac:dyDescent="0.25">
      <c r="A484" s="4">
        <v>42073</v>
      </c>
      <c r="B484" s="3" t="s">
        <v>38</v>
      </c>
      <c r="C484" s="3" t="s">
        <v>19</v>
      </c>
      <c r="D484" s="3" t="s">
        <v>31</v>
      </c>
      <c r="E484" s="3">
        <v>14</v>
      </c>
      <c r="F484" s="5">
        <v>2.5</v>
      </c>
      <c r="G484" s="8"/>
    </row>
    <row r="485" spans="1:7" x14ac:dyDescent="0.25">
      <c r="A485" s="4">
        <v>42095</v>
      </c>
      <c r="B485" s="3" t="s">
        <v>38</v>
      </c>
      <c r="C485" s="3" t="s">
        <v>6</v>
      </c>
      <c r="D485" s="3" t="s">
        <v>27</v>
      </c>
      <c r="E485" s="3">
        <v>50</v>
      </c>
      <c r="F485" s="5">
        <v>0.5</v>
      </c>
      <c r="G485" s="8"/>
    </row>
    <row r="486" spans="1:7" x14ac:dyDescent="0.25">
      <c r="A486" s="4">
        <v>42028</v>
      </c>
      <c r="B486" s="3" t="s">
        <v>29</v>
      </c>
      <c r="C486" s="3" t="s">
        <v>6</v>
      </c>
      <c r="D486" s="3" t="s">
        <v>36</v>
      </c>
      <c r="E486" s="3">
        <v>22</v>
      </c>
      <c r="F486" s="5">
        <v>1.5</v>
      </c>
      <c r="G486" s="8"/>
    </row>
    <row r="487" spans="1:7" x14ac:dyDescent="0.25">
      <c r="A487" s="4">
        <v>42091</v>
      </c>
      <c r="B487" s="3" t="s">
        <v>38</v>
      </c>
      <c r="C487" s="3" t="s">
        <v>19</v>
      </c>
      <c r="D487" s="3" t="s">
        <v>33</v>
      </c>
      <c r="E487" s="3">
        <v>46</v>
      </c>
      <c r="F487" s="5">
        <v>5</v>
      </c>
      <c r="G487" s="8"/>
    </row>
    <row r="488" spans="1:7" x14ac:dyDescent="0.25">
      <c r="A488" s="4">
        <v>42063</v>
      </c>
      <c r="B488" s="3" t="s">
        <v>37</v>
      </c>
      <c r="C488" s="3" t="s">
        <v>10</v>
      </c>
      <c r="D488" s="3" t="s">
        <v>30</v>
      </c>
      <c r="E488" s="3">
        <v>19</v>
      </c>
      <c r="F488" s="5">
        <v>0.1</v>
      </c>
      <c r="G488" s="8"/>
    </row>
    <row r="489" spans="1:7" x14ac:dyDescent="0.25">
      <c r="A489" s="4">
        <v>42093</v>
      </c>
      <c r="B489" s="3" t="s">
        <v>37</v>
      </c>
      <c r="C489" s="3" t="s">
        <v>6</v>
      </c>
      <c r="D489" s="3" t="s">
        <v>36</v>
      </c>
      <c r="E489" s="3">
        <v>23</v>
      </c>
      <c r="F489" s="5">
        <v>1.5</v>
      </c>
      <c r="G489" s="8"/>
    </row>
    <row r="490" spans="1:7" x14ac:dyDescent="0.25">
      <c r="A490" s="4">
        <v>42060</v>
      </c>
      <c r="B490" s="3" t="s">
        <v>29</v>
      </c>
      <c r="C490" s="3" t="s">
        <v>5</v>
      </c>
      <c r="D490" s="3" t="s">
        <v>30</v>
      </c>
      <c r="E490" s="3">
        <v>49</v>
      </c>
      <c r="F490" s="5">
        <v>0.1</v>
      </c>
      <c r="G490" s="8"/>
    </row>
    <row r="491" spans="1:7" x14ac:dyDescent="0.25">
      <c r="A491" s="4">
        <v>42030</v>
      </c>
      <c r="B491" s="3" t="s">
        <v>37</v>
      </c>
      <c r="C491" s="3" t="s">
        <v>10</v>
      </c>
      <c r="D491" s="3" t="s">
        <v>27</v>
      </c>
      <c r="E491" s="3">
        <v>9</v>
      </c>
      <c r="F491" s="5">
        <v>0.5</v>
      </c>
      <c r="G491" s="8"/>
    </row>
    <row r="492" spans="1:7" x14ac:dyDescent="0.25">
      <c r="A492" s="4">
        <v>42076</v>
      </c>
      <c r="B492" s="3" t="s">
        <v>32</v>
      </c>
      <c r="C492" s="3" t="s">
        <v>6</v>
      </c>
      <c r="D492" s="3" t="s">
        <v>27</v>
      </c>
      <c r="E492" s="3">
        <v>49</v>
      </c>
      <c r="F492" s="5">
        <v>0.5</v>
      </c>
      <c r="G492" s="8"/>
    </row>
    <row r="493" spans="1:7" x14ac:dyDescent="0.25">
      <c r="A493" s="4">
        <v>42108</v>
      </c>
      <c r="B493" s="3" t="s">
        <v>38</v>
      </c>
      <c r="C493" s="3" t="s">
        <v>2</v>
      </c>
      <c r="D493" s="3" t="s">
        <v>27</v>
      </c>
      <c r="E493" s="3">
        <v>50</v>
      </c>
      <c r="F493" s="5">
        <v>0.5</v>
      </c>
      <c r="G493" s="8"/>
    </row>
    <row r="494" spans="1:7" x14ac:dyDescent="0.25">
      <c r="A494" s="4">
        <v>42075</v>
      </c>
      <c r="B494" s="3" t="s">
        <v>39</v>
      </c>
      <c r="C494" s="3" t="s">
        <v>6</v>
      </c>
      <c r="D494" s="3" t="s">
        <v>31</v>
      </c>
      <c r="E494" s="3">
        <v>7</v>
      </c>
      <c r="F494" s="5">
        <v>2.5</v>
      </c>
      <c r="G494" s="8"/>
    </row>
    <row r="495" spans="1:7" x14ac:dyDescent="0.25">
      <c r="A495" s="4">
        <v>42115</v>
      </c>
      <c r="B495" s="3" t="s">
        <v>26</v>
      </c>
      <c r="C495" s="3" t="s">
        <v>10</v>
      </c>
      <c r="D495" s="3" t="s">
        <v>28</v>
      </c>
      <c r="E495" s="3">
        <v>48</v>
      </c>
      <c r="F495" s="5">
        <v>2</v>
      </c>
      <c r="G495" s="8"/>
    </row>
    <row r="496" spans="1:7" x14ac:dyDescent="0.25">
      <c r="A496" s="4">
        <v>42135</v>
      </c>
      <c r="B496" s="3" t="s">
        <v>38</v>
      </c>
      <c r="C496" s="3" t="s">
        <v>6</v>
      </c>
      <c r="D496" s="3" t="s">
        <v>36</v>
      </c>
      <c r="E496" s="3">
        <v>18</v>
      </c>
      <c r="F496" s="5">
        <v>1.5</v>
      </c>
      <c r="G496" s="8"/>
    </row>
    <row r="497" spans="1:7" x14ac:dyDescent="0.25">
      <c r="A497" s="4">
        <v>42051</v>
      </c>
      <c r="B497" s="3" t="s">
        <v>26</v>
      </c>
      <c r="C497" s="3" t="s">
        <v>10</v>
      </c>
      <c r="D497" s="3" t="s">
        <v>27</v>
      </c>
      <c r="E497" s="3">
        <v>35</v>
      </c>
      <c r="F497" s="5">
        <v>0.5</v>
      </c>
      <c r="G497" s="8"/>
    </row>
    <row r="498" spans="1:7" x14ac:dyDescent="0.25">
      <c r="A498" s="4">
        <v>42057</v>
      </c>
      <c r="B498" s="3" t="s">
        <v>38</v>
      </c>
      <c r="C498" s="3" t="s">
        <v>6</v>
      </c>
      <c r="D498" s="3" t="s">
        <v>28</v>
      </c>
      <c r="E498" s="3">
        <v>41</v>
      </c>
      <c r="F498" s="5">
        <v>2</v>
      </c>
      <c r="G498" s="8"/>
    </row>
    <row r="499" spans="1:7" x14ac:dyDescent="0.25">
      <c r="A499" s="4">
        <v>42024</v>
      </c>
      <c r="B499" s="3" t="s">
        <v>32</v>
      </c>
      <c r="C499" s="3" t="s">
        <v>5</v>
      </c>
      <c r="D499" s="3" t="s">
        <v>33</v>
      </c>
      <c r="E499" s="3">
        <v>38</v>
      </c>
      <c r="F499" s="5">
        <v>5</v>
      </c>
      <c r="G499" s="8"/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>
    <tabColor rgb="FF2EA3F2"/>
  </sheetPr>
  <dimension ref="A1:P499"/>
  <sheetViews>
    <sheetView zoomScale="115" zoomScaleNormal="115" workbookViewId="0">
      <selection activeCell="G17" sqref="G17"/>
    </sheetView>
  </sheetViews>
  <sheetFormatPr defaultColWidth="8.85546875" defaultRowHeight="14.25" x14ac:dyDescent="0.25"/>
  <cols>
    <col min="1" max="1" width="5" style="2" bestFit="1" customWidth="1"/>
    <col min="2" max="2" width="10.42578125" style="2" bestFit="1" customWidth="1"/>
    <col min="3" max="3" width="12" style="2" customWidth="1"/>
    <col min="4" max="4" width="14.28515625" style="2" bestFit="1" customWidth="1"/>
    <col min="5" max="5" width="10.7109375" style="2" bestFit="1" customWidth="1"/>
    <col min="6" max="7" width="9.85546875" style="2" bestFit="1" customWidth="1"/>
    <col min="8" max="8" width="8.85546875" style="2"/>
    <col min="9" max="9" width="10.42578125" style="2" bestFit="1" customWidth="1"/>
    <col min="10" max="12" width="8.85546875" style="2"/>
    <col min="13" max="13" width="10.28515625" style="2" bestFit="1" customWidth="1"/>
    <col min="14" max="23" width="8.85546875" style="2"/>
    <col min="24" max="24" width="10.7109375" style="2" bestFit="1" customWidth="1"/>
    <col min="25" max="16384" width="8.85546875" style="2"/>
  </cols>
  <sheetData>
    <row r="1" spans="1:16" x14ac:dyDescent="0.25">
      <c r="A1" s="1" t="str">
        <f>"Kryterium formuły co "&amp;E2&amp;" wiersz"</f>
        <v>Kryterium formuły co 10 wiersz</v>
      </c>
      <c r="B1" s="1"/>
      <c r="C1" s="1"/>
      <c r="D1" s="1"/>
      <c r="E1" s="1"/>
      <c r="F1" s="1"/>
    </row>
    <row r="2" spans="1:16" x14ac:dyDescent="0.25">
      <c r="E2" s="3">
        <v>10</v>
      </c>
      <c r="F2" s="11"/>
    </row>
    <row r="3" spans="1:16" x14ac:dyDescent="0.25">
      <c r="F3" s="2" t="b">
        <f>MOD(ROWS($B$6:B6),$E$2)=0</f>
        <v>0</v>
      </c>
    </row>
    <row r="5" spans="1:16" x14ac:dyDescent="0.25">
      <c r="A5" s="11" t="s">
        <v>24</v>
      </c>
      <c r="B5" s="11" t="s">
        <v>0</v>
      </c>
      <c r="C5" s="11" t="s">
        <v>3</v>
      </c>
      <c r="D5" s="11" t="s">
        <v>1</v>
      </c>
      <c r="E5" s="11" t="s">
        <v>7</v>
      </c>
      <c r="F5" s="11" t="s">
        <v>49</v>
      </c>
      <c r="G5" s="11" t="s">
        <v>44</v>
      </c>
      <c r="J5" s="11" t="s">
        <v>24</v>
      </c>
      <c r="K5" s="11" t="s">
        <v>0</v>
      </c>
      <c r="L5" s="11" t="s">
        <v>3</v>
      </c>
      <c r="M5" s="11" t="s">
        <v>1</v>
      </c>
      <c r="N5" s="11" t="s">
        <v>7</v>
      </c>
      <c r="O5" s="11" t="s">
        <v>49</v>
      </c>
      <c r="P5" s="11" t="s">
        <v>44</v>
      </c>
    </row>
    <row r="6" spans="1:16" x14ac:dyDescent="0.25">
      <c r="A6" s="3">
        <v>1</v>
      </c>
      <c r="B6" s="4">
        <v>42067</v>
      </c>
      <c r="C6" s="3" t="s">
        <v>29</v>
      </c>
      <c r="D6" s="3" t="s">
        <v>5</v>
      </c>
      <c r="E6" s="3" t="s">
        <v>27</v>
      </c>
      <c r="F6" s="3">
        <v>13</v>
      </c>
      <c r="G6" s="5">
        <v>0.5</v>
      </c>
      <c r="H6" s="2" t="b">
        <f>MOD(ROWS($H$6:H6),10)=0</f>
        <v>0</v>
      </c>
      <c r="J6" s="3">
        <v>10</v>
      </c>
      <c r="K6" s="4">
        <v>42071</v>
      </c>
      <c r="L6" s="3" t="s">
        <v>38</v>
      </c>
      <c r="M6" s="3" t="s">
        <v>2</v>
      </c>
      <c r="N6" s="3" t="s">
        <v>27</v>
      </c>
      <c r="O6" s="3">
        <v>15</v>
      </c>
      <c r="P6" s="5">
        <v>0.5</v>
      </c>
    </row>
    <row r="7" spans="1:16" x14ac:dyDescent="0.25">
      <c r="A7" s="3">
        <v>2</v>
      </c>
      <c r="B7" s="4">
        <v>42074</v>
      </c>
      <c r="C7" s="3" t="s">
        <v>32</v>
      </c>
      <c r="D7" s="3" t="s">
        <v>5</v>
      </c>
      <c r="E7" s="3" t="s">
        <v>34</v>
      </c>
      <c r="F7" s="3">
        <v>12</v>
      </c>
      <c r="G7" s="5">
        <v>0.2</v>
      </c>
      <c r="H7" s="2" t="b">
        <f>MOD(ROWS($H$6:H7),10)=0</f>
        <v>0</v>
      </c>
      <c r="J7" s="3">
        <v>20</v>
      </c>
      <c r="K7" s="4">
        <v>42013</v>
      </c>
      <c r="L7" s="3" t="s">
        <v>39</v>
      </c>
      <c r="M7" s="3" t="s">
        <v>6</v>
      </c>
      <c r="N7" s="3" t="s">
        <v>31</v>
      </c>
      <c r="O7" s="3">
        <v>50</v>
      </c>
      <c r="P7" s="5">
        <v>2.5</v>
      </c>
    </row>
    <row r="8" spans="1:16" x14ac:dyDescent="0.25">
      <c r="A8" s="3">
        <v>3</v>
      </c>
      <c r="B8" s="4">
        <v>42177</v>
      </c>
      <c r="C8" s="3" t="s">
        <v>26</v>
      </c>
      <c r="D8" s="3" t="s">
        <v>10</v>
      </c>
      <c r="E8" s="3" t="s">
        <v>27</v>
      </c>
      <c r="F8" s="3">
        <v>29</v>
      </c>
      <c r="G8" s="5">
        <v>0.5</v>
      </c>
      <c r="H8" s="2" t="b">
        <f>MOD(ROWS($H$6:H8),10)=0</f>
        <v>0</v>
      </c>
      <c r="J8" s="3">
        <v>30</v>
      </c>
      <c r="K8" s="4">
        <v>42026</v>
      </c>
      <c r="L8" s="3" t="s">
        <v>32</v>
      </c>
      <c r="M8" s="3" t="s">
        <v>6</v>
      </c>
      <c r="N8" s="3" t="s">
        <v>27</v>
      </c>
      <c r="O8" s="3">
        <v>31</v>
      </c>
      <c r="P8" s="5">
        <v>0.5</v>
      </c>
    </row>
    <row r="9" spans="1:16" x14ac:dyDescent="0.25">
      <c r="A9" s="3">
        <v>4</v>
      </c>
      <c r="B9" s="4">
        <v>42103</v>
      </c>
      <c r="C9" s="3" t="s">
        <v>38</v>
      </c>
      <c r="D9" s="3" t="s">
        <v>2</v>
      </c>
      <c r="E9" s="3" t="s">
        <v>27</v>
      </c>
      <c r="F9" s="3">
        <v>33</v>
      </c>
      <c r="G9" s="5">
        <v>0.5</v>
      </c>
      <c r="H9" s="2" t="b">
        <f>MOD(ROWS($H$6:H9),10)=0</f>
        <v>0</v>
      </c>
      <c r="J9" s="3">
        <v>40</v>
      </c>
      <c r="K9" s="4">
        <v>42172</v>
      </c>
      <c r="L9" s="3" t="s">
        <v>26</v>
      </c>
      <c r="M9" s="3" t="s">
        <v>10</v>
      </c>
      <c r="N9" s="3" t="s">
        <v>36</v>
      </c>
      <c r="O9" s="3">
        <v>31</v>
      </c>
      <c r="P9" s="5">
        <v>1.5</v>
      </c>
    </row>
    <row r="10" spans="1:16" x14ac:dyDescent="0.25">
      <c r="A10" s="3">
        <v>5</v>
      </c>
      <c r="B10" s="4">
        <v>42007</v>
      </c>
      <c r="C10" s="3" t="s">
        <v>37</v>
      </c>
      <c r="D10" s="3" t="s">
        <v>19</v>
      </c>
      <c r="E10" s="3" t="s">
        <v>30</v>
      </c>
      <c r="F10" s="3">
        <v>41</v>
      </c>
      <c r="G10" s="5">
        <v>0.1</v>
      </c>
      <c r="H10" s="2" t="b">
        <f>MOD(ROWS($H$6:H10),10)=0</f>
        <v>0</v>
      </c>
      <c r="J10" s="3">
        <v>50</v>
      </c>
      <c r="K10" s="4">
        <v>42138</v>
      </c>
      <c r="L10" s="3" t="s">
        <v>29</v>
      </c>
      <c r="M10" s="3" t="s">
        <v>10</v>
      </c>
      <c r="N10" s="3" t="s">
        <v>36</v>
      </c>
      <c r="O10" s="3">
        <v>18</v>
      </c>
      <c r="P10" s="5">
        <v>1.5</v>
      </c>
    </row>
    <row r="11" spans="1:16" x14ac:dyDescent="0.25">
      <c r="A11" s="3">
        <v>6</v>
      </c>
      <c r="B11" s="4">
        <v>42012</v>
      </c>
      <c r="C11" s="3" t="s">
        <v>29</v>
      </c>
      <c r="D11" s="3" t="s">
        <v>2</v>
      </c>
      <c r="E11" s="3" t="s">
        <v>35</v>
      </c>
      <c r="F11" s="3">
        <v>32</v>
      </c>
      <c r="G11" s="5">
        <v>4</v>
      </c>
      <c r="H11" s="2" t="b">
        <f>MOD(ROWS($H$6:H11),10)=0</f>
        <v>0</v>
      </c>
      <c r="J11" s="3">
        <v>60</v>
      </c>
      <c r="K11" s="4">
        <v>42032</v>
      </c>
      <c r="L11" s="3" t="s">
        <v>32</v>
      </c>
      <c r="M11" s="3" t="s">
        <v>19</v>
      </c>
      <c r="N11" s="3" t="s">
        <v>27</v>
      </c>
      <c r="O11" s="3">
        <v>9</v>
      </c>
      <c r="P11" s="5">
        <v>0.5</v>
      </c>
    </row>
    <row r="12" spans="1:16" x14ac:dyDescent="0.25">
      <c r="A12" s="3">
        <v>7</v>
      </c>
      <c r="B12" s="4">
        <v>42051</v>
      </c>
      <c r="C12" s="3" t="s">
        <v>38</v>
      </c>
      <c r="D12" s="3" t="s">
        <v>10</v>
      </c>
      <c r="E12" s="3" t="s">
        <v>33</v>
      </c>
      <c r="F12" s="3">
        <v>34</v>
      </c>
      <c r="G12" s="5">
        <v>5</v>
      </c>
      <c r="H12" s="2" t="b">
        <f>MOD(ROWS($H$6:H12),10)=0</f>
        <v>0</v>
      </c>
      <c r="J12" s="3">
        <v>70</v>
      </c>
      <c r="K12" s="4">
        <v>42179</v>
      </c>
      <c r="L12" s="3" t="s">
        <v>37</v>
      </c>
      <c r="M12" s="3" t="s">
        <v>2</v>
      </c>
      <c r="N12" s="3" t="s">
        <v>34</v>
      </c>
      <c r="O12" s="3">
        <v>26</v>
      </c>
      <c r="P12" s="5">
        <v>0.2</v>
      </c>
    </row>
    <row r="13" spans="1:16" x14ac:dyDescent="0.25">
      <c r="A13" s="3">
        <v>8</v>
      </c>
      <c r="B13" s="4">
        <v>42163</v>
      </c>
      <c r="C13" s="3" t="s">
        <v>26</v>
      </c>
      <c r="D13" s="3" t="s">
        <v>6</v>
      </c>
      <c r="E13" s="3" t="s">
        <v>35</v>
      </c>
      <c r="F13" s="3">
        <v>12</v>
      </c>
      <c r="G13" s="5">
        <v>4</v>
      </c>
      <c r="H13" s="2" t="b">
        <f>MOD(ROWS($H$6:H13),10)=0</f>
        <v>0</v>
      </c>
      <c r="J13" s="3">
        <v>80</v>
      </c>
      <c r="K13" s="4">
        <v>42090</v>
      </c>
      <c r="L13" s="3" t="s">
        <v>26</v>
      </c>
      <c r="M13" s="3" t="s">
        <v>6</v>
      </c>
      <c r="N13" s="3" t="s">
        <v>35</v>
      </c>
      <c r="O13" s="3">
        <v>50</v>
      </c>
      <c r="P13" s="5">
        <v>4</v>
      </c>
    </row>
    <row r="14" spans="1:16" x14ac:dyDescent="0.25">
      <c r="A14" s="3">
        <v>9</v>
      </c>
      <c r="B14" s="4">
        <v>42118</v>
      </c>
      <c r="C14" s="3" t="s">
        <v>38</v>
      </c>
      <c r="D14" s="3" t="s">
        <v>19</v>
      </c>
      <c r="E14" s="3" t="s">
        <v>27</v>
      </c>
      <c r="F14" s="3">
        <v>20</v>
      </c>
      <c r="G14" s="5">
        <v>0.5</v>
      </c>
      <c r="H14" s="2" t="b">
        <f>MOD(ROWS($H$6:H14),10)=0</f>
        <v>0</v>
      </c>
      <c r="J14" s="3">
        <v>90</v>
      </c>
      <c r="K14" s="4">
        <v>42132</v>
      </c>
      <c r="L14" s="3" t="s">
        <v>37</v>
      </c>
      <c r="M14" s="3" t="s">
        <v>2</v>
      </c>
      <c r="N14" s="3" t="s">
        <v>35</v>
      </c>
      <c r="O14" s="3">
        <v>22</v>
      </c>
      <c r="P14" s="5">
        <v>4</v>
      </c>
    </row>
    <row r="15" spans="1:16" x14ac:dyDescent="0.25">
      <c r="A15" s="3">
        <v>10</v>
      </c>
      <c r="B15" s="4">
        <v>42071</v>
      </c>
      <c r="C15" s="3" t="s">
        <v>38</v>
      </c>
      <c r="D15" s="3" t="s">
        <v>2</v>
      </c>
      <c r="E15" s="3" t="s">
        <v>27</v>
      </c>
      <c r="F15" s="3">
        <v>15</v>
      </c>
      <c r="G15" s="5">
        <v>0.5</v>
      </c>
      <c r="H15" s="2" t="b">
        <f>MOD(ROWS($H$6:H15),10)=0</f>
        <v>1</v>
      </c>
      <c r="J15" s="3">
        <v>100</v>
      </c>
      <c r="K15" s="4">
        <v>42184</v>
      </c>
      <c r="L15" s="3" t="s">
        <v>38</v>
      </c>
      <c r="M15" s="3" t="s">
        <v>2</v>
      </c>
      <c r="N15" s="3" t="s">
        <v>28</v>
      </c>
      <c r="O15" s="3">
        <v>41</v>
      </c>
      <c r="P15" s="5">
        <v>2</v>
      </c>
    </row>
    <row r="16" spans="1:16" x14ac:dyDescent="0.25">
      <c r="A16" s="3">
        <v>11</v>
      </c>
      <c r="B16" s="4">
        <v>42134</v>
      </c>
      <c r="C16" s="3" t="s">
        <v>39</v>
      </c>
      <c r="D16" s="3" t="s">
        <v>5</v>
      </c>
      <c r="E16" s="3" t="s">
        <v>27</v>
      </c>
      <c r="F16" s="3">
        <v>35</v>
      </c>
      <c r="G16" s="5">
        <v>0.5</v>
      </c>
      <c r="H16" s="2" t="b">
        <f>MOD(ROWS($H$6:H16),10)=0</f>
        <v>0</v>
      </c>
      <c r="J16" s="3">
        <v>110</v>
      </c>
      <c r="K16" s="4">
        <v>42140</v>
      </c>
      <c r="L16" s="3" t="s">
        <v>32</v>
      </c>
      <c r="M16" s="3" t="s">
        <v>10</v>
      </c>
      <c r="N16" s="3" t="s">
        <v>28</v>
      </c>
      <c r="O16" s="3">
        <v>16</v>
      </c>
      <c r="P16" s="5">
        <v>2</v>
      </c>
    </row>
    <row r="17" spans="1:16" x14ac:dyDescent="0.25">
      <c r="A17" s="3">
        <v>12</v>
      </c>
      <c r="B17" s="4">
        <v>42063</v>
      </c>
      <c r="C17" s="3" t="s">
        <v>32</v>
      </c>
      <c r="D17" s="3" t="s">
        <v>5</v>
      </c>
      <c r="E17" s="3" t="s">
        <v>33</v>
      </c>
      <c r="F17" s="3">
        <v>21</v>
      </c>
      <c r="G17" s="5">
        <v>5</v>
      </c>
      <c r="H17" s="2" t="b">
        <f>MOD(ROWS($H$6:H17),10)=0</f>
        <v>0</v>
      </c>
      <c r="J17" s="3">
        <v>120</v>
      </c>
      <c r="K17" s="4">
        <v>42166</v>
      </c>
      <c r="L17" s="3" t="s">
        <v>37</v>
      </c>
      <c r="M17" s="3" t="s">
        <v>19</v>
      </c>
      <c r="N17" s="3" t="s">
        <v>30</v>
      </c>
      <c r="O17" s="3">
        <v>22</v>
      </c>
      <c r="P17" s="5">
        <v>0.1</v>
      </c>
    </row>
    <row r="18" spans="1:16" x14ac:dyDescent="0.25">
      <c r="A18" s="3">
        <v>13</v>
      </c>
      <c r="B18" s="4">
        <v>42012</v>
      </c>
      <c r="C18" s="3" t="s">
        <v>38</v>
      </c>
      <c r="D18" s="3" t="s">
        <v>5</v>
      </c>
      <c r="E18" s="3" t="s">
        <v>31</v>
      </c>
      <c r="F18" s="3">
        <v>40</v>
      </c>
      <c r="G18" s="5">
        <v>2.5</v>
      </c>
      <c r="H18" s="2" t="b">
        <f>MOD(ROWS($H$6:H18),10)=0</f>
        <v>0</v>
      </c>
      <c r="J18" s="3">
        <v>130</v>
      </c>
      <c r="K18" s="4">
        <v>42168</v>
      </c>
      <c r="L18" s="3" t="s">
        <v>29</v>
      </c>
      <c r="M18" s="3" t="s">
        <v>10</v>
      </c>
      <c r="N18" s="3" t="s">
        <v>30</v>
      </c>
      <c r="O18" s="3">
        <v>41</v>
      </c>
      <c r="P18" s="5">
        <v>0.1</v>
      </c>
    </row>
    <row r="19" spans="1:16" x14ac:dyDescent="0.25">
      <c r="A19" s="3">
        <v>14</v>
      </c>
      <c r="B19" s="4">
        <v>42097</v>
      </c>
      <c r="C19" s="3" t="s">
        <v>26</v>
      </c>
      <c r="D19" s="3" t="s">
        <v>10</v>
      </c>
      <c r="E19" s="3" t="s">
        <v>28</v>
      </c>
      <c r="F19" s="3">
        <v>3</v>
      </c>
      <c r="G19" s="5">
        <v>2</v>
      </c>
      <c r="H19" s="2" t="b">
        <f>MOD(ROWS($H$6:H19),10)=0</f>
        <v>0</v>
      </c>
      <c r="J19" s="3">
        <v>140</v>
      </c>
      <c r="K19" s="4">
        <v>42178</v>
      </c>
      <c r="L19" s="3" t="s">
        <v>39</v>
      </c>
      <c r="M19" s="3" t="s">
        <v>10</v>
      </c>
      <c r="N19" s="3" t="s">
        <v>28</v>
      </c>
      <c r="O19" s="3">
        <v>44</v>
      </c>
      <c r="P19" s="5">
        <v>2</v>
      </c>
    </row>
    <row r="20" spans="1:16" x14ac:dyDescent="0.25">
      <c r="A20" s="3">
        <v>15</v>
      </c>
      <c r="B20" s="4">
        <v>42058</v>
      </c>
      <c r="C20" s="3" t="s">
        <v>39</v>
      </c>
      <c r="D20" s="3" t="s">
        <v>2</v>
      </c>
      <c r="E20" s="3" t="s">
        <v>27</v>
      </c>
      <c r="F20" s="3">
        <v>25</v>
      </c>
      <c r="G20" s="5">
        <v>0.5</v>
      </c>
      <c r="H20" s="2" t="b">
        <f>MOD(ROWS($H$6:H20),10)=0</f>
        <v>0</v>
      </c>
      <c r="J20" s="3">
        <v>150</v>
      </c>
      <c r="K20" s="4">
        <v>42131</v>
      </c>
      <c r="L20" s="3" t="s">
        <v>39</v>
      </c>
      <c r="M20" s="3" t="s">
        <v>5</v>
      </c>
      <c r="N20" s="3" t="s">
        <v>34</v>
      </c>
      <c r="O20" s="3">
        <v>25</v>
      </c>
      <c r="P20" s="5">
        <v>0.2</v>
      </c>
    </row>
    <row r="21" spans="1:16" x14ac:dyDescent="0.25">
      <c r="A21" s="3">
        <v>16</v>
      </c>
      <c r="B21" s="4">
        <v>42018</v>
      </c>
      <c r="C21" s="3" t="s">
        <v>38</v>
      </c>
      <c r="D21" s="3" t="s">
        <v>2</v>
      </c>
      <c r="E21" s="3" t="s">
        <v>34</v>
      </c>
      <c r="F21" s="3">
        <v>11</v>
      </c>
      <c r="G21" s="5">
        <v>0.2</v>
      </c>
      <c r="H21" s="2" t="b">
        <f>MOD(ROWS($H$6:H21),10)=0</f>
        <v>0</v>
      </c>
      <c r="J21" s="3">
        <v>160</v>
      </c>
      <c r="K21" s="4">
        <v>42097</v>
      </c>
      <c r="L21" s="3" t="s">
        <v>29</v>
      </c>
      <c r="M21" s="3" t="s">
        <v>5</v>
      </c>
      <c r="N21" s="3" t="s">
        <v>36</v>
      </c>
      <c r="O21" s="3">
        <v>33</v>
      </c>
      <c r="P21" s="5">
        <v>1.5</v>
      </c>
    </row>
    <row r="22" spans="1:16" x14ac:dyDescent="0.25">
      <c r="A22" s="3">
        <v>17</v>
      </c>
      <c r="B22" s="4">
        <v>42085</v>
      </c>
      <c r="C22" s="3" t="s">
        <v>37</v>
      </c>
      <c r="D22" s="3" t="s">
        <v>6</v>
      </c>
      <c r="E22" s="3" t="s">
        <v>33</v>
      </c>
      <c r="F22" s="3">
        <v>9</v>
      </c>
      <c r="G22" s="5">
        <v>5</v>
      </c>
      <c r="H22" s="2" t="b">
        <f>MOD(ROWS($H$6:H22),10)=0</f>
        <v>0</v>
      </c>
      <c r="J22" s="3">
        <v>170</v>
      </c>
      <c r="K22" s="4">
        <v>42040</v>
      </c>
      <c r="L22" s="3" t="s">
        <v>26</v>
      </c>
      <c r="M22" s="3" t="s">
        <v>5</v>
      </c>
      <c r="N22" s="3" t="s">
        <v>27</v>
      </c>
      <c r="O22" s="3">
        <v>43</v>
      </c>
      <c r="P22" s="5">
        <v>0.5</v>
      </c>
    </row>
    <row r="23" spans="1:16" x14ac:dyDescent="0.25">
      <c r="A23" s="3">
        <v>18</v>
      </c>
      <c r="B23" s="4">
        <v>42150</v>
      </c>
      <c r="C23" s="3" t="s">
        <v>37</v>
      </c>
      <c r="D23" s="3" t="s">
        <v>6</v>
      </c>
      <c r="E23" s="3" t="s">
        <v>33</v>
      </c>
      <c r="F23" s="3">
        <v>48</v>
      </c>
      <c r="G23" s="5">
        <v>5</v>
      </c>
      <c r="H23" s="2" t="b">
        <f>MOD(ROWS($H$6:H23),10)=0</f>
        <v>0</v>
      </c>
      <c r="J23" s="3">
        <v>180</v>
      </c>
      <c r="K23" s="4">
        <v>42124</v>
      </c>
      <c r="L23" s="3" t="s">
        <v>26</v>
      </c>
      <c r="M23" s="3" t="s">
        <v>19</v>
      </c>
      <c r="N23" s="3" t="s">
        <v>36</v>
      </c>
      <c r="O23" s="3">
        <v>28</v>
      </c>
      <c r="P23" s="5">
        <v>1.5</v>
      </c>
    </row>
    <row r="24" spans="1:16" x14ac:dyDescent="0.25">
      <c r="A24" s="3">
        <v>19</v>
      </c>
      <c r="B24" s="4">
        <v>42015</v>
      </c>
      <c r="C24" s="3" t="s">
        <v>38</v>
      </c>
      <c r="D24" s="3" t="s">
        <v>5</v>
      </c>
      <c r="E24" s="3" t="s">
        <v>36</v>
      </c>
      <c r="F24" s="3">
        <v>19</v>
      </c>
      <c r="G24" s="5">
        <v>1.5</v>
      </c>
      <c r="H24" s="2" t="b">
        <f>MOD(ROWS($H$6:H24),10)=0</f>
        <v>0</v>
      </c>
      <c r="J24" s="3">
        <v>190</v>
      </c>
      <c r="K24" s="4">
        <v>42122</v>
      </c>
      <c r="L24" s="3" t="s">
        <v>29</v>
      </c>
      <c r="M24" s="3" t="s">
        <v>2</v>
      </c>
      <c r="N24" s="3" t="s">
        <v>35</v>
      </c>
      <c r="O24" s="3">
        <v>22</v>
      </c>
      <c r="P24" s="5">
        <v>4</v>
      </c>
    </row>
    <row r="25" spans="1:16" x14ac:dyDescent="0.25">
      <c r="A25" s="3">
        <v>20</v>
      </c>
      <c r="B25" s="4">
        <v>42013</v>
      </c>
      <c r="C25" s="3" t="s">
        <v>39</v>
      </c>
      <c r="D25" s="3" t="s">
        <v>6</v>
      </c>
      <c r="E25" s="3" t="s">
        <v>31</v>
      </c>
      <c r="F25" s="3">
        <v>50</v>
      </c>
      <c r="G25" s="5">
        <v>2.5</v>
      </c>
      <c r="H25" s="2" t="b">
        <f>MOD(ROWS($H$6:H25),10)=0</f>
        <v>1</v>
      </c>
      <c r="J25" s="3">
        <v>200</v>
      </c>
      <c r="K25" s="4">
        <v>42025</v>
      </c>
      <c r="L25" s="3" t="s">
        <v>32</v>
      </c>
      <c r="M25" s="3" t="s">
        <v>10</v>
      </c>
      <c r="N25" s="3" t="s">
        <v>35</v>
      </c>
      <c r="O25" s="3">
        <v>42</v>
      </c>
      <c r="P25" s="5">
        <v>4</v>
      </c>
    </row>
    <row r="26" spans="1:16" x14ac:dyDescent="0.25">
      <c r="A26" s="3">
        <v>21</v>
      </c>
      <c r="B26" s="4">
        <v>42015</v>
      </c>
      <c r="C26" s="3" t="s">
        <v>39</v>
      </c>
      <c r="D26" s="3" t="s">
        <v>2</v>
      </c>
      <c r="E26" s="3" t="s">
        <v>33</v>
      </c>
      <c r="F26" s="3">
        <v>24</v>
      </c>
      <c r="G26" s="5">
        <v>5</v>
      </c>
      <c r="H26" s="2" t="b">
        <f>MOD(ROWS($H$6:H26),10)=0</f>
        <v>0</v>
      </c>
      <c r="J26" s="3">
        <v>210</v>
      </c>
      <c r="K26" s="4">
        <v>42093</v>
      </c>
      <c r="L26" s="3" t="s">
        <v>39</v>
      </c>
      <c r="M26" s="3" t="s">
        <v>10</v>
      </c>
      <c r="N26" s="3" t="s">
        <v>28</v>
      </c>
      <c r="O26" s="3">
        <v>29</v>
      </c>
      <c r="P26" s="5">
        <v>2</v>
      </c>
    </row>
    <row r="27" spans="1:16" x14ac:dyDescent="0.25">
      <c r="A27" s="3">
        <v>22</v>
      </c>
      <c r="B27" s="4">
        <v>42075</v>
      </c>
      <c r="C27" s="3" t="s">
        <v>38</v>
      </c>
      <c r="D27" s="3" t="s">
        <v>19</v>
      </c>
      <c r="E27" s="3" t="s">
        <v>27</v>
      </c>
      <c r="F27" s="3">
        <v>26</v>
      </c>
      <c r="G27" s="5">
        <v>0.5</v>
      </c>
      <c r="H27" s="2" t="b">
        <f>MOD(ROWS($H$6:H27),10)=0</f>
        <v>0</v>
      </c>
      <c r="J27" s="3">
        <v>220</v>
      </c>
      <c r="K27" s="4">
        <v>42117</v>
      </c>
      <c r="L27" s="3" t="s">
        <v>32</v>
      </c>
      <c r="M27" s="3" t="s">
        <v>6</v>
      </c>
      <c r="N27" s="3" t="s">
        <v>31</v>
      </c>
      <c r="O27" s="3">
        <v>8</v>
      </c>
      <c r="P27" s="5">
        <v>2.5</v>
      </c>
    </row>
    <row r="28" spans="1:16" x14ac:dyDescent="0.25">
      <c r="A28" s="3">
        <v>23</v>
      </c>
      <c r="B28" s="4">
        <v>42080</v>
      </c>
      <c r="C28" s="3" t="s">
        <v>38</v>
      </c>
      <c r="D28" s="3" t="s">
        <v>6</v>
      </c>
      <c r="E28" s="3" t="s">
        <v>27</v>
      </c>
      <c r="F28" s="3">
        <v>11</v>
      </c>
      <c r="G28" s="5">
        <v>0.5</v>
      </c>
      <c r="H28" s="2" t="b">
        <f>MOD(ROWS($H$6:H28),10)=0</f>
        <v>0</v>
      </c>
      <c r="J28" s="3">
        <v>230</v>
      </c>
      <c r="K28" s="4">
        <v>42087</v>
      </c>
      <c r="L28" s="3" t="s">
        <v>39</v>
      </c>
      <c r="M28" s="3" t="s">
        <v>6</v>
      </c>
      <c r="N28" s="3" t="s">
        <v>33</v>
      </c>
      <c r="O28" s="3">
        <v>23</v>
      </c>
      <c r="P28" s="5">
        <v>5</v>
      </c>
    </row>
    <row r="29" spans="1:16" x14ac:dyDescent="0.25">
      <c r="A29" s="3">
        <v>24</v>
      </c>
      <c r="B29" s="4">
        <v>42119</v>
      </c>
      <c r="C29" s="3" t="s">
        <v>38</v>
      </c>
      <c r="D29" s="3" t="s">
        <v>5</v>
      </c>
      <c r="E29" s="3" t="s">
        <v>35</v>
      </c>
      <c r="F29" s="3">
        <v>4</v>
      </c>
      <c r="G29" s="5">
        <v>4</v>
      </c>
      <c r="H29" s="2" t="b">
        <f>MOD(ROWS($H$6:H29),10)=0</f>
        <v>0</v>
      </c>
      <c r="J29" s="3">
        <v>240</v>
      </c>
      <c r="K29" s="4">
        <v>42079</v>
      </c>
      <c r="L29" s="3" t="s">
        <v>32</v>
      </c>
      <c r="M29" s="3" t="s">
        <v>5</v>
      </c>
      <c r="N29" s="3" t="s">
        <v>30</v>
      </c>
      <c r="O29" s="3">
        <v>45</v>
      </c>
      <c r="P29" s="5">
        <v>0.1</v>
      </c>
    </row>
    <row r="30" spans="1:16" x14ac:dyDescent="0.25">
      <c r="A30" s="3">
        <v>25</v>
      </c>
      <c r="B30" s="4">
        <v>42043</v>
      </c>
      <c r="C30" s="3" t="s">
        <v>38</v>
      </c>
      <c r="D30" s="3" t="s">
        <v>2</v>
      </c>
      <c r="E30" s="3" t="s">
        <v>36</v>
      </c>
      <c r="F30" s="3">
        <v>20</v>
      </c>
      <c r="G30" s="5">
        <v>1.5</v>
      </c>
      <c r="H30" s="2" t="b">
        <f>MOD(ROWS($H$6:H30),10)=0</f>
        <v>0</v>
      </c>
      <c r="J30" s="3">
        <v>250</v>
      </c>
      <c r="K30" s="4">
        <v>42119</v>
      </c>
      <c r="L30" s="3" t="s">
        <v>26</v>
      </c>
      <c r="M30" s="3" t="s">
        <v>10</v>
      </c>
      <c r="N30" s="3" t="s">
        <v>28</v>
      </c>
      <c r="O30" s="3">
        <v>1</v>
      </c>
      <c r="P30" s="5">
        <v>2</v>
      </c>
    </row>
    <row r="31" spans="1:16" x14ac:dyDescent="0.25">
      <c r="A31" s="3">
        <v>26</v>
      </c>
      <c r="B31" s="4">
        <v>42057</v>
      </c>
      <c r="C31" s="3" t="s">
        <v>38</v>
      </c>
      <c r="D31" s="3" t="s">
        <v>6</v>
      </c>
      <c r="E31" s="3" t="s">
        <v>30</v>
      </c>
      <c r="F31" s="3">
        <v>24</v>
      </c>
      <c r="G31" s="5">
        <v>0.1</v>
      </c>
      <c r="H31" s="2" t="b">
        <f>MOD(ROWS($H$6:H31),10)=0</f>
        <v>0</v>
      </c>
      <c r="J31" s="3">
        <v>260</v>
      </c>
      <c r="K31" s="4">
        <v>42063</v>
      </c>
      <c r="L31" s="3" t="s">
        <v>39</v>
      </c>
      <c r="M31" s="3" t="s">
        <v>10</v>
      </c>
      <c r="N31" s="3" t="s">
        <v>33</v>
      </c>
      <c r="O31" s="3">
        <v>40</v>
      </c>
      <c r="P31" s="5">
        <v>5</v>
      </c>
    </row>
    <row r="32" spans="1:16" x14ac:dyDescent="0.25">
      <c r="A32" s="3">
        <v>27</v>
      </c>
      <c r="B32" s="4">
        <v>42053</v>
      </c>
      <c r="C32" s="3" t="s">
        <v>26</v>
      </c>
      <c r="D32" s="3" t="s">
        <v>5</v>
      </c>
      <c r="E32" s="3" t="s">
        <v>31</v>
      </c>
      <c r="F32" s="3">
        <v>31</v>
      </c>
      <c r="G32" s="5">
        <v>2.5</v>
      </c>
      <c r="H32" s="2" t="b">
        <f>MOD(ROWS($H$6:H32),10)=0</f>
        <v>0</v>
      </c>
      <c r="J32" s="3">
        <v>270</v>
      </c>
      <c r="K32" s="4">
        <v>42079</v>
      </c>
      <c r="L32" s="3" t="s">
        <v>38</v>
      </c>
      <c r="M32" s="3" t="s">
        <v>5</v>
      </c>
      <c r="N32" s="3" t="s">
        <v>28</v>
      </c>
      <c r="O32" s="3">
        <v>44</v>
      </c>
      <c r="P32" s="5">
        <v>2</v>
      </c>
    </row>
    <row r="33" spans="1:16" x14ac:dyDescent="0.25">
      <c r="A33" s="3">
        <v>28</v>
      </c>
      <c r="B33" s="4">
        <v>42059</v>
      </c>
      <c r="C33" s="3" t="s">
        <v>26</v>
      </c>
      <c r="D33" s="3" t="s">
        <v>6</v>
      </c>
      <c r="E33" s="3" t="s">
        <v>35</v>
      </c>
      <c r="F33" s="3">
        <v>49</v>
      </c>
      <c r="G33" s="5">
        <v>4</v>
      </c>
      <c r="H33" s="2" t="b">
        <f>MOD(ROWS($H$6:H33),10)=0</f>
        <v>0</v>
      </c>
      <c r="J33" s="3">
        <v>280</v>
      </c>
      <c r="K33" s="4">
        <v>42106</v>
      </c>
      <c r="L33" s="3" t="s">
        <v>29</v>
      </c>
      <c r="M33" s="3" t="s">
        <v>19</v>
      </c>
      <c r="N33" s="3" t="s">
        <v>35</v>
      </c>
      <c r="O33" s="3">
        <v>47</v>
      </c>
      <c r="P33" s="5">
        <v>4</v>
      </c>
    </row>
    <row r="34" spans="1:16" x14ac:dyDescent="0.25">
      <c r="A34" s="3">
        <v>29</v>
      </c>
      <c r="B34" s="4">
        <v>42120</v>
      </c>
      <c r="C34" s="3" t="s">
        <v>39</v>
      </c>
      <c r="D34" s="3" t="s">
        <v>10</v>
      </c>
      <c r="E34" s="3" t="s">
        <v>27</v>
      </c>
      <c r="F34" s="3">
        <v>38</v>
      </c>
      <c r="G34" s="5">
        <v>0.5</v>
      </c>
      <c r="H34" s="2" t="b">
        <f>MOD(ROWS($H$6:H34),10)=0</f>
        <v>0</v>
      </c>
      <c r="J34" s="3">
        <v>290</v>
      </c>
      <c r="K34" s="4">
        <v>42098</v>
      </c>
      <c r="L34" s="3" t="s">
        <v>37</v>
      </c>
      <c r="M34" s="3" t="s">
        <v>19</v>
      </c>
      <c r="N34" s="3" t="s">
        <v>36</v>
      </c>
      <c r="O34" s="3">
        <v>33</v>
      </c>
      <c r="P34" s="5">
        <v>1.5</v>
      </c>
    </row>
    <row r="35" spans="1:16" x14ac:dyDescent="0.25">
      <c r="A35" s="3">
        <v>30</v>
      </c>
      <c r="B35" s="4">
        <v>42026</v>
      </c>
      <c r="C35" s="3" t="s">
        <v>32</v>
      </c>
      <c r="D35" s="3" t="s">
        <v>6</v>
      </c>
      <c r="E35" s="3" t="s">
        <v>27</v>
      </c>
      <c r="F35" s="3">
        <v>31</v>
      </c>
      <c r="G35" s="5">
        <v>0.5</v>
      </c>
      <c r="H35" s="2" t="b">
        <f>MOD(ROWS($H$6:H35),10)=0</f>
        <v>1</v>
      </c>
      <c r="J35" s="3">
        <v>300</v>
      </c>
      <c r="K35" s="4">
        <v>42168</v>
      </c>
      <c r="L35" s="3" t="s">
        <v>32</v>
      </c>
      <c r="M35" s="3" t="s">
        <v>2</v>
      </c>
      <c r="N35" s="3" t="s">
        <v>28</v>
      </c>
      <c r="O35" s="3">
        <v>39</v>
      </c>
      <c r="P35" s="5">
        <v>2</v>
      </c>
    </row>
    <row r="36" spans="1:16" x14ac:dyDescent="0.25">
      <c r="A36" s="3">
        <v>31</v>
      </c>
      <c r="B36" s="4">
        <v>42117</v>
      </c>
      <c r="C36" s="3" t="s">
        <v>39</v>
      </c>
      <c r="D36" s="3" t="s">
        <v>10</v>
      </c>
      <c r="E36" s="3" t="s">
        <v>28</v>
      </c>
      <c r="F36" s="3">
        <v>16</v>
      </c>
      <c r="G36" s="5">
        <v>2</v>
      </c>
      <c r="H36" s="2" t="b">
        <f>MOD(ROWS($H$6:H36),10)=0</f>
        <v>0</v>
      </c>
      <c r="J36" s="3">
        <v>310</v>
      </c>
      <c r="K36" s="4">
        <v>42175</v>
      </c>
      <c r="L36" s="3" t="s">
        <v>26</v>
      </c>
      <c r="M36" s="3" t="s">
        <v>6</v>
      </c>
      <c r="N36" s="3" t="s">
        <v>31</v>
      </c>
      <c r="O36" s="3">
        <v>1</v>
      </c>
      <c r="P36" s="5">
        <v>2.5</v>
      </c>
    </row>
    <row r="37" spans="1:16" x14ac:dyDescent="0.25">
      <c r="A37" s="3">
        <v>32</v>
      </c>
      <c r="B37" s="4">
        <v>42135</v>
      </c>
      <c r="C37" s="3" t="s">
        <v>26</v>
      </c>
      <c r="D37" s="3" t="s">
        <v>5</v>
      </c>
      <c r="E37" s="3" t="s">
        <v>33</v>
      </c>
      <c r="F37" s="3">
        <v>47</v>
      </c>
      <c r="G37" s="5">
        <v>5</v>
      </c>
      <c r="H37" s="2" t="b">
        <f>MOD(ROWS($H$6:H37),10)=0</f>
        <v>0</v>
      </c>
      <c r="J37" s="3">
        <v>320</v>
      </c>
      <c r="K37" s="4">
        <v>42101</v>
      </c>
      <c r="L37" s="3" t="s">
        <v>32</v>
      </c>
      <c r="M37" s="3" t="s">
        <v>2</v>
      </c>
      <c r="N37" s="3" t="s">
        <v>36</v>
      </c>
      <c r="O37" s="3">
        <v>26</v>
      </c>
      <c r="P37" s="5">
        <v>1.5</v>
      </c>
    </row>
    <row r="38" spans="1:16" x14ac:dyDescent="0.25">
      <c r="A38" s="3">
        <v>33</v>
      </c>
      <c r="B38" s="4">
        <v>42056</v>
      </c>
      <c r="C38" s="3" t="s">
        <v>39</v>
      </c>
      <c r="D38" s="3" t="s">
        <v>5</v>
      </c>
      <c r="E38" s="3" t="s">
        <v>34</v>
      </c>
      <c r="F38" s="3">
        <v>5</v>
      </c>
      <c r="G38" s="5">
        <v>0.2</v>
      </c>
      <c r="H38" s="2" t="b">
        <f>MOD(ROWS($H$6:H38),10)=0</f>
        <v>0</v>
      </c>
      <c r="J38" s="3">
        <v>330</v>
      </c>
      <c r="K38" s="4">
        <v>42019</v>
      </c>
      <c r="L38" s="3" t="s">
        <v>29</v>
      </c>
      <c r="M38" s="3" t="s">
        <v>5</v>
      </c>
      <c r="N38" s="3" t="s">
        <v>36</v>
      </c>
      <c r="O38" s="3">
        <v>23</v>
      </c>
      <c r="P38" s="5">
        <v>1.5</v>
      </c>
    </row>
    <row r="39" spans="1:16" x14ac:dyDescent="0.25">
      <c r="A39" s="3">
        <v>34</v>
      </c>
      <c r="B39" s="4">
        <v>42171</v>
      </c>
      <c r="C39" s="3" t="s">
        <v>39</v>
      </c>
      <c r="D39" s="3" t="s">
        <v>6</v>
      </c>
      <c r="E39" s="3" t="s">
        <v>35</v>
      </c>
      <c r="F39" s="3">
        <v>11</v>
      </c>
      <c r="G39" s="5">
        <v>4</v>
      </c>
      <c r="H39" s="2" t="b">
        <f>MOD(ROWS($H$6:H39),10)=0</f>
        <v>0</v>
      </c>
      <c r="J39" s="3">
        <v>340</v>
      </c>
      <c r="K39" s="4">
        <v>42095</v>
      </c>
      <c r="L39" s="3" t="s">
        <v>37</v>
      </c>
      <c r="M39" s="3" t="s">
        <v>19</v>
      </c>
      <c r="N39" s="3" t="s">
        <v>33</v>
      </c>
      <c r="O39" s="3">
        <v>14</v>
      </c>
      <c r="P39" s="5">
        <v>5</v>
      </c>
    </row>
    <row r="40" spans="1:16" x14ac:dyDescent="0.25">
      <c r="A40" s="3">
        <v>35</v>
      </c>
      <c r="B40" s="4">
        <v>42174</v>
      </c>
      <c r="C40" s="3" t="s">
        <v>29</v>
      </c>
      <c r="D40" s="3" t="s">
        <v>6</v>
      </c>
      <c r="E40" s="3" t="s">
        <v>33</v>
      </c>
      <c r="F40" s="3">
        <v>21</v>
      </c>
      <c r="G40" s="5">
        <v>5</v>
      </c>
      <c r="H40" s="2" t="b">
        <f>MOD(ROWS($H$6:H40),10)=0</f>
        <v>0</v>
      </c>
      <c r="J40" s="3">
        <v>350</v>
      </c>
      <c r="K40" s="4">
        <v>42117</v>
      </c>
      <c r="L40" s="3" t="s">
        <v>38</v>
      </c>
      <c r="M40" s="3" t="s">
        <v>5</v>
      </c>
      <c r="N40" s="3" t="s">
        <v>33</v>
      </c>
      <c r="O40" s="3">
        <v>50</v>
      </c>
      <c r="P40" s="5">
        <v>5</v>
      </c>
    </row>
    <row r="41" spans="1:16" x14ac:dyDescent="0.25">
      <c r="A41" s="3">
        <v>36</v>
      </c>
      <c r="B41" s="4">
        <v>42167</v>
      </c>
      <c r="C41" s="3" t="s">
        <v>26</v>
      </c>
      <c r="D41" s="3" t="s">
        <v>2</v>
      </c>
      <c r="E41" s="3" t="s">
        <v>35</v>
      </c>
      <c r="F41" s="3">
        <v>49</v>
      </c>
      <c r="G41" s="5">
        <v>4</v>
      </c>
      <c r="H41" s="2" t="b">
        <f>MOD(ROWS($H$6:H41),10)=0</f>
        <v>0</v>
      </c>
      <c r="J41" s="3">
        <v>360</v>
      </c>
      <c r="K41" s="4">
        <v>42173</v>
      </c>
      <c r="L41" s="3" t="s">
        <v>26</v>
      </c>
      <c r="M41" s="3" t="s">
        <v>19</v>
      </c>
      <c r="N41" s="3" t="s">
        <v>31</v>
      </c>
      <c r="O41" s="3">
        <v>40</v>
      </c>
      <c r="P41" s="5">
        <v>2.5</v>
      </c>
    </row>
    <row r="42" spans="1:16" x14ac:dyDescent="0.25">
      <c r="A42" s="3">
        <v>37</v>
      </c>
      <c r="B42" s="4">
        <v>42066</v>
      </c>
      <c r="C42" s="3" t="s">
        <v>26</v>
      </c>
      <c r="D42" s="3" t="s">
        <v>5</v>
      </c>
      <c r="E42" s="3" t="s">
        <v>28</v>
      </c>
      <c r="F42" s="3">
        <v>44</v>
      </c>
      <c r="G42" s="5">
        <v>2</v>
      </c>
      <c r="H42" s="2" t="b">
        <f>MOD(ROWS($H$6:H42),10)=0</f>
        <v>0</v>
      </c>
      <c r="J42" s="3">
        <v>370</v>
      </c>
      <c r="K42" s="4">
        <v>42079</v>
      </c>
      <c r="L42" s="3" t="s">
        <v>39</v>
      </c>
      <c r="M42" s="3" t="s">
        <v>2</v>
      </c>
      <c r="N42" s="3" t="s">
        <v>27</v>
      </c>
      <c r="O42" s="3">
        <v>16</v>
      </c>
      <c r="P42" s="5">
        <v>0.5</v>
      </c>
    </row>
    <row r="43" spans="1:16" x14ac:dyDescent="0.25">
      <c r="A43" s="3">
        <v>38</v>
      </c>
      <c r="B43" s="4">
        <v>42040</v>
      </c>
      <c r="C43" s="3" t="s">
        <v>37</v>
      </c>
      <c r="D43" s="3" t="s">
        <v>6</v>
      </c>
      <c r="E43" s="3" t="s">
        <v>36</v>
      </c>
      <c r="F43" s="3">
        <v>27</v>
      </c>
      <c r="G43" s="5">
        <v>1.5</v>
      </c>
      <c r="H43" s="2" t="b">
        <f>MOD(ROWS($H$6:H43),10)=0</f>
        <v>0</v>
      </c>
      <c r="J43" s="3">
        <v>380</v>
      </c>
      <c r="K43" s="4">
        <v>42132</v>
      </c>
      <c r="L43" s="3" t="s">
        <v>26</v>
      </c>
      <c r="M43" s="3" t="s">
        <v>6</v>
      </c>
      <c r="N43" s="3" t="s">
        <v>27</v>
      </c>
      <c r="O43" s="3">
        <v>28</v>
      </c>
      <c r="P43" s="5">
        <v>0.5</v>
      </c>
    </row>
    <row r="44" spans="1:16" x14ac:dyDescent="0.25">
      <c r="A44" s="3">
        <v>39</v>
      </c>
      <c r="B44" s="4">
        <v>42142</v>
      </c>
      <c r="C44" s="3" t="s">
        <v>32</v>
      </c>
      <c r="D44" s="3" t="s">
        <v>6</v>
      </c>
      <c r="E44" s="3" t="s">
        <v>36</v>
      </c>
      <c r="F44" s="3">
        <v>30</v>
      </c>
      <c r="G44" s="5">
        <v>1.5</v>
      </c>
      <c r="H44" s="2" t="b">
        <f>MOD(ROWS($H$6:H44),10)=0</f>
        <v>0</v>
      </c>
      <c r="J44" s="3">
        <v>390</v>
      </c>
      <c r="K44" s="4">
        <v>42153</v>
      </c>
      <c r="L44" s="3" t="s">
        <v>38</v>
      </c>
      <c r="M44" s="3" t="s">
        <v>6</v>
      </c>
      <c r="N44" s="3" t="s">
        <v>33</v>
      </c>
      <c r="O44" s="3">
        <v>49</v>
      </c>
      <c r="P44" s="5">
        <v>5</v>
      </c>
    </row>
    <row r="45" spans="1:16" x14ac:dyDescent="0.25">
      <c r="A45" s="3">
        <v>40</v>
      </c>
      <c r="B45" s="4">
        <v>42172</v>
      </c>
      <c r="C45" s="3" t="s">
        <v>26</v>
      </c>
      <c r="D45" s="3" t="s">
        <v>10</v>
      </c>
      <c r="E45" s="3" t="s">
        <v>36</v>
      </c>
      <c r="F45" s="3">
        <v>31</v>
      </c>
      <c r="G45" s="5">
        <v>1.5</v>
      </c>
      <c r="H45" s="2" t="b">
        <f>MOD(ROWS($H$6:H45),10)=0</f>
        <v>1</v>
      </c>
      <c r="J45" s="3">
        <v>400</v>
      </c>
      <c r="K45" s="4">
        <v>42066</v>
      </c>
      <c r="L45" s="3" t="s">
        <v>39</v>
      </c>
      <c r="M45" s="3" t="s">
        <v>5</v>
      </c>
      <c r="N45" s="3" t="s">
        <v>27</v>
      </c>
      <c r="O45" s="3">
        <v>23</v>
      </c>
      <c r="P45" s="5">
        <v>0.5</v>
      </c>
    </row>
    <row r="46" spans="1:16" x14ac:dyDescent="0.25">
      <c r="A46" s="3">
        <v>41</v>
      </c>
      <c r="B46" s="4">
        <v>42118</v>
      </c>
      <c r="C46" s="3" t="s">
        <v>39</v>
      </c>
      <c r="D46" s="3" t="s">
        <v>6</v>
      </c>
      <c r="E46" s="3" t="s">
        <v>27</v>
      </c>
      <c r="F46" s="3">
        <v>3</v>
      </c>
      <c r="G46" s="5">
        <v>0.5</v>
      </c>
      <c r="H46" s="2" t="b">
        <f>MOD(ROWS($H$6:H46),10)=0</f>
        <v>0</v>
      </c>
      <c r="J46" s="3">
        <v>410</v>
      </c>
      <c r="K46" s="4">
        <v>42013</v>
      </c>
      <c r="L46" s="3" t="s">
        <v>26</v>
      </c>
      <c r="M46" s="3" t="s">
        <v>5</v>
      </c>
      <c r="N46" s="3" t="s">
        <v>27</v>
      </c>
      <c r="O46" s="3">
        <v>10</v>
      </c>
      <c r="P46" s="5">
        <v>0.5</v>
      </c>
    </row>
    <row r="47" spans="1:16" x14ac:dyDescent="0.25">
      <c r="A47" s="3">
        <v>42</v>
      </c>
      <c r="B47" s="4">
        <v>42180</v>
      </c>
      <c r="C47" s="3" t="s">
        <v>38</v>
      </c>
      <c r="D47" s="3" t="s">
        <v>19</v>
      </c>
      <c r="E47" s="3" t="s">
        <v>28</v>
      </c>
      <c r="F47" s="3">
        <v>9</v>
      </c>
      <c r="G47" s="5">
        <v>2</v>
      </c>
      <c r="H47" s="2" t="b">
        <f>MOD(ROWS($H$6:H47),10)=0</f>
        <v>0</v>
      </c>
      <c r="J47" s="3">
        <v>420</v>
      </c>
      <c r="K47" s="4">
        <v>42139</v>
      </c>
      <c r="L47" s="3" t="s">
        <v>29</v>
      </c>
      <c r="M47" s="3" t="s">
        <v>5</v>
      </c>
      <c r="N47" s="3" t="s">
        <v>31</v>
      </c>
      <c r="O47" s="3">
        <v>37</v>
      </c>
      <c r="P47" s="5">
        <v>2.5</v>
      </c>
    </row>
    <row r="48" spans="1:16" x14ac:dyDescent="0.25">
      <c r="A48" s="3">
        <v>43</v>
      </c>
      <c r="B48" s="4">
        <v>42114</v>
      </c>
      <c r="C48" s="3" t="s">
        <v>26</v>
      </c>
      <c r="D48" s="3" t="s">
        <v>19</v>
      </c>
      <c r="E48" s="3" t="s">
        <v>36</v>
      </c>
      <c r="F48" s="3">
        <v>50</v>
      </c>
      <c r="G48" s="5">
        <v>1.5</v>
      </c>
      <c r="H48" s="2" t="b">
        <f>MOD(ROWS($H$6:H48),10)=0</f>
        <v>0</v>
      </c>
      <c r="J48" s="3">
        <v>430</v>
      </c>
      <c r="K48" s="4">
        <v>42149</v>
      </c>
      <c r="L48" s="3" t="s">
        <v>39</v>
      </c>
      <c r="M48" s="3" t="s">
        <v>10</v>
      </c>
      <c r="N48" s="3" t="s">
        <v>36</v>
      </c>
      <c r="O48" s="3">
        <v>19</v>
      </c>
      <c r="P48" s="5">
        <v>1.5</v>
      </c>
    </row>
    <row r="49" spans="1:16" x14ac:dyDescent="0.25">
      <c r="A49" s="3">
        <v>44</v>
      </c>
      <c r="B49" s="4">
        <v>42026</v>
      </c>
      <c r="C49" s="3" t="s">
        <v>32</v>
      </c>
      <c r="D49" s="3" t="s">
        <v>2</v>
      </c>
      <c r="E49" s="3" t="s">
        <v>33</v>
      </c>
      <c r="F49" s="3">
        <v>24</v>
      </c>
      <c r="G49" s="5">
        <v>5</v>
      </c>
      <c r="H49" s="2" t="b">
        <f>MOD(ROWS($H$6:H49),10)=0</f>
        <v>0</v>
      </c>
      <c r="J49" s="3">
        <v>440</v>
      </c>
      <c r="K49" s="4">
        <v>42035</v>
      </c>
      <c r="L49" s="3" t="s">
        <v>29</v>
      </c>
      <c r="M49" s="3" t="s">
        <v>6</v>
      </c>
      <c r="N49" s="3" t="s">
        <v>33</v>
      </c>
      <c r="O49" s="3">
        <v>17</v>
      </c>
      <c r="P49" s="5">
        <v>5</v>
      </c>
    </row>
    <row r="50" spans="1:16" x14ac:dyDescent="0.25">
      <c r="A50" s="3">
        <v>45</v>
      </c>
      <c r="B50" s="4">
        <v>42087</v>
      </c>
      <c r="C50" s="3" t="s">
        <v>39</v>
      </c>
      <c r="D50" s="3" t="s">
        <v>2</v>
      </c>
      <c r="E50" s="3" t="s">
        <v>36</v>
      </c>
      <c r="F50" s="3">
        <v>29</v>
      </c>
      <c r="G50" s="5">
        <v>1.5</v>
      </c>
      <c r="H50" s="2" t="b">
        <f>MOD(ROWS($H$6:H50),10)=0</f>
        <v>0</v>
      </c>
      <c r="J50" s="3">
        <v>450</v>
      </c>
      <c r="K50" s="4">
        <v>42126</v>
      </c>
      <c r="L50" s="3" t="s">
        <v>26</v>
      </c>
      <c r="M50" s="3" t="s">
        <v>10</v>
      </c>
      <c r="N50" s="3" t="s">
        <v>36</v>
      </c>
      <c r="O50" s="3">
        <v>32</v>
      </c>
      <c r="P50" s="5">
        <v>1.5</v>
      </c>
    </row>
    <row r="51" spans="1:16" x14ac:dyDescent="0.25">
      <c r="A51" s="3">
        <v>46</v>
      </c>
      <c r="B51" s="4">
        <v>42102</v>
      </c>
      <c r="C51" s="3" t="s">
        <v>26</v>
      </c>
      <c r="D51" s="3" t="s">
        <v>2</v>
      </c>
      <c r="E51" s="3" t="s">
        <v>35</v>
      </c>
      <c r="F51" s="3">
        <v>5</v>
      </c>
      <c r="G51" s="5">
        <v>4</v>
      </c>
      <c r="H51" s="2" t="b">
        <f>MOD(ROWS($H$6:H51),10)=0</f>
        <v>0</v>
      </c>
      <c r="J51" s="3">
        <v>460</v>
      </c>
      <c r="K51" s="4">
        <v>42090</v>
      </c>
      <c r="L51" s="3" t="s">
        <v>29</v>
      </c>
      <c r="M51" s="3" t="s">
        <v>2</v>
      </c>
      <c r="N51" s="3" t="s">
        <v>31</v>
      </c>
      <c r="O51" s="3">
        <v>34</v>
      </c>
      <c r="P51" s="5">
        <v>2.5</v>
      </c>
    </row>
    <row r="52" spans="1:16" x14ac:dyDescent="0.25">
      <c r="A52" s="3">
        <v>47</v>
      </c>
      <c r="B52" s="4">
        <v>42127</v>
      </c>
      <c r="C52" s="3" t="s">
        <v>37</v>
      </c>
      <c r="D52" s="3" t="s">
        <v>10</v>
      </c>
      <c r="E52" s="3" t="s">
        <v>28</v>
      </c>
      <c r="F52" s="3">
        <v>29</v>
      </c>
      <c r="G52" s="5">
        <v>2</v>
      </c>
      <c r="H52" s="2" t="b">
        <f>MOD(ROWS($H$6:H52),10)=0</f>
        <v>0</v>
      </c>
      <c r="J52" s="3">
        <v>470</v>
      </c>
      <c r="K52" s="4">
        <v>42145</v>
      </c>
      <c r="L52" s="3" t="s">
        <v>37</v>
      </c>
      <c r="M52" s="3" t="s">
        <v>19</v>
      </c>
      <c r="N52" s="3" t="s">
        <v>31</v>
      </c>
      <c r="O52" s="3">
        <v>14</v>
      </c>
      <c r="P52" s="5">
        <v>2.5</v>
      </c>
    </row>
    <row r="53" spans="1:16" x14ac:dyDescent="0.25">
      <c r="A53" s="3">
        <v>48</v>
      </c>
      <c r="B53" s="4">
        <v>42150</v>
      </c>
      <c r="C53" s="3" t="s">
        <v>32</v>
      </c>
      <c r="D53" s="3" t="s">
        <v>5</v>
      </c>
      <c r="E53" s="3" t="s">
        <v>30</v>
      </c>
      <c r="F53" s="3">
        <v>37</v>
      </c>
      <c r="G53" s="5">
        <v>0.1</v>
      </c>
      <c r="H53" s="2" t="b">
        <f>MOD(ROWS($H$6:H53),10)=0</f>
        <v>0</v>
      </c>
      <c r="J53" s="3">
        <v>480</v>
      </c>
      <c r="K53" s="4">
        <v>42095</v>
      </c>
      <c r="L53" s="3" t="s">
        <v>38</v>
      </c>
      <c r="M53" s="3" t="s">
        <v>6</v>
      </c>
      <c r="N53" s="3" t="s">
        <v>27</v>
      </c>
      <c r="O53" s="3">
        <v>50</v>
      </c>
      <c r="P53" s="5">
        <v>0.5</v>
      </c>
    </row>
    <row r="54" spans="1:16" x14ac:dyDescent="0.25">
      <c r="A54" s="3">
        <v>49</v>
      </c>
      <c r="B54" s="4">
        <v>42070</v>
      </c>
      <c r="C54" s="3" t="s">
        <v>26</v>
      </c>
      <c r="D54" s="3" t="s">
        <v>6</v>
      </c>
      <c r="E54" s="3" t="s">
        <v>27</v>
      </c>
      <c r="F54" s="3">
        <v>44</v>
      </c>
      <c r="G54" s="5">
        <v>0.5</v>
      </c>
      <c r="H54" s="2" t="b">
        <f>MOD(ROWS($H$6:H54),10)=0</f>
        <v>0</v>
      </c>
      <c r="J54" s="3">
        <v>490</v>
      </c>
      <c r="K54" s="4">
        <v>42115</v>
      </c>
      <c r="L54" s="3" t="s">
        <v>26</v>
      </c>
      <c r="M54" s="3" t="s">
        <v>10</v>
      </c>
      <c r="N54" s="3" t="s">
        <v>28</v>
      </c>
      <c r="O54" s="3">
        <v>48</v>
      </c>
      <c r="P54" s="5">
        <v>2</v>
      </c>
    </row>
    <row r="55" spans="1:16" x14ac:dyDescent="0.25">
      <c r="A55" s="3">
        <v>50</v>
      </c>
      <c r="B55" s="4">
        <v>42138</v>
      </c>
      <c r="C55" s="3" t="s">
        <v>29</v>
      </c>
      <c r="D55" s="3" t="s">
        <v>10</v>
      </c>
      <c r="E55" s="3" t="s">
        <v>36</v>
      </c>
      <c r="F55" s="3">
        <v>18</v>
      </c>
      <c r="G55" s="5">
        <v>1.5</v>
      </c>
      <c r="H55" s="2" t="b">
        <f>MOD(ROWS($H$6:H55),10)=0</f>
        <v>1</v>
      </c>
    </row>
    <row r="56" spans="1:16" x14ac:dyDescent="0.25">
      <c r="A56" s="3">
        <v>51</v>
      </c>
      <c r="B56" s="4">
        <v>42032</v>
      </c>
      <c r="C56" s="3" t="s">
        <v>39</v>
      </c>
      <c r="D56" s="3" t="s">
        <v>2</v>
      </c>
      <c r="E56" s="3" t="s">
        <v>35</v>
      </c>
      <c r="F56" s="3">
        <v>13</v>
      </c>
      <c r="G56" s="5">
        <v>4</v>
      </c>
      <c r="H56" s="2" t="b">
        <f>MOD(ROWS($H$6:H56),10)=0</f>
        <v>0</v>
      </c>
    </row>
    <row r="57" spans="1:16" x14ac:dyDescent="0.25">
      <c r="A57" s="3">
        <v>52</v>
      </c>
      <c r="B57" s="4">
        <v>42173</v>
      </c>
      <c r="C57" s="3" t="s">
        <v>29</v>
      </c>
      <c r="D57" s="3" t="s">
        <v>10</v>
      </c>
      <c r="E57" s="3" t="s">
        <v>36</v>
      </c>
      <c r="F57" s="3">
        <v>17</v>
      </c>
      <c r="G57" s="5">
        <v>1.5</v>
      </c>
      <c r="H57" s="2" t="b">
        <f>MOD(ROWS($H$6:H57),10)=0</f>
        <v>0</v>
      </c>
    </row>
    <row r="58" spans="1:16" x14ac:dyDescent="0.25">
      <c r="A58" s="3">
        <v>53</v>
      </c>
      <c r="B58" s="4">
        <v>42019</v>
      </c>
      <c r="C58" s="3" t="s">
        <v>39</v>
      </c>
      <c r="D58" s="3" t="s">
        <v>2</v>
      </c>
      <c r="E58" s="3" t="s">
        <v>36</v>
      </c>
      <c r="F58" s="3">
        <v>45</v>
      </c>
      <c r="G58" s="5">
        <v>1.5</v>
      </c>
      <c r="H58" s="2" t="b">
        <f>MOD(ROWS($H$6:H58),10)=0</f>
        <v>0</v>
      </c>
    </row>
    <row r="59" spans="1:16" x14ac:dyDescent="0.25">
      <c r="A59" s="3">
        <v>54</v>
      </c>
      <c r="B59" s="4">
        <v>42047</v>
      </c>
      <c r="C59" s="3" t="s">
        <v>37</v>
      </c>
      <c r="D59" s="3" t="s">
        <v>2</v>
      </c>
      <c r="E59" s="3" t="s">
        <v>33</v>
      </c>
      <c r="F59" s="3">
        <v>29</v>
      </c>
      <c r="G59" s="5">
        <v>5</v>
      </c>
      <c r="H59" s="2" t="b">
        <f>MOD(ROWS($H$6:H59),10)=0</f>
        <v>0</v>
      </c>
    </row>
    <row r="60" spans="1:16" x14ac:dyDescent="0.25">
      <c r="A60" s="3">
        <v>55</v>
      </c>
      <c r="B60" s="4">
        <v>42017</v>
      </c>
      <c r="C60" s="3" t="s">
        <v>38</v>
      </c>
      <c r="D60" s="3" t="s">
        <v>2</v>
      </c>
      <c r="E60" s="3" t="s">
        <v>36</v>
      </c>
      <c r="F60" s="3">
        <v>11</v>
      </c>
      <c r="G60" s="5">
        <v>1.5</v>
      </c>
      <c r="H60" s="2" t="b">
        <f>MOD(ROWS($H$6:H60),10)=0</f>
        <v>0</v>
      </c>
    </row>
    <row r="61" spans="1:16" x14ac:dyDescent="0.25">
      <c r="A61" s="3">
        <v>56</v>
      </c>
      <c r="B61" s="4">
        <v>42043</v>
      </c>
      <c r="C61" s="3" t="s">
        <v>38</v>
      </c>
      <c r="D61" s="3" t="s">
        <v>10</v>
      </c>
      <c r="E61" s="3" t="s">
        <v>36</v>
      </c>
      <c r="F61" s="3">
        <v>4</v>
      </c>
      <c r="G61" s="5">
        <v>1.5</v>
      </c>
      <c r="H61" s="2" t="b">
        <f>MOD(ROWS($H$6:H61),10)=0</f>
        <v>0</v>
      </c>
    </row>
    <row r="62" spans="1:16" x14ac:dyDescent="0.25">
      <c r="A62" s="3">
        <v>57</v>
      </c>
      <c r="B62" s="4">
        <v>42160</v>
      </c>
      <c r="C62" s="3" t="s">
        <v>32</v>
      </c>
      <c r="D62" s="3" t="s">
        <v>6</v>
      </c>
      <c r="E62" s="3" t="s">
        <v>31</v>
      </c>
      <c r="F62" s="3">
        <v>10</v>
      </c>
      <c r="G62" s="5">
        <v>2.5</v>
      </c>
      <c r="H62" s="2" t="b">
        <f>MOD(ROWS($H$6:H62),10)=0</f>
        <v>0</v>
      </c>
    </row>
    <row r="63" spans="1:16" x14ac:dyDescent="0.25">
      <c r="A63" s="3">
        <v>58</v>
      </c>
      <c r="B63" s="4">
        <v>42018</v>
      </c>
      <c r="C63" s="3" t="s">
        <v>29</v>
      </c>
      <c r="D63" s="3" t="s">
        <v>10</v>
      </c>
      <c r="E63" s="3" t="s">
        <v>33</v>
      </c>
      <c r="F63" s="3">
        <v>15</v>
      </c>
      <c r="G63" s="5">
        <v>5</v>
      </c>
      <c r="H63" s="2" t="b">
        <f>MOD(ROWS($H$6:H63),10)=0</f>
        <v>0</v>
      </c>
    </row>
    <row r="64" spans="1:16" x14ac:dyDescent="0.25">
      <c r="A64" s="3">
        <v>59</v>
      </c>
      <c r="B64" s="4">
        <v>42076</v>
      </c>
      <c r="C64" s="3" t="s">
        <v>32</v>
      </c>
      <c r="D64" s="3" t="s">
        <v>2</v>
      </c>
      <c r="E64" s="3" t="s">
        <v>28</v>
      </c>
      <c r="F64" s="3">
        <v>29</v>
      </c>
      <c r="G64" s="5">
        <v>2</v>
      </c>
      <c r="H64" s="2" t="b">
        <f>MOD(ROWS($H$6:H64),10)=0</f>
        <v>0</v>
      </c>
    </row>
    <row r="65" spans="1:8" x14ac:dyDescent="0.25">
      <c r="A65" s="3">
        <v>60</v>
      </c>
      <c r="B65" s="4">
        <v>42032</v>
      </c>
      <c r="C65" s="3" t="s">
        <v>32</v>
      </c>
      <c r="D65" s="3" t="s">
        <v>19</v>
      </c>
      <c r="E65" s="3" t="s">
        <v>27</v>
      </c>
      <c r="F65" s="3">
        <v>9</v>
      </c>
      <c r="G65" s="5">
        <v>0.5</v>
      </c>
      <c r="H65" s="2" t="b">
        <f>MOD(ROWS($H$6:H65),10)=0</f>
        <v>1</v>
      </c>
    </row>
    <row r="66" spans="1:8" x14ac:dyDescent="0.25">
      <c r="A66" s="3">
        <v>61</v>
      </c>
      <c r="B66" s="4">
        <v>42021</v>
      </c>
      <c r="C66" s="3" t="s">
        <v>38</v>
      </c>
      <c r="D66" s="3" t="s">
        <v>6</v>
      </c>
      <c r="E66" s="3" t="s">
        <v>30</v>
      </c>
      <c r="F66" s="3">
        <v>21</v>
      </c>
      <c r="G66" s="5">
        <v>0.1</v>
      </c>
      <c r="H66" s="2" t="b">
        <f>MOD(ROWS($H$6:H66),10)=0</f>
        <v>0</v>
      </c>
    </row>
    <row r="67" spans="1:8" x14ac:dyDescent="0.25">
      <c r="A67" s="3">
        <v>62</v>
      </c>
      <c r="B67" s="4">
        <v>42077</v>
      </c>
      <c r="C67" s="3" t="s">
        <v>39</v>
      </c>
      <c r="D67" s="3" t="s">
        <v>5</v>
      </c>
      <c r="E67" s="3" t="s">
        <v>34</v>
      </c>
      <c r="F67" s="3">
        <v>35</v>
      </c>
      <c r="G67" s="5">
        <v>0.2</v>
      </c>
      <c r="H67" s="2" t="b">
        <f>MOD(ROWS($H$6:H67),10)=0</f>
        <v>0</v>
      </c>
    </row>
    <row r="68" spans="1:8" x14ac:dyDescent="0.25">
      <c r="A68" s="3">
        <v>63</v>
      </c>
      <c r="B68" s="4">
        <v>42070</v>
      </c>
      <c r="C68" s="3" t="s">
        <v>37</v>
      </c>
      <c r="D68" s="3" t="s">
        <v>6</v>
      </c>
      <c r="E68" s="3" t="s">
        <v>34</v>
      </c>
      <c r="F68" s="3">
        <v>21</v>
      </c>
      <c r="G68" s="5">
        <v>0.2</v>
      </c>
      <c r="H68" s="2" t="b">
        <f>MOD(ROWS($H$6:H68),10)=0</f>
        <v>0</v>
      </c>
    </row>
    <row r="69" spans="1:8" x14ac:dyDescent="0.25">
      <c r="A69" s="3">
        <v>64</v>
      </c>
      <c r="B69" s="4">
        <v>42146</v>
      </c>
      <c r="C69" s="3" t="s">
        <v>39</v>
      </c>
      <c r="D69" s="3" t="s">
        <v>2</v>
      </c>
      <c r="E69" s="3" t="s">
        <v>28</v>
      </c>
      <c r="F69" s="3">
        <v>4</v>
      </c>
      <c r="G69" s="5">
        <v>2</v>
      </c>
      <c r="H69" s="2" t="b">
        <f>MOD(ROWS($H$6:H69),10)=0</f>
        <v>0</v>
      </c>
    </row>
    <row r="70" spans="1:8" x14ac:dyDescent="0.25">
      <c r="A70" s="3">
        <v>65</v>
      </c>
      <c r="B70" s="4">
        <v>42169</v>
      </c>
      <c r="C70" s="3" t="s">
        <v>38</v>
      </c>
      <c r="D70" s="3" t="s">
        <v>2</v>
      </c>
      <c r="E70" s="3" t="s">
        <v>36</v>
      </c>
      <c r="F70" s="3">
        <v>5</v>
      </c>
      <c r="G70" s="5">
        <v>1.5</v>
      </c>
      <c r="H70" s="2" t="b">
        <f>MOD(ROWS($H$6:H70),10)=0</f>
        <v>0</v>
      </c>
    </row>
    <row r="71" spans="1:8" x14ac:dyDescent="0.25">
      <c r="A71" s="3">
        <v>66</v>
      </c>
      <c r="B71" s="4">
        <v>42098</v>
      </c>
      <c r="C71" s="3" t="s">
        <v>37</v>
      </c>
      <c r="D71" s="3" t="s">
        <v>2</v>
      </c>
      <c r="E71" s="3" t="s">
        <v>30</v>
      </c>
      <c r="F71" s="3">
        <v>17</v>
      </c>
      <c r="G71" s="5">
        <v>0.1</v>
      </c>
      <c r="H71" s="2" t="b">
        <f>MOD(ROWS($H$6:H71),10)=0</f>
        <v>0</v>
      </c>
    </row>
    <row r="72" spans="1:8" x14ac:dyDescent="0.25">
      <c r="A72" s="3">
        <v>67</v>
      </c>
      <c r="B72" s="4">
        <v>42080</v>
      </c>
      <c r="C72" s="3" t="s">
        <v>38</v>
      </c>
      <c r="D72" s="3" t="s">
        <v>19</v>
      </c>
      <c r="E72" s="3" t="s">
        <v>27</v>
      </c>
      <c r="F72" s="3">
        <v>2</v>
      </c>
      <c r="G72" s="5">
        <v>0.5</v>
      </c>
      <c r="H72" s="2" t="b">
        <f>MOD(ROWS($H$6:H72),10)=0</f>
        <v>0</v>
      </c>
    </row>
    <row r="73" spans="1:8" x14ac:dyDescent="0.25">
      <c r="A73" s="3">
        <v>68</v>
      </c>
      <c r="B73" s="4">
        <v>42132</v>
      </c>
      <c r="C73" s="3" t="s">
        <v>37</v>
      </c>
      <c r="D73" s="3" t="s">
        <v>5</v>
      </c>
      <c r="E73" s="3" t="s">
        <v>30</v>
      </c>
      <c r="F73" s="3">
        <v>11</v>
      </c>
      <c r="G73" s="5">
        <v>0.1</v>
      </c>
      <c r="H73" s="2" t="b">
        <f>MOD(ROWS($H$6:H73),10)=0</f>
        <v>0</v>
      </c>
    </row>
    <row r="74" spans="1:8" x14ac:dyDescent="0.25">
      <c r="A74" s="3">
        <v>69</v>
      </c>
      <c r="B74" s="4">
        <v>42145</v>
      </c>
      <c r="C74" s="3" t="s">
        <v>38</v>
      </c>
      <c r="D74" s="3" t="s">
        <v>10</v>
      </c>
      <c r="E74" s="3" t="s">
        <v>30</v>
      </c>
      <c r="F74" s="3">
        <v>37</v>
      </c>
      <c r="G74" s="5">
        <v>0.1</v>
      </c>
      <c r="H74" s="2" t="b">
        <f>MOD(ROWS($H$6:H74),10)=0</f>
        <v>0</v>
      </c>
    </row>
    <row r="75" spans="1:8" x14ac:dyDescent="0.25">
      <c r="A75" s="3">
        <v>70</v>
      </c>
      <c r="B75" s="4">
        <v>42179</v>
      </c>
      <c r="C75" s="3" t="s">
        <v>37</v>
      </c>
      <c r="D75" s="3" t="s">
        <v>2</v>
      </c>
      <c r="E75" s="3" t="s">
        <v>34</v>
      </c>
      <c r="F75" s="3">
        <v>26</v>
      </c>
      <c r="G75" s="5">
        <v>0.2</v>
      </c>
      <c r="H75" s="2" t="b">
        <f>MOD(ROWS($H$6:H75),10)=0</f>
        <v>1</v>
      </c>
    </row>
    <row r="76" spans="1:8" x14ac:dyDescent="0.25">
      <c r="A76" s="3">
        <v>71</v>
      </c>
      <c r="B76" s="4">
        <v>42016</v>
      </c>
      <c r="C76" s="3" t="s">
        <v>32</v>
      </c>
      <c r="D76" s="3" t="s">
        <v>19</v>
      </c>
      <c r="E76" s="3" t="s">
        <v>27</v>
      </c>
      <c r="F76" s="3">
        <v>45</v>
      </c>
      <c r="G76" s="5">
        <v>0.5</v>
      </c>
      <c r="H76" s="2" t="b">
        <f>MOD(ROWS($H$6:H76),10)=0</f>
        <v>0</v>
      </c>
    </row>
    <row r="77" spans="1:8" x14ac:dyDescent="0.25">
      <c r="A77" s="3">
        <v>72</v>
      </c>
      <c r="B77" s="4">
        <v>42011</v>
      </c>
      <c r="C77" s="3" t="s">
        <v>29</v>
      </c>
      <c r="D77" s="3" t="s">
        <v>6</v>
      </c>
      <c r="E77" s="3" t="s">
        <v>35</v>
      </c>
      <c r="F77" s="3">
        <v>31</v>
      </c>
      <c r="G77" s="5">
        <v>4</v>
      </c>
      <c r="H77" s="2" t="b">
        <f>MOD(ROWS($H$6:H77),10)=0</f>
        <v>0</v>
      </c>
    </row>
    <row r="78" spans="1:8" x14ac:dyDescent="0.25">
      <c r="A78" s="3">
        <v>73</v>
      </c>
      <c r="B78" s="4">
        <v>42107</v>
      </c>
      <c r="C78" s="3" t="s">
        <v>39</v>
      </c>
      <c r="D78" s="3" t="s">
        <v>6</v>
      </c>
      <c r="E78" s="3" t="s">
        <v>30</v>
      </c>
      <c r="F78" s="3">
        <v>25</v>
      </c>
      <c r="G78" s="5">
        <v>0.1</v>
      </c>
      <c r="H78" s="2" t="b">
        <f>MOD(ROWS($H$6:H78),10)=0</f>
        <v>0</v>
      </c>
    </row>
    <row r="79" spans="1:8" x14ac:dyDescent="0.25">
      <c r="A79" s="3">
        <v>74</v>
      </c>
      <c r="B79" s="4">
        <v>42152</v>
      </c>
      <c r="C79" s="3" t="s">
        <v>38</v>
      </c>
      <c r="D79" s="3" t="s">
        <v>10</v>
      </c>
      <c r="E79" s="3" t="s">
        <v>28</v>
      </c>
      <c r="F79" s="3">
        <v>12</v>
      </c>
      <c r="G79" s="5">
        <v>2</v>
      </c>
      <c r="H79" s="2" t="b">
        <f>MOD(ROWS($H$6:H79),10)=0</f>
        <v>0</v>
      </c>
    </row>
    <row r="80" spans="1:8" x14ac:dyDescent="0.25">
      <c r="A80" s="3">
        <v>75</v>
      </c>
      <c r="B80" s="4">
        <v>42161</v>
      </c>
      <c r="C80" s="3" t="s">
        <v>32</v>
      </c>
      <c r="D80" s="3" t="s">
        <v>6</v>
      </c>
      <c r="E80" s="3" t="s">
        <v>28</v>
      </c>
      <c r="F80" s="3">
        <v>25</v>
      </c>
      <c r="G80" s="5">
        <v>2</v>
      </c>
      <c r="H80" s="2" t="b">
        <f>MOD(ROWS($H$6:H80),10)=0</f>
        <v>0</v>
      </c>
    </row>
    <row r="81" spans="1:8" x14ac:dyDescent="0.25">
      <c r="A81" s="3">
        <v>76</v>
      </c>
      <c r="B81" s="4">
        <v>42118</v>
      </c>
      <c r="C81" s="3" t="s">
        <v>38</v>
      </c>
      <c r="D81" s="3" t="s">
        <v>5</v>
      </c>
      <c r="E81" s="3" t="s">
        <v>35</v>
      </c>
      <c r="F81" s="3">
        <v>48</v>
      </c>
      <c r="G81" s="5">
        <v>4</v>
      </c>
      <c r="H81" s="2" t="b">
        <f>MOD(ROWS($H$6:H81),10)=0</f>
        <v>0</v>
      </c>
    </row>
    <row r="82" spans="1:8" x14ac:dyDescent="0.25">
      <c r="A82" s="3">
        <v>77</v>
      </c>
      <c r="B82" s="4">
        <v>42141</v>
      </c>
      <c r="C82" s="3" t="s">
        <v>38</v>
      </c>
      <c r="D82" s="3" t="s">
        <v>10</v>
      </c>
      <c r="E82" s="3" t="s">
        <v>35</v>
      </c>
      <c r="F82" s="3">
        <v>32</v>
      </c>
      <c r="G82" s="5">
        <v>4</v>
      </c>
      <c r="H82" s="2" t="b">
        <f>MOD(ROWS($H$6:H82),10)=0</f>
        <v>0</v>
      </c>
    </row>
    <row r="83" spans="1:8" x14ac:dyDescent="0.25">
      <c r="A83" s="3">
        <v>78</v>
      </c>
      <c r="B83" s="4">
        <v>42064</v>
      </c>
      <c r="C83" s="3" t="s">
        <v>29</v>
      </c>
      <c r="D83" s="3" t="s">
        <v>5</v>
      </c>
      <c r="E83" s="3" t="s">
        <v>33</v>
      </c>
      <c r="F83" s="3">
        <v>4</v>
      </c>
      <c r="G83" s="5">
        <v>5</v>
      </c>
      <c r="H83" s="2" t="b">
        <f>MOD(ROWS($H$6:H83),10)=0</f>
        <v>0</v>
      </c>
    </row>
    <row r="84" spans="1:8" x14ac:dyDescent="0.25">
      <c r="A84" s="3">
        <v>79</v>
      </c>
      <c r="B84" s="4">
        <v>42141</v>
      </c>
      <c r="C84" s="3" t="s">
        <v>26</v>
      </c>
      <c r="D84" s="3" t="s">
        <v>6</v>
      </c>
      <c r="E84" s="3" t="s">
        <v>33</v>
      </c>
      <c r="F84" s="3">
        <v>35</v>
      </c>
      <c r="G84" s="5">
        <v>5</v>
      </c>
      <c r="H84" s="2" t="b">
        <f>MOD(ROWS($H$6:H84),10)=0</f>
        <v>0</v>
      </c>
    </row>
    <row r="85" spans="1:8" x14ac:dyDescent="0.25">
      <c r="A85" s="3">
        <v>80</v>
      </c>
      <c r="B85" s="4">
        <v>42090</v>
      </c>
      <c r="C85" s="3" t="s">
        <v>26</v>
      </c>
      <c r="D85" s="3" t="s">
        <v>6</v>
      </c>
      <c r="E85" s="3" t="s">
        <v>35</v>
      </c>
      <c r="F85" s="3">
        <v>50</v>
      </c>
      <c r="G85" s="5">
        <v>4</v>
      </c>
      <c r="H85" s="2" t="b">
        <f>MOD(ROWS($H$6:H85),10)=0</f>
        <v>1</v>
      </c>
    </row>
    <row r="86" spans="1:8" x14ac:dyDescent="0.25">
      <c r="A86" s="3">
        <v>81</v>
      </c>
      <c r="B86" s="4">
        <v>42052</v>
      </c>
      <c r="C86" s="3" t="s">
        <v>39</v>
      </c>
      <c r="D86" s="3" t="s">
        <v>2</v>
      </c>
      <c r="E86" s="3" t="s">
        <v>30</v>
      </c>
      <c r="F86" s="3">
        <v>27</v>
      </c>
      <c r="G86" s="5">
        <v>0.1</v>
      </c>
      <c r="H86" s="2" t="b">
        <f>MOD(ROWS($H$6:H86),10)=0</f>
        <v>0</v>
      </c>
    </row>
    <row r="87" spans="1:8" x14ac:dyDescent="0.25">
      <c r="A87" s="3">
        <v>82</v>
      </c>
      <c r="B87" s="4">
        <v>42123</v>
      </c>
      <c r="C87" s="3" t="s">
        <v>29</v>
      </c>
      <c r="D87" s="3" t="s">
        <v>6</v>
      </c>
      <c r="E87" s="3" t="s">
        <v>35</v>
      </c>
      <c r="F87" s="3">
        <v>36</v>
      </c>
      <c r="G87" s="5">
        <v>4</v>
      </c>
      <c r="H87" s="2" t="b">
        <f>MOD(ROWS($H$6:H87),10)=0</f>
        <v>0</v>
      </c>
    </row>
    <row r="88" spans="1:8" x14ac:dyDescent="0.25">
      <c r="A88" s="3">
        <v>83</v>
      </c>
      <c r="B88" s="4">
        <v>42182</v>
      </c>
      <c r="C88" s="3" t="s">
        <v>38</v>
      </c>
      <c r="D88" s="3" t="s">
        <v>6</v>
      </c>
      <c r="E88" s="3" t="s">
        <v>28</v>
      </c>
      <c r="F88" s="3">
        <v>36</v>
      </c>
      <c r="G88" s="5">
        <v>2</v>
      </c>
      <c r="H88" s="2" t="b">
        <f>MOD(ROWS($H$6:H88),10)=0</f>
        <v>0</v>
      </c>
    </row>
    <row r="89" spans="1:8" x14ac:dyDescent="0.25">
      <c r="A89" s="3">
        <v>84</v>
      </c>
      <c r="B89" s="4">
        <v>42126</v>
      </c>
      <c r="C89" s="3" t="s">
        <v>29</v>
      </c>
      <c r="D89" s="3" t="s">
        <v>2</v>
      </c>
      <c r="E89" s="3" t="s">
        <v>35</v>
      </c>
      <c r="F89" s="3">
        <v>5</v>
      </c>
      <c r="G89" s="5">
        <v>4</v>
      </c>
      <c r="H89" s="2" t="b">
        <f>MOD(ROWS($H$6:H89),10)=0</f>
        <v>0</v>
      </c>
    </row>
    <row r="90" spans="1:8" x14ac:dyDescent="0.25">
      <c r="A90" s="3">
        <v>85</v>
      </c>
      <c r="B90" s="4">
        <v>42050</v>
      </c>
      <c r="C90" s="3" t="s">
        <v>38</v>
      </c>
      <c r="D90" s="3" t="s">
        <v>19</v>
      </c>
      <c r="E90" s="3" t="s">
        <v>27</v>
      </c>
      <c r="F90" s="3">
        <v>11</v>
      </c>
      <c r="G90" s="5">
        <v>0.5</v>
      </c>
      <c r="H90" s="2" t="b">
        <f>MOD(ROWS($H$6:H90),10)=0</f>
        <v>0</v>
      </c>
    </row>
    <row r="91" spans="1:8" x14ac:dyDescent="0.25">
      <c r="A91" s="3">
        <v>86</v>
      </c>
      <c r="B91" s="4">
        <v>42072</v>
      </c>
      <c r="C91" s="3" t="s">
        <v>39</v>
      </c>
      <c r="D91" s="3" t="s">
        <v>10</v>
      </c>
      <c r="E91" s="3" t="s">
        <v>33</v>
      </c>
      <c r="F91" s="3">
        <v>7</v>
      </c>
      <c r="G91" s="5">
        <v>5</v>
      </c>
      <c r="H91" s="2" t="b">
        <f>MOD(ROWS($H$6:H91),10)=0</f>
        <v>0</v>
      </c>
    </row>
    <row r="92" spans="1:8" x14ac:dyDescent="0.25">
      <c r="A92" s="3">
        <v>87</v>
      </c>
      <c r="B92" s="4">
        <v>42035</v>
      </c>
      <c r="C92" s="3" t="s">
        <v>37</v>
      </c>
      <c r="D92" s="3" t="s">
        <v>5</v>
      </c>
      <c r="E92" s="3" t="s">
        <v>33</v>
      </c>
      <c r="F92" s="3">
        <v>40</v>
      </c>
      <c r="G92" s="5">
        <v>5</v>
      </c>
      <c r="H92" s="2" t="b">
        <f>MOD(ROWS($H$6:H92),10)=0</f>
        <v>0</v>
      </c>
    </row>
    <row r="93" spans="1:8" x14ac:dyDescent="0.25">
      <c r="A93" s="3">
        <v>88</v>
      </c>
      <c r="B93" s="4">
        <v>42169</v>
      </c>
      <c r="C93" s="3" t="s">
        <v>37</v>
      </c>
      <c r="D93" s="3" t="s">
        <v>5</v>
      </c>
      <c r="E93" s="3" t="s">
        <v>28</v>
      </c>
      <c r="F93" s="3">
        <v>44</v>
      </c>
      <c r="G93" s="5">
        <v>2</v>
      </c>
      <c r="H93" s="2" t="b">
        <f>MOD(ROWS($H$6:H93),10)=0</f>
        <v>0</v>
      </c>
    </row>
    <row r="94" spans="1:8" x14ac:dyDescent="0.25">
      <c r="A94" s="3">
        <v>89</v>
      </c>
      <c r="B94" s="4">
        <v>42133</v>
      </c>
      <c r="C94" s="3" t="s">
        <v>39</v>
      </c>
      <c r="D94" s="3" t="s">
        <v>2</v>
      </c>
      <c r="E94" s="3" t="s">
        <v>34</v>
      </c>
      <c r="F94" s="3">
        <v>50</v>
      </c>
      <c r="G94" s="5">
        <v>0.2</v>
      </c>
      <c r="H94" s="2" t="b">
        <f>MOD(ROWS($H$6:H94),10)=0</f>
        <v>0</v>
      </c>
    </row>
    <row r="95" spans="1:8" x14ac:dyDescent="0.25">
      <c r="A95" s="3">
        <v>90</v>
      </c>
      <c r="B95" s="4">
        <v>42132</v>
      </c>
      <c r="C95" s="3" t="s">
        <v>37</v>
      </c>
      <c r="D95" s="3" t="s">
        <v>2</v>
      </c>
      <c r="E95" s="3" t="s">
        <v>35</v>
      </c>
      <c r="F95" s="3">
        <v>22</v>
      </c>
      <c r="G95" s="5">
        <v>4</v>
      </c>
      <c r="H95" s="2" t="b">
        <f>MOD(ROWS($H$6:H95),10)=0</f>
        <v>1</v>
      </c>
    </row>
    <row r="96" spans="1:8" x14ac:dyDescent="0.25">
      <c r="A96" s="3">
        <v>91</v>
      </c>
      <c r="B96" s="4">
        <v>42091</v>
      </c>
      <c r="C96" s="3" t="s">
        <v>37</v>
      </c>
      <c r="D96" s="3" t="s">
        <v>10</v>
      </c>
      <c r="E96" s="3" t="s">
        <v>27</v>
      </c>
      <c r="F96" s="3">
        <v>35</v>
      </c>
      <c r="G96" s="5">
        <v>0.5</v>
      </c>
      <c r="H96" s="2" t="b">
        <f>MOD(ROWS($H$6:H96),10)=0</f>
        <v>0</v>
      </c>
    </row>
    <row r="97" spans="1:8" x14ac:dyDescent="0.25">
      <c r="A97" s="3">
        <v>92</v>
      </c>
      <c r="B97" s="4">
        <v>42180</v>
      </c>
      <c r="C97" s="3" t="s">
        <v>26</v>
      </c>
      <c r="D97" s="3" t="s">
        <v>10</v>
      </c>
      <c r="E97" s="3" t="s">
        <v>35</v>
      </c>
      <c r="F97" s="3">
        <v>22</v>
      </c>
      <c r="G97" s="5">
        <v>4</v>
      </c>
      <c r="H97" s="2" t="b">
        <f>MOD(ROWS($H$6:H97),10)=0</f>
        <v>0</v>
      </c>
    </row>
    <row r="98" spans="1:8" x14ac:dyDescent="0.25">
      <c r="A98" s="3">
        <v>93</v>
      </c>
      <c r="B98" s="4">
        <v>42172</v>
      </c>
      <c r="C98" s="3" t="s">
        <v>26</v>
      </c>
      <c r="D98" s="3" t="s">
        <v>5</v>
      </c>
      <c r="E98" s="3" t="s">
        <v>30</v>
      </c>
      <c r="F98" s="3">
        <v>6</v>
      </c>
      <c r="G98" s="5">
        <v>0.1</v>
      </c>
      <c r="H98" s="2" t="b">
        <f>MOD(ROWS($H$6:H98),10)=0</f>
        <v>0</v>
      </c>
    </row>
    <row r="99" spans="1:8" x14ac:dyDescent="0.25">
      <c r="A99" s="3">
        <v>94</v>
      </c>
      <c r="B99" s="4">
        <v>42046</v>
      </c>
      <c r="C99" s="3" t="s">
        <v>37</v>
      </c>
      <c r="D99" s="3" t="s">
        <v>6</v>
      </c>
      <c r="E99" s="3" t="s">
        <v>35</v>
      </c>
      <c r="F99" s="3">
        <v>49</v>
      </c>
      <c r="G99" s="5">
        <v>4</v>
      </c>
      <c r="H99" s="2" t="b">
        <f>MOD(ROWS($H$6:H99),10)=0</f>
        <v>0</v>
      </c>
    </row>
    <row r="100" spans="1:8" x14ac:dyDescent="0.25">
      <c r="A100" s="3">
        <v>95</v>
      </c>
      <c r="B100" s="4">
        <v>42039</v>
      </c>
      <c r="C100" s="3" t="s">
        <v>37</v>
      </c>
      <c r="D100" s="3" t="s">
        <v>19</v>
      </c>
      <c r="E100" s="3" t="s">
        <v>35</v>
      </c>
      <c r="F100" s="3">
        <v>24</v>
      </c>
      <c r="G100" s="5">
        <v>4</v>
      </c>
      <c r="H100" s="2" t="b">
        <f>MOD(ROWS($H$6:H100),10)=0</f>
        <v>0</v>
      </c>
    </row>
    <row r="101" spans="1:8" x14ac:dyDescent="0.25">
      <c r="A101" s="3">
        <v>96</v>
      </c>
      <c r="B101" s="4">
        <v>42114</v>
      </c>
      <c r="C101" s="3" t="s">
        <v>26</v>
      </c>
      <c r="D101" s="3" t="s">
        <v>10</v>
      </c>
      <c r="E101" s="3" t="s">
        <v>31</v>
      </c>
      <c r="F101" s="3">
        <v>2</v>
      </c>
      <c r="G101" s="5">
        <v>2.5</v>
      </c>
      <c r="H101" s="2" t="b">
        <f>MOD(ROWS($H$6:H101),10)=0</f>
        <v>0</v>
      </c>
    </row>
    <row r="102" spans="1:8" x14ac:dyDescent="0.25">
      <c r="A102" s="3">
        <v>97</v>
      </c>
      <c r="B102" s="4">
        <v>42165</v>
      </c>
      <c r="C102" s="3" t="s">
        <v>37</v>
      </c>
      <c r="D102" s="3" t="s">
        <v>2</v>
      </c>
      <c r="E102" s="3" t="s">
        <v>34</v>
      </c>
      <c r="F102" s="3">
        <v>20</v>
      </c>
      <c r="G102" s="5">
        <v>0.2</v>
      </c>
      <c r="H102" s="2" t="b">
        <f>MOD(ROWS($H$6:H102),10)=0</f>
        <v>0</v>
      </c>
    </row>
    <row r="103" spans="1:8" x14ac:dyDescent="0.25">
      <c r="A103" s="3">
        <v>98</v>
      </c>
      <c r="B103" s="4">
        <v>42136</v>
      </c>
      <c r="C103" s="3" t="s">
        <v>38</v>
      </c>
      <c r="D103" s="3" t="s">
        <v>10</v>
      </c>
      <c r="E103" s="3" t="s">
        <v>36</v>
      </c>
      <c r="F103" s="3">
        <v>26</v>
      </c>
      <c r="G103" s="5">
        <v>1.5</v>
      </c>
      <c r="H103" s="2" t="b">
        <f>MOD(ROWS($H$6:H103),10)=0</f>
        <v>0</v>
      </c>
    </row>
    <row r="104" spans="1:8" x14ac:dyDescent="0.25">
      <c r="A104" s="3">
        <v>99</v>
      </c>
      <c r="B104" s="4">
        <v>42121</v>
      </c>
      <c r="C104" s="3" t="s">
        <v>39</v>
      </c>
      <c r="D104" s="3" t="s">
        <v>19</v>
      </c>
      <c r="E104" s="3" t="s">
        <v>36</v>
      </c>
      <c r="F104" s="3">
        <v>24</v>
      </c>
      <c r="G104" s="5">
        <v>1.5</v>
      </c>
      <c r="H104" s="2" t="b">
        <f>MOD(ROWS($H$6:H104),10)=0</f>
        <v>0</v>
      </c>
    </row>
    <row r="105" spans="1:8" x14ac:dyDescent="0.25">
      <c r="A105" s="3">
        <v>100</v>
      </c>
      <c r="B105" s="4">
        <v>42184</v>
      </c>
      <c r="C105" s="3" t="s">
        <v>38</v>
      </c>
      <c r="D105" s="3" t="s">
        <v>2</v>
      </c>
      <c r="E105" s="3" t="s">
        <v>28</v>
      </c>
      <c r="F105" s="3">
        <v>41</v>
      </c>
      <c r="G105" s="5">
        <v>2</v>
      </c>
      <c r="H105" s="2" t="b">
        <f>MOD(ROWS($H$6:H105),10)=0</f>
        <v>1</v>
      </c>
    </row>
    <row r="106" spans="1:8" x14ac:dyDescent="0.25">
      <c r="A106" s="3">
        <v>101</v>
      </c>
      <c r="B106" s="4">
        <v>42026</v>
      </c>
      <c r="C106" s="3" t="s">
        <v>26</v>
      </c>
      <c r="D106" s="3" t="s">
        <v>2</v>
      </c>
      <c r="E106" s="3" t="s">
        <v>31</v>
      </c>
      <c r="F106" s="3">
        <v>27</v>
      </c>
      <c r="G106" s="5">
        <v>2.5</v>
      </c>
      <c r="H106" s="2" t="b">
        <f>MOD(ROWS($H$6:H106),10)=0</f>
        <v>0</v>
      </c>
    </row>
    <row r="107" spans="1:8" x14ac:dyDescent="0.25">
      <c r="A107" s="3">
        <v>102</v>
      </c>
      <c r="B107" s="4">
        <v>42039</v>
      </c>
      <c r="C107" s="3" t="s">
        <v>29</v>
      </c>
      <c r="D107" s="3" t="s">
        <v>6</v>
      </c>
      <c r="E107" s="3" t="s">
        <v>31</v>
      </c>
      <c r="F107" s="3">
        <v>29</v>
      </c>
      <c r="G107" s="5">
        <v>2.5</v>
      </c>
      <c r="H107" s="2" t="b">
        <f>MOD(ROWS($H$6:H107),10)=0</f>
        <v>0</v>
      </c>
    </row>
    <row r="108" spans="1:8" x14ac:dyDescent="0.25">
      <c r="A108" s="3">
        <v>103</v>
      </c>
      <c r="B108" s="4">
        <v>42174</v>
      </c>
      <c r="C108" s="3" t="s">
        <v>29</v>
      </c>
      <c r="D108" s="3" t="s">
        <v>5</v>
      </c>
      <c r="E108" s="3" t="s">
        <v>28</v>
      </c>
      <c r="F108" s="3">
        <v>40</v>
      </c>
      <c r="G108" s="5">
        <v>2</v>
      </c>
      <c r="H108" s="2" t="b">
        <f>MOD(ROWS($H$6:H108),10)=0</f>
        <v>0</v>
      </c>
    </row>
    <row r="109" spans="1:8" x14ac:dyDescent="0.25">
      <c r="A109" s="3">
        <v>104</v>
      </c>
      <c r="B109" s="4">
        <v>42130</v>
      </c>
      <c r="C109" s="3" t="s">
        <v>37</v>
      </c>
      <c r="D109" s="3" t="s">
        <v>19</v>
      </c>
      <c r="E109" s="3" t="s">
        <v>34</v>
      </c>
      <c r="F109" s="3">
        <v>32</v>
      </c>
      <c r="G109" s="5">
        <v>0.2</v>
      </c>
      <c r="H109" s="2" t="b">
        <f>MOD(ROWS($H$6:H109),10)=0</f>
        <v>0</v>
      </c>
    </row>
    <row r="110" spans="1:8" x14ac:dyDescent="0.25">
      <c r="A110" s="3">
        <v>105</v>
      </c>
      <c r="B110" s="4">
        <v>42013</v>
      </c>
      <c r="C110" s="3" t="s">
        <v>38</v>
      </c>
      <c r="D110" s="3" t="s">
        <v>2</v>
      </c>
      <c r="E110" s="3" t="s">
        <v>28</v>
      </c>
      <c r="F110" s="3">
        <v>29</v>
      </c>
      <c r="G110" s="5">
        <v>2</v>
      </c>
      <c r="H110" s="2" t="b">
        <f>MOD(ROWS($H$6:H110),10)=0</f>
        <v>0</v>
      </c>
    </row>
    <row r="111" spans="1:8" x14ac:dyDescent="0.25">
      <c r="A111" s="3">
        <v>106</v>
      </c>
      <c r="B111" s="4">
        <v>42068</v>
      </c>
      <c r="C111" s="3" t="s">
        <v>32</v>
      </c>
      <c r="D111" s="3" t="s">
        <v>6</v>
      </c>
      <c r="E111" s="3" t="s">
        <v>31</v>
      </c>
      <c r="F111" s="3">
        <v>19</v>
      </c>
      <c r="G111" s="5">
        <v>2.5</v>
      </c>
      <c r="H111" s="2" t="b">
        <f>MOD(ROWS($H$6:H111),10)=0</f>
        <v>0</v>
      </c>
    </row>
    <row r="112" spans="1:8" x14ac:dyDescent="0.25">
      <c r="A112" s="3">
        <v>107</v>
      </c>
      <c r="B112" s="4">
        <v>42093</v>
      </c>
      <c r="C112" s="3" t="s">
        <v>29</v>
      </c>
      <c r="D112" s="3" t="s">
        <v>5</v>
      </c>
      <c r="E112" s="3" t="s">
        <v>28</v>
      </c>
      <c r="F112" s="3">
        <v>15</v>
      </c>
      <c r="G112" s="5">
        <v>2</v>
      </c>
      <c r="H112" s="2" t="b">
        <f>MOD(ROWS($H$6:H112),10)=0</f>
        <v>0</v>
      </c>
    </row>
    <row r="113" spans="1:8" x14ac:dyDescent="0.25">
      <c r="A113" s="3">
        <v>108</v>
      </c>
      <c r="B113" s="4">
        <v>42178</v>
      </c>
      <c r="C113" s="3" t="s">
        <v>37</v>
      </c>
      <c r="D113" s="3" t="s">
        <v>6</v>
      </c>
      <c r="E113" s="3" t="s">
        <v>30</v>
      </c>
      <c r="F113" s="3">
        <v>24</v>
      </c>
      <c r="G113" s="5">
        <v>0.1</v>
      </c>
      <c r="H113" s="2" t="b">
        <f>MOD(ROWS($H$6:H113),10)=0</f>
        <v>0</v>
      </c>
    </row>
    <row r="114" spans="1:8" x14ac:dyDescent="0.25">
      <c r="A114" s="3">
        <v>109</v>
      </c>
      <c r="B114" s="4">
        <v>42097</v>
      </c>
      <c r="C114" s="3" t="s">
        <v>38</v>
      </c>
      <c r="D114" s="3" t="s">
        <v>5</v>
      </c>
      <c r="E114" s="3" t="s">
        <v>28</v>
      </c>
      <c r="F114" s="3">
        <v>21</v>
      </c>
      <c r="G114" s="5">
        <v>2</v>
      </c>
      <c r="H114" s="2" t="b">
        <f>MOD(ROWS($H$6:H114),10)=0</f>
        <v>0</v>
      </c>
    </row>
    <row r="115" spans="1:8" x14ac:dyDescent="0.25">
      <c r="A115" s="3">
        <v>110</v>
      </c>
      <c r="B115" s="4">
        <v>42140</v>
      </c>
      <c r="C115" s="3" t="s">
        <v>32</v>
      </c>
      <c r="D115" s="3" t="s">
        <v>10</v>
      </c>
      <c r="E115" s="3" t="s">
        <v>28</v>
      </c>
      <c r="F115" s="3">
        <v>16</v>
      </c>
      <c r="G115" s="5">
        <v>2</v>
      </c>
      <c r="H115" s="2" t="b">
        <f>MOD(ROWS($H$6:H115),10)=0</f>
        <v>1</v>
      </c>
    </row>
    <row r="116" spans="1:8" x14ac:dyDescent="0.25">
      <c r="A116" s="3">
        <v>111</v>
      </c>
      <c r="B116" s="4">
        <v>42010</v>
      </c>
      <c r="C116" s="3" t="s">
        <v>38</v>
      </c>
      <c r="D116" s="3" t="s">
        <v>19</v>
      </c>
      <c r="E116" s="3" t="s">
        <v>31</v>
      </c>
      <c r="F116" s="3">
        <v>44</v>
      </c>
      <c r="G116" s="5">
        <v>2.5</v>
      </c>
      <c r="H116" s="2" t="b">
        <f>MOD(ROWS($H$6:H116),10)=0</f>
        <v>0</v>
      </c>
    </row>
    <row r="117" spans="1:8" x14ac:dyDescent="0.25">
      <c r="A117" s="3">
        <v>112</v>
      </c>
      <c r="B117" s="4">
        <v>42019</v>
      </c>
      <c r="C117" s="3" t="s">
        <v>29</v>
      </c>
      <c r="D117" s="3" t="s">
        <v>5</v>
      </c>
      <c r="E117" s="3" t="s">
        <v>28</v>
      </c>
      <c r="F117" s="3">
        <v>4</v>
      </c>
      <c r="G117" s="5">
        <v>2</v>
      </c>
      <c r="H117" s="2" t="b">
        <f>MOD(ROWS($H$6:H117),10)=0</f>
        <v>0</v>
      </c>
    </row>
    <row r="118" spans="1:8" x14ac:dyDescent="0.25">
      <c r="A118" s="3">
        <v>113</v>
      </c>
      <c r="B118" s="4">
        <v>42095</v>
      </c>
      <c r="C118" s="3" t="s">
        <v>39</v>
      </c>
      <c r="D118" s="3" t="s">
        <v>19</v>
      </c>
      <c r="E118" s="3" t="s">
        <v>28</v>
      </c>
      <c r="F118" s="3">
        <v>5</v>
      </c>
      <c r="G118" s="5">
        <v>2</v>
      </c>
      <c r="H118" s="2" t="b">
        <f>MOD(ROWS($H$6:H118),10)=0</f>
        <v>0</v>
      </c>
    </row>
    <row r="119" spans="1:8" x14ac:dyDescent="0.25">
      <c r="A119" s="3">
        <v>114</v>
      </c>
      <c r="B119" s="4">
        <v>42089</v>
      </c>
      <c r="C119" s="3" t="s">
        <v>39</v>
      </c>
      <c r="D119" s="3" t="s">
        <v>19</v>
      </c>
      <c r="E119" s="3" t="s">
        <v>33</v>
      </c>
      <c r="F119" s="3">
        <v>1</v>
      </c>
      <c r="G119" s="5">
        <v>5</v>
      </c>
      <c r="H119" s="2" t="b">
        <f>MOD(ROWS($H$6:H119),10)=0</f>
        <v>0</v>
      </c>
    </row>
    <row r="120" spans="1:8" x14ac:dyDescent="0.25">
      <c r="A120" s="3">
        <v>115</v>
      </c>
      <c r="B120" s="4">
        <v>42175</v>
      </c>
      <c r="C120" s="3" t="s">
        <v>37</v>
      </c>
      <c r="D120" s="3" t="s">
        <v>19</v>
      </c>
      <c r="E120" s="3" t="s">
        <v>30</v>
      </c>
      <c r="F120" s="3">
        <v>43</v>
      </c>
      <c r="G120" s="5">
        <v>0.1</v>
      </c>
      <c r="H120" s="2" t="b">
        <f>MOD(ROWS($H$6:H120),10)=0</f>
        <v>0</v>
      </c>
    </row>
    <row r="121" spans="1:8" x14ac:dyDescent="0.25">
      <c r="A121" s="3">
        <v>116</v>
      </c>
      <c r="B121" s="4">
        <v>42138</v>
      </c>
      <c r="C121" s="3" t="s">
        <v>26</v>
      </c>
      <c r="D121" s="3" t="s">
        <v>5</v>
      </c>
      <c r="E121" s="3" t="s">
        <v>33</v>
      </c>
      <c r="F121" s="3">
        <v>34</v>
      </c>
      <c r="G121" s="5">
        <v>5</v>
      </c>
      <c r="H121" s="2" t="b">
        <f>MOD(ROWS($H$6:H121),10)=0</f>
        <v>0</v>
      </c>
    </row>
    <row r="122" spans="1:8" x14ac:dyDescent="0.25">
      <c r="A122" s="3">
        <v>117</v>
      </c>
      <c r="B122" s="4">
        <v>42143</v>
      </c>
      <c r="C122" s="3" t="s">
        <v>29</v>
      </c>
      <c r="D122" s="3" t="s">
        <v>2</v>
      </c>
      <c r="E122" s="3" t="s">
        <v>31</v>
      </c>
      <c r="F122" s="3">
        <v>20</v>
      </c>
      <c r="G122" s="5">
        <v>2.5</v>
      </c>
      <c r="H122" s="2" t="b">
        <f>MOD(ROWS($H$6:H122),10)=0</f>
        <v>0</v>
      </c>
    </row>
    <row r="123" spans="1:8" x14ac:dyDescent="0.25">
      <c r="A123" s="3">
        <v>118</v>
      </c>
      <c r="B123" s="4">
        <v>42011</v>
      </c>
      <c r="C123" s="3" t="s">
        <v>38</v>
      </c>
      <c r="D123" s="3" t="s">
        <v>5</v>
      </c>
      <c r="E123" s="3" t="s">
        <v>36</v>
      </c>
      <c r="F123" s="3">
        <v>17</v>
      </c>
      <c r="G123" s="5">
        <v>1.5</v>
      </c>
      <c r="H123" s="2" t="b">
        <f>MOD(ROWS($H$6:H123),10)=0</f>
        <v>0</v>
      </c>
    </row>
    <row r="124" spans="1:8" x14ac:dyDescent="0.25">
      <c r="A124" s="3">
        <v>119</v>
      </c>
      <c r="B124" s="4">
        <v>42138</v>
      </c>
      <c r="C124" s="3" t="s">
        <v>39</v>
      </c>
      <c r="D124" s="3" t="s">
        <v>6</v>
      </c>
      <c r="E124" s="3" t="s">
        <v>36</v>
      </c>
      <c r="F124" s="3">
        <v>23</v>
      </c>
      <c r="G124" s="5">
        <v>1.5</v>
      </c>
      <c r="H124" s="2" t="b">
        <f>MOD(ROWS($H$6:H124),10)=0</f>
        <v>0</v>
      </c>
    </row>
    <row r="125" spans="1:8" x14ac:dyDescent="0.25">
      <c r="A125" s="3">
        <v>120</v>
      </c>
      <c r="B125" s="4">
        <v>42166</v>
      </c>
      <c r="C125" s="3" t="s">
        <v>37</v>
      </c>
      <c r="D125" s="3" t="s">
        <v>19</v>
      </c>
      <c r="E125" s="3" t="s">
        <v>30</v>
      </c>
      <c r="F125" s="3">
        <v>22</v>
      </c>
      <c r="G125" s="5">
        <v>0.1</v>
      </c>
      <c r="H125" s="2" t="b">
        <f>MOD(ROWS($H$6:H125),10)=0</f>
        <v>1</v>
      </c>
    </row>
    <row r="126" spans="1:8" x14ac:dyDescent="0.25">
      <c r="A126" s="3">
        <v>121</v>
      </c>
      <c r="B126" s="4">
        <v>42043</v>
      </c>
      <c r="C126" s="3" t="s">
        <v>39</v>
      </c>
      <c r="D126" s="3" t="s">
        <v>6</v>
      </c>
      <c r="E126" s="3" t="s">
        <v>33</v>
      </c>
      <c r="F126" s="3">
        <v>40</v>
      </c>
      <c r="G126" s="5">
        <v>5</v>
      </c>
      <c r="H126" s="2" t="b">
        <f>MOD(ROWS($H$6:H126),10)=0</f>
        <v>0</v>
      </c>
    </row>
    <row r="127" spans="1:8" x14ac:dyDescent="0.25">
      <c r="A127" s="3">
        <v>122</v>
      </c>
      <c r="B127" s="4">
        <v>42184</v>
      </c>
      <c r="C127" s="3" t="s">
        <v>29</v>
      </c>
      <c r="D127" s="3" t="s">
        <v>6</v>
      </c>
      <c r="E127" s="3" t="s">
        <v>35</v>
      </c>
      <c r="F127" s="3">
        <v>50</v>
      </c>
      <c r="G127" s="5">
        <v>4</v>
      </c>
      <c r="H127" s="2" t="b">
        <f>MOD(ROWS($H$6:H127),10)=0</f>
        <v>0</v>
      </c>
    </row>
    <row r="128" spans="1:8" x14ac:dyDescent="0.25">
      <c r="A128" s="3">
        <v>123</v>
      </c>
      <c r="B128" s="4">
        <v>42176</v>
      </c>
      <c r="C128" s="3" t="s">
        <v>39</v>
      </c>
      <c r="D128" s="3" t="s">
        <v>5</v>
      </c>
      <c r="E128" s="3" t="s">
        <v>30</v>
      </c>
      <c r="F128" s="3">
        <v>29</v>
      </c>
      <c r="G128" s="5">
        <v>0.1</v>
      </c>
      <c r="H128" s="2" t="b">
        <f>MOD(ROWS($H$6:H128),10)=0</f>
        <v>0</v>
      </c>
    </row>
    <row r="129" spans="1:8" x14ac:dyDescent="0.25">
      <c r="A129" s="3">
        <v>124</v>
      </c>
      <c r="B129" s="4">
        <v>42062</v>
      </c>
      <c r="C129" s="3" t="s">
        <v>38</v>
      </c>
      <c r="D129" s="3" t="s">
        <v>10</v>
      </c>
      <c r="E129" s="3" t="s">
        <v>34</v>
      </c>
      <c r="F129" s="3">
        <v>17</v>
      </c>
      <c r="G129" s="5">
        <v>0.2</v>
      </c>
      <c r="H129" s="2" t="b">
        <f>MOD(ROWS($H$6:H129),10)=0</f>
        <v>0</v>
      </c>
    </row>
    <row r="130" spans="1:8" x14ac:dyDescent="0.25">
      <c r="A130" s="3">
        <v>125</v>
      </c>
      <c r="B130" s="4">
        <v>42162</v>
      </c>
      <c r="C130" s="3" t="s">
        <v>26</v>
      </c>
      <c r="D130" s="3" t="s">
        <v>19</v>
      </c>
      <c r="E130" s="3" t="s">
        <v>35</v>
      </c>
      <c r="F130" s="3">
        <v>42</v>
      </c>
      <c r="G130" s="5">
        <v>4</v>
      </c>
      <c r="H130" s="2" t="b">
        <f>MOD(ROWS($H$6:H130),10)=0</f>
        <v>0</v>
      </c>
    </row>
    <row r="131" spans="1:8" x14ac:dyDescent="0.25">
      <c r="A131" s="3">
        <v>126</v>
      </c>
      <c r="B131" s="4">
        <v>42127</v>
      </c>
      <c r="C131" s="3" t="s">
        <v>26</v>
      </c>
      <c r="D131" s="3" t="s">
        <v>10</v>
      </c>
      <c r="E131" s="3" t="s">
        <v>28</v>
      </c>
      <c r="F131" s="3">
        <v>50</v>
      </c>
      <c r="G131" s="5">
        <v>2</v>
      </c>
      <c r="H131" s="2" t="b">
        <f>MOD(ROWS($H$6:H131),10)=0</f>
        <v>0</v>
      </c>
    </row>
    <row r="132" spans="1:8" x14ac:dyDescent="0.25">
      <c r="A132" s="3">
        <v>127</v>
      </c>
      <c r="B132" s="4">
        <v>42100</v>
      </c>
      <c r="C132" s="3" t="s">
        <v>39</v>
      </c>
      <c r="D132" s="3" t="s">
        <v>19</v>
      </c>
      <c r="E132" s="3" t="s">
        <v>35</v>
      </c>
      <c r="F132" s="3">
        <v>20</v>
      </c>
      <c r="G132" s="5">
        <v>4</v>
      </c>
      <c r="H132" s="2" t="b">
        <f>MOD(ROWS($H$6:H132),10)=0</f>
        <v>0</v>
      </c>
    </row>
    <row r="133" spans="1:8" x14ac:dyDescent="0.25">
      <c r="A133" s="3">
        <v>128</v>
      </c>
      <c r="B133" s="4">
        <v>42164</v>
      </c>
      <c r="C133" s="3" t="s">
        <v>32</v>
      </c>
      <c r="D133" s="3" t="s">
        <v>2</v>
      </c>
      <c r="E133" s="3" t="s">
        <v>30</v>
      </c>
      <c r="F133" s="3">
        <v>7</v>
      </c>
      <c r="G133" s="5">
        <v>0.1</v>
      </c>
      <c r="H133" s="2" t="b">
        <f>MOD(ROWS($H$6:H133),10)=0</f>
        <v>0</v>
      </c>
    </row>
    <row r="134" spans="1:8" x14ac:dyDescent="0.25">
      <c r="A134" s="3">
        <v>129</v>
      </c>
      <c r="B134" s="4">
        <v>42074</v>
      </c>
      <c r="C134" s="3" t="s">
        <v>26</v>
      </c>
      <c r="D134" s="3" t="s">
        <v>6</v>
      </c>
      <c r="E134" s="3" t="s">
        <v>34</v>
      </c>
      <c r="F134" s="3">
        <v>23</v>
      </c>
      <c r="G134" s="5">
        <v>0.2</v>
      </c>
      <c r="H134" s="2" t="b">
        <f>MOD(ROWS($H$6:H134),10)=0</f>
        <v>0</v>
      </c>
    </row>
    <row r="135" spans="1:8" x14ac:dyDescent="0.25">
      <c r="A135" s="3">
        <v>130</v>
      </c>
      <c r="B135" s="4">
        <v>42168</v>
      </c>
      <c r="C135" s="3" t="s">
        <v>29</v>
      </c>
      <c r="D135" s="3" t="s">
        <v>10</v>
      </c>
      <c r="E135" s="3" t="s">
        <v>30</v>
      </c>
      <c r="F135" s="3">
        <v>41</v>
      </c>
      <c r="G135" s="5">
        <v>0.1</v>
      </c>
      <c r="H135" s="2" t="b">
        <f>MOD(ROWS($H$6:H135),10)=0</f>
        <v>1</v>
      </c>
    </row>
    <row r="136" spans="1:8" x14ac:dyDescent="0.25">
      <c r="A136" s="3">
        <v>131</v>
      </c>
      <c r="B136" s="4">
        <v>42067</v>
      </c>
      <c r="C136" s="3" t="s">
        <v>32</v>
      </c>
      <c r="D136" s="3" t="s">
        <v>10</v>
      </c>
      <c r="E136" s="3" t="s">
        <v>33</v>
      </c>
      <c r="F136" s="3">
        <v>10</v>
      </c>
      <c r="G136" s="5">
        <v>5</v>
      </c>
      <c r="H136" s="2" t="b">
        <f>MOD(ROWS($H$6:H136),10)=0</f>
        <v>0</v>
      </c>
    </row>
    <row r="137" spans="1:8" x14ac:dyDescent="0.25">
      <c r="A137" s="3">
        <v>132</v>
      </c>
      <c r="B137" s="4">
        <v>42133</v>
      </c>
      <c r="C137" s="3" t="s">
        <v>32</v>
      </c>
      <c r="D137" s="3" t="s">
        <v>6</v>
      </c>
      <c r="E137" s="3" t="s">
        <v>27</v>
      </c>
      <c r="F137" s="3">
        <v>50</v>
      </c>
      <c r="G137" s="5">
        <v>0.5</v>
      </c>
      <c r="H137" s="2" t="b">
        <f>MOD(ROWS($H$6:H137),10)=0</f>
        <v>0</v>
      </c>
    </row>
    <row r="138" spans="1:8" x14ac:dyDescent="0.25">
      <c r="A138" s="3">
        <v>133</v>
      </c>
      <c r="B138" s="4">
        <v>42161</v>
      </c>
      <c r="C138" s="3" t="s">
        <v>38</v>
      </c>
      <c r="D138" s="3" t="s">
        <v>19</v>
      </c>
      <c r="E138" s="3" t="s">
        <v>34</v>
      </c>
      <c r="F138" s="3">
        <v>6</v>
      </c>
      <c r="G138" s="5">
        <v>0.2</v>
      </c>
      <c r="H138" s="2" t="b">
        <f>MOD(ROWS($H$6:H138),10)=0</f>
        <v>0</v>
      </c>
    </row>
    <row r="139" spans="1:8" x14ac:dyDescent="0.25">
      <c r="A139" s="3">
        <v>134</v>
      </c>
      <c r="B139" s="4">
        <v>42032</v>
      </c>
      <c r="C139" s="3" t="s">
        <v>37</v>
      </c>
      <c r="D139" s="3" t="s">
        <v>2</v>
      </c>
      <c r="E139" s="3" t="s">
        <v>31</v>
      </c>
      <c r="F139" s="3">
        <v>37</v>
      </c>
      <c r="G139" s="5">
        <v>2.5</v>
      </c>
      <c r="H139" s="2" t="b">
        <f>MOD(ROWS($H$6:H139),10)=0</f>
        <v>0</v>
      </c>
    </row>
    <row r="140" spans="1:8" x14ac:dyDescent="0.25">
      <c r="A140" s="3">
        <v>135</v>
      </c>
      <c r="B140" s="4">
        <v>42117</v>
      </c>
      <c r="C140" s="3" t="s">
        <v>26</v>
      </c>
      <c r="D140" s="3" t="s">
        <v>2</v>
      </c>
      <c r="E140" s="3" t="s">
        <v>30</v>
      </c>
      <c r="F140" s="3">
        <v>2</v>
      </c>
      <c r="G140" s="5">
        <v>0.1</v>
      </c>
      <c r="H140" s="2" t="b">
        <f>MOD(ROWS($H$6:H140),10)=0</f>
        <v>0</v>
      </c>
    </row>
    <row r="141" spans="1:8" x14ac:dyDescent="0.25">
      <c r="A141" s="3">
        <v>136</v>
      </c>
      <c r="B141" s="4">
        <v>42125</v>
      </c>
      <c r="C141" s="3" t="s">
        <v>37</v>
      </c>
      <c r="D141" s="3" t="s">
        <v>2</v>
      </c>
      <c r="E141" s="3" t="s">
        <v>36</v>
      </c>
      <c r="F141" s="3">
        <v>36</v>
      </c>
      <c r="G141" s="5">
        <v>1.5</v>
      </c>
      <c r="H141" s="2" t="b">
        <f>MOD(ROWS($H$6:H141),10)=0</f>
        <v>0</v>
      </c>
    </row>
    <row r="142" spans="1:8" x14ac:dyDescent="0.25">
      <c r="A142" s="3">
        <v>137</v>
      </c>
      <c r="B142" s="4">
        <v>42153</v>
      </c>
      <c r="C142" s="3" t="s">
        <v>38</v>
      </c>
      <c r="D142" s="3" t="s">
        <v>5</v>
      </c>
      <c r="E142" s="3" t="s">
        <v>30</v>
      </c>
      <c r="F142" s="3">
        <v>28</v>
      </c>
      <c r="G142" s="5">
        <v>0.1</v>
      </c>
      <c r="H142" s="2" t="b">
        <f>MOD(ROWS($H$6:H142),10)=0</f>
        <v>0</v>
      </c>
    </row>
    <row r="143" spans="1:8" x14ac:dyDescent="0.25">
      <c r="A143" s="3">
        <v>138</v>
      </c>
      <c r="B143" s="4">
        <v>42149</v>
      </c>
      <c r="C143" s="3" t="s">
        <v>32</v>
      </c>
      <c r="D143" s="3" t="s">
        <v>10</v>
      </c>
      <c r="E143" s="3" t="s">
        <v>33</v>
      </c>
      <c r="F143" s="3">
        <v>10</v>
      </c>
      <c r="G143" s="5">
        <v>5</v>
      </c>
      <c r="H143" s="2" t="b">
        <f>MOD(ROWS($H$6:H143),10)=0</f>
        <v>0</v>
      </c>
    </row>
    <row r="144" spans="1:8" x14ac:dyDescent="0.25">
      <c r="A144" s="3">
        <v>139</v>
      </c>
      <c r="B144" s="4">
        <v>42107</v>
      </c>
      <c r="C144" s="3" t="s">
        <v>39</v>
      </c>
      <c r="D144" s="3" t="s">
        <v>5</v>
      </c>
      <c r="E144" s="3" t="s">
        <v>36</v>
      </c>
      <c r="F144" s="3">
        <v>47</v>
      </c>
      <c r="G144" s="5">
        <v>1.5</v>
      </c>
      <c r="H144" s="2" t="b">
        <f>MOD(ROWS($H$6:H144),10)=0</f>
        <v>0</v>
      </c>
    </row>
    <row r="145" spans="1:8" x14ac:dyDescent="0.25">
      <c r="A145" s="3">
        <v>140</v>
      </c>
      <c r="B145" s="4">
        <v>42178</v>
      </c>
      <c r="C145" s="3" t="s">
        <v>39</v>
      </c>
      <c r="D145" s="3" t="s">
        <v>10</v>
      </c>
      <c r="E145" s="3" t="s">
        <v>28</v>
      </c>
      <c r="F145" s="3">
        <v>44</v>
      </c>
      <c r="G145" s="5">
        <v>2</v>
      </c>
      <c r="H145" s="2" t="b">
        <f>MOD(ROWS($H$6:H145),10)=0</f>
        <v>1</v>
      </c>
    </row>
    <row r="146" spans="1:8" x14ac:dyDescent="0.25">
      <c r="A146" s="3">
        <v>141</v>
      </c>
      <c r="B146" s="4">
        <v>42033</v>
      </c>
      <c r="C146" s="3" t="s">
        <v>37</v>
      </c>
      <c r="D146" s="3" t="s">
        <v>2</v>
      </c>
      <c r="E146" s="3" t="s">
        <v>35</v>
      </c>
      <c r="F146" s="3">
        <v>12</v>
      </c>
      <c r="G146" s="5">
        <v>4</v>
      </c>
      <c r="H146" s="2" t="b">
        <f>MOD(ROWS($H$6:H146),10)=0</f>
        <v>0</v>
      </c>
    </row>
    <row r="147" spans="1:8" x14ac:dyDescent="0.25">
      <c r="A147" s="3">
        <v>142</v>
      </c>
      <c r="B147" s="4">
        <v>42132</v>
      </c>
      <c r="C147" s="3" t="s">
        <v>29</v>
      </c>
      <c r="D147" s="3" t="s">
        <v>2</v>
      </c>
      <c r="E147" s="3" t="s">
        <v>27</v>
      </c>
      <c r="F147" s="3">
        <v>14</v>
      </c>
      <c r="G147" s="5">
        <v>0.5</v>
      </c>
      <c r="H147" s="2" t="b">
        <f>MOD(ROWS($H$6:H147),10)=0</f>
        <v>0</v>
      </c>
    </row>
    <row r="148" spans="1:8" x14ac:dyDescent="0.25">
      <c r="A148" s="3">
        <v>143</v>
      </c>
      <c r="B148" s="4">
        <v>42006</v>
      </c>
      <c r="C148" s="3" t="s">
        <v>32</v>
      </c>
      <c r="D148" s="3" t="s">
        <v>6</v>
      </c>
      <c r="E148" s="3" t="s">
        <v>34</v>
      </c>
      <c r="F148" s="3">
        <v>44</v>
      </c>
      <c r="G148" s="5">
        <v>0.2</v>
      </c>
      <c r="H148" s="2" t="b">
        <f>MOD(ROWS($H$6:H148),10)=0</f>
        <v>0</v>
      </c>
    </row>
    <row r="149" spans="1:8" x14ac:dyDescent="0.25">
      <c r="A149" s="3">
        <v>144</v>
      </c>
      <c r="B149" s="4">
        <v>42173</v>
      </c>
      <c r="C149" s="3" t="s">
        <v>29</v>
      </c>
      <c r="D149" s="3" t="s">
        <v>10</v>
      </c>
      <c r="E149" s="3" t="s">
        <v>31</v>
      </c>
      <c r="F149" s="3">
        <v>12</v>
      </c>
      <c r="G149" s="5">
        <v>2.5</v>
      </c>
      <c r="H149" s="2" t="b">
        <f>MOD(ROWS($H$6:H149),10)=0</f>
        <v>0</v>
      </c>
    </row>
    <row r="150" spans="1:8" x14ac:dyDescent="0.25">
      <c r="A150" s="3">
        <v>145</v>
      </c>
      <c r="B150" s="4">
        <v>42093</v>
      </c>
      <c r="C150" s="3" t="s">
        <v>26</v>
      </c>
      <c r="D150" s="3" t="s">
        <v>19</v>
      </c>
      <c r="E150" s="3" t="s">
        <v>31</v>
      </c>
      <c r="F150" s="3">
        <v>35</v>
      </c>
      <c r="G150" s="5">
        <v>2.5</v>
      </c>
      <c r="H150" s="2" t="b">
        <f>MOD(ROWS($H$6:H150),10)=0</f>
        <v>0</v>
      </c>
    </row>
    <row r="151" spans="1:8" x14ac:dyDescent="0.25">
      <c r="A151" s="3">
        <v>146</v>
      </c>
      <c r="B151" s="4">
        <v>42093</v>
      </c>
      <c r="C151" s="3" t="s">
        <v>32</v>
      </c>
      <c r="D151" s="3" t="s">
        <v>6</v>
      </c>
      <c r="E151" s="3" t="s">
        <v>36</v>
      </c>
      <c r="F151" s="3">
        <v>19</v>
      </c>
      <c r="G151" s="5">
        <v>1.5</v>
      </c>
      <c r="H151" s="2" t="b">
        <f>MOD(ROWS($H$6:H151),10)=0</f>
        <v>0</v>
      </c>
    </row>
    <row r="152" spans="1:8" x14ac:dyDescent="0.25">
      <c r="A152" s="3">
        <v>147</v>
      </c>
      <c r="B152" s="4">
        <v>42033</v>
      </c>
      <c r="C152" s="3" t="s">
        <v>38</v>
      </c>
      <c r="D152" s="3" t="s">
        <v>10</v>
      </c>
      <c r="E152" s="3" t="s">
        <v>34</v>
      </c>
      <c r="F152" s="3">
        <v>9</v>
      </c>
      <c r="G152" s="5">
        <v>0.2</v>
      </c>
      <c r="H152" s="2" t="b">
        <f>MOD(ROWS($H$6:H152),10)=0</f>
        <v>0</v>
      </c>
    </row>
    <row r="153" spans="1:8" x14ac:dyDescent="0.25">
      <c r="A153" s="3">
        <v>148</v>
      </c>
      <c r="B153" s="4">
        <v>42184</v>
      </c>
      <c r="C153" s="3" t="s">
        <v>32</v>
      </c>
      <c r="D153" s="3" t="s">
        <v>5</v>
      </c>
      <c r="E153" s="3" t="s">
        <v>36</v>
      </c>
      <c r="F153" s="3">
        <v>16</v>
      </c>
      <c r="G153" s="5">
        <v>1.5</v>
      </c>
      <c r="H153" s="2" t="b">
        <f>MOD(ROWS($H$6:H153),10)=0</f>
        <v>0</v>
      </c>
    </row>
    <row r="154" spans="1:8" x14ac:dyDescent="0.25">
      <c r="A154" s="3">
        <v>149</v>
      </c>
      <c r="B154" s="4">
        <v>42072</v>
      </c>
      <c r="C154" s="3" t="s">
        <v>37</v>
      </c>
      <c r="D154" s="3" t="s">
        <v>2</v>
      </c>
      <c r="E154" s="3" t="s">
        <v>31</v>
      </c>
      <c r="F154" s="3">
        <v>39</v>
      </c>
      <c r="G154" s="5">
        <v>2.5</v>
      </c>
      <c r="H154" s="2" t="b">
        <f>MOD(ROWS($H$6:H154),10)=0</f>
        <v>0</v>
      </c>
    </row>
    <row r="155" spans="1:8" x14ac:dyDescent="0.25">
      <c r="A155" s="3">
        <v>150</v>
      </c>
      <c r="B155" s="4">
        <v>42131</v>
      </c>
      <c r="C155" s="3" t="s">
        <v>39</v>
      </c>
      <c r="D155" s="3" t="s">
        <v>5</v>
      </c>
      <c r="E155" s="3" t="s">
        <v>34</v>
      </c>
      <c r="F155" s="3">
        <v>25</v>
      </c>
      <c r="G155" s="5">
        <v>0.2</v>
      </c>
      <c r="H155" s="2" t="b">
        <f>MOD(ROWS($H$6:H155),10)=0</f>
        <v>1</v>
      </c>
    </row>
    <row r="156" spans="1:8" x14ac:dyDescent="0.25">
      <c r="A156" s="3">
        <v>151</v>
      </c>
      <c r="B156" s="4">
        <v>42018</v>
      </c>
      <c r="C156" s="3" t="s">
        <v>39</v>
      </c>
      <c r="D156" s="3" t="s">
        <v>19</v>
      </c>
      <c r="E156" s="3" t="s">
        <v>28</v>
      </c>
      <c r="F156" s="3">
        <v>13</v>
      </c>
      <c r="G156" s="5">
        <v>2</v>
      </c>
      <c r="H156" s="2" t="b">
        <f>MOD(ROWS($H$6:H156),10)=0</f>
        <v>0</v>
      </c>
    </row>
    <row r="157" spans="1:8" x14ac:dyDescent="0.25">
      <c r="A157" s="3">
        <v>152</v>
      </c>
      <c r="B157" s="4">
        <v>42128</v>
      </c>
      <c r="C157" s="3" t="s">
        <v>39</v>
      </c>
      <c r="D157" s="3" t="s">
        <v>10</v>
      </c>
      <c r="E157" s="3" t="s">
        <v>27</v>
      </c>
      <c r="F157" s="3">
        <v>40</v>
      </c>
      <c r="G157" s="5">
        <v>0.5</v>
      </c>
      <c r="H157" s="2" t="b">
        <f>MOD(ROWS($H$6:H157),10)=0</f>
        <v>0</v>
      </c>
    </row>
    <row r="158" spans="1:8" x14ac:dyDescent="0.25">
      <c r="A158" s="3">
        <v>153</v>
      </c>
      <c r="B158" s="4">
        <v>42029</v>
      </c>
      <c r="C158" s="3" t="s">
        <v>37</v>
      </c>
      <c r="D158" s="3" t="s">
        <v>2</v>
      </c>
      <c r="E158" s="3" t="s">
        <v>36</v>
      </c>
      <c r="F158" s="3">
        <v>20</v>
      </c>
      <c r="G158" s="5">
        <v>1.5</v>
      </c>
      <c r="H158" s="2" t="b">
        <f>MOD(ROWS($H$6:H158),10)=0</f>
        <v>0</v>
      </c>
    </row>
    <row r="159" spans="1:8" x14ac:dyDescent="0.25">
      <c r="A159" s="3">
        <v>154</v>
      </c>
      <c r="B159" s="4">
        <v>42133</v>
      </c>
      <c r="C159" s="3" t="s">
        <v>38</v>
      </c>
      <c r="D159" s="3" t="s">
        <v>5</v>
      </c>
      <c r="E159" s="3" t="s">
        <v>34</v>
      </c>
      <c r="F159" s="3">
        <v>24</v>
      </c>
      <c r="G159" s="5">
        <v>0.2</v>
      </c>
      <c r="H159" s="2" t="b">
        <f>MOD(ROWS($H$6:H159),10)=0</f>
        <v>0</v>
      </c>
    </row>
    <row r="160" spans="1:8" x14ac:dyDescent="0.25">
      <c r="A160" s="3">
        <v>155</v>
      </c>
      <c r="B160" s="4">
        <v>42079</v>
      </c>
      <c r="C160" s="3" t="s">
        <v>26</v>
      </c>
      <c r="D160" s="3" t="s">
        <v>2</v>
      </c>
      <c r="E160" s="3" t="s">
        <v>30</v>
      </c>
      <c r="F160" s="3">
        <v>47</v>
      </c>
      <c r="G160" s="5">
        <v>0.1</v>
      </c>
      <c r="H160" s="2" t="b">
        <f>MOD(ROWS($H$6:H160),10)=0</f>
        <v>0</v>
      </c>
    </row>
    <row r="161" spans="1:8" x14ac:dyDescent="0.25">
      <c r="A161" s="3">
        <v>156</v>
      </c>
      <c r="B161" s="4">
        <v>42112</v>
      </c>
      <c r="C161" s="3" t="s">
        <v>32</v>
      </c>
      <c r="D161" s="3" t="s">
        <v>6</v>
      </c>
      <c r="E161" s="3" t="s">
        <v>34</v>
      </c>
      <c r="F161" s="3">
        <v>4</v>
      </c>
      <c r="G161" s="5">
        <v>0.2</v>
      </c>
      <c r="H161" s="2" t="b">
        <f>MOD(ROWS($H$6:H161),10)=0</f>
        <v>0</v>
      </c>
    </row>
    <row r="162" spans="1:8" x14ac:dyDescent="0.25">
      <c r="A162" s="3">
        <v>157</v>
      </c>
      <c r="B162" s="4">
        <v>42083</v>
      </c>
      <c r="C162" s="3" t="s">
        <v>38</v>
      </c>
      <c r="D162" s="3" t="s">
        <v>5</v>
      </c>
      <c r="E162" s="3" t="s">
        <v>36</v>
      </c>
      <c r="F162" s="3">
        <v>34</v>
      </c>
      <c r="G162" s="5">
        <v>1.5</v>
      </c>
      <c r="H162" s="2" t="b">
        <f>MOD(ROWS($H$6:H162),10)=0</f>
        <v>0</v>
      </c>
    </row>
    <row r="163" spans="1:8" x14ac:dyDescent="0.25">
      <c r="A163" s="3">
        <v>158</v>
      </c>
      <c r="B163" s="4">
        <v>42136</v>
      </c>
      <c r="C163" s="3" t="s">
        <v>29</v>
      </c>
      <c r="D163" s="3" t="s">
        <v>5</v>
      </c>
      <c r="E163" s="3" t="s">
        <v>34</v>
      </c>
      <c r="F163" s="3">
        <v>26</v>
      </c>
      <c r="G163" s="5">
        <v>0.2</v>
      </c>
      <c r="H163" s="2" t="b">
        <f>MOD(ROWS($H$6:H163),10)=0</f>
        <v>0</v>
      </c>
    </row>
    <row r="164" spans="1:8" x14ac:dyDescent="0.25">
      <c r="A164" s="3">
        <v>159</v>
      </c>
      <c r="B164" s="4">
        <v>42016</v>
      </c>
      <c r="C164" s="3" t="s">
        <v>26</v>
      </c>
      <c r="D164" s="3" t="s">
        <v>5</v>
      </c>
      <c r="E164" s="3" t="s">
        <v>30</v>
      </c>
      <c r="F164" s="3">
        <v>8</v>
      </c>
      <c r="G164" s="5">
        <v>0.1</v>
      </c>
      <c r="H164" s="2" t="b">
        <f>MOD(ROWS($H$6:H164),10)=0</f>
        <v>0</v>
      </c>
    </row>
    <row r="165" spans="1:8" x14ac:dyDescent="0.25">
      <c r="A165" s="3">
        <v>160</v>
      </c>
      <c r="B165" s="4">
        <v>42097</v>
      </c>
      <c r="C165" s="3" t="s">
        <v>29</v>
      </c>
      <c r="D165" s="3" t="s">
        <v>5</v>
      </c>
      <c r="E165" s="3" t="s">
        <v>36</v>
      </c>
      <c r="F165" s="3">
        <v>33</v>
      </c>
      <c r="G165" s="5">
        <v>1.5</v>
      </c>
      <c r="H165" s="2" t="b">
        <f>MOD(ROWS($H$6:H165),10)=0</f>
        <v>1</v>
      </c>
    </row>
    <row r="166" spans="1:8" x14ac:dyDescent="0.25">
      <c r="A166" s="3">
        <v>161</v>
      </c>
      <c r="B166" s="4">
        <v>42150</v>
      </c>
      <c r="C166" s="3" t="s">
        <v>26</v>
      </c>
      <c r="D166" s="3" t="s">
        <v>19</v>
      </c>
      <c r="E166" s="3" t="s">
        <v>30</v>
      </c>
      <c r="F166" s="3">
        <v>40</v>
      </c>
      <c r="G166" s="5">
        <v>0.1</v>
      </c>
      <c r="H166" s="2" t="b">
        <f>MOD(ROWS($H$6:H166),10)=0</f>
        <v>0</v>
      </c>
    </row>
    <row r="167" spans="1:8" x14ac:dyDescent="0.25">
      <c r="A167" s="3">
        <v>162</v>
      </c>
      <c r="B167" s="4">
        <v>42039</v>
      </c>
      <c r="C167" s="3" t="s">
        <v>26</v>
      </c>
      <c r="D167" s="3" t="s">
        <v>10</v>
      </c>
      <c r="E167" s="3" t="s">
        <v>28</v>
      </c>
      <c r="F167" s="3">
        <v>8</v>
      </c>
      <c r="G167" s="5">
        <v>2</v>
      </c>
      <c r="H167" s="2" t="b">
        <f>MOD(ROWS($H$6:H167),10)=0</f>
        <v>0</v>
      </c>
    </row>
    <row r="168" spans="1:8" x14ac:dyDescent="0.25">
      <c r="A168" s="3">
        <v>163</v>
      </c>
      <c r="B168" s="4">
        <v>42147</v>
      </c>
      <c r="C168" s="3" t="s">
        <v>32</v>
      </c>
      <c r="D168" s="3" t="s">
        <v>10</v>
      </c>
      <c r="E168" s="3" t="s">
        <v>27</v>
      </c>
      <c r="F168" s="3">
        <v>40</v>
      </c>
      <c r="G168" s="5">
        <v>0.5</v>
      </c>
      <c r="H168" s="2" t="b">
        <f>MOD(ROWS($H$6:H168),10)=0</f>
        <v>0</v>
      </c>
    </row>
    <row r="169" spans="1:8" x14ac:dyDescent="0.25">
      <c r="A169" s="3">
        <v>164</v>
      </c>
      <c r="B169" s="4">
        <v>42172</v>
      </c>
      <c r="C169" s="3" t="s">
        <v>39</v>
      </c>
      <c r="D169" s="3" t="s">
        <v>10</v>
      </c>
      <c r="E169" s="3" t="s">
        <v>34</v>
      </c>
      <c r="F169" s="3">
        <v>48</v>
      </c>
      <c r="G169" s="5">
        <v>0.2</v>
      </c>
      <c r="H169" s="2" t="b">
        <f>MOD(ROWS($H$6:H169),10)=0</f>
        <v>0</v>
      </c>
    </row>
    <row r="170" spans="1:8" x14ac:dyDescent="0.25">
      <c r="A170" s="3">
        <v>165</v>
      </c>
      <c r="B170" s="4">
        <v>42170</v>
      </c>
      <c r="C170" s="3" t="s">
        <v>26</v>
      </c>
      <c r="D170" s="3" t="s">
        <v>6</v>
      </c>
      <c r="E170" s="3" t="s">
        <v>30</v>
      </c>
      <c r="F170" s="3">
        <v>7</v>
      </c>
      <c r="G170" s="5">
        <v>0.1</v>
      </c>
      <c r="H170" s="2" t="b">
        <f>MOD(ROWS($H$6:H170),10)=0</f>
        <v>0</v>
      </c>
    </row>
    <row r="171" spans="1:8" x14ac:dyDescent="0.25">
      <c r="A171" s="3">
        <v>166</v>
      </c>
      <c r="B171" s="4">
        <v>42139</v>
      </c>
      <c r="C171" s="3" t="s">
        <v>37</v>
      </c>
      <c r="D171" s="3" t="s">
        <v>10</v>
      </c>
      <c r="E171" s="3" t="s">
        <v>27</v>
      </c>
      <c r="F171" s="3">
        <v>47</v>
      </c>
      <c r="G171" s="5">
        <v>0.5</v>
      </c>
      <c r="H171" s="2" t="b">
        <f>MOD(ROWS($H$6:H171),10)=0</f>
        <v>0</v>
      </c>
    </row>
    <row r="172" spans="1:8" x14ac:dyDescent="0.25">
      <c r="A172" s="3">
        <v>167</v>
      </c>
      <c r="B172" s="4">
        <v>42167</v>
      </c>
      <c r="C172" s="3" t="s">
        <v>26</v>
      </c>
      <c r="D172" s="3" t="s">
        <v>6</v>
      </c>
      <c r="E172" s="3" t="s">
        <v>28</v>
      </c>
      <c r="F172" s="3">
        <v>46</v>
      </c>
      <c r="G172" s="5">
        <v>2</v>
      </c>
      <c r="H172" s="2" t="b">
        <f>MOD(ROWS($H$6:H172),10)=0</f>
        <v>0</v>
      </c>
    </row>
    <row r="173" spans="1:8" x14ac:dyDescent="0.25">
      <c r="A173" s="3">
        <v>168</v>
      </c>
      <c r="B173" s="4">
        <v>42078</v>
      </c>
      <c r="C173" s="3" t="s">
        <v>37</v>
      </c>
      <c r="D173" s="3" t="s">
        <v>19</v>
      </c>
      <c r="E173" s="3" t="s">
        <v>28</v>
      </c>
      <c r="F173" s="3">
        <v>31</v>
      </c>
      <c r="G173" s="5">
        <v>2</v>
      </c>
      <c r="H173" s="2" t="b">
        <f>MOD(ROWS($H$6:H173),10)=0</f>
        <v>0</v>
      </c>
    </row>
    <row r="174" spans="1:8" x14ac:dyDescent="0.25">
      <c r="A174" s="3">
        <v>169</v>
      </c>
      <c r="B174" s="4">
        <v>42127</v>
      </c>
      <c r="C174" s="3" t="s">
        <v>29</v>
      </c>
      <c r="D174" s="3" t="s">
        <v>10</v>
      </c>
      <c r="E174" s="3" t="s">
        <v>27</v>
      </c>
      <c r="F174" s="3">
        <v>41</v>
      </c>
      <c r="G174" s="5">
        <v>0.5</v>
      </c>
      <c r="H174" s="2" t="b">
        <f>MOD(ROWS($H$6:H174),10)=0</f>
        <v>0</v>
      </c>
    </row>
    <row r="175" spans="1:8" x14ac:dyDescent="0.25">
      <c r="A175" s="3">
        <v>170</v>
      </c>
      <c r="B175" s="4">
        <v>42040</v>
      </c>
      <c r="C175" s="3" t="s">
        <v>26</v>
      </c>
      <c r="D175" s="3" t="s">
        <v>5</v>
      </c>
      <c r="E175" s="3" t="s">
        <v>27</v>
      </c>
      <c r="F175" s="3">
        <v>43</v>
      </c>
      <c r="G175" s="5">
        <v>0.5</v>
      </c>
      <c r="H175" s="2" t="b">
        <f>MOD(ROWS($H$6:H175),10)=0</f>
        <v>1</v>
      </c>
    </row>
    <row r="176" spans="1:8" x14ac:dyDescent="0.25">
      <c r="A176" s="3">
        <v>171</v>
      </c>
      <c r="B176" s="4">
        <v>42157</v>
      </c>
      <c r="C176" s="3" t="s">
        <v>39</v>
      </c>
      <c r="D176" s="3" t="s">
        <v>6</v>
      </c>
      <c r="E176" s="3" t="s">
        <v>35</v>
      </c>
      <c r="F176" s="3">
        <v>3</v>
      </c>
      <c r="G176" s="5">
        <v>4</v>
      </c>
      <c r="H176" s="2" t="b">
        <f>MOD(ROWS($H$6:H176),10)=0</f>
        <v>0</v>
      </c>
    </row>
    <row r="177" spans="1:8" x14ac:dyDescent="0.25">
      <c r="A177" s="3">
        <v>172</v>
      </c>
      <c r="B177" s="4">
        <v>42112</v>
      </c>
      <c r="C177" s="3" t="s">
        <v>37</v>
      </c>
      <c r="D177" s="3" t="s">
        <v>6</v>
      </c>
      <c r="E177" s="3" t="s">
        <v>33</v>
      </c>
      <c r="F177" s="3">
        <v>18</v>
      </c>
      <c r="G177" s="5">
        <v>5</v>
      </c>
      <c r="H177" s="2" t="b">
        <f>MOD(ROWS($H$6:H177),10)=0</f>
        <v>0</v>
      </c>
    </row>
    <row r="178" spans="1:8" x14ac:dyDescent="0.25">
      <c r="A178" s="3">
        <v>173</v>
      </c>
      <c r="B178" s="4">
        <v>42014</v>
      </c>
      <c r="C178" s="3" t="s">
        <v>37</v>
      </c>
      <c r="D178" s="3" t="s">
        <v>5</v>
      </c>
      <c r="E178" s="3" t="s">
        <v>34</v>
      </c>
      <c r="F178" s="3">
        <v>12</v>
      </c>
      <c r="G178" s="5">
        <v>0.2</v>
      </c>
      <c r="H178" s="2" t="b">
        <f>MOD(ROWS($H$6:H178),10)=0</f>
        <v>0</v>
      </c>
    </row>
    <row r="179" spans="1:8" x14ac:dyDescent="0.25">
      <c r="A179" s="3">
        <v>174</v>
      </c>
      <c r="B179" s="4">
        <v>42159</v>
      </c>
      <c r="C179" s="3" t="s">
        <v>32</v>
      </c>
      <c r="D179" s="3" t="s">
        <v>2</v>
      </c>
      <c r="E179" s="3" t="s">
        <v>28</v>
      </c>
      <c r="F179" s="3">
        <v>24</v>
      </c>
      <c r="G179" s="5">
        <v>2</v>
      </c>
      <c r="H179" s="2" t="b">
        <f>MOD(ROWS($H$6:H179),10)=0</f>
        <v>0</v>
      </c>
    </row>
    <row r="180" spans="1:8" x14ac:dyDescent="0.25">
      <c r="A180" s="3">
        <v>175</v>
      </c>
      <c r="B180" s="4">
        <v>42018</v>
      </c>
      <c r="C180" s="3" t="s">
        <v>38</v>
      </c>
      <c r="D180" s="3" t="s">
        <v>2</v>
      </c>
      <c r="E180" s="3" t="s">
        <v>30</v>
      </c>
      <c r="F180" s="3">
        <v>31</v>
      </c>
      <c r="G180" s="5">
        <v>0.1</v>
      </c>
      <c r="H180" s="2" t="b">
        <f>MOD(ROWS($H$6:H180),10)=0</f>
        <v>0</v>
      </c>
    </row>
    <row r="181" spans="1:8" x14ac:dyDescent="0.25">
      <c r="A181" s="3">
        <v>176</v>
      </c>
      <c r="B181" s="4">
        <v>42122</v>
      </c>
      <c r="C181" s="3" t="s">
        <v>26</v>
      </c>
      <c r="D181" s="3" t="s">
        <v>10</v>
      </c>
      <c r="E181" s="3" t="s">
        <v>36</v>
      </c>
      <c r="F181" s="3">
        <v>32</v>
      </c>
      <c r="G181" s="5">
        <v>1.5</v>
      </c>
      <c r="H181" s="2" t="b">
        <f>MOD(ROWS($H$6:H181),10)=0</f>
        <v>0</v>
      </c>
    </row>
    <row r="182" spans="1:8" x14ac:dyDescent="0.25">
      <c r="A182" s="3">
        <v>177</v>
      </c>
      <c r="B182" s="4">
        <v>42158</v>
      </c>
      <c r="C182" s="3" t="s">
        <v>32</v>
      </c>
      <c r="D182" s="3" t="s">
        <v>10</v>
      </c>
      <c r="E182" s="3" t="s">
        <v>35</v>
      </c>
      <c r="F182" s="3">
        <v>17</v>
      </c>
      <c r="G182" s="5">
        <v>4</v>
      </c>
      <c r="H182" s="2" t="b">
        <f>MOD(ROWS($H$6:H182),10)=0</f>
        <v>0</v>
      </c>
    </row>
    <row r="183" spans="1:8" x14ac:dyDescent="0.25">
      <c r="A183" s="3">
        <v>178</v>
      </c>
      <c r="B183" s="4">
        <v>42007</v>
      </c>
      <c r="C183" s="3" t="s">
        <v>39</v>
      </c>
      <c r="D183" s="3" t="s">
        <v>6</v>
      </c>
      <c r="E183" s="3" t="s">
        <v>34</v>
      </c>
      <c r="F183" s="3">
        <v>5</v>
      </c>
      <c r="G183" s="5">
        <v>0.2</v>
      </c>
      <c r="H183" s="2" t="b">
        <f>MOD(ROWS($H$6:H183),10)=0</f>
        <v>0</v>
      </c>
    </row>
    <row r="184" spans="1:8" x14ac:dyDescent="0.25">
      <c r="A184" s="3">
        <v>179</v>
      </c>
      <c r="B184" s="4">
        <v>42152</v>
      </c>
      <c r="C184" s="3" t="s">
        <v>37</v>
      </c>
      <c r="D184" s="3" t="s">
        <v>5</v>
      </c>
      <c r="E184" s="3" t="s">
        <v>36</v>
      </c>
      <c r="F184" s="3">
        <v>6</v>
      </c>
      <c r="G184" s="5">
        <v>1.5</v>
      </c>
      <c r="H184" s="2" t="b">
        <f>MOD(ROWS($H$6:H184),10)=0</f>
        <v>0</v>
      </c>
    </row>
    <row r="185" spans="1:8" x14ac:dyDescent="0.25">
      <c r="A185" s="3">
        <v>180</v>
      </c>
      <c r="B185" s="4">
        <v>42124</v>
      </c>
      <c r="C185" s="3" t="s">
        <v>26</v>
      </c>
      <c r="D185" s="3" t="s">
        <v>19</v>
      </c>
      <c r="E185" s="3" t="s">
        <v>36</v>
      </c>
      <c r="F185" s="3">
        <v>28</v>
      </c>
      <c r="G185" s="5">
        <v>1.5</v>
      </c>
      <c r="H185" s="2" t="b">
        <f>MOD(ROWS($H$6:H185),10)=0</f>
        <v>1</v>
      </c>
    </row>
    <row r="186" spans="1:8" x14ac:dyDescent="0.25">
      <c r="A186" s="3">
        <v>181</v>
      </c>
      <c r="B186" s="4">
        <v>42084</v>
      </c>
      <c r="C186" s="3" t="s">
        <v>26</v>
      </c>
      <c r="D186" s="3" t="s">
        <v>6</v>
      </c>
      <c r="E186" s="3" t="s">
        <v>31</v>
      </c>
      <c r="F186" s="3">
        <v>36</v>
      </c>
      <c r="G186" s="5">
        <v>2.5</v>
      </c>
      <c r="H186" s="2" t="b">
        <f>MOD(ROWS($H$6:H186),10)=0</f>
        <v>0</v>
      </c>
    </row>
    <row r="187" spans="1:8" x14ac:dyDescent="0.25">
      <c r="A187" s="3">
        <v>182</v>
      </c>
      <c r="B187" s="4">
        <v>42116</v>
      </c>
      <c r="C187" s="3" t="s">
        <v>32</v>
      </c>
      <c r="D187" s="3" t="s">
        <v>10</v>
      </c>
      <c r="E187" s="3" t="s">
        <v>30</v>
      </c>
      <c r="F187" s="3">
        <v>30</v>
      </c>
      <c r="G187" s="5">
        <v>0.1</v>
      </c>
      <c r="H187" s="2" t="b">
        <f>MOD(ROWS($H$6:H187),10)=0</f>
        <v>0</v>
      </c>
    </row>
    <row r="188" spans="1:8" x14ac:dyDescent="0.25">
      <c r="A188" s="3">
        <v>183</v>
      </c>
      <c r="B188" s="4">
        <v>42153</v>
      </c>
      <c r="C188" s="3" t="s">
        <v>39</v>
      </c>
      <c r="D188" s="3" t="s">
        <v>6</v>
      </c>
      <c r="E188" s="3" t="s">
        <v>35</v>
      </c>
      <c r="F188" s="3">
        <v>26</v>
      </c>
      <c r="G188" s="5">
        <v>4</v>
      </c>
      <c r="H188" s="2" t="b">
        <f>MOD(ROWS($H$6:H188),10)=0</f>
        <v>0</v>
      </c>
    </row>
    <row r="189" spans="1:8" x14ac:dyDescent="0.25">
      <c r="A189" s="3">
        <v>184</v>
      </c>
      <c r="B189" s="4">
        <v>42006</v>
      </c>
      <c r="C189" s="3" t="s">
        <v>38</v>
      </c>
      <c r="D189" s="3" t="s">
        <v>10</v>
      </c>
      <c r="E189" s="3" t="s">
        <v>34</v>
      </c>
      <c r="F189" s="3">
        <v>33</v>
      </c>
      <c r="G189" s="5">
        <v>0.2</v>
      </c>
      <c r="H189" s="2" t="b">
        <f>MOD(ROWS($H$6:H189),10)=0</f>
        <v>0</v>
      </c>
    </row>
    <row r="190" spans="1:8" x14ac:dyDescent="0.25">
      <c r="A190" s="3">
        <v>185</v>
      </c>
      <c r="B190" s="4">
        <v>42138</v>
      </c>
      <c r="C190" s="3" t="s">
        <v>26</v>
      </c>
      <c r="D190" s="3" t="s">
        <v>6</v>
      </c>
      <c r="E190" s="3" t="s">
        <v>28</v>
      </c>
      <c r="F190" s="3">
        <v>26</v>
      </c>
      <c r="G190" s="5">
        <v>2</v>
      </c>
      <c r="H190" s="2" t="b">
        <f>MOD(ROWS($H$6:H190),10)=0</f>
        <v>0</v>
      </c>
    </row>
    <row r="191" spans="1:8" x14ac:dyDescent="0.25">
      <c r="A191" s="3">
        <v>186</v>
      </c>
      <c r="B191" s="4">
        <v>42054</v>
      </c>
      <c r="C191" s="3" t="s">
        <v>38</v>
      </c>
      <c r="D191" s="3" t="s">
        <v>6</v>
      </c>
      <c r="E191" s="3" t="s">
        <v>27</v>
      </c>
      <c r="F191" s="3">
        <v>17</v>
      </c>
      <c r="G191" s="5">
        <v>0.5</v>
      </c>
      <c r="H191" s="2" t="b">
        <f>MOD(ROWS($H$6:H191),10)=0</f>
        <v>0</v>
      </c>
    </row>
    <row r="192" spans="1:8" x14ac:dyDescent="0.25">
      <c r="A192" s="3">
        <v>187</v>
      </c>
      <c r="B192" s="4">
        <v>42030</v>
      </c>
      <c r="C192" s="3" t="s">
        <v>26</v>
      </c>
      <c r="D192" s="3" t="s">
        <v>19</v>
      </c>
      <c r="E192" s="3" t="s">
        <v>31</v>
      </c>
      <c r="F192" s="3">
        <v>7</v>
      </c>
      <c r="G192" s="5">
        <v>2.5</v>
      </c>
      <c r="H192" s="2" t="b">
        <f>MOD(ROWS($H$6:H192),10)=0</f>
        <v>0</v>
      </c>
    </row>
    <row r="193" spans="1:8" x14ac:dyDescent="0.25">
      <c r="A193" s="3">
        <v>188</v>
      </c>
      <c r="B193" s="4">
        <v>42119</v>
      </c>
      <c r="C193" s="3" t="s">
        <v>38</v>
      </c>
      <c r="D193" s="3" t="s">
        <v>2</v>
      </c>
      <c r="E193" s="3" t="s">
        <v>34</v>
      </c>
      <c r="F193" s="3">
        <v>35</v>
      </c>
      <c r="G193" s="5">
        <v>0.2</v>
      </c>
      <c r="H193" s="2" t="b">
        <f>MOD(ROWS($H$6:H193),10)=0</f>
        <v>0</v>
      </c>
    </row>
    <row r="194" spans="1:8" x14ac:dyDescent="0.25">
      <c r="A194" s="3">
        <v>189</v>
      </c>
      <c r="B194" s="4">
        <v>42109</v>
      </c>
      <c r="C194" s="3" t="s">
        <v>29</v>
      </c>
      <c r="D194" s="3" t="s">
        <v>5</v>
      </c>
      <c r="E194" s="3" t="s">
        <v>34</v>
      </c>
      <c r="F194" s="3">
        <v>12</v>
      </c>
      <c r="G194" s="5">
        <v>0.2</v>
      </c>
      <c r="H194" s="2" t="b">
        <f>MOD(ROWS($H$6:H194),10)=0</f>
        <v>0</v>
      </c>
    </row>
    <row r="195" spans="1:8" x14ac:dyDescent="0.25">
      <c r="A195" s="3">
        <v>190</v>
      </c>
      <c r="B195" s="4">
        <v>42122</v>
      </c>
      <c r="C195" s="3" t="s">
        <v>29</v>
      </c>
      <c r="D195" s="3" t="s">
        <v>2</v>
      </c>
      <c r="E195" s="3" t="s">
        <v>35</v>
      </c>
      <c r="F195" s="3">
        <v>22</v>
      </c>
      <c r="G195" s="5">
        <v>4</v>
      </c>
      <c r="H195" s="2" t="b">
        <f>MOD(ROWS($H$6:H195),10)=0</f>
        <v>1</v>
      </c>
    </row>
    <row r="196" spans="1:8" x14ac:dyDescent="0.25">
      <c r="A196" s="3">
        <v>191</v>
      </c>
      <c r="B196" s="4">
        <v>42014</v>
      </c>
      <c r="C196" s="3" t="s">
        <v>37</v>
      </c>
      <c r="D196" s="3" t="s">
        <v>10</v>
      </c>
      <c r="E196" s="3" t="s">
        <v>35</v>
      </c>
      <c r="F196" s="3">
        <v>11</v>
      </c>
      <c r="G196" s="5">
        <v>4</v>
      </c>
      <c r="H196" s="2" t="b">
        <f>MOD(ROWS($H$6:H196),10)=0</f>
        <v>0</v>
      </c>
    </row>
    <row r="197" spans="1:8" x14ac:dyDescent="0.25">
      <c r="A197" s="3">
        <v>192</v>
      </c>
      <c r="B197" s="4">
        <v>42173</v>
      </c>
      <c r="C197" s="3" t="s">
        <v>39</v>
      </c>
      <c r="D197" s="3" t="s">
        <v>6</v>
      </c>
      <c r="E197" s="3" t="s">
        <v>33</v>
      </c>
      <c r="F197" s="3">
        <v>18</v>
      </c>
      <c r="G197" s="5">
        <v>5</v>
      </c>
      <c r="H197" s="2" t="b">
        <f>MOD(ROWS($H$6:H197),10)=0</f>
        <v>0</v>
      </c>
    </row>
    <row r="198" spans="1:8" x14ac:dyDescent="0.25">
      <c r="A198" s="3">
        <v>193</v>
      </c>
      <c r="B198" s="4">
        <v>42147</v>
      </c>
      <c r="C198" s="3" t="s">
        <v>26</v>
      </c>
      <c r="D198" s="3" t="s">
        <v>6</v>
      </c>
      <c r="E198" s="3" t="s">
        <v>36</v>
      </c>
      <c r="F198" s="3">
        <v>49</v>
      </c>
      <c r="G198" s="5">
        <v>1.5</v>
      </c>
      <c r="H198" s="2" t="b">
        <f>MOD(ROWS($H$6:H198),10)=0</f>
        <v>0</v>
      </c>
    </row>
    <row r="199" spans="1:8" x14ac:dyDescent="0.25">
      <c r="A199" s="3">
        <v>194</v>
      </c>
      <c r="B199" s="4">
        <v>42138</v>
      </c>
      <c r="C199" s="3" t="s">
        <v>37</v>
      </c>
      <c r="D199" s="3" t="s">
        <v>2</v>
      </c>
      <c r="E199" s="3" t="s">
        <v>33</v>
      </c>
      <c r="F199" s="3">
        <v>8</v>
      </c>
      <c r="G199" s="5">
        <v>5</v>
      </c>
      <c r="H199" s="2" t="b">
        <f>MOD(ROWS($H$6:H199),10)=0</f>
        <v>0</v>
      </c>
    </row>
    <row r="200" spans="1:8" x14ac:dyDescent="0.25">
      <c r="A200" s="3">
        <v>195</v>
      </c>
      <c r="B200" s="4">
        <v>42086</v>
      </c>
      <c r="C200" s="3" t="s">
        <v>38</v>
      </c>
      <c r="D200" s="3" t="s">
        <v>6</v>
      </c>
      <c r="E200" s="3" t="s">
        <v>35</v>
      </c>
      <c r="F200" s="3">
        <v>18</v>
      </c>
      <c r="G200" s="5">
        <v>4</v>
      </c>
      <c r="H200" s="2" t="b">
        <f>MOD(ROWS($H$6:H200),10)=0</f>
        <v>0</v>
      </c>
    </row>
    <row r="201" spans="1:8" x14ac:dyDescent="0.25">
      <c r="A201" s="3">
        <v>196</v>
      </c>
      <c r="B201" s="4">
        <v>42105</v>
      </c>
      <c r="C201" s="3" t="s">
        <v>39</v>
      </c>
      <c r="D201" s="3" t="s">
        <v>6</v>
      </c>
      <c r="E201" s="3" t="s">
        <v>36</v>
      </c>
      <c r="F201" s="3">
        <v>5</v>
      </c>
      <c r="G201" s="5">
        <v>1.5</v>
      </c>
      <c r="H201" s="2" t="b">
        <f>MOD(ROWS($H$6:H201),10)=0</f>
        <v>0</v>
      </c>
    </row>
    <row r="202" spans="1:8" x14ac:dyDescent="0.25">
      <c r="A202" s="3">
        <v>197</v>
      </c>
      <c r="B202" s="4">
        <v>42096</v>
      </c>
      <c r="C202" s="3" t="s">
        <v>29</v>
      </c>
      <c r="D202" s="3" t="s">
        <v>5</v>
      </c>
      <c r="E202" s="3" t="s">
        <v>28</v>
      </c>
      <c r="F202" s="3">
        <v>43</v>
      </c>
      <c r="G202" s="5">
        <v>2</v>
      </c>
      <c r="H202" s="2" t="b">
        <f>MOD(ROWS($H$6:H202),10)=0</f>
        <v>0</v>
      </c>
    </row>
    <row r="203" spans="1:8" x14ac:dyDescent="0.25">
      <c r="A203" s="3">
        <v>198</v>
      </c>
      <c r="B203" s="4">
        <v>42130</v>
      </c>
      <c r="C203" s="3" t="s">
        <v>38</v>
      </c>
      <c r="D203" s="3" t="s">
        <v>10</v>
      </c>
      <c r="E203" s="3" t="s">
        <v>36</v>
      </c>
      <c r="F203" s="3">
        <v>45</v>
      </c>
      <c r="G203" s="5">
        <v>1.5</v>
      </c>
      <c r="H203" s="2" t="b">
        <f>MOD(ROWS($H$6:H203),10)=0</f>
        <v>0</v>
      </c>
    </row>
    <row r="204" spans="1:8" x14ac:dyDescent="0.25">
      <c r="A204" s="3">
        <v>199</v>
      </c>
      <c r="B204" s="4">
        <v>42094</v>
      </c>
      <c r="C204" s="3" t="s">
        <v>32</v>
      </c>
      <c r="D204" s="3" t="s">
        <v>10</v>
      </c>
      <c r="E204" s="3" t="s">
        <v>33</v>
      </c>
      <c r="F204" s="3">
        <v>41</v>
      </c>
      <c r="G204" s="5">
        <v>5</v>
      </c>
      <c r="H204" s="2" t="b">
        <f>MOD(ROWS($H$6:H204),10)=0</f>
        <v>0</v>
      </c>
    </row>
    <row r="205" spans="1:8" x14ac:dyDescent="0.25">
      <c r="A205" s="3">
        <v>200</v>
      </c>
      <c r="B205" s="4">
        <v>42025</v>
      </c>
      <c r="C205" s="3" t="s">
        <v>32</v>
      </c>
      <c r="D205" s="3" t="s">
        <v>10</v>
      </c>
      <c r="E205" s="3" t="s">
        <v>35</v>
      </c>
      <c r="F205" s="3">
        <v>42</v>
      </c>
      <c r="G205" s="5">
        <v>4</v>
      </c>
      <c r="H205" s="2" t="b">
        <f>MOD(ROWS($H$6:H205),10)=0</f>
        <v>1</v>
      </c>
    </row>
    <row r="206" spans="1:8" x14ac:dyDescent="0.25">
      <c r="A206" s="3">
        <v>201</v>
      </c>
      <c r="B206" s="4">
        <v>42122</v>
      </c>
      <c r="C206" s="3" t="s">
        <v>39</v>
      </c>
      <c r="D206" s="3" t="s">
        <v>2</v>
      </c>
      <c r="E206" s="3" t="s">
        <v>36</v>
      </c>
      <c r="F206" s="3">
        <v>3</v>
      </c>
      <c r="G206" s="5">
        <v>1.5</v>
      </c>
      <c r="H206" s="2" t="b">
        <f>MOD(ROWS($H$6:H206),10)=0</f>
        <v>0</v>
      </c>
    </row>
    <row r="207" spans="1:8" x14ac:dyDescent="0.25">
      <c r="A207" s="3">
        <v>202</v>
      </c>
      <c r="B207" s="4">
        <v>42014</v>
      </c>
      <c r="C207" s="3" t="s">
        <v>37</v>
      </c>
      <c r="D207" s="3" t="s">
        <v>5</v>
      </c>
      <c r="E207" s="3" t="s">
        <v>31</v>
      </c>
      <c r="F207" s="3">
        <v>28</v>
      </c>
      <c r="G207" s="5">
        <v>2.5</v>
      </c>
      <c r="H207" s="2" t="b">
        <f>MOD(ROWS($H$6:H207),10)=0</f>
        <v>0</v>
      </c>
    </row>
    <row r="208" spans="1:8" x14ac:dyDescent="0.25">
      <c r="A208" s="3">
        <v>203</v>
      </c>
      <c r="B208" s="4">
        <v>42054</v>
      </c>
      <c r="C208" s="3" t="s">
        <v>37</v>
      </c>
      <c r="D208" s="3" t="s">
        <v>19</v>
      </c>
      <c r="E208" s="3" t="s">
        <v>28</v>
      </c>
      <c r="F208" s="3">
        <v>1</v>
      </c>
      <c r="G208" s="5">
        <v>2</v>
      </c>
      <c r="H208" s="2" t="b">
        <f>MOD(ROWS($H$6:H208),10)=0</f>
        <v>0</v>
      </c>
    </row>
    <row r="209" spans="1:8" x14ac:dyDescent="0.25">
      <c r="A209" s="3">
        <v>204</v>
      </c>
      <c r="B209" s="4">
        <v>42060</v>
      </c>
      <c r="C209" s="3" t="s">
        <v>38</v>
      </c>
      <c r="D209" s="3" t="s">
        <v>6</v>
      </c>
      <c r="E209" s="3" t="s">
        <v>27</v>
      </c>
      <c r="F209" s="3">
        <v>14</v>
      </c>
      <c r="G209" s="5">
        <v>0.5</v>
      </c>
      <c r="H209" s="2" t="b">
        <f>MOD(ROWS($H$6:H209),10)=0</f>
        <v>0</v>
      </c>
    </row>
    <row r="210" spans="1:8" x14ac:dyDescent="0.25">
      <c r="A210" s="3">
        <v>205</v>
      </c>
      <c r="B210" s="4">
        <v>42154</v>
      </c>
      <c r="C210" s="3" t="s">
        <v>38</v>
      </c>
      <c r="D210" s="3" t="s">
        <v>5</v>
      </c>
      <c r="E210" s="3" t="s">
        <v>35</v>
      </c>
      <c r="F210" s="3">
        <v>32</v>
      </c>
      <c r="G210" s="5">
        <v>4</v>
      </c>
      <c r="H210" s="2" t="b">
        <f>MOD(ROWS($H$6:H210),10)=0</f>
        <v>0</v>
      </c>
    </row>
    <row r="211" spans="1:8" x14ac:dyDescent="0.25">
      <c r="A211" s="3">
        <v>206</v>
      </c>
      <c r="B211" s="4">
        <v>42152</v>
      </c>
      <c r="C211" s="3" t="s">
        <v>37</v>
      </c>
      <c r="D211" s="3" t="s">
        <v>10</v>
      </c>
      <c r="E211" s="3" t="s">
        <v>36</v>
      </c>
      <c r="F211" s="3">
        <v>11</v>
      </c>
      <c r="G211" s="5">
        <v>1.5</v>
      </c>
      <c r="H211" s="2" t="b">
        <f>MOD(ROWS($H$6:H211),10)=0</f>
        <v>0</v>
      </c>
    </row>
    <row r="212" spans="1:8" x14ac:dyDescent="0.25">
      <c r="A212" s="3">
        <v>207</v>
      </c>
      <c r="B212" s="4">
        <v>42009</v>
      </c>
      <c r="C212" s="3" t="s">
        <v>32</v>
      </c>
      <c r="D212" s="3" t="s">
        <v>2</v>
      </c>
      <c r="E212" s="3" t="s">
        <v>35</v>
      </c>
      <c r="F212" s="3">
        <v>19</v>
      </c>
      <c r="G212" s="5">
        <v>4</v>
      </c>
      <c r="H212" s="2" t="b">
        <f>MOD(ROWS($H$6:H212),10)=0</f>
        <v>0</v>
      </c>
    </row>
    <row r="213" spans="1:8" x14ac:dyDescent="0.25">
      <c r="A213" s="3">
        <v>208</v>
      </c>
      <c r="B213" s="4">
        <v>42176</v>
      </c>
      <c r="C213" s="3" t="s">
        <v>32</v>
      </c>
      <c r="D213" s="3" t="s">
        <v>10</v>
      </c>
      <c r="E213" s="3" t="s">
        <v>28</v>
      </c>
      <c r="F213" s="3">
        <v>4</v>
      </c>
      <c r="G213" s="5">
        <v>2</v>
      </c>
      <c r="H213" s="2" t="b">
        <f>MOD(ROWS($H$6:H213),10)=0</f>
        <v>0</v>
      </c>
    </row>
    <row r="214" spans="1:8" x14ac:dyDescent="0.25">
      <c r="A214" s="3">
        <v>209</v>
      </c>
      <c r="B214" s="4">
        <v>42111</v>
      </c>
      <c r="C214" s="3" t="s">
        <v>39</v>
      </c>
      <c r="D214" s="3" t="s">
        <v>6</v>
      </c>
      <c r="E214" s="3" t="s">
        <v>34</v>
      </c>
      <c r="F214" s="3">
        <v>32</v>
      </c>
      <c r="G214" s="5">
        <v>0.2</v>
      </c>
      <c r="H214" s="2" t="b">
        <f>MOD(ROWS($H$6:H214),10)=0</f>
        <v>0</v>
      </c>
    </row>
    <row r="215" spans="1:8" x14ac:dyDescent="0.25">
      <c r="A215" s="3">
        <v>210</v>
      </c>
      <c r="B215" s="4">
        <v>42093</v>
      </c>
      <c r="C215" s="3" t="s">
        <v>39</v>
      </c>
      <c r="D215" s="3" t="s">
        <v>10</v>
      </c>
      <c r="E215" s="3" t="s">
        <v>28</v>
      </c>
      <c r="F215" s="3">
        <v>29</v>
      </c>
      <c r="G215" s="5">
        <v>2</v>
      </c>
      <c r="H215" s="2" t="b">
        <f>MOD(ROWS($H$6:H215),10)=0</f>
        <v>1</v>
      </c>
    </row>
    <row r="216" spans="1:8" x14ac:dyDescent="0.25">
      <c r="A216" s="3">
        <v>211</v>
      </c>
      <c r="B216" s="4">
        <v>42005</v>
      </c>
      <c r="C216" s="3" t="s">
        <v>37</v>
      </c>
      <c r="D216" s="3" t="s">
        <v>5</v>
      </c>
      <c r="E216" s="3" t="s">
        <v>35</v>
      </c>
      <c r="F216" s="3">
        <v>40</v>
      </c>
      <c r="G216" s="5">
        <v>4</v>
      </c>
      <c r="H216" s="2" t="b">
        <f>MOD(ROWS($H$6:H216),10)=0</f>
        <v>0</v>
      </c>
    </row>
    <row r="217" spans="1:8" x14ac:dyDescent="0.25">
      <c r="A217" s="3">
        <v>212</v>
      </c>
      <c r="B217" s="4">
        <v>42008</v>
      </c>
      <c r="C217" s="3" t="s">
        <v>37</v>
      </c>
      <c r="D217" s="3" t="s">
        <v>6</v>
      </c>
      <c r="E217" s="3" t="s">
        <v>33</v>
      </c>
      <c r="F217" s="3">
        <v>38</v>
      </c>
      <c r="G217" s="5">
        <v>5</v>
      </c>
      <c r="H217" s="2" t="b">
        <f>MOD(ROWS($H$6:H217),10)=0</f>
        <v>0</v>
      </c>
    </row>
    <row r="218" spans="1:8" x14ac:dyDescent="0.25">
      <c r="A218" s="3">
        <v>213</v>
      </c>
      <c r="B218" s="4">
        <v>42151</v>
      </c>
      <c r="C218" s="3" t="s">
        <v>32</v>
      </c>
      <c r="D218" s="3" t="s">
        <v>19</v>
      </c>
      <c r="E218" s="3" t="s">
        <v>33</v>
      </c>
      <c r="F218" s="3">
        <v>13</v>
      </c>
      <c r="G218" s="5">
        <v>5</v>
      </c>
      <c r="H218" s="2" t="b">
        <f>MOD(ROWS($H$6:H218),10)=0</f>
        <v>0</v>
      </c>
    </row>
    <row r="219" spans="1:8" x14ac:dyDescent="0.25">
      <c r="A219" s="3">
        <v>214</v>
      </c>
      <c r="B219" s="4">
        <v>42026</v>
      </c>
      <c r="C219" s="3" t="s">
        <v>32</v>
      </c>
      <c r="D219" s="3" t="s">
        <v>2</v>
      </c>
      <c r="E219" s="3" t="s">
        <v>34</v>
      </c>
      <c r="F219" s="3">
        <v>19</v>
      </c>
      <c r="G219" s="5">
        <v>0.2</v>
      </c>
      <c r="H219" s="2" t="b">
        <f>MOD(ROWS($H$6:H219),10)=0</f>
        <v>0</v>
      </c>
    </row>
    <row r="220" spans="1:8" x14ac:dyDescent="0.25">
      <c r="A220" s="3">
        <v>215</v>
      </c>
      <c r="B220" s="4">
        <v>42028</v>
      </c>
      <c r="C220" s="3" t="s">
        <v>37</v>
      </c>
      <c r="D220" s="3" t="s">
        <v>5</v>
      </c>
      <c r="E220" s="3" t="s">
        <v>28</v>
      </c>
      <c r="F220" s="3">
        <v>2</v>
      </c>
      <c r="G220" s="5">
        <v>2</v>
      </c>
      <c r="H220" s="2" t="b">
        <f>MOD(ROWS($H$6:H220),10)=0</f>
        <v>0</v>
      </c>
    </row>
    <row r="221" spans="1:8" x14ac:dyDescent="0.25">
      <c r="A221" s="3">
        <v>216</v>
      </c>
      <c r="B221" s="4">
        <v>42105</v>
      </c>
      <c r="C221" s="3" t="s">
        <v>32</v>
      </c>
      <c r="D221" s="3" t="s">
        <v>10</v>
      </c>
      <c r="E221" s="3" t="s">
        <v>27</v>
      </c>
      <c r="F221" s="3">
        <v>46</v>
      </c>
      <c r="G221" s="5">
        <v>0.5</v>
      </c>
      <c r="H221" s="2" t="b">
        <f>MOD(ROWS($H$6:H221),10)=0</f>
        <v>0</v>
      </c>
    </row>
    <row r="222" spans="1:8" x14ac:dyDescent="0.25">
      <c r="A222" s="3">
        <v>217</v>
      </c>
      <c r="B222" s="4">
        <v>42038</v>
      </c>
      <c r="C222" s="3" t="s">
        <v>32</v>
      </c>
      <c r="D222" s="3" t="s">
        <v>5</v>
      </c>
      <c r="E222" s="3" t="s">
        <v>35</v>
      </c>
      <c r="F222" s="3">
        <v>41</v>
      </c>
      <c r="G222" s="5">
        <v>4</v>
      </c>
      <c r="H222" s="2" t="b">
        <f>MOD(ROWS($H$6:H222),10)=0</f>
        <v>0</v>
      </c>
    </row>
    <row r="223" spans="1:8" x14ac:dyDescent="0.25">
      <c r="A223" s="3">
        <v>218</v>
      </c>
      <c r="B223" s="4">
        <v>42014</v>
      </c>
      <c r="C223" s="3" t="s">
        <v>38</v>
      </c>
      <c r="D223" s="3" t="s">
        <v>10</v>
      </c>
      <c r="E223" s="3" t="s">
        <v>36</v>
      </c>
      <c r="F223" s="3">
        <v>11</v>
      </c>
      <c r="G223" s="5">
        <v>1.5</v>
      </c>
      <c r="H223" s="2" t="b">
        <f>MOD(ROWS($H$6:H223),10)=0</f>
        <v>0</v>
      </c>
    </row>
    <row r="224" spans="1:8" x14ac:dyDescent="0.25">
      <c r="A224" s="3">
        <v>219</v>
      </c>
      <c r="B224" s="4">
        <v>42005</v>
      </c>
      <c r="C224" s="3" t="s">
        <v>38</v>
      </c>
      <c r="D224" s="3" t="s">
        <v>10</v>
      </c>
      <c r="E224" s="3" t="s">
        <v>34</v>
      </c>
      <c r="F224" s="3">
        <v>21</v>
      </c>
      <c r="G224" s="5">
        <v>0.2</v>
      </c>
      <c r="H224" s="2" t="b">
        <f>MOD(ROWS($H$6:H224),10)=0</f>
        <v>0</v>
      </c>
    </row>
    <row r="225" spans="1:8" x14ac:dyDescent="0.25">
      <c r="A225" s="3">
        <v>220</v>
      </c>
      <c r="B225" s="4">
        <v>42117</v>
      </c>
      <c r="C225" s="3" t="s">
        <v>32</v>
      </c>
      <c r="D225" s="3" t="s">
        <v>6</v>
      </c>
      <c r="E225" s="3" t="s">
        <v>31</v>
      </c>
      <c r="F225" s="3">
        <v>8</v>
      </c>
      <c r="G225" s="5">
        <v>2.5</v>
      </c>
      <c r="H225" s="2" t="b">
        <f>MOD(ROWS($H$6:H225),10)=0</f>
        <v>1</v>
      </c>
    </row>
    <row r="226" spans="1:8" x14ac:dyDescent="0.25">
      <c r="A226" s="3">
        <v>221</v>
      </c>
      <c r="B226" s="4">
        <v>42048</v>
      </c>
      <c r="C226" s="3" t="s">
        <v>26</v>
      </c>
      <c r="D226" s="3" t="s">
        <v>19</v>
      </c>
      <c r="E226" s="3" t="s">
        <v>35</v>
      </c>
      <c r="F226" s="3">
        <v>15</v>
      </c>
      <c r="G226" s="5">
        <v>4</v>
      </c>
      <c r="H226" s="2" t="b">
        <f>MOD(ROWS($H$6:H226),10)=0</f>
        <v>0</v>
      </c>
    </row>
    <row r="227" spans="1:8" x14ac:dyDescent="0.25">
      <c r="A227" s="3">
        <v>222</v>
      </c>
      <c r="B227" s="4">
        <v>42152</v>
      </c>
      <c r="C227" s="3" t="s">
        <v>37</v>
      </c>
      <c r="D227" s="3" t="s">
        <v>2</v>
      </c>
      <c r="E227" s="3" t="s">
        <v>30</v>
      </c>
      <c r="F227" s="3">
        <v>15</v>
      </c>
      <c r="G227" s="5">
        <v>0.1</v>
      </c>
      <c r="H227" s="2" t="b">
        <f>MOD(ROWS($H$6:H227),10)=0</f>
        <v>0</v>
      </c>
    </row>
    <row r="228" spans="1:8" x14ac:dyDescent="0.25">
      <c r="A228" s="3">
        <v>223</v>
      </c>
      <c r="B228" s="4">
        <v>42055</v>
      </c>
      <c r="C228" s="3" t="s">
        <v>38</v>
      </c>
      <c r="D228" s="3" t="s">
        <v>19</v>
      </c>
      <c r="E228" s="3" t="s">
        <v>28</v>
      </c>
      <c r="F228" s="3">
        <v>14</v>
      </c>
      <c r="G228" s="5">
        <v>2</v>
      </c>
      <c r="H228" s="2" t="b">
        <f>MOD(ROWS($H$6:H228),10)=0</f>
        <v>0</v>
      </c>
    </row>
    <row r="229" spans="1:8" x14ac:dyDescent="0.25">
      <c r="A229" s="3">
        <v>224</v>
      </c>
      <c r="B229" s="4">
        <v>42016</v>
      </c>
      <c r="C229" s="3" t="s">
        <v>38</v>
      </c>
      <c r="D229" s="3" t="s">
        <v>6</v>
      </c>
      <c r="E229" s="3" t="s">
        <v>35</v>
      </c>
      <c r="F229" s="3">
        <v>49</v>
      </c>
      <c r="G229" s="5">
        <v>4</v>
      </c>
      <c r="H229" s="2" t="b">
        <f>MOD(ROWS($H$6:H229),10)=0</f>
        <v>0</v>
      </c>
    </row>
    <row r="230" spans="1:8" x14ac:dyDescent="0.25">
      <c r="A230" s="3">
        <v>225</v>
      </c>
      <c r="B230" s="4">
        <v>42075</v>
      </c>
      <c r="C230" s="3" t="s">
        <v>37</v>
      </c>
      <c r="D230" s="3" t="s">
        <v>2</v>
      </c>
      <c r="E230" s="3" t="s">
        <v>31</v>
      </c>
      <c r="F230" s="3">
        <v>5</v>
      </c>
      <c r="G230" s="5">
        <v>2.5</v>
      </c>
      <c r="H230" s="2" t="b">
        <f>MOD(ROWS($H$6:H230),10)=0</f>
        <v>0</v>
      </c>
    </row>
    <row r="231" spans="1:8" x14ac:dyDescent="0.25">
      <c r="A231" s="3">
        <v>226</v>
      </c>
      <c r="B231" s="4">
        <v>42128</v>
      </c>
      <c r="C231" s="3" t="s">
        <v>39</v>
      </c>
      <c r="D231" s="3" t="s">
        <v>6</v>
      </c>
      <c r="E231" s="3" t="s">
        <v>34</v>
      </c>
      <c r="F231" s="3">
        <v>19</v>
      </c>
      <c r="G231" s="5">
        <v>0.2</v>
      </c>
      <c r="H231" s="2" t="b">
        <f>MOD(ROWS($H$6:H231),10)=0</f>
        <v>0</v>
      </c>
    </row>
    <row r="232" spans="1:8" x14ac:dyDescent="0.25">
      <c r="A232" s="3">
        <v>227</v>
      </c>
      <c r="B232" s="4">
        <v>42122</v>
      </c>
      <c r="C232" s="3" t="s">
        <v>32</v>
      </c>
      <c r="D232" s="3" t="s">
        <v>10</v>
      </c>
      <c r="E232" s="3" t="s">
        <v>34</v>
      </c>
      <c r="F232" s="3">
        <v>22</v>
      </c>
      <c r="G232" s="5">
        <v>0.2</v>
      </c>
      <c r="H232" s="2" t="b">
        <f>MOD(ROWS($H$6:H232),10)=0</f>
        <v>0</v>
      </c>
    </row>
    <row r="233" spans="1:8" x14ac:dyDescent="0.25">
      <c r="A233" s="3">
        <v>228</v>
      </c>
      <c r="B233" s="4">
        <v>42151</v>
      </c>
      <c r="C233" s="3" t="s">
        <v>37</v>
      </c>
      <c r="D233" s="3" t="s">
        <v>19</v>
      </c>
      <c r="E233" s="3" t="s">
        <v>31</v>
      </c>
      <c r="F233" s="3">
        <v>28</v>
      </c>
      <c r="G233" s="5">
        <v>2.5</v>
      </c>
      <c r="H233" s="2" t="b">
        <f>MOD(ROWS($H$6:H233),10)=0</f>
        <v>0</v>
      </c>
    </row>
    <row r="234" spans="1:8" x14ac:dyDescent="0.25">
      <c r="A234" s="3">
        <v>229</v>
      </c>
      <c r="B234" s="4">
        <v>42020</v>
      </c>
      <c r="C234" s="3" t="s">
        <v>37</v>
      </c>
      <c r="D234" s="3" t="s">
        <v>2</v>
      </c>
      <c r="E234" s="3" t="s">
        <v>28</v>
      </c>
      <c r="F234" s="3">
        <v>26</v>
      </c>
      <c r="G234" s="5">
        <v>2</v>
      </c>
      <c r="H234" s="2" t="b">
        <f>MOD(ROWS($H$6:H234),10)=0</f>
        <v>0</v>
      </c>
    </row>
    <row r="235" spans="1:8" x14ac:dyDescent="0.25">
      <c r="A235" s="3">
        <v>230</v>
      </c>
      <c r="B235" s="4">
        <v>42087</v>
      </c>
      <c r="C235" s="3" t="s">
        <v>39</v>
      </c>
      <c r="D235" s="3" t="s">
        <v>6</v>
      </c>
      <c r="E235" s="3" t="s">
        <v>33</v>
      </c>
      <c r="F235" s="3">
        <v>23</v>
      </c>
      <c r="G235" s="5">
        <v>5</v>
      </c>
      <c r="H235" s="2" t="b">
        <f>MOD(ROWS($H$6:H235),10)=0</f>
        <v>1</v>
      </c>
    </row>
    <row r="236" spans="1:8" x14ac:dyDescent="0.25">
      <c r="A236" s="3">
        <v>231</v>
      </c>
      <c r="B236" s="4">
        <v>42030</v>
      </c>
      <c r="C236" s="3" t="s">
        <v>39</v>
      </c>
      <c r="D236" s="3" t="s">
        <v>10</v>
      </c>
      <c r="E236" s="3" t="s">
        <v>34</v>
      </c>
      <c r="F236" s="3">
        <v>39</v>
      </c>
      <c r="G236" s="5">
        <v>0.2</v>
      </c>
      <c r="H236" s="2" t="b">
        <f>MOD(ROWS($H$6:H236),10)=0</f>
        <v>0</v>
      </c>
    </row>
    <row r="237" spans="1:8" x14ac:dyDescent="0.25">
      <c r="A237" s="3">
        <v>232</v>
      </c>
      <c r="B237" s="4">
        <v>42104</v>
      </c>
      <c r="C237" s="3" t="s">
        <v>29</v>
      </c>
      <c r="D237" s="3" t="s">
        <v>19</v>
      </c>
      <c r="E237" s="3" t="s">
        <v>27</v>
      </c>
      <c r="F237" s="3">
        <v>14</v>
      </c>
      <c r="G237" s="5">
        <v>0.5</v>
      </c>
      <c r="H237" s="2" t="b">
        <f>MOD(ROWS($H$6:H237),10)=0</f>
        <v>0</v>
      </c>
    </row>
    <row r="238" spans="1:8" x14ac:dyDescent="0.25">
      <c r="A238" s="3">
        <v>233</v>
      </c>
      <c r="B238" s="4">
        <v>42137</v>
      </c>
      <c r="C238" s="3" t="s">
        <v>26</v>
      </c>
      <c r="D238" s="3" t="s">
        <v>2</v>
      </c>
      <c r="E238" s="3" t="s">
        <v>28</v>
      </c>
      <c r="F238" s="3">
        <v>35</v>
      </c>
      <c r="G238" s="5">
        <v>2</v>
      </c>
      <c r="H238" s="2" t="b">
        <f>MOD(ROWS($H$6:H238),10)=0</f>
        <v>0</v>
      </c>
    </row>
    <row r="239" spans="1:8" x14ac:dyDescent="0.25">
      <c r="A239" s="3">
        <v>234</v>
      </c>
      <c r="B239" s="4">
        <v>42149</v>
      </c>
      <c r="C239" s="3" t="s">
        <v>37</v>
      </c>
      <c r="D239" s="3" t="s">
        <v>19</v>
      </c>
      <c r="E239" s="3" t="s">
        <v>28</v>
      </c>
      <c r="F239" s="3">
        <v>26</v>
      </c>
      <c r="G239" s="5">
        <v>2</v>
      </c>
      <c r="H239" s="2" t="b">
        <f>MOD(ROWS($H$6:H239),10)=0</f>
        <v>0</v>
      </c>
    </row>
    <row r="240" spans="1:8" x14ac:dyDescent="0.25">
      <c r="A240" s="3">
        <v>235</v>
      </c>
      <c r="B240" s="4">
        <v>42108</v>
      </c>
      <c r="C240" s="3" t="s">
        <v>37</v>
      </c>
      <c r="D240" s="3" t="s">
        <v>10</v>
      </c>
      <c r="E240" s="3" t="s">
        <v>34</v>
      </c>
      <c r="F240" s="3">
        <v>26</v>
      </c>
      <c r="G240" s="5">
        <v>0.2</v>
      </c>
      <c r="H240" s="2" t="b">
        <f>MOD(ROWS($H$6:H240),10)=0</f>
        <v>0</v>
      </c>
    </row>
    <row r="241" spans="1:8" x14ac:dyDescent="0.25">
      <c r="A241" s="3">
        <v>236</v>
      </c>
      <c r="B241" s="4">
        <v>42183</v>
      </c>
      <c r="C241" s="3" t="s">
        <v>32</v>
      </c>
      <c r="D241" s="3" t="s">
        <v>6</v>
      </c>
      <c r="E241" s="3" t="s">
        <v>28</v>
      </c>
      <c r="F241" s="3">
        <v>50</v>
      </c>
      <c r="G241" s="5">
        <v>2</v>
      </c>
      <c r="H241" s="2" t="b">
        <f>MOD(ROWS($H$6:H241),10)=0</f>
        <v>0</v>
      </c>
    </row>
    <row r="242" spans="1:8" x14ac:dyDescent="0.25">
      <c r="A242" s="3">
        <v>237</v>
      </c>
      <c r="B242" s="4">
        <v>42064</v>
      </c>
      <c r="C242" s="3" t="s">
        <v>29</v>
      </c>
      <c r="D242" s="3" t="s">
        <v>6</v>
      </c>
      <c r="E242" s="3" t="s">
        <v>28</v>
      </c>
      <c r="F242" s="3">
        <v>17</v>
      </c>
      <c r="G242" s="5">
        <v>2</v>
      </c>
      <c r="H242" s="2" t="b">
        <f>MOD(ROWS($H$6:H242),10)=0</f>
        <v>0</v>
      </c>
    </row>
    <row r="243" spans="1:8" x14ac:dyDescent="0.25">
      <c r="A243" s="3">
        <v>238</v>
      </c>
      <c r="B243" s="4">
        <v>42041</v>
      </c>
      <c r="C243" s="3" t="s">
        <v>37</v>
      </c>
      <c r="D243" s="3" t="s">
        <v>5</v>
      </c>
      <c r="E243" s="3" t="s">
        <v>35</v>
      </c>
      <c r="F243" s="3">
        <v>41</v>
      </c>
      <c r="G243" s="5">
        <v>4</v>
      </c>
      <c r="H243" s="2" t="b">
        <f>MOD(ROWS($H$6:H243),10)=0</f>
        <v>0</v>
      </c>
    </row>
    <row r="244" spans="1:8" x14ac:dyDescent="0.25">
      <c r="A244" s="3">
        <v>239</v>
      </c>
      <c r="B244" s="4">
        <v>42161</v>
      </c>
      <c r="C244" s="3" t="s">
        <v>38</v>
      </c>
      <c r="D244" s="3" t="s">
        <v>19</v>
      </c>
      <c r="E244" s="3" t="s">
        <v>31</v>
      </c>
      <c r="F244" s="3">
        <v>21</v>
      </c>
      <c r="G244" s="5">
        <v>2.5</v>
      </c>
      <c r="H244" s="2" t="b">
        <f>MOD(ROWS($H$6:H244),10)=0</f>
        <v>0</v>
      </c>
    </row>
    <row r="245" spans="1:8" x14ac:dyDescent="0.25">
      <c r="A245" s="3">
        <v>240</v>
      </c>
      <c r="B245" s="4">
        <v>42079</v>
      </c>
      <c r="C245" s="3" t="s">
        <v>32</v>
      </c>
      <c r="D245" s="3" t="s">
        <v>5</v>
      </c>
      <c r="E245" s="3" t="s">
        <v>30</v>
      </c>
      <c r="F245" s="3">
        <v>45</v>
      </c>
      <c r="G245" s="5">
        <v>0.1</v>
      </c>
      <c r="H245" s="2" t="b">
        <f>MOD(ROWS($H$6:H245),10)=0</f>
        <v>1</v>
      </c>
    </row>
    <row r="246" spans="1:8" x14ac:dyDescent="0.25">
      <c r="A246" s="3">
        <v>241</v>
      </c>
      <c r="B246" s="4">
        <v>42008</v>
      </c>
      <c r="C246" s="3" t="s">
        <v>39</v>
      </c>
      <c r="D246" s="3" t="s">
        <v>6</v>
      </c>
      <c r="E246" s="3" t="s">
        <v>35</v>
      </c>
      <c r="F246" s="3">
        <v>38</v>
      </c>
      <c r="G246" s="5">
        <v>4</v>
      </c>
      <c r="H246" s="2" t="b">
        <f>MOD(ROWS($H$6:H246),10)=0</f>
        <v>0</v>
      </c>
    </row>
    <row r="247" spans="1:8" x14ac:dyDescent="0.25">
      <c r="A247" s="3">
        <v>242</v>
      </c>
      <c r="B247" s="4">
        <v>42055</v>
      </c>
      <c r="C247" s="3" t="s">
        <v>29</v>
      </c>
      <c r="D247" s="3" t="s">
        <v>2</v>
      </c>
      <c r="E247" s="3" t="s">
        <v>35</v>
      </c>
      <c r="F247" s="3">
        <v>44</v>
      </c>
      <c r="G247" s="5">
        <v>4</v>
      </c>
      <c r="H247" s="2" t="b">
        <f>MOD(ROWS($H$6:H247),10)=0</f>
        <v>0</v>
      </c>
    </row>
    <row r="248" spans="1:8" x14ac:dyDescent="0.25">
      <c r="A248" s="3">
        <v>243</v>
      </c>
      <c r="B248" s="4">
        <v>42010</v>
      </c>
      <c r="C248" s="3" t="s">
        <v>26</v>
      </c>
      <c r="D248" s="3" t="s">
        <v>5</v>
      </c>
      <c r="E248" s="3" t="s">
        <v>33</v>
      </c>
      <c r="F248" s="3">
        <v>43</v>
      </c>
      <c r="G248" s="5">
        <v>5</v>
      </c>
      <c r="H248" s="2" t="b">
        <f>MOD(ROWS($H$6:H248),10)=0</f>
        <v>0</v>
      </c>
    </row>
    <row r="249" spans="1:8" x14ac:dyDescent="0.25">
      <c r="A249" s="3">
        <v>244</v>
      </c>
      <c r="B249" s="4">
        <v>42109</v>
      </c>
      <c r="C249" s="3" t="s">
        <v>38</v>
      </c>
      <c r="D249" s="3" t="s">
        <v>19</v>
      </c>
      <c r="E249" s="3" t="s">
        <v>34</v>
      </c>
      <c r="F249" s="3">
        <v>10</v>
      </c>
      <c r="G249" s="5">
        <v>0.2</v>
      </c>
      <c r="H249" s="2" t="b">
        <f>MOD(ROWS($H$6:H249),10)=0</f>
        <v>0</v>
      </c>
    </row>
    <row r="250" spans="1:8" x14ac:dyDescent="0.25">
      <c r="A250" s="3">
        <v>245</v>
      </c>
      <c r="B250" s="4">
        <v>42057</v>
      </c>
      <c r="C250" s="3" t="s">
        <v>39</v>
      </c>
      <c r="D250" s="3" t="s">
        <v>2</v>
      </c>
      <c r="E250" s="3" t="s">
        <v>28</v>
      </c>
      <c r="F250" s="3">
        <v>30</v>
      </c>
      <c r="G250" s="5">
        <v>2</v>
      </c>
      <c r="H250" s="2" t="b">
        <f>MOD(ROWS($H$6:H250),10)=0</f>
        <v>0</v>
      </c>
    </row>
    <row r="251" spans="1:8" x14ac:dyDescent="0.25">
      <c r="A251" s="3">
        <v>246</v>
      </c>
      <c r="B251" s="4">
        <v>42131</v>
      </c>
      <c r="C251" s="3" t="s">
        <v>39</v>
      </c>
      <c r="D251" s="3" t="s">
        <v>2</v>
      </c>
      <c r="E251" s="3" t="s">
        <v>30</v>
      </c>
      <c r="F251" s="3">
        <v>22</v>
      </c>
      <c r="G251" s="5">
        <v>0.1</v>
      </c>
      <c r="H251" s="2" t="b">
        <f>MOD(ROWS($H$6:H251),10)=0</f>
        <v>0</v>
      </c>
    </row>
    <row r="252" spans="1:8" x14ac:dyDescent="0.25">
      <c r="A252" s="3">
        <v>247</v>
      </c>
      <c r="B252" s="4">
        <v>42025</v>
      </c>
      <c r="C252" s="3" t="s">
        <v>29</v>
      </c>
      <c r="D252" s="3" t="s">
        <v>6</v>
      </c>
      <c r="E252" s="3" t="s">
        <v>36</v>
      </c>
      <c r="F252" s="3">
        <v>39</v>
      </c>
      <c r="G252" s="5">
        <v>1.5</v>
      </c>
      <c r="H252" s="2" t="b">
        <f>MOD(ROWS($H$6:H252),10)=0</f>
        <v>0</v>
      </c>
    </row>
    <row r="253" spans="1:8" x14ac:dyDescent="0.25">
      <c r="A253" s="3">
        <v>248</v>
      </c>
      <c r="B253" s="4">
        <v>42084</v>
      </c>
      <c r="C253" s="3" t="s">
        <v>29</v>
      </c>
      <c r="D253" s="3" t="s">
        <v>2</v>
      </c>
      <c r="E253" s="3" t="s">
        <v>30</v>
      </c>
      <c r="F253" s="3">
        <v>45</v>
      </c>
      <c r="G253" s="5">
        <v>0.1</v>
      </c>
      <c r="H253" s="2" t="b">
        <f>MOD(ROWS($H$6:H253),10)=0</f>
        <v>0</v>
      </c>
    </row>
    <row r="254" spans="1:8" x14ac:dyDescent="0.25">
      <c r="A254" s="3">
        <v>249</v>
      </c>
      <c r="B254" s="4">
        <v>42146</v>
      </c>
      <c r="C254" s="3" t="s">
        <v>39</v>
      </c>
      <c r="D254" s="3" t="s">
        <v>2</v>
      </c>
      <c r="E254" s="3" t="s">
        <v>35</v>
      </c>
      <c r="F254" s="3">
        <v>24</v>
      </c>
      <c r="G254" s="5">
        <v>4</v>
      </c>
      <c r="H254" s="2" t="b">
        <f>MOD(ROWS($H$6:H254),10)=0</f>
        <v>0</v>
      </c>
    </row>
    <row r="255" spans="1:8" x14ac:dyDescent="0.25">
      <c r="A255" s="3">
        <v>250</v>
      </c>
      <c r="B255" s="4">
        <v>42119</v>
      </c>
      <c r="C255" s="3" t="s">
        <v>26</v>
      </c>
      <c r="D255" s="3" t="s">
        <v>10</v>
      </c>
      <c r="E255" s="3" t="s">
        <v>28</v>
      </c>
      <c r="F255" s="3">
        <v>1</v>
      </c>
      <c r="G255" s="5">
        <v>2</v>
      </c>
      <c r="H255" s="2" t="b">
        <f>MOD(ROWS($H$6:H255),10)=0</f>
        <v>1</v>
      </c>
    </row>
    <row r="256" spans="1:8" x14ac:dyDescent="0.25">
      <c r="A256" s="3">
        <v>251</v>
      </c>
      <c r="B256" s="4">
        <v>42009</v>
      </c>
      <c r="C256" s="3" t="s">
        <v>38</v>
      </c>
      <c r="D256" s="3" t="s">
        <v>6</v>
      </c>
      <c r="E256" s="3" t="s">
        <v>34</v>
      </c>
      <c r="F256" s="3">
        <v>49</v>
      </c>
      <c r="G256" s="5">
        <v>0.2</v>
      </c>
      <c r="H256" s="2" t="b">
        <f>MOD(ROWS($H$6:H256),10)=0</f>
        <v>0</v>
      </c>
    </row>
    <row r="257" spans="1:8" x14ac:dyDescent="0.25">
      <c r="A257" s="3">
        <v>252</v>
      </c>
      <c r="B257" s="4">
        <v>42177</v>
      </c>
      <c r="C257" s="3" t="s">
        <v>26</v>
      </c>
      <c r="D257" s="3" t="s">
        <v>5</v>
      </c>
      <c r="E257" s="3" t="s">
        <v>36</v>
      </c>
      <c r="F257" s="3">
        <v>32</v>
      </c>
      <c r="G257" s="5">
        <v>1.5</v>
      </c>
      <c r="H257" s="2" t="b">
        <f>MOD(ROWS($H$6:H257),10)=0</f>
        <v>0</v>
      </c>
    </row>
    <row r="258" spans="1:8" x14ac:dyDescent="0.25">
      <c r="A258" s="3">
        <v>253</v>
      </c>
      <c r="B258" s="4">
        <v>42083</v>
      </c>
      <c r="C258" s="3" t="s">
        <v>32</v>
      </c>
      <c r="D258" s="3" t="s">
        <v>10</v>
      </c>
      <c r="E258" s="3" t="s">
        <v>27</v>
      </c>
      <c r="F258" s="3">
        <v>17</v>
      </c>
      <c r="G258" s="5">
        <v>0.5</v>
      </c>
      <c r="H258" s="2" t="b">
        <f>MOD(ROWS($H$6:H258),10)=0</f>
        <v>0</v>
      </c>
    </row>
    <row r="259" spans="1:8" x14ac:dyDescent="0.25">
      <c r="A259" s="3">
        <v>254</v>
      </c>
      <c r="B259" s="4">
        <v>42095</v>
      </c>
      <c r="C259" s="3" t="s">
        <v>38</v>
      </c>
      <c r="D259" s="3" t="s">
        <v>10</v>
      </c>
      <c r="E259" s="3" t="s">
        <v>35</v>
      </c>
      <c r="F259" s="3">
        <v>9</v>
      </c>
      <c r="G259" s="5">
        <v>4</v>
      </c>
      <c r="H259" s="2" t="b">
        <f>MOD(ROWS($H$6:H259),10)=0</f>
        <v>0</v>
      </c>
    </row>
    <row r="260" spans="1:8" x14ac:dyDescent="0.25">
      <c r="A260" s="3">
        <v>255</v>
      </c>
      <c r="B260" s="4">
        <v>42025</v>
      </c>
      <c r="C260" s="3" t="s">
        <v>38</v>
      </c>
      <c r="D260" s="3" t="s">
        <v>19</v>
      </c>
      <c r="E260" s="3" t="s">
        <v>35</v>
      </c>
      <c r="F260" s="3">
        <v>23</v>
      </c>
      <c r="G260" s="5">
        <v>4</v>
      </c>
      <c r="H260" s="2" t="b">
        <f>MOD(ROWS($H$6:H260),10)=0</f>
        <v>0</v>
      </c>
    </row>
    <row r="261" spans="1:8" x14ac:dyDescent="0.25">
      <c r="A261" s="3">
        <v>256</v>
      </c>
      <c r="B261" s="4">
        <v>42086</v>
      </c>
      <c r="C261" s="3" t="s">
        <v>29</v>
      </c>
      <c r="D261" s="3" t="s">
        <v>2</v>
      </c>
      <c r="E261" s="3" t="s">
        <v>35</v>
      </c>
      <c r="F261" s="3">
        <v>49</v>
      </c>
      <c r="G261" s="5">
        <v>4</v>
      </c>
      <c r="H261" s="2" t="b">
        <f>MOD(ROWS($H$6:H261),10)=0</f>
        <v>0</v>
      </c>
    </row>
    <row r="262" spans="1:8" x14ac:dyDescent="0.25">
      <c r="A262" s="3">
        <v>257</v>
      </c>
      <c r="B262" s="4">
        <v>42077</v>
      </c>
      <c r="C262" s="3" t="s">
        <v>32</v>
      </c>
      <c r="D262" s="3" t="s">
        <v>19</v>
      </c>
      <c r="E262" s="3" t="s">
        <v>31</v>
      </c>
      <c r="F262" s="3">
        <v>25</v>
      </c>
      <c r="G262" s="5">
        <v>2.5</v>
      </c>
      <c r="H262" s="2" t="b">
        <f>MOD(ROWS($H$6:H262),10)=0</f>
        <v>0</v>
      </c>
    </row>
    <row r="263" spans="1:8" x14ac:dyDescent="0.25">
      <c r="A263" s="3">
        <v>258</v>
      </c>
      <c r="B263" s="4">
        <v>42059</v>
      </c>
      <c r="C263" s="3" t="s">
        <v>32</v>
      </c>
      <c r="D263" s="3" t="s">
        <v>19</v>
      </c>
      <c r="E263" s="3" t="s">
        <v>31</v>
      </c>
      <c r="F263" s="3">
        <v>11</v>
      </c>
      <c r="G263" s="5">
        <v>2.5</v>
      </c>
      <c r="H263" s="2" t="b">
        <f>MOD(ROWS($H$6:H263),10)=0</f>
        <v>0</v>
      </c>
    </row>
    <row r="264" spans="1:8" x14ac:dyDescent="0.25">
      <c r="A264" s="3">
        <v>259</v>
      </c>
      <c r="B264" s="4">
        <v>42033</v>
      </c>
      <c r="C264" s="3" t="s">
        <v>37</v>
      </c>
      <c r="D264" s="3" t="s">
        <v>2</v>
      </c>
      <c r="E264" s="3" t="s">
        <v>34</v>
      </c>
      <c r="F264" s="3">
        <v>18</v>
      </c>
      <c r="G264" s="5">
        <v>0.2</v>
      </c>
      <c r="H264" s="2" t="b">
        <f>MOD(ROWS($H$6:H264),10)=0</f>
        <v>0</v>
      </c>
    </row>
    <row r="265" spans="1:8" x14ac:dyDescent="0.25">
      <c r="A265" s="3">
        <v>260</v>
      </c>
      <c r="B265" s="4">
        <v>42063</v>
      </c>
      <c r="C265" s="3" t="s">
        <v>39</v>
      </c>
      <c r="D265" s="3" t="s">
        <v>10</v>
      </c>
      <c r="E265" s="3" t="s">
        <v>33</v>
      </c>
      <c r="F265" s="3">
        <v>40</v>
      </c>
      <c r="G265" s="5">
        <v>5</v>
      </c>
      <c r="H265" s="2" t="b">
        <f>MOD(ROWS($H$6:H265),10)=0</f>
        <v>1</v>
      </c>
    </row>
    <row r="266" spans="1:8" x14ac:dyDescent="0.25">
      <c r="A266" s="3">
        <v>261</v>
      </c>
      <c r="B266" s="4">
        <v>42063</v>
      </c>
      <c r="C266" s="3" t="s">
        <v>38</v>
      </c>
      <c r="D266" s="3" t="s">
        <v>6</v>
      </c>
      <c r="E266" s="3" t="s">
        <v>30</v>
      </c>
      <c r="F266" s="3">
        <v>3</v>
      </c>
      <c r="G266" s="5">
        <v>0.1</v>
      </c>
      <c r="H266" s="2" t="b">
        <f>MOD(ROWS($H$6:H266),10)=0</f>
        <v>0</v>
      </c>
    </row>
    <row r="267" spans="1:8" x14ac:dyDescent="0.25">
      <c r="A267" s="3">
        <v>262</v>
      </c>
      <c r="B267" s="4">
        <v>42122</v>
      </c>
      <c r="C267" s="3" t="s">
        <v>26</v>
      </c>
      <c r="D267" s="3" t="s">
        <v>2</v>
      </c>
      <c r="E267" s="3" t="s">
        <v>27</v>
      </c>
      <c r="F267" s="3">
        <v>17</v>
      </c>
      <c r="G267" s="5">
        <v>0.5</v>
      </c>
      <c r="H267" s="2" t="b">
        <f>MOD(ROWS($H$6:H267),10)=0</f>
        <v>0</v>
      </c>
    </row>
    <row r="268" spans="1:8" x14ac:dyDescent="0.25">
      <c r="A268" s="3">
        <v>263</v>
      </c>
      <c r="B268" s="4">
        <v>42118</v>
      </c>
      <c r="C268" s="3" t="s">
        <v>37</v>
      </c>
      <c r="D268" s="3" t="s">
        <v>10</v>
      </c>
      <c r="E268" s="3" t="s">
        <v>31</v>
      </c>
      <c r="F268" s="3">
        <v>9</v>
      </c>
      <c r="G268" s="5">
        <v>2.5</v>
      </c>
      <c r="H268" s="2" t="b">
        <f>MOD(ROWS($H$6:H268),10)=0</f>
        <v>0</v>
      </c>
    </row>
    <row r="269" spans="1:8" x14ac:dyDescent="0.25">
      <c r="A269" s="3">
        <v>264</v>
      </c>
      <c r="B269" s="4">
        <v>42177</v>
      </c>
      <c r="C269" s="3" t="s">
        <v>29</v>
      </c>
      <c r="D269" s="3" t="s">
        <v>10</v>
      </c>
      <c r="E269" s="3" t="s">
        <v>30</v>
      </c>
      <c r="F269" s="3">
        <v>34</v>
      </c>
      <c r="G269" s="5">
        <v>0.1</v>
      </c>
      <c r="H269" s="2" t="b">
        <f>MOD(ROWS($H$6:H269),10)=0</f>
        <v>0</v>
      </c>
    </row>
    <row r="270" spans="1:8" x14ac:dyDescent="0.25">
      <c r="A270" s="3">
        <v>265</v>
      </c>
      <c r="B270" s="4">
        <v>42053</v>
      </c>
      <c r="C270" s="3" t="s">
        <v>32</v>
      </c>
      <c r="D270" s="3" t="s">
        <v>10</v>
      </c>
      <c r="E270" s="3" t="s">
        <v>28</v>
      </c>
      <c r="F270" s="3">
        <v>22</v>
      </c>
      <c r="G270" s="5">
        <v>2</v>
      </c>
      <c r="H270" s="2" t="b">
        <f>MOD(ROWS($H$6:H270),10)=0</f>
        <v>0</v>
      </c>
    </row>
    <row r="271" spans="1:8" x14ac:dyDescent="0.25">
      <c r="A271" s="3">
        <v>266</v>
      </c>
      <c r="B271" s="4">
        <v>42030</v>
      </c>
      <c r="C271" s="3" t="s">
        <v>38</v>
      </c>
      <c r="D271" s="3" t="s">
        <v>2</v>
      </c>
      <c r="E271" s="3" t="s">
        <v>31</v>
      </c>
      <c r="F271" s="3">
        <v>28</v>
      </c>
      <c r="G271" s="5">
        <v>2.5</v>
      </c>
      <c r="H271" s="2" t="b">
        <f>MOD(ROWS($H$6:H271),10)=0</f>
        <v>0</v>
      </c>
    </row>
    <row r="272" spans="1:8" x14ac:dyDescent="0.25">
      <c r="A272" s="3">
        <v>267</v>
      </c>
      <c r="B272" s="4">
        <v>42090</v>
      </c>
      <c r="C272" s="3" t="s">
        <v>32</v>
      </c>
      <c r="D272" s="3" t="s">
        <v>2</v>
      </c>
      <c r="E272" s="3" t="s">
        <v>31</v>
      </c>
      <c r="F272" s="3">
        <v>21</v>
      </c>
      <c r="G272" s="5">
        <v>2.5</v>
      </c>
      <c r="H272" s="2" t="b">
        <f>MOD(ROWS($H$6:H272),10)=0</f>
        <v>0</v>
      </c>
    </row>
    <row r="273" spans="1:8" x14ac:dyDescent="0.25">
      <c r="A273" s="3">
        <v>268</v>
      </c>
      <c r="B273" s="4">
        <v>42158</v>
      </c>
      <c r="C273" s="3" t="s">
        <v>29</v>
      </c>
      <c r="D273" s="3" t="s">
        <v>10</v>
      </c>
      <c r="E273" s="3" t="s">
        <v>30</v>
      </c>
      <c r="F273" s="3">
        <v>45</v>
      </c>
      <c r="G273" s="5">
        <v>0.1</v>
      </c>
      <c r="H273" s="2" t="b">
        <f>MOD(ROWS($H$6:H273),10)=0</f>
        <v>0</v>
      </c>
    </row>
    <row r="274" spans="1:8" x14ac:dyDescent="0.25">
      <c r="A274" s="3">
        <v>269</v>
      </c>
      <c r="B274" s="4">
        <v>42185</v>
      </c>
      <c r="C274" s="3" t="s">
        <v>29</v>
      </c>
      <c r="D274" s="3" t="s">
        <v>2</v>
      </c>
      <c r="E274" s="3" t="s">
        <v>33</v>
      </c>
      <c r="F274" s="3">
        <v>17</v>
      </c>
      <c r="G274" s="5">
        <v>5</v>
      </c>
      <c r="H274" s="2" t="b">
        <f>MOD(ROWS($H$6:H274),10)=0</f>
        <v>0</v>
      </c>
    </row>
    <row r="275" spans="1:8" x14ac:dyDescent="0.25">
      <c r="A275" s="3">
        <v>270</v>
      </c>
      <c r="B275" s="4">
        <v>42079</v>
      </c>
      <c r="C275" s="3" t="s">
        <v>38</v>
      </c>
      <c r="D275" s="3" t="s">
        <v>5</v>
      </c>
      <c r="E275" s="3" t="s">
        <v>28</v>
      </c>
      <c r="F275" s="3">
        <v>44</v>
      </c>
      <c r="G275" s="5">
        <v>2</v>
      </c>
      <c r="H275" s="2" t="b">
        <f>MOD(ROWS($H$6:H275),10)=0</f>
        <v>1</v>
      </c>
    </row>
    <row r="276" spans="1:8" x14ac:dyDescent="0.25">
      <c r="A276" s="3">
        <v>271</v>
      </c>
      <c r="B276" s="4">
        <v>42078</v>
      </c>
      <c r="C276" s="3" t="s">
        <v>29</v>
      </c>
      <c r="D276" s="3" t="s">
        <v>19</v>
      </c>
      <c r="E276" s="3" t="s">
        <v>33</v>
      </c>
      <c r="F276" s="3">
        <v>20</v>
      </c>
      <c r="G276" s="5">
        <v>5</v>
      </c>
      <c r="H276" s="2" t="b">
        <f>MOD(ROWS($H$6:H276),10)=0</f>
        <v>0</v>
      </c>
    </row>
    <row r="277" spans="1:8" x14ac:dyDescent="0.25">
      <c r="A277" s="3">
        <v>272</v>
      </c>
      <c r="B277" s="4">
        <v>42170</v>
      </c>
      <c r="C277" s="3" t="s">
        <v>39</v>
      </c>
      <c r="D277" s="3" t="s">
        <v>10</v>
      </c>
      <c r="E277" s="3" t="s">
        <v>36</v>
      </c>
      <c r="F277" s="3">
        <v>29</v>
      </c>
      <c r="G277" s="5">
        <v>1.5</v>
      </c>
      <c r="H277" s="2" t="b">
        <f>MOD(ROWS($H$6:H277),10)=0</f>
        <v>0</v>
      </c>
    </row>
    <row r="278" spans="1:8" x14ac:dyDescent="0.25">
      <c r="A278" s="3">
        <v>273</v>
      </c>
      <c r="B278" s="4">
        <v>42027</v>
      </c>
      <c r="C278" s="3" t="s">
        <v>26</v>
      </c>
      <c r="D278" s="3" t="s">
        <v>10</v>
      </c>
      <c r="E278" s="3" t="s">
        <v>36</v>
      </c>
      <c r="F278" s="3">
        <v>13</v>
      </c>
      <c r="G278" s="5">
        <v>1.5</v>
      </c>
      <c r="H278" s="2" t="b">
        <f>MOD(ROWS($H$6:H278),10)=0</f>
        <v>0</v>
      </c>
    </row>
    <row r="279" spans="1:8" x14ac:dyDescent="0.25">
      <c r="A279" s="3">
        <v>274</v>
      </c>
      <c r="B279" s="4">
        <v>42038</v>
      </c>
      <c r="C279" s="3" t="s">
        <v>37</v>
      </c>
      <c r="D279" s="3" t="s">
        <v>19</v>
      </c>
      <c r="E279" s="3" t="s">
        <v>33</v>
      </c>
      <c r="F279" s="3">
        <v>45</v>
      </c>
      <c r="G279" s="5">
        <v>5</v>
      </c>
      <c r="H279" s="2" t="b">
        <f>MOD(ROWS($H$6:H279),10)=0</f>
        <v>0</v>
      </c>
    </row>
    <row r="280" spans="1:8" x14ac:dyDescent="0.25">
      <c r="A280" s="3">
        <v>275</v>
      </c>
      <c r="B280" s="4">
        <v>42066</v>
      </c>
      <c r="C280" s="3" t="s">
        <v>29</v>
      </c>
      <c r="D280" s="3" t="s">
        <v>2</v>
      </c>
      <c r="E280" s="3" t="s">
        <v>36</v>
      </c>
      <c r="F280" s="3">
        <v>40</v>
      </c>
      <c r="G280" s="5">
        <v>1.5</v>
      </c>
      <c r="H280" s="2" t="b">
        <f>MOD(ROWS($H$6:H280),10)=0</f>
        <v>0</v>
      </c>
    </row>
    <row r="281" spans="1:8" x14ac:dyDescent="0.25">
      <c r="A281" s="3">
        <v>276</v>
      </c>
      <c r="B281" s="4">
        <v>42069</v>
      </c>
      <c r="C281" s="3" t="s">
        <v>29</v>
      </c>
      <c r="D281" s="3" t="s">
        <v>5</v>
      </c>
      <c r="E281" s="3" t="s">
        <v>31</v>
      </c>
      <c r="F281" s="3">
        <v>10</v>
      </c>
      <c r="G281" s="5">
        <v>2.5</v>
      </c>
      <c r="H281" s="2" t="b">
        <f>MOD(ROWS($H$6:H281),10)=0</f>
        <v>0</v>
      </c>
    </row>
    <row r="282" spans="1:8" x14ac:dyDescent="0.25">
      <c r="A282" s="3">
        <v>277</v>
      </c>
      <c r="B282" s="4">
        <v>42131</v>
      </c>
      <c r="C282" s="3" t="s">
        <v>29</v>
      </c>
      <c r="D282" s="3" t="s">
        <v>5</v>
      </c>
      <c r="E282" s="3" t="s">
        <v>36</v>
      </c>
      <c r="F282" s="3">
        <v>40</v>
      </c>
      <c r="G282" s="5">
        <v>1.5</v>
      </c>
      <c r="H282" s="2" t="b">
        <f>MOD(ROWS($H$6:H282),10)=0</f>
        <v>0</v>
      </c>
    </row>
    <row r="283" spans="1:8" x14ac:dyDescent="0.25">
      <c r="A283" s="3">
        <v>278</v>
      </c>
      <c r="B283" s="4">
        <v>42164</v>
      </c>
      <c r="C283" s="3" t="s">
        <v>26</v>
      </c>
      <c r="D283" s="3" t="s">
        <v>10</v>
      </c>
      <c r="E283" s="3" t="s">
        <v>34</v>
      </c>
      <c r="F283" s="3">
        <v>24</v>
      </c>
      <c r="G283" s="5">
        <v>0.2</v>
      </c>
      <c r="H283" s="2" t="b">
        <f>MOD(ROWS($H$6:H283),10)=0</f>
        <v>0</v>
      </c>
    </row>
    <row r="284" spans="1:8" x14ac:dyDescent="0.25">
      <c r="A284" s="3">
        <v>279</v>
      </c>
      <c r="B284" s="4">
        <v>42013</v>
      </c>
      <c r="C284" s="3" t="s">
        <v>38</v>
      </c>
      <c r="D284" s="3" t="s">
        <v>6</v>
      </c>
      <c r="E284" s="3" t="s">
        <v>35</v>
      </c>
      <c r="F284" s="3">
        <v>5</v>
      </c>
      <c r="G284" s="5">
        <v>4</v>
      </c>
      <c r="H284" s="2" t="b">
        <f>MOD(ROWS($H$6:H284),10)=0</f>
        <v>0</v>
      </c>
    </row>
    <row r="285" spans="1:8" x14ac:dyDescent="0.25">
      <c r="A285" s="3">
        <v>280</v>
      </c>
      <c r="B285" s="4">
        <v>42106</v>
      </c>
      <c r="C285" s="3" t="s">
        <v>29</v>
      </c>
      <c r="D285" s="3" t="s">
        <v>19</v>
      </c>
      <c r="E285" s="3" t="s">
        <v>35</v>
      </c>
      <c r="F285" s="3">
        <v>47</v>
      </c>
      <c r="G285" s="5">
        <v>4</v>
      </c>
      <c r="H285" s="2" t="b">
        <f>MOD(ROWS($H$6:H285),10)=0</f>
        <v>1</v>
      </c>
    </row>
    <row r="286" spans="1:8" x14ac:dyDescent="0.25">
      <c r="A286" s="3">
        <v>281</v>
      </c>
      <c r="B286" s="4">
        <v>42126</v>
      </c>
      <c r="C286" s="3" t="s">
        <v>38</v>
      </c>
      <c r="D286" s="3" t="s">
        <v>2</v>
      </c>
      <c r="E286" s="3" t="s">
        <v>31</v>
      </c>
      <c r="F286" s="3">
        <v>47</v>
      </c>
      <c r="G286" s="5">
        <v>2.5</v>
      </c>
      <c r="H286" s="2" t="b">
        <f>MOD(ROWS($H$6:H286),10)=0</f>
        <v>0</v>
      </c>
    </row>
    <row r="287" spans="1:8" x14ac:dyDescent="0.25">
      <c r="A287" s="3">
        <v>282</v>
      </c>
      <c r="B287" s="4">
        <v>42157</v>
      </c>
      <c r="C287" s="3" t="s">
        <v>32</v>
      </c>
      <c r="D287" s="3" t="s">
        <v>6</v>
      </c>
      <c r="E287" s="3" t="s">
        <v>36</v>
      </c>
      <c r="F287" s="3">
        <v>27</v>
      </c>
      <c r="G287" s="5">
        <v>1.5</v>
      </c>
      <c r="H287" s="2" t="b">
        <f>MOD(ROWS($H$6:H287),10)=0</f>
        <v>0</v>
      </c>
    </row>
    <row r="288" spans="1:8" x14ac:dyDescent="0.25">
      <c r="A288" s="3">
        <v>283</v>
      </c>
      <c r="B288" s="4">
        <v>42128</v>
      </c>
      <c r="C288" s="3" t="s">
        <v>26</v>
      </c>
      <c r="D288" s="3" t="s">
        <v>5</v>
      </c>
      <c r="E288" s="3" t="s">
        <v>36</v>
      </c>
      <c r="F288" s="3">
        <v>8</v>
      </c>
      <c r="G288" s="5">
        <v>1.5</v>
      </c>
      <c r="H288" s="2" t="b">
        <f>MOD(ROWS($H$6:H288),10)=0</f>
        <v>0</v>
      </c>
    </row>
    <row r="289" spans="1:8" x14ac:dyDescent="0.25">
      <c r="A289" s="3">
        <v>284</v>
      </c>
      <c r="B289" s="4">
        <v>42010</v>
      </c>
      <c r="C289" s="3" t="s">
        <v>29</v>
      </c>
      <c r="D289" s="3" t="s">
        <v>19</v>
      </c>
      <c r="E289" s="3" t="s">
        <v>31</v>
      </c>
      <c r="F289" s="3">
        <v>45</v>
      </c>
      <c r="G289" s="5">
        <v>2.5</v>
      </c>
      <c r="H289" s="2" t="b">
        <f>MOD(ROWS($H$6:H289),10)=0</f>
        <v>0</v>
      </c>
    </row>
    <row r="290" spans="1:8" x14ac:dyDescent="0.25">
      <c r="A290" s="3">
        <v>285</v>
      </c>
      <c r="B290" s="4">
        <v>42046</v>
      </c>
      <c r="C290" s="3" t="s">
        <v>32</v>
      </c>
      <c r="D290" s="3" t="s">
        <v>19</v>
      </c>
      <c r="E290" s="3" t="s">
        <v>28</v>
      </c>
      <c r="F290" s="3">
        <v>8</v>
      </c>
      <c r="G290" s="5">
        <v>2</v>
      </c>
      <c r="H290" s="2" t="b">
        <f>MOD(ROWS($H$6:H290),10)=0</f>
        <v>0</v>
      </c>
    </row>
    <row r="291" spans="1:8" x14ac:dyDescent="0.25">
      <c r="A291" s="3">
        <v>286</v>
      </c>
      <c r="B291" s="4">
        <v>42128</v>
      </c>
      <c r="C291" s="3" t="s">
        <v>26</v>
      </c>
      <c r="D291" s="3" t="s">
        <v>10</v>
      </c>
      <c r="E291" s="3" t="s">
        <v>36</v>
      </c>
      <c r="F291" s="3">
        <v>41</v>
      </c>
      <c r="G291" s="5">
        <v>1.5</v>
      </c>
      <c r="H291" s="2" t="b">
        <f>MOD(ROWS($H$6:H291),10)=0</f>
        <v>0</v>
      </c>
    </row>
    <row r="292" spans="1:8" x14ac:dyDescent="0.25">
      <c r="A292" s="3">
        <v>287</v>
      </c>
      <c r="B292" s="4">
        <v>42104</v>
      </c>
      <c r="C292" s="3" t="s">
        <v>32</v>
      </c>
      <c r="D292" s="3" t="s">
        <v>19</v>
      </c>
      <c r="E292" s="3" t="s">
        <v>31</v>
      </c>
      <c r="F292" s="3">
        <v>43</v>
      </c>
      <c r="G292" s="5">
        <v>2.5</v>
      </c>
      <c r="H292" s="2" t="b">
        <f>MOD(ROWS($H$6:H292),10)=0</f>
        <v>0</v>
      </c>
    </row>
    <row r="293" spans="1:8" x14ac:dyDescent="0.25">
      <c r="A293" s="3">
        <v>288</v>
      </c>
      <c r="B293" s="4">
        <v>42170</v>
      </c>
      <c r="C293" s="3" t="s">
        <v>26</v>
      </c>
      <c r="D293" s="3" t="s">
        <v>19</v>
      </c>
      <c r="E293" s="3" t="s">
        <v>28</v>
      </c>
      <c r="F293" s="3">
        <v>3</v>
      </c>
      <c r="G293" s="5">
        <v>2</v>
      </c>
      <c r="H293" s="2" t="b">
        <f>MOD(ROWS($H$6:H293),10)=0</f>
        <v>0</v>
      </c>
    </row>
    <row r="294" spans="1:8" x14ac:dyDescent="0.25">
      <c r="A294" s="3">
        <v>289</v>
      </c>
      <c r="B294" s="4">
        <v>42179</v>
      </c>
      <c r="C294" s="3" t="s">
        <v>39</v>
      </c>
      <c r="D294" s="3" t="s">
        <v>6</v>
      </c>
      <c r="E294" s="3" t="s">
        <v>34</v>
      </c>
      <c r="F294" s="3">
        <v>10</v>
      </c>
      <c r="G294" s="5">
        <v>0.2</v>
      </c>
      <c r="H294" s="2" t="b">
        <f>MOD(ROWS($H$6:H294),10)=0</f>
        <v>0</v>
      </c>
    </row>
    <row r="295" spans="1:8" x14ac:dyDescent="0.25">
      <c r="A295" s="3">
        <v>290</v>
      </c>
      <c r="B295" s="4">
        <v>42098</v>
      </c>
      <c r="C295" s="3" t="s">
        <v>37</v>
      </c>
      <c r="D295" s="3" t="s">
        <v>19</v>
      </c>
      <c r="E295" s="3" t="s">
        <v>36</v>
      </c>
      <c r="F295" s="3">
        <v>33</v>
      </c>
      <c r="G295" s="5">
        <v>1.5</v>
      </c>
      <c r="H295" s="2" t="b">
        <f>MOD(ROWS($H$6:H295),10)=0</f>
        <v>1</v>
      </c>
    </row>
    <row r="296" spans="1:8" x14ac:dyDescent="0.25">
      <c r="A296" s="3">
        <v>291</v>
      </c>
      <c r="B296" s="4">
        <v>42011</v>
      </c>
      <c r="C296" s="3" t="s">
        <v>32</v>
      </c>
      <c r="D296" s="3" t="s">
        <v>10</v>
      </c>
      <c r="E296" s="3" t="s">
        <v>36</v>
      </c>
      <c r="F296" s="3">
        <v>30</v>
      </c>
      <c r="G296" s="5">
        <v>1.5</v>
      </c>
      <c r="H296" s="2" t="b">
        <f>MOD(ROWS($H$6:H296),10)=0</f>
        <v>0</v>
      </c>
    </row>
    <row r="297" spans="1:8" x14ac:dyDescent="0.25">
      <c r="A297" s="3">
        <v>292</v>
      </c>
      <c r="B297" s="4">
        <v>42153</v>
      </c>
      <c r="C297" s="3" t="s">
        <v>26</v>
      </c>
      <c r="D297" s="3" t="s">
        <v>5</v>
      </c>
      <c r="E297" s="3" t="s">
        <v>31</v>
      </c>
      <c r="F297" s="3">
        <v>50</v>
      </c>
      <c r="G297" s="5">
        <v>2.5</v>
      </c>
      <c r="H297" s="2" t="b">
        <f>MOD(ROWS($H$6:H297),10)=0</f>
        <v>0</v>
      </c>
    </row>
    <row r="298" spans="1:8" x14ac:dyDescent="0.25">
      <c r="A298" s="3">
        <v>293</v>
      </c>
      <c r="B298" s="4">
        <v>42040</v>
      </c>
      <c r="C298" s="3" t="s">
        <v>37</v>
      </c>
      <c r="D298" s="3" t="s">
        <v>19</v>
      </c>
      <c r="E298" s="3" t="s">
        <v>28</v>
      </c>
      <c r="F298" s="3">
        <v>24</v>
      </c>
      <c r="G298" s="5">
        <v>2</v>
      </c>
      <c r="H298" s="2" t="b">
        <f>MOD(ROWS($H$6:H298),10)=0</f>
        <v>0</v>
      </c>
    </row>
    <row r="299" spans="1:8" x14ac:dyDescent="0.25">
      <c r="A299" s="3">
        <v>294</v>
      </c>
      <c r="B299" s="4">
        <v>42089</v>
      </c>
      <c r="C299" s="3" t="s">
        <v>38</v>
      </c>
      <c r="D299" s="3" t="s">
        <v>2</v>
      </c>
      <c r="E299" s="3" t="s">
        <v>27</v>
      </c>
      <c r="F299" s="3">
        <v>19</v>
      </c>
      <c r="G299" s="5">
        <v>0.5</v>
      </c>
      <c r="H299" s="2" t="b">
        <f>MOD(ROWS($H$6:H299),10)=0</f>
        <v>0</v>
      </c>
    </row>
    <row r="300" spans="1:8" x14ac:dyDescent="0.25">
      <c r="A300" s="3">
        <v>295</v>
      </c>
      <c r="B300" s="4">
        <v>42054</v>
      </c>
      <c r="C300" s="3" t="s">
        <v>37</v>
      </c>
      <c r="D300" s="3" t="s">
        <v>19</v>
      </c>
      <c r="E300" s="3" t="s">
        <v>35</v>
      </c>
      <c r="F300" s="3">
        <v>44</v>
      </c>
      <c r="G300" s="5">
        <v>4</v>
      </c>
      <c r="H300" s="2" t="b">
        <f>MOD(ROWS($H$6:H300),10)=0</f>
        <v>0</v>
      </c>
    </row>
    <row r="301" spans="1:8" x14ac:dyDescent="0.25">
      <c r="A301" s="3">
        <v>296</v>
      </c>
      <c r="B301" s="4">
        <v>42028</v>
      </c>
      <c r="C301" s="3" t="s">
        <v>29</v>
      </c>
      <c r="D301" s="3" t="s">
        <v>10</v>
      </c>
      <c r="E301" s="3" t="s">
        <v>27</v>
      </c>
      <c r="F301" s="3">
        <v>33</v>
      </c>
      <c r="G301" s="5">
        <v>0.5</v>
      </c>
      <c r="H301" s="2" t="b">
        <f>MOD(ROWS($H$6:H301),10)=0</f>
        <v>0</v>
      </c>
    </row>
    <row r="302" spans="1:8" x14ac:dyDescent="0.25">
      <c r="A302" s="3">
        <v>297</v>
      </c>
      <c r="B302" s="4">
        <v>42009</v>
      </c>
      <c r="C302" s="3" t="s">
        <v>38</v>
      </c>
      <c r="D302" s="3" t="s">
        <v>2</v>
      </c>
      <c r="E302" s="3" t="s">
        <v>35</v>
      </c>
      <c r="F302" s="3">
        <v>45</v>
      </c>
      <c r="G302" s="5">
        <v>4</v>
      </c>
      <c r="H302" s="2" t="b">
        <f>MOD(ROWS($H$6:H302),10)=0</f>
        <v>0</v>
      </c>
    </row>
    <row r="303" spans="1:8" x14ac:dyDescent="0.25">
      <c r="A303" s="3">
        <v>298</v>
      </c>
      <c r="B303" s="4">
        <v>42077</v>
      </c>
      <c r="C303" s="3" t="s">
        <v>38</v>
      </c>
      <c r="D303" s="3" t="s">
        <v>10</v>
      </c>
      <c r="E303" s="3" t="s">
        <v>35</v>
      </c>
      <c r="F303" s="3">
        <v>48</v>
      </c>
      <c r="G303" s="5">
        <v>4</v>
      </c>
      <c r="H303" s="2" t="b">
        <f>MOD(ROWS($H$6:H303),10)=0</f>
        <v>0</v>
      </c>
    </row>
    <row r="304" spans="1:8" x14ac:dyDescent="0.25">
      <c r="A304" s="3">
        <v>299</v>
      </c>
      <c r="B304" s="4">
        <v>42161</v>
      </c>
      <c r="C304" s="3" t="s">
        <v>38</v>
      </c>
      <c r="D304" s="3" t="s">
        <v>6</v>
      </c>
      <c r="E304" s="3" t="s">
        <v>30</v>
      </c>
      <c r="F304" s="3">
        <v>25</v>
      </c>
      <c r="G304" s="5">
        <v>0.1</v>
      </c>
      <c r="H304" s="2" t="b">
        <f>MOD(ROWS($H$6:H304),10)=0</f>
        <v>0</v>
      </c>
    </row>
    <row r="305" spans="1:8" x14ac:dyDescent="0.25">
      <c r="A305" s="3">
        <v>300</v>
      </c>
      <c r="B305" s="4">
        <v>42168</v>
      </c>
      <c r="C305" s="3" t="s">
        <v>32</v>
      </c>
      <c r="D305" s="3" t="s">
        <v>2</v>
      </c>
      <c r="E305" s="3" t="s">
        <v>28</v>
      </c>
      <c r="F305" s="3">
        <v>39</v>
      </c>
      <c r="G305" s="5">
        <v>2</v>
      </c>
      <c r="H305" s="2" t="b">
        <f>MOD(ROWS($H$6:H305),10)=0</f>
        <v>1</v>
      </c>
    </row>
    <row r="306" spans="1:8" x14ac:dyDescent="0.25">
      <c r="A306" s="3">
        <v>301</v>
      </c>
      <c r="B306" s="4">
        <v>42053</v>
      </c>
      <c r="C306" s="3" t="s">
        <v>39</v>
      </c>
      <c r="D306" s="3" t="s">
        <v>5</v>
      </c>
      <c r="E306" s="3" t="s">
        <v>30</v>
      </c>
      <c r="F306" s="3">
        <v>38</v>
      </c>
      <c r="G306" s="5">
        <v>0.1</v>
      </c>
      <c r="H306" s="2" t="b">
        <f>MOD(ROWS($H$6:H306),10)=0</f>
        <v>0</v>
      </c>
    </row>
    <row r="307" spans="1:8" x14ac:dyDescent="0.25">
      <c r="A307" s="3">
        <v>302</v>
      </c>
      <c r="B307" s="4">
        <v>42028</v>
      </c>
      <c r="C307" s="3" t="s">
        <v>38</v>
      </c>
      <c r="D307" s="3" t="s">
        <v>5</v>
      </c>
      <c r="E307" s="3" t="s">
        <v>33</v>
      </c>
      <c r="F307" s="3">
        <v>24</v>
      </c>
      <c r="G307" s="5">
        <v>5</v>
      </c>
      <c r="H307" s="2" t="b">
        <f>MOD(ROWS($H$6:H307),10)=0</f>
        <v>0</v>
      </c>
    </row>
    <row r="308" spans="1:8" x14ac:dyDescent="0.25">
      <c r="A308" s="3">
        <v>303</v>
      </c>
      <c r="B308" s="4">
        <v>42091</v>
      </c>
      <c r="C308" s="3" t="s">
        <v>26</v>
      </c>
      <c r="D308" s="3" t="s">
        <v>6</v>
      </c>
      <c r="E308" s="3" t="s">
        <v>30</v>
      </c>
      <c r="F308" s="3">
        <v>27</v>
      </c>
      <c r="G308" s="5">
        <v>0.1</v>
      </c>
      <c r="H308" s="2" t="b">
        <f>MOD(ROWS($H$6:H308),10)=0</f>
        <v>0</v>
      </c>
    </row>
    <row r="309" spans="1:8" x14ac:dyDescent="0.25">
      <c r="A309" s="3">
        <v>304</v>
      </c>
      <c r="B309" s="4">
        <v>42102</v>
      </c>
      <c r="C309" s="3" t="s">
        <v>39</v>
      </c>
      <c r="D309" s="3" t="s">
        <v>6</v>
      </c>
      <c r="E309" s="3" t="s">
        <v>28</v>
      </c>
      <c r="F309" s="3">
        <v>27</v>
      </c>
      <c r="G309" s="5">
        <v>2</v>
      </c>
      <c r="H309" s="2" t="b">
        <f>MOD(ROWS($H$6:H309),10)=0</f>
        <v>0</v>
      </c>
    </row>
    <row r="310" spans="1:8" x14ac:dyDescent="0.25">
      <c r="A310" s="3">
        <v>305</v>
      </c>
      <c r="B310" s="4">
        <v>42032</v>
      </c>
      <c r="C310" s="3" t="s">
        <v>38</v>
      </c>
      <c r="D310" s="3" t="s">
        <v>2</v>
      </c>
      <c r="E310" s="3" t="s">
        <v>33</v>
      </c>
      <c r="F310" s="3">
        <v>5</v>
      </c>
      <c r="G310" s="5">
        <v>5</v>
      </c>
      <c r="H310" s="2" t="b">
        <f>MOD(ROWS($H$6:H310),10)=0</f>
        <v>0</v>
      </c>
    </row>
    <row r="311" spans="1:8" x14ac:dyDescent="0.25">
      <c r="A311" s="3">
        <v>306</v>
      </c>
      <c r="B311" s="4">
        <v>42096</v>
      </c>
      <c r="C311" s="3" t="s">
        <v>38</v>
      </c>
      <c r="D311" s="3" t="s">
        <v>5</v>
      </c>
      <c r="E311" s="3" t="s">
        <v>33</v>
      </c>
      <c r="F311" s="3">
        <v>10</v>
      </c>
      <c r="G311" s="5">
        <v>5</v>
      </c>
      <c r="H311" s="2" t="b">
        <f>MOD(ROWS($H$6:H311),10)=0</f>
        <v>0</v>
      </c>
    </row>
    <row r="312" spans="1:8" x14ac:dyDescent="0.25">
      <c r="A312" s="3">
        <v>307</v>
      </c>
      <c r="B312" s="4">
        <v>42005</v>
      </c>
      <c r="C312" s="3" t="s">
        <v>29</v>
      </c>
      <c r="D312" s="3" t="s">
        <v>10</v>
      </c>
      <c r="E312" s="3" t="s">
        <v>33</v>
      </c>
      <c r="F312" s="3">
        <v>12</v>
      </c>
      <c r="G312" s="5">
        <v>5</v>
      </c>
      <c r="H312" s="2" t="b">
        <f>MOD(ROWS($H$6:H312),10)=0</f>
        <v>0</v>
      </c>
    </row>
    <row r="313" spans="1:8" x14ac:dyDescent="0.25">
      <c r="A313" s="3">
        <v>308</v>
      </c>
      <c r="B313" s="4">
        <v>42071</v>
      </c>
      <c r="C313" s="3" t="s">
        <v>37</v>
      </c>
      <c r="D313" s="3" t="s">
        <v>6</v>
      </c>
      <c r="E313" s="3" t="s">
        <v>36</v>
      </c>
      <c r="F313" s="3">
        <v>10</v>
      </c>
      <c r="G313" s="5">
        <v>1.5</v>
      </c>
      <c r="H313" s="2" t="b">
        <f>MOD(ROWS($H$6:H313),10)=0</f>
        <v>0</v>
      </c>
    </row>
    <row r="314" spans="1:8" x14ac:dyDescent="0.25">
      <c r="A314" s="3">
        <v>309</v>
      </c>
      <c r="B314" s="4">
        <v>42086</v>
      </c>
      <c r="C314" s="3" t="s">
        <v>37</v>
      </c>
      <c r="D314" s="3" t="s">
        <v>5</v>
      </c>
      <c r="E314" s="3" t="s">
        <v>36</v>
      </c>
      <c r="F314" s="3">
        <v>34</v>
      </c>
      <c r="G314" s="5">
        <v>1.5</v>
      </c>
      <c r="H314" s="2" t="b">
        <f>MOD(ROWS($H$6:H314),10)=0</f>
        <v>0</v>
      </c>
    </row>
    <row r="315" spans="1:8" x14ac:dyDescent="0.25">
      <c r="A315" s="3">
        <v>310</v>
      </c>
      <c r="B315" s="4">
        <v>42175</v>
      </c>
      <c r="C315" s="3" t="s">
        <v>26</v>
      </c>
      <c r="D315" s="3" t="s">
        <v>6</v>
      </c>
      <c r="E315" s="3" t="s">
        <v>31</v>
      </c>
      <c r="F315" s="3">
        <v>1</v>
      </c>
      <c r="G315" s="5">
        <v>2.5</v>
      </c>
      <c r="H315" s="2" t="b">
        <f>MOD(ROWS($H$6:H315),10)=0</f>
        <v>1</v>
      </c>
    </row>
    <row r="316" spans="1:8" x14ac:dyDescent="0.25">
      <c r="A316" s="3">
        <v>311</v>
      </c>
      <c r="B316" s="4">
        <v>42080</v>
      </c>
      <c r="C316" s="3" t="s">
        <v>29</v>
      </c>
      <c r="D316" s="3" t="s">
        <v>6</v>
      </c>
      <c r="E316" s="3" t="s">
        <v>30</v>
      </c>
      <c r="F316" s="3">
        <v>48</v>
      </c>
      <c r="G316" s="5">
        <v>0.1</v>
      </c>
      <c r="H316" s="2" t="b">
        <f>MOD(ROWS($H$6:H316),10)=0</f>
        <v>0</v>
      </c>
    </row>
    <row r="317" spans="1:8" x14ac:dyDescent="0.25">
      <c r="A317" s="3">
        <v>312</v>
      </c>
      <c r="B317" s="4">
        <v>42166</v>
      </c>
      <c r="C317" s="3" t="s">
        <v>26</v>
      </c>
      <c r="D317" s="3" t="s">
        <v>19</v>
      </c>
      <c r="E317" s="3" t="s">
        <v>33</v>
      </c>
      <c r="F317" s="3">
        <v>26</v>
      </c>
      <c r="G317" s="5">
        <v>5</v>
      </c>
      <c r="H317" s="2" t="b">
        <f>MOD(ROWS($H$6:H317),10)=0</f>
        <v>0</v>
      </c>
    </row>
    <row r="318" spans="1:8" x14ac:dyDescent="0.25">
      <c r="A318" s="3">
        <v>313</v>
      </c>
      <c r="B318" s="4">
        <v>42151</v>
      </c>
      <c r="C318" s="3" t="s">
        <v>32</v>
      </c>
      <c r="D318" s="3" t="s">
        <v>10</v>
      </c>
      <c r="E318" s="3" t="s">
        <v>28</v>
      </c>
      <c r="F318" s="3">
        <v>48</v>
      </c>
      <c r="G318" s="5">
        <v>2</v>
      </c>
      <c r="H318" s="2" t="b">
        <f>MOD(ROWS($H$6:H318),10)=0</f>
        <v>0</v>
      </c>
    </row>
    <row r="319" spans="1:8" x14ac:dyDescent="0.25">
      <c r="A319" s="3">
        <v>314</v>
      </c>
      <c r="B319" s="4">
        <v>42157</v>
      </c>
      <c r="C319" s="3" t="s">
        <v>38</v>
      </c>
      <c r="D319" s="3" t="s">
        <v>19</v>
      </c>
      <c r="E319" s="3" t="s">
        <v>35</v>
      </c>
      <c r="F319" s="3">
        <v>6</v>
      </c>
      <c r="G319" s="5">
        <v>4</v>
      </c>
      <c r="H319" s="2" t="b">
        <f>MOD(ROWS($H$6:H319),10)=0</f>
        <v>0</v>
      </c>
    </row>
    <row r="320" spans="1:8" x14ac:dyDescent="0.25">
      <c r="A320" s="3">
        <v>315</v>
      </c>
      <c r="B320" s="4">
        <v>42107</v>
      </c>
      <c r="C320" s="3" t="s">
        <v>26</v>
      </c>
      <c r="D320" s="3" t="s">
        <v>19</v>
      </c>
      <c r="E320" s="3" t="s">
        <v>35</v>
      </c>
      <c r="F320" s="3">
        <v>50</v>
      </c>
      <c r="G320" s="5">
        <v>4</v>
      </c>
      <c r="H320" s="2" t="b">
        <f>MOD(ROWS($H$6:H320),10)=0</f>
        <v>0</v>
      </c>
    </row>
    <row r="321" spans="1:8" x14ac:dyDescent="0.25">
      <c r="A321" s="3">
        <v>316</v>
      </c>
      <c r="B321" s="4">
        <v>42149</v>
      </c>
      <c r="C321" s="3" t="s">
        <v>37</v>
      </c>
      <c r="D321" s="3" t="s">
        <v>19</v>
      </c>
      <c r="E321" s="3" t="s">
        <v>30</v>
      </c>
      <c r="F321" s="3">
        <v>14</v>
      </c>
      <c r="G321" s="5">
        <v>0.1</v>
      </c>
      <c r="H321" s="2" t="b">
        <f>MOD(ROWS($H$6:H321),10)=0</f>
        <v>0</v>
      </c>
    </row>
    <row r="322" spans="1:8" x14ac:dyDescent="0.25">
      <c r="A322" s="3">
        <v>317</v>
      </c>
      <c r="B322" s="4">
        <v>42060</v>
      </c>
      <c r="C322" s="3" t="s">
        <v>37</v>
      </c>
      <c r="D322" s="3" t="s">
        <v>10</v>
      </c>
      <c r="E322" s="3" t="s">
        <v>33</v>
      </c>
      <c r="F322" s="3">
        <v>39</v>
      </c>
      <c r="G322" s="5">
        <v>5</v>
      </c>
      <c r="H322" s="2" t="b">
        <f>MOD(ROWS($H$6:H322),10)=0</f>
        <v>0</v>
      </c>
    </row>
    <row r="323" spans="1:8" x14ac:dyDescent="0.25">
      <c r="A323" s="3">
        <v>318</v>
      </c>
      <c r="B323" s="4">
        <v>42136</v>
      </c>
      <c r="C323" s="3" t="s">
        <v>37</v>
      </c>
      <c r="D323" s="3" t="s">
        <v>5</v>
      </c>
      <c r="E323" s="3" t="s">
        <v>28</v>
      </c>
      <c r="F323" s="3">
        <v>5</v>
      </c>
      <c r="G323" s="5">
        <v>2</v>
      </c>
      <c r="H323" s="2" t="b">
        <f>MOD(ROWS($H$6:H323),10)=0</f>
        <v>0</v>
      </c>
    </row>
    <row r="324" spans="1:8" x14ac:dyDescent="0.25">
      <c r="A324" s="3">
        <v>319</v>
      </c>
      <c r="B324" s="4">
        <v>42171</v>
      </c>
      <c r="C324" s="3" t="s">
        <v>26</v>
      </c>
      <c r="D324" s="3" t="s">
        <v>2</v>
      </c>
      <c r="E324" s="3" t="s">
        <v>31</v>
      </c>
      <c r="F324" s="3">
        <v>15</v>
      </c>
      <c r="G324" s="5">
        <v>2.5</v>
      </c>
      <c r="H324" s="2" t="b">
        <f>MOD(ROWS($H$6:H324),10)=0</f>
        <v>0</v>
      </c>
    </row>
    <row r="325" spans="1:8" x14ac:dyDescent="0.25">
      <c r="A325" s="3">
        <v>320</v>
      </c>
      <c r="B325" s="4">
        <v>42101</v>
      </c>
      <c r="C325" s="3" t="s">
        <v>32</v>
      </c>
      <c r="D325" s="3" t="s">
        <v>2</v>
      </c>
      <c r="E325" s="3" t="s">
        <v>36</v>
      </c>
      <c r="F325" s="3">
        <v>26</v>
      </c>
      <c r="G325" s="5">
        <v>1.5</v>
      </c>
      <c r="H325" s="2" t="b">
        <f>MOD(ROWS($H$6:H325),10)=0</f>
        <v>1</v>
      </c>
    </row>
    <row r="326" spans="1:8" x14ac:dyDescent="0.25">
      <c r="A326" s="3">
        <v>321</v>
      </c>
      <c r="B326" s="4">
        <v>42150</v>
      </c>
      <c r="C326" s="3" t="s">
        <v>32</v>
      </c>
      <c r="D326" s="3" t="s">
        <v>5</v>
      </c>
      <c r="E326" s="3" t="s">
        <v>30</v>
      </c>
      <c r="F326" s="3">
        <v>43</v>
      </c>
      <c r="G326" s="5">
        <v>0.1</v>
      </c>
      <c r="H326" s="2" t="b">
        <f>MOD(ROWS($H$6:H326),10)=0</f>
        <v>0</v>
      </c>
    </row>
    <row r="327" spans="1:8" x14ac:dyDescent="0.25">
      <c r="A327" s="3">
        <v>322</v>
      </c>
      <c r="B327" s="4">
        <v>42046</v>
      </c>
      <c r="C327" s="3" t="s">
        <v>37</v>
      </c>
      <c r="D327" s="3" t="s">
        <v>19</v>
      </c>
      <c r="E327" s="3" t="s">
        <v>30</v>
      </c>
      <c r="F327" s="3">
        <v>29</v>
      </c>
      <c r="G327" s="5">
        <v>0.1</v>
      </c>
      <c r="H327" s="2" t="b">
        <f>MOD(ROWS($H$6:H327),10)=0</f>
        <v>0</v>
      </c>
    </row>
    <row r="328" spans="1:8" x14ac:dyDescent="0.25">
      <c r="A328" s="3">
        <v>323</v>
      </c>
      <c r="B328" s="4">
        <v>42067</v>
      </c>
      <c r="C328" s="3" t="s">
        <v>39</v>
      </c>
      <c r="D328" s="3" t="s">
        <v>6</v>
      </c>
      <c r="E328" s="3" t="s">
        <v>36</v>
      </c>
      <c r="F328" s="3">
        <v>9</v>
      </c>
      <c r="G328" s="5">
        <v>1.5</v>
      </c>
      <c r="H328" s="2" t="b">
        <f>MOD(ROWS($H$6:H328),10)=0</f>
        <v>0</v>
      </c>
    </row>
    <row r="329" spans="1:8" x14ac:dyDescent="0.25">
      <c r="A329" s="3">
        <v>324</v>
      </c>
      <c r="B329" s="4">
        <v>42166</v>
      </c>
      <c r="C329" s="3" t="s">
        <v>39</v>
      </c>
      <c r="D329" s="3" t="s">
        <v>6</v>
      </c>
      <c r="E329" s="3" t="s">
        <v>36</v>
      </c>
      <c r="F329" s="3">
        <v>13</v>
      </c>
      <c r="G329" s="5">
        <v>1.5</v>
      </c>
      <c r="H329" s="2" t="b">
        <f>MOD(ROWS($H$6:H329),10)=0</f>
        <v>0</v>
      </c>
    </row>
    <row r="330" spans="1:8" x14ac:dyDescent="0.25">
      <c r="A330" s="3">
        <v>325</v>
      </c>
      <c r="B330" s="4">
        <v>42039</v>
      </c>
      <c r="C330" s="3" t="s">
        <v>38</v>
      </c>
      <c r="D330" s="3" t="s">
        <v>19</v>
      </c>
      <c r="E330" s="3" t="s">
        <v>30</v>
      </c>
      <c r="F330" s="3">
        <v>48</v>
      </c>
      <c r="G330" s="5">
        <v>0.1</v>
      </c>
      <c r="H330" s="2" t="b">
        <f>MOD(ROWS($H$6:H330),10)=0</f>
        <v>0</v>
      </c>
    </row>
    <row r="331" spans="1:8" x14ac:dyDescent="0.25">
      <c r="A331" s="3">
        <v>326</v>
      </c>
      <c r="B331" s="4">
        <v>42174</v>
      </c>
      <c r="C331" s="3" t="s">
        <v>39</v>
      </c>
      <c r="D331" s="3" t="s">
        <v>5</v>
      </c>
      <c r="E331" s="3" t="s">
        <v>33</v>
      </c>
      <c r="F331" s="3">
        <v>5</v>
      </c>
      <c r="G331" s="5">
        <v>5</v>
      </c>
      <c r="H331" s="2" t="b">
        <f>MOD(ROWS($H$6:H331),10)=0</f>
        <v>0</v>
      </c>
    </row>
    <row r="332" spans="1:8" x14ac:dyDescent="0.25">
      <c r="A332" s="3">
        <v>327</v>
      </c>
      <c r="B332" s="4">
        <v>42146</v>
      </c>
      <c r="C332" s="3" t="s">
        <v>32</v>
      </c>
      <c r="D332" s="3" t="s">
        <v>2</v>
      </c>
      <c r="E332" s="3" t="s">
        <v>30</v>
      </c>
      <c r="F332" s="3">
        <v>18</v>
      </c>
      <c r="G332" s="5">
        <v>0.1</v>
      </c>
      <c r="H332" s="2" t="b">
        <f>MOD(ROWS($H$6:H332),10)=0</f>
        <v>0</v>
      </c>
    </row>
    <row r="333" spans="1:8" x14ac:dyDescent="0.25">
      <c r="A333" s="3">
        <v>328</v>
      </c>
      <c r="B333" s="4">
        <v>42182</v>
      </c>
      <c r="C333" s="3" t="s">
        <v>37</v>
      </c>
      <c r="D333" s="3" t="s">
        <v>19</v>
      </c>
      <c r="E333" s="3" t="s">
        <v>35</v>
      </c>
      <c r="F333" s="3">
        <v>9</v>
      </c>
      <c r="G333" s="5">
        <v>4</v>
      </c>
      <c r="H333" s="2" t="b">
        <f>MOD(ROWS($H$6:H333),10)=0</f>
        <v>0</v>
      </c>
    </row>
    <row r="334" spans="1:8" x14ac:dyDescent="0.25">
      <c r="A334" s="3">
        <v>329</v>
      </c>
      <c r="B334" s="4">
        <v>42025</v>
      </c>
      <c r="C334" s="3" t="s">
        <v>32</v>
      </c>
      <c r="D334" s="3" t="s">
        <v>6</v>
      </c>
      <c r="E334" s="3" t="s">
        <v>35</v>
      </c>
      <c r="F334" s="3">
        <v>22</v>
      </c>
      <c r="G334" s="5">
        <v>4</v>
      </c>
      <c r="H334" s="2" t="b">
        <f>MOD(ROWS($H$6:H334),10)=0</f>
        <v>0</v>
      </c>
    </row>
    <row r="335" spans="1:8" x14ac:dyDescent="0.25">
      <c r="A335" s="3">
        <v>330</v>
      </c>
      <c r="B335" s="4">
        <v>42019</v>
      </c>
      <c r="C335" s="3" t="s">
        <v>29</v>
      </c>
      <c r="D335" s="3" t="s">
        <v>5</v>
      </c>
      <c r="E335" s="3" t="s">
        <v>36</v>
      </c>
      <c r="F335" s="3">
        <v>23</v>
      </c>
      <c r="G335" s="5">
        <v>1.5</v>
      </c>
      <c r="H335" s="2" t="b">
        <f>MOD(ROWS($H$6:H335),10)=0</f>
        <v>1</v>
      </c>
    </row>
    <row r="336" spans="1:8" x14ac:dyDescent="0.25">
      <c r="A336" s="3">
        <v>331</v>
      </c>
      <c r="B336" s="4">
        <v>42110</v>
      </c>
      <c r="C336" s="3" t="s">
        <v>32</v>
      </c>
      <c r="D336" s="3" t="s">
        <v>6</v>
      </c>
      <c r="E336" s="3" t="s">
        <v>36</v>
      </c>
      <c r="F336" s="3">
        <v>20</v>
      </c>
      <c r="G336" s="5">
        <v>1.5</v>
      </c>
      <c r="H336" s="2" t="b">
        <f>MOD(ROWS($H$6:H336),10)=0</f>
        <v>0</v>
      </c>
    </row>
    <row r="337" spans="1:8" x14ac:dyDescent="0.25">
      <c r="A337" s="3">
        <v>332</v>
      </c>
      <c r="B337" s="4">
        <v>42081</v>
      </c>
      <c r="C337" s="3" t="s">
        <v>38</v>
      </c>
      <c r="D337" s="3" t="s">
        <v>19</v>
      </c>
      <c r="E337" s="3" t="s">
        <v>33</v>
      </c>
      <c r="F337" s="3">
        <v>45</v>
      </c>
      <c r="G337" s="5">
        <v>5</v>
      </c>
      <c r="H337" s="2" t="b">
        <f>MOD(ROWS($H$6:H337),10)=0</f>
        <v>0</v>
      </c>
    </row>
    <row r="338" spans="1:8" x14ac:dyDescent="0.25">
      <c r="A338" s="3">
        <v>333</v>
      </c>
      <c r="B338" s="4">
        <v>42027</v>
      </c>
      <c r="C338" s="3" t="s">
        <v>37</v>
      </c>
      <c r="D338" s="3" t="s">
        <v>10</v>
      </c>
      <c r="E338" s="3" t="s">
        <v>28</v>
      </c>
      <c r="F338" s="3">
        <v>45</v>
      </c>
      <c r="G338" s="5">
        <v>2</v>
      </c>
      <c r="H338" s="2" t="b">
        <f>MOD(ROWS($H$6:H338),10)=0</f>
        <v>0</v>
      </c>
    </row>
    <row r="339" spans="1:8" x14ac:dyDescent="0.25">
      <c r="A339" s="3">
        <v>334</v>
      </c>
      <c r="B339" s="4">
        <v>42115</v>
      </c>
      <c r="C339" s="3" t="s">
        <v>38</v>
      </c>
      <c r="D339" s="3" t="s">
        <v>10</v>
      </c>
      <c r="E339" s="3" t="s">
        <v>31</v>
      </c>
      <c r="F339" s="3">
        <v>36</v>
      </c>
      <c r="G339" s="5">
        <v>2.5</v>
      </c>
      <c r="H339" s="2" t="b">
        <f>MOD(ROWS($H$6:H339),10)=0</f>
        <v>0</v>
      </c>
    </row>
    <row r="340" spans="1:8" x14ac:dyDescent="0.25">
      <c r="A340" s="3">
        <v>335</v>
      </c>
      <c r="B340" s="4">
        <v>42088</v>
      </c>
      <c r="C340" s="3" t="s">
        <v>38</v>
      </c>
      <c r="D340" s="3" t="s">
        <v>19</v>
      </c>
      <c r="E340" s="3" t="s">
        <v>28</v>
      </c>
      <c r="F340" s="3">
        <v>38</v>
      </c>
      <c r="G340" s="5">
        <v>2</v>
      </c>
      <c r="H340" s="2" t="b">
        <f>MOD(ROWS($H$6:H340),10)=0</f>
        <v>0</v>
      </c>
    </row>
    <row r="341" spans="1:8" x14ac:dyDescent="0.25">
      <c r="A341" s="3">
        <v>336</v>
      </c>
      <c r="B341" s="4">
        <v>42105</v>
      </c>
      <c r="C341" s="3" t="s">
        <v>29</v>
      </c>
      <c r="D341" s="3" t="s">
        <v>6</v>
      </c>
      <c r="E341" s="3" t="s">
        <v>31</v>
      </c>
      <c r="F341" s="3">
        <v>50</v>
      </c>
      <c r="G341" s="5">
        <v>2.5</v>
      </c>
      <c r="H341" s="2" t="b">
        <f>MOD(ROWS($H$6:H341),10)=0</f>
        <v>0</v>
      </c>
    </row>
    <row r="342" spans="1:8" x14ac:dyDescent="0.25">
      <c r="A342" s="3">
        <v>337</v>
      </c>
      <c r="B342" s="4">
        <v>42097</v>
      </c>
      <c r="C342" s="3" t="s">
        <v>32</v>
      </c>
      <c r="D342" s="3" t="s">
        <v>2</v>
      </c>
      <c r="E342" s="3" t="s">
        <v>28</v>
      </c>
      <c r="F342" s="3">
        <v>17</v>
      </c>
      <c r="G342" s="5">
        <v>2</v>
      </c>
      <c r="H342" s="2" t="b">
        <f>MOD(ROWS($H$6:H342),10)=0</f>
        <v>0</v>
      </c>
    </row>
    <row r="343" spans="1:8" x14ac:dyDescent="0.25">
      <c r="A343" s="3">
        <v>338</v>
      </c>
      <c r="B343" s="4">
        <v>42100</v>
      </c>
      <c r="C343" s="3" t="s">
        <v>26</v>
      </c>
      <c r="D343" s="3" t="s">
        <v>19</v>
      </c>
      <c r="E343" s="3" t="s">
        <v>33</v>
      </c>
      <c r="F343" s="3">
        <v>13</v>
      </c>
      <c r="G343" s="5">
        <v>5</v>
      </c>
      <c r="H343" s="2" t="b">
        <f>MOD(ROWS($H$6:H343),10)=0</f>
        <v>0</v>
      </c>
    </row>
    <row r="344" spans="1:8" x14ac:dyDescent="0.25">
      <c r="A344" s="3">
        <v>339</v>
      </c>
      <c r="B344" s="4">
        <v>42130</v>
      </c>
      <c r="C344" s="3" t="s">
        <v>37</v>
      </c>
      <c r="D344" s="3" t="s">
        <v>19</v>
      </c>
      <c r="E344" s="3" t="s">
        <v>35</v>
      </c>
      <c r="F344" s="3">
        <v>31</v>
      </c>
      <c r="G344" s="5">
        <v>4</v>
      </c>
      <c r="H344" s="2" t="b">
        <f>MOD(ROWS($H$6:H344),10)=0</f>
        <v>0</v>
      </c>
    </row>
    <row r="345" spans="1:8" x14ac:dyDescent="0.25">
      <c r="A345" s="3">
        <v>340</v>
      </c>
      <c r="B345" s="4">
        <v>42095</v>
      </c>
      <c r="C345" s="3" t="s">
        <v>37</v>
      </c>
      <c r="D345" s="3" t="s">
        <v>19</v>
      </c>
      <c r="E345" s="3" t="s">
        <v>33</v>
      </c>
      <c r="F345" s="3">
        <v>14</v>
      </c>
      <c r="G345" s="5">
        <v>5</v>
      </c>
      <c r="H345" s="2" t="b">
        <f>MOD(ROWS($H$6:H345),10)=0</f>
        <v>1</v>
      </c>
    </row>
    <row r="346" spans="1:8" x14ac:dyDescent="0.25">
      <c r="A346" s="3">
        <v>341</v>
      </c>
      <c r="B346" s="4">
        <v>42117</v>
      </c>
      <c r="C346" s="3" t="s">
        <v>39</v>
      </c>
      <c r="D346" s="3" t="s">
        <v>19</v>
      </c>
      <c r="E346" s="3" t="s">
        <v>30</v>
      </c>
      <c r="F346" s="3">
        <v>16</v>
      </c>
      <c r="G346" s="5">
        <v>0.1</v>
      </c>
      <c r="H346" s="2" t="b">
        <f>MOD(ROWS($H$6:H346),10)=0</f>
        <v>0</v>
      </c>
    </row>
    <row r="347" spans="1:8" x14ac:dyDescent="0.25">
      <c r="A347" s="3">
        <v>342</v>
      </c>
      <c r="B347" s="4">
        <v>42019</v>
      </c>
      <c r="C347" s="3" t="s">
        <v>39</v>
      </c>
      <c r="D347" s="3" t="s">
        <v>19</v>
      </c>
      <c r="E347" s="3" t="s">
        <v>36</v>
      </c>
      <c r="F347" s="3">
        <v>42</v>
      </c>
      <c r="G347" s="5">
        <v>1.5</v>
      </c>
      <c r="H347" s="2" t="b">
        <f>MOD(ROWS($H$6:H347),10)=0</f>
        <v>0</v>
      </c>
    </row>
    <row r="348" spans="1:8" x14ac:dyDescent="0.25">
      <c r="A348" s="3">
        <v>343</v>
      </c>
      <c r="B348" s="4">
        <v>42093</v>
      </c>
      <c r="C348" s="3" t="s">
        <v>32</v>
      </c>
      <c r="D348" s="3" t="s">
        <v>6</v>
      </c>
      <c r="E348" s="3" t="s">
        <v>35</v>
      </c>
      <c r="F348" s="3">
        <v>11</v>
      </c>
      <c r="G348" s="5">
        <v>4</v>
      </c>
      <c r="H348" s="2" t="b">
        <f>MOD(ROWS($H$6:H348),10)=0</f>
        <v>0</v>
      </c>
    </row>
    <row r="349" spans="1:8" x14ac:dyDescent="0.25">
      <c r="A349" s="3">
        <v>344</v>
      </c>
      <c r="B349" s="4">
        <v>42110</v>
      </c>
      <c r="C349" s="3" t="s">
        <v>38</v>
      </c>
      <c r="D349" s="3" t="s">
        <v>2</v>
      </c>
      <c r="E349" s="3" t="s">
        <v>36</v>
      </c>
      <c r="F349" s="3">
        <v>36</v>
      </c>
      <c r="G349" s="5">
        <v>1.5</v>
      </c>
      <c r="H349" s="2" t="b">
        <f>MOD(ROWS($H$6:H349),10)=0</f>
        <v>0</v>
      </c>
    </row>
    <row r="350" spans="1:8" x14ac:dyDescent="0.25">
      <c r="A350" s="3">
        <v>345</v>
      </c>
      <c r="B350" s="4">
        <v>42087</v>
      </c>
      <c r="C350" s="3" t="s">
        <v>37</v>
      </c>
      <c r="D350" s="3" t="s">
        <v>2</v>
      </c>
      <c r="E350" s="3" t="s">
        <v>34</v>
      </c>
      <c r="F350" s="3">
        <v>14</v>
      </c>
      <c r="G350" s="5">
        <v>0.2</v>
      </c>
      <c r="H350" s="2" t="b">
        <f>MOD(ROWS($H$6:H350),10)=0</f>
        <v>0</v>
      </c>
    </row>
    <row r="351" spans="1:8" x14ac:dyDescent="0.25">
      <c r="A351" s="3">
        <v>346</v>
      </c>
      <c r="B351" s="4">
        <v>42138</v>
      </c>
      <c r="C351" s="3" t="s">
        <v>37</v>
      </c>
      <c r="D351" s="3" t="s">
        <v>19</v>
      </c>
      <c r="E351" s="3" t="s">
        <v>31</v>
      </c>
      <c r="F351" s="3">
        <v>4</v>
      </c>
      <c r="G351" s="5">
        <v>2.5</v>
      </c>
      <c r="H351" s="2" t="b">
        <f>MOD(ROWS($H$6:H351),10)=0</f>
        <v>0</v>
      </c>
    </row>
    <row r="352" spans="1:8" x14ac:dyDescent="0.25">
      <c r="A352" s="3">
        <v>347</v>
      </c>
      <c r="B352" s="4">
        <v>42036</v>
      </c>
      <c r="C352" s="3" t="s">
        <v>26</v>
      </c>
      <c r="D352" s="3" t="s">
        <v>19</v>
      </c>
      <c r="E352" s="3" t="s">
        <v>31</v>
      </c>
      <c r="F352" s="3">
        <v>14</v>
      </c>
      <c r="G352" s="5">
        <v>2.5</v>
      </c>
      <c r="H352" s="2" t="b">
        <f>MOD(ROWS($H$6:H352),10)=0</f>
        <v>0</v>
      </c>
    </row>
    <row r="353" spans="1:8" x14ac:dyDescent="0.25">
      <c r="A353" s="3">
        <v>348</v>
      </c>
      <c r="B353" s="4">
        <v>42084</v>
      </c>
      <c r="C353" s="3" t="s">
        <v>37</v>
      </c>
      <c r="D353" s="3" t="s">
        <v>19</v>
      </c>
      <c r="E353" s="3" t="s">
        <v>34</v>
      </c>
      <c r="F353" s="3">
        <v>20</v>
      </c>
      <c r="G353" s="5">
        <v>0.2</v>
      </c>
      <c r="H353" s="2" t="b">
        <f>MOD(ROWS($H$6:H353),10)=0</f>
        <v>0</v>
      </c>
    </row>
    <row r="354" spans="1:8" x14ac:dyDescent="0.25">
      <c r="A354" s="3">
        <v>349</v>
      </c>
      <c r="B354" s="4">
        <v>42018</v>
      </c>
      <c r="C354" s="3" t="s">
        <v>39</v>
      </c>
      <c r="D354" s="3" t="s">
        <v>19</v>
      </c>
      <c r="E354" s="3" t="s">
        <v>34</v>
      </c>
      <c r="F354" s="3">
        <v>44</v>
      </c>
      <c r="G354" s="5">
        <v>0.2</v>
      </c>
      <c r="H354" s="2" t="b">
        <f>MOD(ROWS($H$6:H354),10)=0</f>
        <v>0</v>
      </c>
    </row>
    <row r="355" spans="1:8" x14ac:dyDescent="0.25">
      <c r="A355" s="3">
        <v>350</v>
      </c>
      <c r="B355" s="4">
        <v>42117</v>
      </c>
      <c r="C355" s="3" t="s">
        <v>38</v>
      </c>
      <c r="D355" s="3" t="s">
        <v>5</v>
      </c>
      <c r="E355" s="3" t="s">
        <v>33</v>
      </c>
      <c r="F355" s="3">
        <v>50</v>
      </c>
      <c r="G355" s="5">
        <v>5</v>
      </c>
      <c r="H355" s="2" t="b">
        <f>MOD(ROWS($H$6:H355),10)=0</f>
        <v>1</v>
      </c>
    </row>
    <row r="356" spans="1:8" x14ac:dyDescent="0.25">
      <c r="A356" s="3">
        <v>351</v>
      </c>
      <c r="B356" s="4">
        <v>42125</v>
      </c>
      <c r="C356" s="3" t="s">
        <v>32</v>
      </c>
      <c r="D356" s="3" t="s">
        <v>2</v>
      </c>
      <c r="E356" s="3" t="s">
        <v>34</v>
      </c>
      <c r="F356" s="3">
        <v>26</v>
      </c>
      <c r="G356" s="5">
        <v>0.2</v>
      </c>
      <c r="H356" s="2" t="b">
        <f>MOD(ROWS($H$6:H356),10)=0</f>
        <v>0</v>
      </c>
    </row>
    <row r="357" spans="1:8" x14ac:dyDescent="0.25">
      <c r="A357" s="3">
        <v>352</v>
      </c>
      <c r="B357" s="4">
        <v>42155</v>
      </c>
      <c r="C357" s="3" t="s">
        <v>37</v>
      </c>
      <c r="D357" s="3" t="s">
        <v>19</v>
      </c>
      <c r="E357" s="3" t="s">
        <v>34</v>
      </c>
      <c r="F357" s="3">
        <v>49</v>
      </c>
      <c r="G357" s="5">
        <v>0.2</v>
      </c>
      <c r="H357" s="2" t="b">
        <f>MOD(ROWS($H$6:H357),10)=0</f>
        <v>0</v>
      </c>
    </row>
    <row r="358" spans="1:8" x14ac:dyDescent="0.25">
      <c r="A358" s="3">
        <v>353</v>
      </c>
      <c r="B358" s="4">
        <v>42083</v>
      </c>
      <c r="C358" s="3" t="s">
        <v>38</v>
      </c>
      <c r="D358" s="3" t="s">
        <v>6</v>
      </c>
      <c r="E358" s="3" t="s">
        <v>27</v>
      </c>
      <c r="F358" s="3">
        <v>28</v>
      </c>
      <c r="G358" s="5">
        <v>0.5</v>
      </c>
      <c r="H358" s="2" t="b">
        <f>MOD(ROWS($H$6:H358),10)=0</f>
        <v>0</v>
      </c>
    </row>
    <row r="359" spans="1:8" x14ac:dyDescent="0.25">
      <c r="A359" s="3">
        <v>354</v>
      </c>
      <c r="B359" s="4">
        <v>42185</v>
      </c>
      <c r="C359" s="3" t="s">
        <v>39</v>
      </c>
      <c r="D359" s="3" t="s">
        <v>2</v>
      </c>
      <c r="E359" s="3" t="s">
        <v>34</v>
      </c>
      <c r="F359" s="3">
        <v>28</v>
      </c>
      <c r="G359" s="5">
        <v>0.2</v>
      </c>
      <c r="H359" s="2" t="b">
        <f>MOD(ROWS($H$6:H359),10)=0</f>
        <v>0</v>
      </c>
    </row>
    <row r="360" spans="1:8" x14ac:dyDescent="0.25">
      <c r="A360" s="3">
        <v>355</v>
      </c>
      <c r="B360" s="4">
        <v>42098</v>
      </c>
      <c r="C360" s="3" t="s">
        <v>32</v>
      </c>
      <c r="D360" s="3" t="s">
        <v>19</v>
      </c>
      <c r="E360" s="3" t="s">
        <v>27</v>
      </c>
      <c r="F360" s="3">
        <v>18</v>
      </c>
      <c r="G360" s="5">
        <v>0.5</v>
      </c>
      <c r="H360" s="2" t="b">
        <f>MOD(ROWS($H$6:H360),10)=0</f>
        <v>0</v>
      </c>
    </row>
    <row r="361" spans="1:8" x14ac:dyDescent="0.25">
      <c r="A361" s="3">
        <v>356</v>
      </c>
      <c r="B361" s="4">
        <v>42056</v>
      </c>
      <c r="C361" s="3" t="s">
        <v>37</v>
      </c>
      <c r="D361" s="3" t="s">
        <v>19</v>
      </c>
      <c r="E361" s="3" t="s">
        <v>33</v>
      </c>
      <c r="F361" s="3">
        <v>8</v>
      </c>
      <c r="G361" s="5">
        <v>5</v>
      </c>
      <c r="H361" s="2" t="b">
        <f>MOD(ROWS($H$6:H361),10)=0</f>
        <v>0</v>
      </c>
    </row>
    <row r="362" spans="1:8" x14ac:dyDescent="0.25">
      <c r="A362" s="3">
        <v>357</v>
      </c>
      <c r="B362" s="4">
        <v>42082</v>
      </c>
      <c r="C362" s="3" t="s">
        <v>37</v>
      </c>
      <c r="D362" s="3" t="s">
        <v>10</v>
      </c>
      <c r="E362" s="3" t="s">
        <v>33</v>
      </c>
      <c r="F362" s="3">
        <v>32</v>
      </c>
      <c r="G362" s="5">
        <v>5</v>
      </c>
      <c r="H362" s="2" t="b">
        <f>MOD(ROWS($H$6:H362),10)=0</f>
        <v>0</v>
      </c>
    </row>
    <row r="363" spans="1:8" x14ac:dyDescent="0.25">
      <c r="A363" s="3">
        <v>358</v>
      </c>
      <c r="B363" s="4">
        <v>42144</v>
      </c>
      <c r="C363" s="3" t="s">
        <v>38</v>
      </c>
      <c r="D363" s="3" t="s">
        <v>19</v>
      </c>
      <c r="E363" s="3" t="s">
        <v>33</v>
      </c>
      <c r="F363" s="3">
        <v>37</v>
      </c>
      <c r="G363" s="5">
        <v>5</v>
      </c>
      <c r="H363" s="2" t="b">
        <f>MOD(ROWS($H$6:H363),10)=0</f>
        <v>0</v>
      </c>
    </row>
    <row r="364" spans="1:8" x14ac:dyDescent="0.25">
      <c r="A364" s="3">
        <v>359</v>
      </c>
      <c r="B364" s="4">
        <v>42040</v>
      </c>
      <c r="C364" s="3" t="s">
        <v>37</v>
      </c>
      <c r="D364" s="3" t="s">
        <v>10</v>
      </c>
      <c r="E364" s="3" t="s">
        <v>36</v>
      </c>
      <c r="F364" s="3">
        <v>46</v>
      </c>
      <c r="G364" s="5">
        <v>1.5</v>
      </c>
      <c r="H364" s="2" t="b">
        <f>MOD(ROWS($H$6:H364),10)=0</f>
        <v>0</v>
      </c>
    </row>
    <row r="365" spans="1:8" x14ac:dyDescent="0.25">
      <c r="A365" s="3">
        <v>360</v>
      </c>
      <c r="B365" s="4">
        <v>42173</v>
      </c>
      <c r="C365" s="3" t="s">
        <v>26</v>
      </c>
      <c r="D365" s="3" t="s">
        <v>19</v>
      </c>
      <c r="E365" s="3" t="s">
        <v>31</v>
      </c>
      <c r="F365" s="3">
        <v>40</v>
      </c>
      <c r="G365" s="5">
        <v>2.5</v>
      </c>
      <c r="H365" s="2" t="b">
        <f>MOD(ROWS($H$6:H365),10)=0</f>
        <v>1</v>
      </c>
    </row>
    <row r="366" spans="1:8" x14ac:dyDescent="0.25">
      <c r="A366" s="3">
        <v>361</v>
      </c>
      <c r="B366" s="4">
        <v>42183</v>
      </c>
      <c r="C366" s="3" t="s">
        <v>26</v>
      </c>
      <c r="D366" s="3" t="s">
        <v>2</v>
      </c>
      <c r="E366" s="3" t="s">
        <v>28</v>
      </c>
      <c r="F366" s="3">
        <v>12</v>
      </c>
      <c r="G366" s="5">
        <v>2</v>
      </c>
      <c r="H366" s="2" t="b">
        <f>MOD(ROWS($H$6:H366),10)=0</f>
        <v>0</v>
      </c>
    </row>
    <row r="367" spans="1:8" x14ac:dyDescent="0.25">
      <c r="A367" s="3">
        <v>362</v>
      </c>
      <c r="B367" s="4">
        <v>42089</v>
      </c>
      <c r="C367" s="3" t="s">
        <v>26</v>
      </c>
      <c r="D367" s="3" t="s">
        <v>5</v>
      </c>
      <c r="E367" s="3" t="s">
        <v>33</v>
      </c>
      <c r="F367" s="3">
        <v>37</v>
      </c>
      <c r="G367" s="5">
        <v>5</v>
      </c>
      <c r="H367" s="2" t="b">
        <f>MOD(ROWS($H$6:H367),10)=0</f>
        <v>0</v>
      </c>
    </row>
    <row r="368" spans="1:8" x14ac:dyDescent="0.25">
      <c r="A368" s="3">
        <v>363</v>
      </c>
      <c r="B368" s="4">
        <v>42061</v>
      </c>
      <c r="C368" s="3" t="s">
        <v>38</v>
      </c>
      <c r="D368" s="3" t="s">
        <v>6</v>
      </c>
      <c r="E368" s="3" t="s">
        <v>35</v>
      </c>
      <c r="F368" s="3">
        <v>11</v>
      </c>
      <c r="G368" s="5">
        <v>4</v>
      </c>
      <c r="H368" s="2" t="b">
        <f>MOD(ROWS($H$6:H368),10)=0</f>
        <v>0</v>
      </c>
    </row>
    <row r="369" spans="1:8" x14ac:dyDescent="0.25">
      <c r="A369" s="3">
        <v>364</v>
      </c>
      <c r="B369" s="4">
        <v>42157</v>
      </c>
      <c r="C369" s="3" t="s">
        <v>39</v>
      </c>
      <c r="D369" s="3" t="s">
        <v>10</v>
      </c>
      <c r="E369" s="3" t="s">
        <v>35</v>
      </c>
      <c r="F369" s="3">
        <v>31</v>
      </c>
      <c r="G369" s="5">
        <v>4</v>
      </c>
      <c r="H369" s="2" t="b">
        <f>MOD(ROWS($H$6:H369),10)=0</f>
        <v>0</v>
      </c>
    </row>
    <row r="370" spans="1:8" x14ac:dyDescent="0.25">
      <c r="A370" s="3">
        <v>365</v>
      </c>
      <c r="B370" s="4">
        <v>42070</v>
      </c>
      <c r="C370" s="3" t="s">
        <v>26</v>
      </c>
      <c r="D370" s="3" t="s">
        <v>5</v>
      </c>
      <c r="E370" s="3" t="s">
        <v>27</v>
      </c>
      <c r="F370" s="3">
        <v>12</v>
      </c>
      <c r="G370" s="5">
        <v>0.5</v>
      </c>
      <c r="H370" s="2" t="b">
        <f>MOD(ROWS($H$6:H370),10)=0</f>
        <v>0</v>
      </c>
    </row>
    <row r="371" spans="1:8" x14ac:dyDescent="0.25">
      <c r="A371" s="3">
        <v>366</v>
      </c>
      <c r="B371" s="4">
        <v>42104</v>
      </c>
      <c r="C371" s="3" t="s">
        <v>29</v>
      </c>
      <c r="D371" s="3" t="s">
        <v>19</v>
      </c>
      <c r="E371" s="3" t="s">
        <v>27</v>
      </c>
      <c r="F371" s="3">
        <v>24</v>
      </c>
      <c r="G371" s="5">
        <v>0.5</v>
      </c>
      <c r="H371" s="2" t="b">
        <f>MOD(ROWS($H$6:H371),10)=0</f>
        <v>0</v>
      </c>
    </row>
    <row r="372" spans="1:8" x14ac:dyDescent="0.25">
      <c r="A372" s="3">
        <v>367</v>
      </c>
      <c r="B372" s="4">
        <v>42135</v>
      </c>
      <c r="C372" s="3" t="s">
        <v>37</v>
      </c>
      <c r="D372" s="3" t="s">
        <v>10</v>
      </c>
      <c r="E372" s="3" t="s">
        <v>34</v>
      </c>
      <c r="F372" s="3">
        <v>36</v>
      </c>
      <c r="G372" s="5">
        <v>0.2</v>
      </c>
      <c r="H372" s="2" t="b">
        <f>MOD(ROWS($H$6:H372),10)=0</f>
        <v>0</v>
      </c>
    </row>
    <row r="373" spans="1:8" x14ac:dyDescent="0.25">
      <c r="A373" s="3">
        <v>368</v>
      </c>
      <c r="B373" s="4">
        <v>42174</v>
      </c>
      <c r="C373" s="3" t="s">
        <v>39</v>
      </c>
      <c r="D373" s="3" t="s">
        <v>6</v>
      </c>
      <c r="E373" s="3" t="s">
        <v>30</v>
      </c>
      <c r="F373" s="3">
        <v>40</v>
      </c>
      <c r="G373" s="5">
        <v>0.1</v>
      </c>
      <c r="H373" s="2" t="b">
        <f>MOD(ROWS($H$6:H373),10)=0</f>
        <v>0</v>
      </c>
    </row>
    <row r="374" spans="1:8" x14ac:dyDescent="0.25">
      <c r="A374" s="3">
        <v>369</v>
      </c>
      <c r="B374" s="4">
        <v>42013</v>
      </c>
      <c r="C374" s="3" t="s">
        <v>38</v>
      </c>
      <c r="D374" s="3" t="s">
        <v>10</v>
      </c>
      <c r="E374" s="3" t="s">
        <v>33</v>
      </c>
      <c r="F374" s="3">
        <v>12</v>
      </c>
      <c r="G374" s="5">
        <v>5</v>
      </c>
      <c r="H374" s="2" t="b">
        <f>MOD(ROWS($H$6:H374),10)=0</f>
        <v>0</v>
      </c>
    </row>
    <row r="375" spans="1:8" x14ac:dyDescent="0.25">
      <c r="A375" s="3">
        <v>370</v>
      </c>
      <c r="B375" s="4">
        <v>42079</v>
      </c>
      <c r="C375" s="3" t="s">
        <v>39</v>
      </c>
      <c r="D375" s="3" t="s">
        <v>2</v>
      </c>
      <c r="E375" s="3" t="s">
        <v>27</v>
      </c>
      <c r="F375" s="3">
        <v>16</v>
      </c>
      <c r="G375" s="5">
        <v>0.5</v>
      </c>
      <c r="H375" s="2" t="b">
        <f>MOD(ROWS($H$6:H375),10)=0</f>
        <v>1</v>
      </c>
    </row>
    <row r="376" spans="1:8" x14ac:dyDescent="0.25">
      <c r="A376" s="3">
        <v>371</v>
      </c>
      <c r="B376" s="4">
        <v>42092</v>
      </c>
      <c r="C376" s="3" t="s">
        <v>38</v>
      </c>
      <c r="D376" s="3" t="s">
        <v>10</v>
      </c>
      <c r="E376" s="3" t="s">
        <v>34</v>
      </c>
      <c r="F376" s="3">
        <v>27</v>
      </c>
      <c r="G376" s="5">
        <v>0.2</v>
      </c>
      <c r="H376" s="2" t="b">
        <f>MOD(ROWS($H$6:H376),10)=0</f>
        <v>0</v>
      </c>
    </row>
    <row r="377" spans="1:8" x14ac:dyDescent="0.25">
      <c r="A377" s="3">
        <v>372</v>
      </c>
      <c r="B377" s="4">
        <v>42110</v>
      </c>
      <c r="C377" s="3" t="s">
        <v>29</v>
      </c>
      <c r="D377" s="3" t="s">
        <v>5</v>
      </c>
      <c r="E377" s="3" t="s">
        <v>33</v>
      </c>
      <c r="F377" s="3">
        <v>31</v>
      </c>
      <c r="G377" s="5">
        <v>5</v>
      </c>
      <c r="H377" s="2" t="b">
        <f>MOD(ROWS($H$6:H377),10)=0</f>
        <v>0</v>
      </c>
    </row>
    <row r="378" spans="1:8" x14ac:dyDescent="0.25">
      <c r="A378" s="3">
        <v>373</v>
      </c>
      <c r="B378" s="4">
        <v>42046</v>
      </c>
      <c r="C378" s="3" t="s">
        <v>37</v>
      </c>
      <c r="D378" s="3" t="s">
        <v>2</v>
      </c>
      <c r="E378" s="3" t="s">
        <v>33</v>
      </c>
      <c r="F378" s="3">
        <v>11</v>
      </c>
      <c r="G378" s="5">
        <v>5</v>
      </c>
      <c r="H378" s="2" t="b">
        <f>MOD(ROWS($H$6:H378),10)=0</f>
        <v>0</v>
      </c>
    </row>
    <row r="379" spans="1:8" x14ac:dyDescent="0.25">
      <c r="A379" s="3">
        <v>374</v>
      </c>
      <c r="B379" s="4">
        <v>42031</v>
      </c>
      <c r="C379" s="3" t="s">
        <v>39</v>
      </c>
      <c r="D379" s="3" t="s">
        <v>19</v>
      </c>
      <c r="E379" s="3" t="s">
        <v>36</v>
      </c>
      <c r="F379" s="3">
        <v>4</v>
      </c>
      <c r="G379" s="5">
        <v>1.5</v>
      </c>
      <c r="H379" s="2" t="b">
        <f>MOD(ROWS($H$6:H379),10)=0</f>
        <v>0</v>
      </c>
    </row>
    <row r="380" spans="1:8" x14ac:dyDescent="0.25">
      <c r="A380" s="3">
        <v>375</v>
      </c>
      <c r="B380" s="4">
        <v>42070</v>
      </c>
      <c r="C380" s="3" t="s">
        <v>39</v>
      </c>
      <c r="D380" s="3" t="s">
        <v>2</v>
      </c>
      <c r="E380" s="3" t="s">
        <v>34</v>
      </c>
      <c r="F380" s="3">
        <v>6</v>
      </c>
      <c r="G380" s="5">
        <v>0.2</v>
      </c>
      <c r="H380" s="2" t="b">
        <f>MOD(ROWS($H$6:H380),10)=0</f>
        <v>0</v>
      </c>
    </row>
    <row r="381" spans="1:8" x14ac:dyDescent="0.25">
      <c r="A381" s="3">
        <v>376</v>
      </c>
      <c r="B381" s="4">
        <v>42111</v>
      </c>
      <c r="C381" s="3" t="s">
        <v>29</v>
      </c>
      <c r="D381" s="3" t="s">
        <v>2</v>
      </c>
      <c r="E381" s="3" t="s">
        <v>36</v>
      </c>
      <c r="F381" s="3">
        <v>28</v>
      </c>
      <c r="G381" s="5">
        <v>1.5</v>
      </c>
      <c r="H381" s="2" t="b">
        <f>MOD(ROWS($H$6:H381),10)=0</f>
        <v>0</v>
      </c>
    </row>
    <row r="382" spans="1:8" x14ac:dyDescent="0.25">
      <c r="A382" s="3">
        <v>377</v>
      </c>
      <c r="B382" s="4">
        <v>42107</v>
      </c>
      <c r="C382" s="3" t="s">
        <v>37</v>
      </c>
      <c r="D382" s="3" t="s">
        <v>5</v>
      </c>
      <c r="E382" s="3" t="s">
        <v>27</v>
      </c>
      <c r="F382" s="3">
        <v>22</v>
      </c>
      <c r="G382" s="5">
        <v>0.5</v>
      </c>
      <c r="H382" s="2" t="b">
        <f>MOD(ROWS($H$6:H382),10)=0</f>
        <v>0</v>
      </c>
    </row>
    <row r="383" spans="1:8" x14ac:dyDescent="0.25">
      <c r="A383" s="3">
        <v>378</v>
      </c>
      <c r="B383" s="4">
        <v>42053</v>
      </c>
      <c r="C383" s="3" t="s">
        <v>39</v>
      </c>
      <c r="D383" s="3" t="s">
        <v>2</v>
      </c>
      <c r="E383" s="3" t="s">
        <v>28</v>
      </c>
      <c r="F383" s="3">
        <v>46</v>
      </c>
      <c r="G383" s="5">
        <v>2</v>
      </c>
      <c r="H383" s="2" t="b">
        <f>MOD(ROWS($H$6:H383),10)=0</f>
        <v>0</v>
      </c>
    </row>
    <row r="384" spans="1:8" x14ac:dyDescent="0.25">
      <c r="A384" s="3">
        <v>379</v>
      </c>
      <c r="B384" s="4">
        <v>42047</v>
      </c>
      <c r="C384" s="3" t="s">
        <v>38</v>
      </c>
      <c r="D384" s="3" t="s">
        <v>2</v>
      </c>
      <c r="E384" s="3" t="s">
        <v>27</v>
      </c>
      <c r="F384" s="3">
        <v>48</v>
      </c>
      <c r="G384" s="5">
        <v>0.5</v>
      </c>
      <c r="H384" s="2" t="b">
        <f>MOD(ROWS($H$6:H384),10)=0</f>
        <v>0</v>
      </c>
    </row>
    <row r="385" spans="1:8" x14ac:dyDescent="0.25">
      <c r="A385" s="3">
        <v>380</v>
      </c>
      <c r="B385" s="4">
        <v>42132</v>
      </c>
      <c r="C385" s="3" t="s">
        <v>26</v>
      </c>
      <c r="D385" s="3" t="s">
        <v>6</v>
      </c>
      <c r="E385" s="3" t="s">
        <v>27</v>
      </c>
      <c r="F385" s="3">
        <v>28</v>
      </c>
      <c r="G385" s="5">
        <v>0.5</v>
      </c>
      <c r="H385" s="2" t="b">
        <f>MOD(ROWS($H$6:H385),10)=0</f>
        <v>1</v>
      </c>
    </row>
    <row r="386" spans="1:8" x14ac:dyDescent="0.25">
      <c r="A386" s="3">
        <v>381</v>
      </c>
      <c r="B386" s="4">
        <v>42011</v>
      </c>
      <c r="C386" s="3" t="s">
        <v>26</v>
      </c>
      <c r="D386" s="3" t="s">
        <v>10</v>
      </c>
      <c r="E386" s="3" t="s">
        <v>27</v>
      </c>
      <c r="F386" s="3">
        <v>3</v>
      </c>
      <c r="G386" s="5">
        <v>0.5</v>
      </c>
      <c r="H386" s="2" t="b">
        <f>MOD(ROWS($H$6:H386),10)=0</f>
        <v>0</v>
      </c>
    </row>
    <row r="387" spans="1:8" x14ac:dyDescent="0.25">
      <c r="A387" s="3">
        <v>382</v>
      </c>
      <c r="B387" s="4">
        <v>42132</v>
      </c>
      <c r="C387" s="3" t="s">
        <v>38</v>
      </c>
      <c r="D387" s="3" t="s">
        <v>19</v>
      </c>
      <c r="E387" s="3" t="s">
        <v>34</v>
      </c>
      <c r="F387" s="3">
        <v>42</v>
      </c>
      <c r="G387" s="5">
        <v>0.2</v>
      </c>
      <c r="H387" s="2" t="b">
        <f>MOD(ROWS($H$6:H387),10)=0</f>
        <v>0</v>
      </c>
    </row>
    <row r="388" spans="1:8" x14ac:dyDescent="0.25">
      <c r="A388" s="3">
        <v>383</v>
      </c>
      <c r="B388" s="4">
        <v>42155</v>
      </c>
      <c r="C388" s="3" t="s">
        <v>37</v>
      </c>
      <c r="D388" s="3" t="s">
        <v>5</v>
      </c>
      <c r="E388" s="3" t="s">
        <v>34</v>
      </c>
      <c r="F388" s="3">
        <v>40</v>
      </c>
      <c r="G388" s="5">
        <v>0.2</v>
      </c>
      <c r="H388" s="2" t="b">
        <f>MOD(ROWS($H$6:H388),10)=0</f>
        <v>0</v>
      </c>
    </row>
    <row r="389" spans="1:8" x14ac:dyDescent="0.25">
      <c r="A389" s="3">
        <v>384</v>
      </c>
      <c r="B389" s="4">
        <v>42043</v>
      </c>
      <c r="C389" s="3" t="s">
        <v>29</v>
      </c>
      <c r="D389" s="3" t="s">
        <v>2</v>
      </c>
      <c r="E389" s="3" t="s">
        <v>30</v>
      </c>
      <c r="F389" s="3">
        <v>39</v>
      </c>
      <c r="G389" s="5">
        <v>0.1</v>
      </c>
      <c r="H389" s="2" t="b">
        <f>MOD(ROWS($H$6:H389),10)=0</f>
        <v>0</v>
      </c>
    </row>
    <row r="390" spans="1:8" x14ac:dyDescent="0.25">
      <c r="A390" s="3">
        <v>385</v>
      </c>
      <c r="B390" s="4">
        <v>42184</v>
      </c>
      <c r="C390" s="3" t="s">
        <v>39</v>
      </c>
      <c r="D390" s="3" t="s">
        <v>6</v>
      </c>
      <c r="E390" s="3" t="s">
        <v>33</v>
      </c>
      <c r="F390" s="3">
        <v>41</v>
      </c>
      <c r="G390" s="5">
        <v>5</v>
      </c>
      <c r="H390" s="2" t="b">
        <f>MOD(ROWS($H$6:H390),10)=0</f>
        <v>0</v>
      </c>
    </row>
    <row r="391" spans="1:8" x14ac:dyDescent="0.25">
      <c r="A391" s="3">
        <v>386</v>
      </c>
      <c r="B391" s="4">
        <v>42163</v>
      </c>
      <c r="C391" s="3" t="s">
        <v>39</v>
      </c>
      <c r="D391" s="3" t="s">
        <v>10</v>
      </c>
      <c r="E391" s="3" t="s">
        <v>30</v>
      </c>
      <c r="F391" s="3">
        <v>18</v>
      </c>
      <c r="G391" s="5">
        <v>0.1</v>
      </c>
      <c r="H391" s="2" t="b">
        <f>MOD(ROWS($H$6:H391),10)=0</f>
        <v>0</v>
      </c>
    </row>
    <row r="392" spans="1:8" x14ac:dyDescent="0.25">
      <c r="A392" s="3">
        <v>387</v>
      </c>
      <c r="B392" s="4">
        <v>42023</v>
      </c>
      <c r="C392" s="3" t="s">
        <v>37</v>
      </c>
      <c r="D392" s="3" t="s">
        <v>19</v>
      </c>
      <c r="E392" s="3" t="s">
        <v>35</v>
      </c>
      <c r="F392" s="3">
        <v>45</v>
      </c>
      <c r="G392" s="5">
        <v>4</v>
      </c>
      <c r="H392" s="2" t="b">
        <f>MOD(ROWS($H$6:H392),10)=0</f>
        <v>0</v>
      </c>
    </row>
    <row r="393" spans="1:8" x14ac:dyDescent="0.25">
      <c r="A393" s="3">
        <v>388</v>
      </c>
      <c r="B393" s="4">
        <v>42157</v>
      </c>
      <c r="C393" s="3" t="s">
        <v>32</v>
      </c>
      <c r="D393" s="3" t="s">
        <v>5</v>
      </c>
      <c r="E393" s="3" t="s">
        <v>31</v>
      </c>
      <c r="F393" s="3">
        <v>10</v>
      </c>
      <c r="G393" s="5">
        <v>2.5</v>
      </c>
      <c r="H393" s="2" t="b">
        <f>MOD(ROWS($H$6:H393),10)=0</f>
        <v>0</v>
      </c>
    </row>
    <row r="394" spans="1:8" x14ac:dyDescent="0.25">
      <c r="A394" s="3">
        <v>389</v>
      </c>
      <c r="B394" s="4">
        <v>42013</v>
      </c>
      <c r="C394" s="3" t="s">
        <v>37</v>
      </c>
      <c r="D394" s="3" t="s">
        <v>5</v>
      </c>
      <c r="E394" s="3" t="s">
        <v>34</v>
      </c>
      <c r="F394" s="3">
        <v>23</v>
      </c>
      <c r="G394" s="5">
        <v>0.2</v>
      </c>
      <c r="H394" s="2" t="b">
        <f>MOD(ROWS($H$6:H394),10)=0</f>
        <v>0</v>
      </c>
    </row>
    <row r="395" spans="1:8" x14ac:dyDescent="0.25">
      <c r="A395" s="3">
        <v>390</v>
      </c>
      <c r="B395" s="4">
        <v>42153</v>
      </c>
      <c r="C395" s="3" t="s">
        <v>38</v>
      </c>
      <c r="D395" s="3" t="s">
        <v>6</v>
      </c>
      <c r="E395" s="3" t="s">
        <v>33</v>
      </c>
      <c r="F395" s="3">
        <v>49</v>
      </c>
      <c r="G395" s="5">
        <v>5</v>
      </c>
      <c r="H395" s="2" t="b">
        <f>MOD(ROWS($H$6:H395),10)=0</f>
        <v>1</v>
      </c>
    </row>
    <row r="396" spans="1:8" x14ac:dyDescent="0.25">
      <c r="A396" s="3">
        <v>391</v>
      </c>
      <c r="B396" s="4">
        <v>42098</v>
      </c>
      <c r="C396" s="3" t="s">
        <v>29</v>
      </c>
      <c r="D396" s="3" t="s">
        <v>6</v>
      </c>
      <c r="E396" s="3" t="s">
        <v>33</v>
      </c>
      <c r="F396" s="3">
        <v>14</v>
      </c>
      <c r="G396" s="5">
        <v>5</v>
      </c>
      <c r="H396" s="2" t="b">
        <f>MOD(ROWS($H$6:H396),10)=0</f>
        <v>0</v>
      </c>
    </row>
    <row r="397" spans="1:8" x14ac:dyDescent="0.25">
      <c r="A397" s="3">
        <v>392</v>
      </c>
      <c r="B397" s="4">
        <v>42006</v>
      </c>
      <c r="C397" s="3" t="s">
        <v>29</v>
      </c>
      <c r="D397" s="3" t="s">
        <v>19</v>
      </c>
      <c r="E397" s="3" t="s">
        <v>36</v>
      </c>
      <c r="F397" s="3">
        <v>37</v>
      </c>
      <c r="G397" s="5">
        <v>1.5</v>
      </c>
      <c r="H397" s="2" t="b">
        <f>MOD(ROWS($H$6:H397),10)=0</f>
        <v>0</v>
      </c>
    </row>
    <row r="398" spans="1:8" x14ac:dyDescent="0.25">
      <c r="A398" s="3">
        <v>393</v>
      </c>
      <c r="B398" s="4">
        <v>42181</v>
      </c>
      <c r="C398" s="3" t="s">
        <v>29</v>
      </c>
      <c r="D398" s="3" t="s">
        <v>5</v>
      </c>
      <c r="E398" s="3" t="s">
        <v>31</v>
      </c>
      <c r="F398" s="3">
        <v>50</v>
      </c>
      <c r="G398" s="5">
        <v>2.5</v>
      </c>
      <c r="H398" s="2" t="b">
        <f>MOD(ROWS($H$6:H398),10)=0</f>
        <v>0</v>
      </c>
    </row>
    <row r="399" spans="1:8" x14ac:dyDescent="0.25">
      <c r="A399" s="3">
        <v>394</v>
      </c>
      <c r="B399" s="4">
        <v>42006</v>
      </c>
      <c r="C399" s="3" t="s">
        <v>38</v>
      </c>
      <c r="D399" s="3" t="s">
        <v>5</v>
      </c>
      <c r="E399" s="3" t="s">
        <v>33</v>
      </c>
      <c r="F399" s="3">
        <v>27</v>
      </c>
      <c r="G399" s="5">
        <v>5</v>
      </c>
      <c r="H399" s="2" t="b">
        <f>MOD(ROWS($H$6:H399),10)=0</f>
        <v>0</v>
      </c>
    </row>
    <row r="400" spans="1:8" x14ac:dyDescent="0.25">
      <c r="A400" s="3">
        <v>395</v>
      </c>
      <c r="B400" s="4">
        <v>42036</v>
      </c>
      <c r="C400" s="3" t="s">
        <v>26</v>
      </c>
      <c r="D400" s="3" t="s">
        <v>2</v>
      </c>
      <c r="E400" s="3" t="s">
        <v>33</v>
      </c>
      <c r="F400" s="3">
        <v>41</v>
      </c>
      <c r="G400" s="5">
        <v>5</v>
      </c>
      <c r="H400" s="2" t="b">
        <f>MOD(ROWS($H$6:H400),10)=0</f>
        <v>0</v>
      </c>
    </row>
    <row r="401" spans="1:8" x14ac:dyDescent="0.25">
      <c r="A401" s="3">
        <v>396</v>
      </c>
      <c r="B401" s="4">
        <v>42161</v>
      </c>
      <c r="C401" s="3" t="s">
        <v>37</v>
      </c>
      <c r="D401" s="3" t="s">
        <v>5</v>
      </c>
      <c r="E401" s="3" t="s">
        <v>33</v>
      </c>
      <c r="F401" s="3">
        <v>27</v>
      </c>
      <c r="G401" s="5">
        <v>5</v>
      </c>
      <c r="H401" s="2" t="b">
        <f>MOD(ROWS($H$6:H401),10)=0</f>
        <v>0</v>
      </c>
    </row>
    <row r="402" spans="1:8" x14ac:dyDescent="0.25">
      <c r="A402" s="3">
        <v>397</v>
      </c>
      <c r="B402" s="4">
        <v>42059</v>
      </c>
      <c r="C402" s="3" t="s">
        <v>39</v>
      </c>
      <c r="D402" s="3" t="s">
        <v>10</v>
      </c>
      <c r="E402" s="3" t="s">
        <v>27</v>
      </c>
      <c r="F402" s="3">
        <v>4</v>
      </c>
      <c r="G402" s="5">
        <v>0.5</v>
      </c>
      <c r="H402" s="2" t="b">
        <f>MOD(ROWS($H$6:H402),10)=0</f>
        <v>0</v>
      </c>
    </row>
    <row r="403" spans="1:8" x14ac:dyDescent="0.25">
      <c r="A403" s="3">
        <v>398</v>
      </c>
      <c r="B403" s="4">
        <v>42132</v>
      </c>
      <c r="C403" s="3" t="s">
        <v>37</v>
      </c>
      <c r="D403" s="3" t="s">
        <v>5</v>
      </c>
      <c r="E403" s="3" t="s">
        <v>36</v>
      </c>
      <c r="F403" s="3">
        <v>31</v>
      </c>
      <c r="G403" s="5">
        <v>1.5</v>
      </c>
      <c r="H403" s="2" t="b">
        <f>MOD(ROWS($H$6:H403),10)=0</f>
        <v>0</v>
      </c>
    </row>
    <row r="404" spans="1:8" x14ac:dyDescent="0.25">
      <c r="A404" s="3">
        <v>399</v>
      </c>
      <c r="B404" s="4">
        <v>42005</v>
      </c>
      <c r="C404" s="3" t="s">
        <v>38</v>
      </c>
      <c r="D404" s="3" t="s">
        <v>2</v>
      </c>
      <c r="E404" s="3" t="s">
        <v>35</v>
      </c>
      <c r="F404" s="3">
        <v>30</v>
      </c>
      <c r="G404" s="5">
        <v>4</v>
      </c>
      <c r="H404" s="2" t="b">
        <f>MOD(ROWS($H$6:H404),10)=0</f>
        <v>0</v>
      </c>
    </row>
    <row r="405" spans="1:8" x14ac:dyDescent="0.25">
      <c r="A405" s="3">
        <v>400</v>
      </c>
      <c r="B405" s="4">
        <v>42066</v>
      </c>
      <c r="C405" s="3" t="s">
        <v>39</v>
      </c>
      <c r="D405" s="3" t="s">
        <v>5</v>
      </c>
      <c r="E405" s="3" t="s">
        <v>27</v>
      </c>
      <c r="F405" s="3">
        <v>23</v>
      </c>
      <c r="G405" s="5">
        <v>0.5</v>
      </c>
      <c r="H405" s="2" t="b">
        <f>MOD(ROWS($H$6:H405),10)=0</f>
        <v>1</v>
      </c>
    </row>
    <row r="406" spans="1:8" x14ac:dyDescent="0.25">
      <c r="A406" s="3">
        <v>401</v>
      </c>
      <c r="B406" s="4">
        <v>42080</v>
      </c>
      <c r="C406" s="3" t="s">
        <v>38</v>
      </c>
      <c r="D406" s="3" t="s">
        <v>5</v>
      </c>
      <c r="E406" s="3" t="s">
        <v>28</v>
      </c>
      <c r="F406" s="3">
        <v>22</v>
      </c>
      <c r="G406" s="5">
        <v>2</v>
      </c>
      <c r="H406" s="2" t="b">
        <f>MOD(ROWS($H$6:H406),10)=0</f>
        <v>0</v>
      </c>
    </row>
    <row r="407" spans="1:8" x14ac:dyDescent="0.25">
      <c r="A407" s="3">
        <v>402</v>
      </c>
      <c r="B407" s="4">
        <v>42118</v>
      </c>
      <c r="C407" s="3" t="s">
        <v>26</v>
      </c>
      <c r="D407" s="3" t="s">
        <v>2</v>
      </c>
      <c r="E407" s="3" t="s">
        <v>28</v>
      </c>
      <c r="F407" s="3">
        <v>34</v>
      </c>
      <c r="G407" s="5">
        <v>2</v>
      </c>
      <c r="H407" s="2" t="b">
        <f>MOD(ROWS($H$6:H407),10)=0</f>
        <v>0</v>
      </c>
    </row>
    <row r="408" spans="1:8" x14ac:dyDescent="0.25">
      <c r="A408" s="3">
        <v>403</v>
      </c>
      <c r="B408" s="4">
        <v>42040</v>
      </c>
      <c r="C408" s="3" t="s">
        <v>37</v>
      </c>
      <c r="D408" s="3" t="s">
        <v>2</v>
      </c>
      <c r="E408" s="3" t="s">
        <v>35</v>
      </c>
      <c r="F408" s="3">
        <v>33</v>
      </c>
      <c r="G408" s="5">
        <v>4</v>
      </c>
      <c r="H408" s="2" t="b">
        <f>MOD(ROWS($H$6:H408),10)=0</f>
        <v>0</v>
      </c>
    </row>
    <row r="409" spans="1:8" x14ac:dyDescent="0.25">
      <c r="A409" s="3">
        <v>404</v>
      </c>
      <c r="B409" s="4">
        <v>42036</v>
      </c>
      <c r="C409" s="3" t="s">
        <v>26</v>
      </c>
      <c r="D409" s="3" t="s">
        <v>10</v>
      </c>
      <c r="E409" s="3" t="s">
        <v>34</v>
      </c>
      <c r="F409" s="3">
        <v>23</v>
      </c>
      <c r="G409" s="5">
        <v>0.2</v>
      </c>
      <c r="H409" s="2" t="b">
        <f>MOD(ROWS($H$6:H409),10)=0</f>
        <v>0</v>
      </c>
    </row>
    <row r="410" spans="1:8" x14ac:dyDescent="0.25">
      <c r="A410" s="3">
        <v>405</v>
      </c>
      <c r="B410" s="4">
        <v>42023</v>
      </c>
      <c r="C410" s="3" t="s">
        <v>29</v>
      </c>
      <c r="D410" s="3" t="s">
        <v>6</v>
      </c>
      <c r="E410" s="3" t="s">
        <v>35</v>
      </c>
      <c r="F410" s="3">
        <v>46</v>
      </c>
      <c r="G410" s="5">
        <v>4</v>
      </c>
      <c r="H410" s="2" t="b">
        <f>MOD(ROWS($H$6:H410),10)=0</f>
        <v>0</v>
      </c>
    </row>
    <row r="411" spans="1:8" x14ac:dyDescent="0.25">
      <c r="A411" s="3">
        <v>406</v>
      </c>
      <c r="B411" s="4">
        <v>42180</v>
      </c>
      <c r="C411" s="3" t="s">
        <v>26</v>
      </c>
      <c r="D411" s="3" t="s">
        <v>6</v>
      </c>
      <c r="E411" s="3" t="s">
        <v>28</v>
      </c>
      <c r="F411" s="3">
        <v>4</v>
      </c>
      <c r="G411" s="5">
        <v>2</v>
      </c>
      <c r="H411" s="2" t="b">
        <f>MOD(ROWS($H$6:H411),10)=0</f>
        <v>0</v>
      </c>
    </row>
    <row r="412" spans="1:8" x14ac:dyDescent="0.25">
      <c r="A412" s="3">
        <v>407</v>
      </c>
      <c r="B412" s="4">
        <v>42044</v>
      </c>
      <c r="C412" s="3" t="s">
        <v>38</v>
      </c>
      <c r="D412" s="3" t="s">
        <v>5</v>
      </c>
      <c r="E412" s="3" t="s">
        <v>35</v>
      </c>
      <c r="F412" s="3">
        <v>23</v>
      </c>
      <c r="G412" s="5">
        <v>4</v>
      </c>
      <c r="H412" s="2" t="b">
        <f>MOD(ROWS($H$6:H412),10)=0</f>
        <v>0</v>
      </c>
    </row>
    <row r="413" spans="1:8" x14ac:dyDescent="0.25">
      <c r="A413" s="3">
        <v>408</v>
      </c>
      <c r="B413" s="4">
        <v>42029</v>
      </c>
      <c r="C413" s="3" t="s">
        <v>29</v>
      </c>
      <c r="D413" s="3" t="s">
        <v>10</v>
      </c>
      <c r="E413" s="3" t="s">
        <v>27</v>
      </c>
      <c r="F413" s="3">
        <v>10</v>
      </c>
      <c r="G413" s="5">
        <v>0.5</v>
      </c>
      <c r="H413" s="2" t="b">
        <f>MOD(ROWS($H$6:H413),10)=0</f>
        <v>0</v>
      </c>
    </row>
    <row r="414" spans="1:8" x14ac:dyDescent="0.25">
      <c r="A414" s="3">
        <v>409</v>
      </c>
      <c r="B414" s="4">
        <v>42126</v>
      </c>
      <c r="C414" s="3" t="s">
        <v>26</v>
      </c>
      <c r="D414" s="3" t="s">
        <v>2</v>
      </c>
      <c r="E414" s="3" t="s">
        <v>31</v>
      </c>
      <c r="F414" s="3">
        <v>4</v>
      </c>
      <c r="G414" s="5">
        <v>2.5</v>
      </c>
      <c r="H414" s="2" t="b">
        <f>MOD(ROWS($H$6:H414),10)=0</f>
        <v>0</v>
      </c>
    </row>
    <row r="415" spans="1:8" x14ac:dyDescent="0.25">
      <c r="A415" s="3">
        <v>410</v>
      </c>
      <c r="B415" s="4">
        <v>42013</v>
      </c>
      <c r="C415" s="3" t="s">
        <v>26</v>
      </c>
      <c r="D415" s="3" t="s">
        <v>5</v>
      </c>
      <c r="E415" s="3" t="s">
        <v>27</v>
      </c>
      <c r="F415" s="3">
        <v>10</v>
      </c>
      <c r="G415" s="5">
        <v>0.5</v>
      </c>
      <c r="H415" s="2" t="b">
        <f>MOD(ROWS($H$6:H415),10)=0</f>
        <v>1</v>
      </c>
    </row>
    <row r="416" spans="1:8" x14ac:dyDescent="0.25">
      <c r="A416" s="3">
        <v>411</v>
      </c>
      <c r="B416" s="4">
        <v>42092</v>
      </c>
      <c r="C416" s="3" t="s">
        <v>32</v>
      </c>
      <c r="D416" s="3" t="s">
        <v>10</v>
      </c>
      <c r="E416" s="3" t="s">
        <v>27</v>
      </c>
      <c r="F416" s="3">
        <v>38</v>
      </c>
      <c r="G416" s="5">
        <v>0.5</v>
      </c>
      <c r="H416" s="2" t="b">
        <f>MOD(ROWS($H$6:H416),10)=0</f>
        <v>0</v>
      </c>
    </row>
    <row r="417" spans="1:8" x14ac:dyDescent="0.25">
      <c r="A417" s="3">
        <v>412</v>
      </c>
      <c r="B417" s="4">
        <v>42109</v>
      </c>
      <c r="C417" s="3" t="s">
        <v>32</v>
      </c>
      <c r="D417" s="3" t="s">
        <v>19</v>
      </c>
      <c r="E417" s="3" t="s">
        <v>31</v>
      </c>
      <c r="F417" s="3">
        <v>47</v>
      </c>
      <c r="G417" s="5">
        <v>2.5</v>
      </c>
      <c r="H417" s="2" t="b">
        <f>MOD(ROWS($H$6:H417),10)=0</f>
        <v>0</v>
      </c>
    </row>
    <row r="418" spans="1:8" x14ac:dyDescent="0.25">
      <c r="A418" s="3">
        <v>413</v>
      </c>
      <c r="B418" s="4">
        <v>42138</v>
      </c>
      <c r="C418" s="3" t="s">
        <v>26</v>
      </c>
      <c r="D418" s="3" t="s">
        <v>5</v>
      </c>
      <c r="E418" s="3" t="s">
        <v>33</v>
      </c>
      <c r="F418" s="3">
        <v>29</v>
      </c>
      <c r="G418" s="5">
        <v>5</v>
      </c>
      <c r="H418" s="2" t="b">
        <f>MOD(ROWS($H$6:H418),10)=0</f>
        <v>0</v>
      </c>
    </row>
    <row r="419" spans="1:8" x14ac:dyDescent="0.25">
      <c r="A419" s="3">
        <v>414</v>
      </c>
      <c r="B419" s="4">
        <v>42044</v>
      </c>
      <c r="C419" s="3" t="s">
        <v>37</v>
      </c>
      <c r="D419" s="3" t="s">
        <v>10</v>
      </c>
      <c r="E419" s="3" t="s">
        <v>27</v>
      </c>
      <c r="F419" s="3">
        <v>46</v>
      </c>
      <c r="G419" s="5">
        <v>0.5</v>
      </c>
      <c r="H419" s="2" t="b">
        <f>MOD(ROWS($H$6:H419),10)=0</f>
        <v>0</v>
      </c>
    </row>
    <row r="420" spans="1:8" x14ac:dyDescent="0.25">
      <c r="A420" s="3">
        <v>415</v>
      </c>
      <c r="B420" s="4">
        <v>42010</v>
      </c>
      <c r="C420" s="3" t="s">
        <v>26</v>
      </c>
      <c r="D420" s="3" t="s">
        <v>19</v>
      </c>
      <c r="E420" s="3" t="s">
        <v>31</v>
      </c>
      <c r="F420" s="3">
        <v>37</v>
      </c>
      <c r="G420" s="5">
        <v>2.5</v>
      </c>
      <c r="H420" s="2" t="b">
        <f>MOD(ROWS($H$6:H420),10)=0</f>
        <v>0</v>
      </c>
    </row>
    <row r="421" spans="1:8" x14ac:dyDescent="0.25">
      <c r="A421" s="3">
        <v>416</v>
      </c>
      <c r="B421" s="4">
        <v>42032</v>
      </c>
      <c r="C421" s="3" t="s">
        <v>29</v>
      </c>
      <c r="D421" s="3" t="s">
        <v>10</v>
      </c>
      <c r="E421" s="3" t="s">
        <v>36</v>
      </c>
      <c r="F421" s="3">
        <v>10</v>
      </c>
      <c r="G421" s="5">
        <v>1.5</v>
      </c>
      <c r="H421" s="2" t="b">
        <f>MOD(ROWS($H$6:H421),10)=0</f>
        <v>0</v>
      </c>
    </row>
    <row r="422" spans="1:8" x14ac:dyDescent="0.25">
      <c r="A422" s="3">
        <v>417</v>
      </c>
      <c r="B422" s="4">
        <v>42067</v>
      </c>
      <c r="C422" s="3" t="s">
        <v>37</v>
      </c>
      <c r="D422" s="3" t="s">
        <v>2</v>
      </c>
      <c r="E422" s="3" t="s">
        <v>28</v>
      </c>
      <c r="F422" s="3">
        <v>41</v>
      </c>
      <c r="G422" s="5">
        <v>2</v>
      </c>
      <c r="H422" s="2" t="b">
        <f>MOD(ROWS($H$6:H422),10)=0</f>
        <v>0</v>
      </c>
    </row>
    <row r="423" spans="1:8" x14ac:dyDescent="0.25">
      <c r="A423" s="3">
        <v>418</v>
      </c>
      <c r="B423" s="4">
        <v>42165</v>
      </c>
      <c r="C423" s="3" t="s">
        <v>26</v>
      </c>
      <c r="D423" s="3" t="s">
        <v>6</v>
      </c>
      <c r="E423" s="3" t="s">
        <v>34</v>
      </c>
      <c r="F423" s="3">
        <v>46</v>
      </c>
      <c r="G423" s="5">
        <v>0.2</v>
      </c>
      <c r="H423" s="2" t="b">
        <f>MOD(ROWS($H$6:H423),10)=0</f>
        <v>0</v>
      </c>
    </row>
    <row r="424" spans="1:8" x14ac:dyDescent="0.25">
      <c r="A424" s="3">
        <v>419</v>
      </c>
      <c r="B424" s="4">
        <v>42128</v>
      </c>
      <c r="C424" s="3" t="s">
        <v>32</v>
      </c>
      <c r="D424" s="3" t="s">
        <v>19</v>
      </c>
      <c r="E424" s="3" t="s">
        <v>36</v>
      </c>
      <c r="F424" s="3">
        <v>41</v>
      </c>
      <c r="G424" s="5">
        <v>1.5</v>
      </c>
      <c r="H424" s="2" t="b">
        <f>MOD(ROWS($H$6:H424),10)=0</f>
        <v>0</v>
      </c>
    </row>
    <row r="425" spans="1:8" x14ac:dyDescent="0.25">
      <c r="A425" s="3">
        <v>420</v>
      </c>
      <c r="B425" s="4">
        <v>42139</v>
      </c>
      <c r="C425" s="3" t="s">
        <v>29</v>
      </c>
      <c r="D425" s="3" t="s">
        <v>5</v>
      </c>
      <c r="E425" s="3" t="s">
        <v>31</v>
      </c>
      <c r="F425" s="3">
        <v>37</v>
      </c>
      <c r="G425" s="5">
        <v>2.5</v>
      </c>
      <c r="H425" s="2" t="b">
        <f>MOD(ROWS($H$6:H425),10)=0</f>
        <v>1</v>
      </c>
    </row>
    <row r="426" spans="1:8" x14ac:dyDescent="0.25">
      <c r="A426" s="3">
        <v>421</v>
      </c>
      <c r="B426" s="4">
        <v>42047</v>
      </c>
      <c r="C426" s="3" t="s">
        <v>32</v>
      </c>
      <c r="D426" s="3" t="s">
        <v>19</v>
      </c>
      <c r="E426" s="3" t="s">
        <v>33</v>
      </c>
      <c r="F426" s="3">
        <v>34</v>
      </c>
      <c r="G426" s="5">
        <v>5</v>
      </c>
      <c r="H426" s="2" t="b">
        <f>MOD(ROWS($H$6:H426),10)=0</f>
        <v>0</v>
      </c>
    </row>
    <row r="427" spans="1:8" x14ac:dyDescent="0.25">
      <c r="A427" s="3">
        <v>422</v>
      </c>
      <c r="B427" s="4">
        <v>42087</v>
      </c>
      <c r="C427" s="3" t="s">
        <v>38</v>
      </c>
      <c r="D427" s="3" t="s">
        <v>2</v>
      </c>
      <c r="E427" s="3" t="s">
        <v>30</v>
      </c>
      <c r="F427" s="3">
        <v>39</v>
      </c>
      <c r="G427" s="5">
        <v>0.1</v>
      </c>
      <c r="H427" s="2" t="b">
        <f>MOD(ROWS($H$6:H427),10)=0</f>
        <v>0</v>
      </c>
    </row>
    <row r="428" spans="1:8" x14ac:dyDescent="0.25">
      <c r="A428" s="3">
        <v>423</v>
      </c>
      <c r="B428" s="4">
        <v>42162</v>
      </c>
      <c r="C428" s="3" t="s">
        <v>37</v>
      </c>
      <c r="D428" s="3" t="s">
        <v>5</v>
      </c>
      <c r="E428" s="3" t="s">
        <v>35</v>
      </c>
      <c r="F428" s="3">
        <v>3</v>
      </c>
      <c r="G428" s="5">
        <v>4</v>
      </c>
      <c r="H428" s="2" t="b">
        <f>MOD(ROWS($H$6:H428),10)=0</f>
        <v>0</v>
      </c>
    </row>
    <row r="429" spans="1:8" x14ac:dyDescent="0.25">
      <c r="A429" s="3">
        <v>424</v>
      </c>
      <c r="B429" s="4">
        <v>42057</v>
      </c>
      <c r="C429" s="3" t="s">
        <v>29</v>
      </c>
      <c r="D429" s="3" t="s">
        <v>2</v>
      </c>
      <c r="E429" s="3" t="s">
        <v>28</v>
      </c>
      <c r="F429" s="3">
        <v>28</v>
      </c>
      <c r="G429" s="5">
        <v>2</v>
      </c>
      <c r="H429" s="2" t="b">
        <f>MOD(ROWS($H$6:H429),10)=0</f>
        <v>0</v>
      </c>
    </row>
    <row r="430" spans="1:8" x14ac:dyDescent="0.25">
      <c r="A430" s="3">
        <v>425</v>
      </c>
      <c r="B430" s="4">
        <v>42130</v>
      </c>
      <c r="C430" s="3" t="s">
        <v>37</v>
      </c>
      <c r="D430" s="3" t="s">
        <v>10</v>
      </c>
      <c r="E430" s="3" t="s">
        <v>34</v>
      </c>
      <c r="F430" s="3">
        <v>6</v>
      </c>
      <c r="G430" s="5">
        <v>0.2</v>
      </c>
      <c r="H430" s="2" t="b">
        <f>MOD(ROWS($H$6:H430),10)=0</f>
        <v>0</v>
      </c>
    </row>
    <row r="431" spans="1:8" x14ac:dyDescent="0.25">
      <c r="A431" s="3">
        <v>426</v>
      </c>
      <c r="B431" s="4">
        <v>42152</v>
      </c>
      <c r="C431" s="3" t="s">
        <v>32</v>
      </c>
      <c r="D431" s="3" t="s">
        <v>2</v>
      </c>
      <c r="E431" s="3" t="s">
        <v>31</v>
      </c>
      <c r="F431" s="3">
        <v>11</v>
      </c>
      <c r="G431" s="5">
        <v>2.5</v>
      </c>
      <c r="H431" s="2" t="b">
        <f>MOD(ROWS($H$6:H431),10)=0</f>
        <v>0</v>
      </c>
    </row>
    <row r="432" spans="1:8" x14ac:dyDescent="0.25">
      <c r="A432" s="3">
        <v>427</v>
      </c>
      <c r="B432" s="4">
        <v>42014</v>
      </c>
      <c r="C432" s="3" t="s">
        <v>26</v>
      </c>
      <c r="D432" s="3" t="s">
        <v>2</v>
      </c>
      <c r="E432" s="3" t="s">
        <v>34</v>
      </c>
      <c r="F432" s="3">
        <v>14</v>
      </c>
      <c r="G432" s="5">
        <v>0.2</v>
      </c>
      <c r="H432" s="2" t="b">
        <f>MOD(ROWS($H$6:H432),10)=0</f>
        <v>0</v>
      </c>
    </row>
    <row r="433" spans="1:8" x14ac:dyDescent="0.25">
      <c r="A433" s="3">
        <v>428</v>
      </c>
      <c r="B433" s="4">
        <v>42140</v>
      </c>
      <c r="C433" s="3" t="s">
        <v>37</v>
      </c>
      <c r="D433" s="3" t="s">
        <v>19</v>
      </c>
      <c r="E433" s="3" t="s">
        <v>30</v>
      </c>
      <c r="F433" s="3">
        <v>9</v>
      </c>
      <c r="G433" s="5">
        <v>0.1</v>
      </c>
      <c r="H433" s="2" t="b">
        <f>MOD(ROWS($H$6:H433),10)=0</f>
        <v>0</v>
      </c>
    </row>
    <row r="434" spans="1:8" x14ac:dyDescent="0.25">
      <c r="A434" s="3">
        <v>429</v>
      </c>
      <c r="B434" s="4">
        <v>42021</v>
      </c>
      <c r="C434" s="3" t="s">
        <v>38</v>
      </c>
      <c r="D434" s="3" t="s">
        <v>6</v>
      </c>
      <c r="E434" s="3" t="s">
        <v>27</v>
      </c>
      <c r="F434" s="3">
        <v>2</v>
      </c>
      <c r="G434" s="5">
        <v>0.5</v>
      </c>
      <c r="H434" s="2" t="b">
        <f>MOD(ROWS($H$6:H434),10)=0</f>
        <v>0</v>
      </c>
    </row>
    <row r="435" spans="1:8" x14ac:dyDescent="0.25">
      <c r="A435" s="3">
        <v>430</v>
      </c>
      <c r="B435" s="4">
        <v>42149</v>
      </c>
      <c r="C435" s="3" t="s">
        <v>39</v>
      </c>
      <c r="D435" s="3" t="s">
        <v>10</v>
      </c>
      <c r="E435" s="3" t="s">
        <v>36</v>
      </c>
      <c r="F435" s="3">
        <v>19</v>
      </c>
      <c r="G435" s="5">
        <v>1.5</v>
      </c>
      <c r="H435" s="2" t="b">
        <f>MOD(ROWS($H$6:H435),10)=0</f>
        <v>1</v>
      </c>
    </row>
    <row r="436" spans="1:8" x14ac:dyDescent="0.25">
      <c r="A436" s="3">
        <v>431</v>
      </c>
      <c r="B436" s="4">
        <v>42015</v>
      </c>
      <c r="C436" s="3" t="s">
        <v>32</v>
      </c>
      <c r="D436" s="3" t="s">
        <v>10</v>
      </c>
      <c r="E436" s="3" t="s">
        <v>36</v>
      </c>
      <c r="F436" s="3">
        <v>15</v>
      </c>
      <c r="G436" s="5">
        <v>1.5</v>
      </c>
      <c r="H436" s="2" t="b">
        <f>MOD(ROWS($H$6:H436),10)=0</f>
        <v>0</v>
      </c>
    </row>
    <row r="437" spans="1:8" x14ac:dyDescent="0.25">
      <c r="A437" s="3">
        <v>432</v>
      </c>
      <c r="B437" s="4">
        <v>42087</v>
      </c>
      <c r="C437" s="3" t="s">
        <v>32</v>
      </c>
      <c r="D437" s="3" t="s">
        <v>6</v>
      </c>
      <c r="E437" s="3" t="s">
        <v>33</v>
      </c>
      <c r="F437" s="3">
        <v>44</v>
      </c>
      <c r="G437" s="5">
        <v>5</v>
      </c>
      <c r="H437" s="2" t="b">
        <f>MOD(ROWS($H$6:H437),10)=0</f>
        <v>0</v>
      </c>
    </row>
    <row r="438" spans="1:8" x14ac:dyDescent="0.25">
      <c r="A438" s="3">
        <v>433</v>
      </c>
      <c r="B438" s="4">
        <v>42034</v>
      </c>
      <c r="C438" s="3" t="s">
        <v>39</v>
      </c>
      <c r="D438" s="3" t="s">
        <v>10</v>
      </c>
      <c r="E438" s="3" t="s">
        <v>27</v>
      </c>
      <c r="F438" s="3">
        <v>24</v>
      </c>
      <c r="G438" s="5">
        <v>0.5</v>
      </c>
      <c r="H438" s="2" t="b">
        <f>MOD(ROWS($H$6:H438),10)=0</f>
        <v>0</v>
      </c>
    </row>
    <row r="439" spans="1:8" x14ac:dyDescent="0.25">
      <c r="A439" s="3">
        <v>434</v>
      </c>
      <c r="B439" s="4">
        <v>42110</v>
      </c>
      <c r="C439" s="3" t="s">
        <v>39</v>
      </c>
      <c r="D439" s="3" t="s">
        <v>10</v>
      </c>
      <c r="E439" s="3" t="s">
        <v>28</v>
      </c>
      <c r="F439" s="3">
        <v>46</v>
      </c>
      <c r="G439" s="5">
        <v>2</v>
      </c>
      <c r="H439" s="2" t="b">
        <f>MOD(ROWS($H$6:H439),10)=0</f>
        <v>0</v>
      </c>
    </row>
    <row r="440" spans="1:8" x14ac:dyDescent="0.25">
      <c r="A440" s="3">
        <v>435</v>
      </c>
      <c r="B440" s="4">
        <v>42107</v>
      </c>
      <c r="C440" s="3" t="s">
        <v>39</v>
      </c>
      <c r="D440" s="3" t="s">
        <v>19</v>
      </c>
      <c r="E440" s="3" t="s">
        <v>34</v>
      </c>
      <c r="F440" s="3">
        <v>11</v>
      </c>
      <c r="G440" s="5">
        <v>0.2</v>
      </c>
      <c r="H440" s="2" t="b">
        <f>MOD(ROWS($H$6:H440),10)=0</f>
        <v>0</v>
      </c>
    </row>
    <row r="441" spans="1:8" x14ac:dyDescent="0.25">
      <c r="A441" s="3">
        <v>436</v>
      </c>
      <c r="B441" s="4">
        <v>42130</v>
      </c>
      <c r="C441" s="3" t="s">
        <v>32</v>
      </c>
      <c r="D441" s="3" t="s">
        <v>6</v>
      </c>
      <c r="E441" s="3" t="s">
        <v>33</v>
      </c>
      <c r="F441" s="3">
        <v>20</v>
      </c>
      <c r="G441" s="5">
        <v>5</v>
      </c>
      <c r="H441" s="2" t="b">
        <f>MOD(ROWS($H$6:H441),10)=0</f>
        <v>0</v>
      </c>
    </row>
    <row r="442" spans="1:8" x14ac:dyDescent="0.25">
      <c r="A442" s="3">
        <v>437</v>
      </c>
      <c r="B442" s="4">
        <v>42076</v>
      </c>
      <c r="C442" s="3" t="s">
        <v>38</v>
      </c>
      <c r="D442" s="3" t="s">
        <v>5</v>
      </c>
      <c r="E442" s="3" t="s">
        <v>30</v>
      </c>
      <c r="F442" s="3">
        <v>10</v>
      </c>
      <c r="G442" s="5">
        <v>0.1</v>
      </c>
      <c r="H442" s="2" t="b">
        <f>MOD(ROWS($H$6:H442),10)=0</f>
        <v>0</v>
      </c>
    </row>
    <row r="443" spans="1:8" x14ac:dyDescent="0.25">
      <c r="A443" s="3">
        <v>438</v>
      </c>
      <c r="B443" s="4">
        <v>42023</v>
      </c>
      <c r="C443" s="3" t="s">
        <v>32</v>
      </c>
      <c r="D443" s="3" t="s">
        <v>10</v>
      </c>
      <c r="E443" s="3" t="s">
        <v>27</v>
      </c>
      <c r="F443" s="3">
        <v>25</v>
      </c>
      <c r="G443" s="5">
        <v>0.5</v>
      </c>
      <c r="H443" s="2" t="b">
        <f>MOD(ROWS($H$6:H443),10)=0</f>
        <v>0</v>
      </c>
    </row>
    <row r="444" spans="1:8" x14ac:dyDescent="0.25">
      <c r="A444" s="3">
        <v>439</v>
      </c>
      <c r="B444" s="4">
        <v>42093</v>
      </c>
      <c r="C444" s="3" t="s">
        <v>29</v>
      </c>
      <c r="D444" s="3" t="s">
        <v>2</v>
      </c>
      <c r="E444" s="3" t="s">
        <v>34</v>
      </c>
      <c r="F444" s="3">
        <v>47</v>
      </c>
      <c r="G444" s="5">
        <v>0.2</v>
      </c>
      <c r="H444" s="2" t="b">
        <f>MOD(ROWS($H$6:H444),10)=0</f>
        <v>0</v>
      </c>
    </row>
    <row r="445" spans="1:8" x14ac:dyDescent="0.25">
      <c r="A445" s="3">
        <v>440</v>
      </c>
      <c r="B445" s="4">
        <v>42035</v>
      </c>
      <c r="C445" s="3" t="s">
        <v>29</v>
      </c>
      <c r="D445" s="3" t="s">
        <v>6</v>
      </c>
      <c r="E445" s="3" t="s">
        <v>33</v>
      </c>
      <c r="F445" s="3">
        <v>17</v>
      </c>
      <c r="G445" s="5">
        <v>5</v>
      </c>
      <c r="H445" s="2" t="b">
        <f>MOD(ROWS($H$6:H445),10)=0</f>
        <v>1</v>
      </c>
    </row>
    <row r="446" spans="1:8" x14ac:dyDescent="0.25">
      <c r="A446" s="3">
        <v>441</v>
      </c>
      <c r="B446" s="4">
        <v>42099</v>
      </c>
      <c r="C446" s="3" t="s">
        <v>38</v>
      </c>
      <c r="D446" s="3" t="s">
        <v>5</v>
      </c>
      <c r="E446" s="3" t="s">
        <v>30</v>
      </c>
      <c r="F446" s="3">
        <v>10</v>
      </c>
      <c r="G446" s="5">
        <v>0.1</v>
      </c>
      <c r="H446" s="2" t="b">
        <f>MOD(ROWS($H$6:H446),10)=0</f>
        <v>0</v>
      </c>
    </row>
    <row r="447" spans="1:8" x14ac:dyDescent="0.25">
      <c r="A447" s="3">
        <v>442</v>
      </c>
      <c r="B447" s="4">
        <v>42080</v>
      </c>
      <c r="C447" s="3" t="s">
        <v>32</v>
      </c>
      <c r="D447" s="3" t="s">
        <v>6</v>
      </c>
      <c r="E447" s="3" t="s">
        <v>30</v>
      </c>
      <c r="F447" s="3">
        <v>30</v>
      </c>
      <c r="G447" s="5">
        <v>0.1</v>
      </c>
      <c r="H447" s="2" t="b">
        <f>MOD(ROWS($H$6:H447),10)=0</f>
        <v>0</v>
      </c>
    </row>
    <row r="448" spans="1:8" x14ac:dyDescent="0.25">
      <c r="A448" s="3">
        <v>443</v>
      </c>
      <c r="B448" s="4">
        <v>42006</v>
      </c>
      <c r="C448" s="3" t="s">
        <v>29</v>
      </c>
      <c r="D448" s="3" t="s">
        <v>19</v>
      </c>
      <c r="E448" s="3" t="s">
        <v>27</v>
      </c>
      <c r="F448" s="3">
        <v>13</v>
      </c>
      <c r="G448" s="5">
        <v>0.5</v>
      </c>
      <c r="H448" s="2" t="b">
        <f>MOD(ROWS($H$6:H448),10)=0</f>
        <v>0</v>
      </c>
    </row>
    <row r="449" spans="1:8" x14ac:dyDescent="0.25">
      <c r="A449" s="3">
        <v>444</v>
      </c>
      <c r="B449" s="4">
        <v>42179</v>
      </c>
      <c r="C449" s="3" t="s">
        <v>38</v>
      </c>
      <c r="D449" s="3" t="s">
        <v>2</v>
      </c>
      <c r="E449" s="3" t="s">
        <v>28</v>
      </c>
      <c r="F449" s="3">
        <v>17</v>
      </c>
      <c r="G449" s="5">
        <v>2</v>
      </c>
      <c r="H449" s="2" t="b">
        <f>MOD(ROWS($H$6:H449),10)=0</f>
        <v>0</v>
      </c>
    </row>
    <row r="450" spans="1:8" x14ac:dyDescent="0.25">
      <c r="A450" s="3">
        <v>445</v>
      </c>
      <c r="B450" s="4">
        <v>42170</v>
      </c>
      <c r="C450" s="3" t="s">
        <v>39</v>
      </c>
      <c r="D450" s="3" t="s">
        <v>5</v>
      </c>
      <c r="E450" s="3" t="s">
        <v>27</v>
      </c>
      <c r="F450" s="3">
        <v>32</v>
      </c>
      <c r="G450" s="5">
        <v>0.5</v>
      </c>
      <c r="H450" s="2" t="b">
        <f>MOD(ROWS($H$6:H450),10)=0</f>
        <v>0</v>
      </c>
    </row>
    <row r="451" spans="1:8" x14ac:dyDescent="0.25">
      <c r="A451" s="3">
        <v>446</v>
      </c>
      <c r="B451" s="4">
        <v>42068</v>
      </c>
      <c r="C451" s="3" t="s">
        <v>26</v>
      </c>
      <c r="D451" s="3" t="s">
        <v>10</v>
      </c>
      <c r="E451" s="3" t="s">
        <v>36</v>
      </c>
      <c r="F451" s="3">
        <v>34</v>
      </c>
      <c r="G451" s="5">
        <v>1.5</v>
      </c>
      <c r="H451" s="2" t="b">
        <f>MOD(ROWS($H$6:H451),10)=0</f>
        <v>0</v>
      </c>
    </row>
    <row r="452" spans="1:8" x14ac:dyDescent="0.25">
      <c r="A452" s="3">
        <v>447</v>
      </c>
      <c r="B452" s="4">
        <v>42118</v>
      </c>
      <c r="C452" s="3" t="s">
        <v>29</v>
      </c>
      <c r="D452" s="3" t="s">
        <v>19</v>
      </c>
      <c r="E452" s="3" t="s">
        <v>31</v>
      </c>
      <c r="F452" s="3">
        <v>14</v>
      </c>
      <c r="G452" s="5">
        <v>2.5</v>
      </c>
      <c r="H452" s="2" t="b">
        <f>MOD(ROWS($H$6:H452),10)=0</f>
        <v>0</v>
      </c>
    </row>
    <row r="453" spans="1:8" x14ac:dyDescent="0.25">
      <c r="A453" s="3">
        <v>448</v>
      </c>
      <c r="B453" s="4">
        <v>42042</v>
      </c>
      <c r="C453" s="3" t="s">
        <v>39</v>
      </c>
      <c r="D453" s="3" t="s">
        <v>10</v>
      </c>
      <c r="E453" s="3" t="s">
        <v>28</v>
      </c>
      <c r="F453" s="3">
        <v>37</v>
      </c>
      <c r="G453" s="5">
        <v>2</v>
      </c>
      <c r="H453" s="2" t="b">
        <f>MOD(ROWS($H$6:H453),10)=0</f>
        <v>0</v>
      </c>
    </row>
    <row r="454" spans="1:8" x14ac:dyDescent="0.25">
      <c r="A454" s="3">
        <v>449</v>
      </c>
      <c r="B454" s="4">
        <v>42016</v>
      </c>
      <c r="C454" s="3" t="s">
        <v>32</v>
      </c>
      <c r="D454" s="3" t="s">
        <v>10</v>
      </c>
      <c r="E454" s="3" t="s">
        <v>36</v>
      </c>
      <c r="F454" s="3">
        <v>31</v>
      </c>
      <c r="G454" s="5">
        <v>1.5</v>
      </c>
      <c r="H454" s="2" t="b">
        <f>MOD(ROWS($H$6:H454),10)=0</f>
        <v>0</v>
      </c>
    </row>
    <row r="455" spans="1:8" x14ac:dyDescent="0.25">
      <c r="A455" s="3">
        <v>450</v>
      </c>
      <c r="B455" s="4">
        <v>42126</v>
      </c>
      <c r="C455" s="3" t="s">
        <v>26</v>
      </c>
      <c r="D455" s="3" t="s">
        <v>10</v>
      </c>
      <c r="E455" s="3" t="s">
        <v>36</v>
      </c>
      <c r="F455" s="3">
        <v>32</v>
      </c>
      <c r="G455" s="5">
        <v>1.5</v>
      </c>
      <c r="H455" s="2" t="b">
        <f>MOD(ROWS($H$6:H455),10)=0</f>
        <v>1</v>
      </c>
    </row>
    <row r="456" spans="1:8" x14ac:dyDescent="0.25">
      <c r="A456" s="3">
        <v>451</v>
      </c>
      <c r="B456" s="4">
        <v>42162</v>
      </c>
      <c r="C456" s="3" t="s">
        <v>37</v>
      </c>
      <c r="D456" s="3" t="s">
        <v>5</v>
      </c>
      <c r="E456" s="3" t="s">
        <v>30</v>
      </c>
      <c r="F456" s="3">
        <v>27</v>
      </c>
      <c r="G456" s="5">
        <v>0.1</v>
      </c>
      <c r="H456" s="2" t="b">
        <f>MOD(ROWS($H$6:H456),10)=0</f>
        <v>0</v>
      </c>
    </row>
    <row r="457" spans="1:8" x14ac:dyDescent="0.25">
      <c r="A457" s="3">
        <v>452</v>
      </c>
      <c r="B457" s="4">
        <v>42157</v>
      </c>
      <c r="C457" s="3" t="s">
        <v>32</v>
      </c>
      <c r="D457" s="3" t="s">
        <v>5</v>
      </c>
      <c r="E457" s="3" t="s">
        <v>33</v>
      </c>
      <c r="F457" s="3">
        <v>27</v>
      </c>
      <c r="G457" s="5">
        <v>5</v>
      </c>
      <c r="H457" s="2" t="b">
        <f>MOD(ROWS($H$6:H457),10)=0</f>
        <v>0</v>
      </c>
    </row>
    <row r="458" spans="1:8" x14ac:dyDescent="0.25">
      <c r="A458" s="3">
        <v>453</v>
      </c>
      <c r="B458" s="4">
        <v>42070</v>
      </c>
      <c r="C458" s="3" t="s">
        <v>29</v>
      </c>
      <c r="D458" s="3" t="s">
        <v>2</v>
      </c>
      <c r="E458" s="3" t="s">
        <v>27</v>
      </c>
      <c r="F458" s="3">
        <v>12</v>
      </c>
      <c r="G458" s="5">
        <v>0.5</v>
      </c>
      <c r="H458" s="2" t="b">
        <f>MOD(ROWS($H$6:H458),10)=0</f>
        <v>0</v>
      </c>
    </row>
    <row r="459" spans="1:8" x14ac:dyDescent="0.25">
      <c r="A459" s="3">
        <v>454</v>
      </c>
      <c r="B459" s="4">
        <v>42035</v>
      </c>
      <c r="C459" s="3" t="s">
        <v>29</v>
      </c>
      <c r="D459" s="3" t="s">
        <v>19</v>
      </c>
      <c r="E459" s="3" t="s">
        <v>34</v>
      </c>
      <c r="F459" s="3">
        <v>11</v>
      </c>
      <c r="G459" s="5">
        <v>0.2</v>
      </c>
      <c r="H459" s="2" t="b">
        <f>MOD(ROWS($H$6:H459),10)=0</f>
        <v>0</v>
      </c>
    </row>
    <row r="460" spans="1:8" x14ac:dyDescent="0.25">
      <c r="A460" s="3">
        <v>455</v>
      </c>
      <c r="B460" s="4">
        <v>42026</v>
      </c>
      <c r="C460" s="3" t="s">
        <v>29</v>
      </c>
      <c r="D460" s="3" t="s">
        <v>2</v>
      </c>
      <c r="E460" s="3" t="s">
        <v>36</v>
      </c>
      <c r="F460" s="3">
        <v>32</v>
      </c>
      <c r="G460" s="5">
        <v>1.5</v>
      </c>
      <c r="H460" s="2" t="b">
        <f>MOD(ROWS($H$6:H460),10)=0</f>
        <v>0</v>
      </c>
    </row>
    <row r="461" spans="1:8" x14ac:dyDescent="0.25">
      <c r="A461" s="3">
        <v>456</v>
      </c>
      <c r="B461" s="4">
        <v>42159</v>
      </c>
      <c r="C461" s="3" t="s">
        <v>39</v>
      </c>
      <c r="D461" s="3" t="s">
        <v>10</v>
      </c>
      <c r="E461" s="3" t="s">
        <v>31</v>
      </c>
      <c r="F461" s="3">
        <v>23</v>
      </c>
      <c r="G461" s="5">
        <v>2.5</v>
      </c>
      <c r="H461" s="2" t="b">
        <f>MOD(ROWS($H$6:H461),10)=0</f>
        <v>0</v>
      </c>
    </row>
    <row r="462" spans="1:8" x14ac:dyDescent="0.25">
      <c r="A462" s="3">
        <v>457</v>
      </c>
      <c r="B462" s="4">
        <v>42050</v>
      </c>
      <c r="C462" s="3" t="s">
        <v>26</v>
      </c>
      <c r="D462" s="3" t="s">
        <v>6</v>
      </c>
      <c r="E462" s="3" t="s">
        <v>27</v>
      </c>
      <c r="F462" s="3">
        <v>45</v>
      </c>
      <c r="G462" s="5">
        <v>0.5</v>
      </c>
      <c r="H462" s="2" t="b">
        <f>MOD(ROWS($H$6:H462),10)=0</f>
        <v>0</v>
      </c>
    </row>
    <row r="463" spans="1:8" x14ac:dyDescent="0.25">
      <c r="A463" s="3">
        <v>458</v>
      </c>
      <c r="B463" s="4">
        <v>42118</v>
      </c>
      <c r="C463" s="3" t="s">
        <v>39</v>
      </c>
      <c r="D463" s="3" t="s">
        <v>5</v>
      </c>
      <c r="E463" s="3" t="s">
        <v>31</v>
      </c>
      <c r="F463" s="3">
        <v>11</v>
      </c>
      <c r="G463" s="5">
        <v>2.5</v>
      </c>
      <c r="H463" s="2" t="b">
        <f>MOD(ROWS($H$6:H463),10)=0</f>
        <v>0</v>
      </c>
    </row>
    <row r="464" spans="1:8" x14ac:dyDescent="0.25">
      <c r="A464" s="3">
        <v>459</v>
      </c>
      <c r="B464" s="4">
        <v>42013</v>
      </c>
      <c r="C464" s="3" t="s">
        <v>39</v>
      </c>
      <c r="D464" s="3" t="s">
        <v>6</v>
      </c>
      <c r="E464" s="3" t="s">
        <v>30</v>
      </c>
      <c r="F464" s="3">
        <v>33</v>
      </c>
      <c r="G464" s="5">
        <v>0.1</v>
      </c>
      <c r="H464" s="2" t="b">
        <f>MOD(ROWS($H$6:H464),10)=0</f>
        <v>0</v>
      </c>
    </row>
    <row r="465" spans="1:8" x14ac:dyDescent="0.25">
      <c r="A465" s="3">
        <v>460</v>
      </c>
      <c r="B465" s="4">
        <v>42090</v>
      </c>
      <c r="C465" s="3" t="s">
        <v>29</v>
      </c>
      <c r="D465" s="3" t="s">
        <v>2</v>
      </c>
      <c r="E465" s="3" t="s">
        <v>31</v>
      </c>
      <c r="F465" s="3">
        <v>34</v>
      </c>
      <c r="G465" s="5">
        <v>2.5</v>
      </c>
      <c r="H465" s="2" t="b">
        <f>MOD(ROWS($H$6:H465),10)=0</f>
        <v>1</v>
      </c>
    </row>
    <row r="466" spans="1:8" x14ac:dyDescent="0.25">
      <c r="A466" s="3">
        <v>461</v>
      </c>
      <c r="B466" s="4">
        <v>42140</v>
      </c>
      <c r="C466" s="3" t="s">
        <v>37</v>
      </c>
      <c r="D466" s="3" t="s">
        <v>19</v>
      </c>
      <c r="E466" s="3" t="s">
        <v>36</v>
      </c>
      <c r="F466" s="3">
        <v>42</v>
      </c>
      <c r="G466" s="5">
        <v>1.5</v>
      </c>
      <c r="H466" s="2" t="b">
        <f>MOD(ROWS($H$6:H466),10)=0</f>
        <v>0</v>
      </c>
    </row>
    <row r="467" spans="1:8" x14ac:dyDescent="0.25">
      <c r="A467" s="3">
        <v>462</v>
      </c>
      <c r="B467" s="4">
        <v>42073</v>
      </c>
      <c r="C467" s="3" t="s">
        <v>29</v>
      </c>
      <c r="D467" s="3" t="s">
        <v>2</v>
      </c>
      <c r="E467" s="3" t="s">
        <v>31</v>
      </c>
      <c r="F467" s="3">
        <v>8</v>
      </c>
      <c r="G467" s="5">
        <v>2.5</v>
      </c>
      <c r="H467" s="2" t="b">
        <f>MOD(ROWS($H$6:H467),10)=0</f>
        <v>0</v>
      </c>
    </row>
    <row r="468" spans="1:8" x14ac:dyDescent="0.25">
      <c r="A468" s="3">
        <v>463</v>
      </c>
      <c r="B468" s="4">
        <v>42093</v>
      </c>
      <c r="C468" s="3" t="s">
        <v>37</v>
      </c>
      <c r="D468" s="3" t="s">
        <v>19</v>
      </c>
      <c r="E468" s="3" t="s">
        <v>33</v>
      </c>
      <c r="F468" s="3">
        <v>11</v>
      </c>
      <c r="G468" s="5">
        <v>5</v>
      </c>
      <c r="H468" s="2" t="b">
        <f>MOD(ROWS($H$6:H468),10)=0</f>
        <v>0</v>
      </c>
    </row>
    <row r="469" spans="1:8" x14ac:dyDescent="0.25">
      <c r="A469" s="3">
        <v>464</v>
      </c>
      <c r="B469" s="4">
        <v>42094</v>
      </c>
      <c r="C469" s="3" t="s">
        <v>29</v>
      </c>
      <c r="D469" s="3" t="s">
        <v>2</v>
      </c>
      <c r="E469" s="3" t="s">
        <v>27</v>
      </c>
      <c r="F469" s="3">
        <v>18</v>
      </c>
      <c r="G469" s="5">
        <v>0.5</v>
      </c>
      <c r="H469" s="2" t="b">
        <f>MOD(ROWS($H$6:H469),10)=0</f>
        <v>0</v>
      </c>
    </row>
    <row r="470" spans="1:8" x14ac:dyDescent="0.25">
      <c r="A470" s="3">
        <v>465</v>
      </c>
      <c r="B470" s="4">
        <v>42056</v>
      </c>
      <c r="C470" s="3" t="s">
        <v>38</v>
      </c>
      <c r="D470" s="3" t="s">
        <v>6</v>
      </c>
      <c r="E470" s="3" t="s">
        <v>30</v>
      </c>
      <c r="F470" s="3">
        <v>44</v>
      </c>
      <c r="G470" s="5">
        <v>0.1</v>
      </c>
      <c r="H470" s="2" t="b">
        <f>MOD(ROWS($H$6:H470),10)=0</f>
        <v>0</v>
      </c>
    </row>
    <row r="471" spans="1:8" x14ac:dyDescent="0.25">
      <c r="A471" s="3">
        <v>466</v>
      </c>
      <c r="B471" s="4">
        <v>42143</v>
      </c>
      <c r="C471" s="3" t="s">
        <v>38</v>
      </c>
      <c r="D471" s="3" t="s">
        <v>5</v>
      </c>
      <c r="E471" s="3" t="s">
        <v>30</v>
      </c>
      <c r="F471" s="3">
        <v>47</v>
      </c>
      <c r="G471" s="5">
        <v>0.1</v>
      </c>
      <c r="H471" s="2" t="b">
        <f>MOD(ROWS($H$6:H471),10)=0</f>
        <v>0</v>
      </c>
    </row>
    <row r="472" spans="1:8" x14ac:dyDescent="0.25">
      <c r="A472" s="3">
        <v>467</v>
      </c>
      <c r="B472" s="4">
        <v>42032</v>
      </c>
      <c r="C472" s="3" t="s">
        <v>39</v>
      </c>
      <c r="D472" s="3" t="s">
        <v>2</v>
      </c>
      <c r="E472" s="3" t="s">
        <v>31</v>
      </c>
      <c r="F472" s="3">
        <v>35</v>
      </c>
      <c r="G472" s="5">
        <v>2.5</v>
      </c>
      <c r="H472" s="2" t="b">
        <f>MOD(ROWS($H$6:H472),10)=0</f>
        <v>0</v>
      </c>
    </row>
    <row r="473" spans="1:8" x14ac:dyDescent="0.25">
      <c r="A473" s="3">
        <v>468</v>
      </c>
      <c r="B473" s="4">
        <v>42041</v>
      </c>
      <c r="C473" s="3" t="s">
        <v>39</v>
      </c>
      <c r="D473" s="3" t="s">
        <v>6</v>
      </c>
      <c r="E473" s="3" t="s">
        <v>36</v>
      </c>
      <c r="F473" s="3">
        <v>13</v>
      </c>
      <c r="G473" s="5">
        <v>1.5</v>
      </c>
      <c r="H473" s="2" t="b">
        <f>MOD(ROWS($H$6:H473),10)=0</f>
        <v>0</v>
      </c>
    </row>
    <row r="474" spans="1:8" x14ac:dyDescent="0.25">
      <c r="A474" s="3">
        <v>469</v>
      </c>
      <c r="B474" s="4">
        <v>42062</v>
      </c>
      <c r="C474" s="3" t="s">
        <v>37</v>
      </c>
      <c r="D474" s="3" t="s">
        <v>10</v>
      </c>
      <c r="E474" s="3" t="s">
        <v>34</v>
      </c>
      <c r="F474" s="3">
        <v>30</v>
      </c>
      <c r="G474" s="5">
        <v>0.2</v>
      </c>
      <c r="H474" s="2" t="b">
        <f>MOD(ROWS($H$6:H474),10)=0</f>
        <v>0</v>
      </c>
    </row>
    <row r="475" spans="1:8" x14ac:dyDescent="0.25">
      <c r="A475" s="3">
        <v>470</v>
      </c>
      <c r="B475" s="4">
        <v>42145</v>
      </c>
      <c r="C475" s="3" t="s">
        <v>37</v>
      </c>
      <c r="D475" s="3" t="s">
        <v>19</v>
      </c>
      <c r="E475" s="3" t="s">
        <v>31</v>
      </c>
      <c r="F475" s="3">
        <v>14</v>
      </c>
      <c r="G475" s="5">
        <v>2.5</v>
      </c>
      <c r="H475" s="2" t="b">
        <f>MOD(ROWS($H$6:H475),10)=0</f>
        <v>1</v>
      </c>
    </row>
    <row r="476" spans="1:8" x14ac:dyDescent="0.25">
      <c r="A476" s="3">
        <v>471</v>
      </c>
      <c r="B476" s="4">
        <v>42144</v>
      </c>
      <c r="C476" s="3" t="s">
        <v>32</v>
      </c>
      <c r="D476" s="3" t="s">
        <v>5</v>
      </c>
      <c r="E476" s="3" t="s">
        <v>27</v>
      </c>
      <c r="F476" s="3">
        <v>27</v>
      </c>
      <c r="G476" s="5">
        <v>0.5</v>
      </c>
      <c r="H476" s="2" t="b">
        <f>MOD(ROWS($H$6:H476),10)=0</f>
        <v>0</v>
      </c>
    </row>
    <row r="477" spans="1:8" x14ac:dyDescent="0.25">
      <c r="A477" s="3">
        <v>472</v>
      </c>
      <c r="B477" s="4">
        <v>42079</v>
      </c>
      <c r="C477" s="3" t="s">
        <v>29</v>
      </c>
      <c r="D477" s="3" t="s">
        <v>10</v>
      </c>
      <c r="E477" s="3" t="s">
        <v>30</v>
      </c>
      <c r="F477" s="3">
        <v>4</v>
      </c>
      <c r="G477" s="5">
        <v>0.1</v>
      </c>
      <c r="H477" s="2" t="b">
        <f>MOD(ROWS($H$6:H477),10)=0</f>
        <v>0</v>
      </c>
    </row>
    <row r="478" spans="1:8" x14ac:dyDescent="0.25">
      <c r="A478" s="3">
        <v>473</v>
      </c>
      <c r="B478" s="4">
        <v>42138</v>
      </c>
      <c r="C478" s="3" t="s">
        <v>39</v>
      </c>
      <c r="D478" s="3" t="s">
        <v>5</v>
      </c>
      <c r="E478" s="3" t="s">
        <v>36</v>
      </c>
      <c r="F478" s="3">
        <v>6</v>
      </c>
      <c r="G478" s="5">
        <v>1.5</v>
      </c>
      <c r="H478" s="2" t="b">
        <f>MOD(ROWS($H$6:H478),10)=0</f>
        <v>0</v>
      </c>
    </row>
    <row r="479" spans="1:8" x14ac:dyDescent="0.25">
      <c r="A479" s="3">
        <v>474</v>
      </c>
      <c r="B479" s="4">
        <v>42078</v>
      </c>
      <c r="C479" s="3" t="s">
        <v>38</v>
      </c>
      <c r="D479" s="3" t="s">
        <v>5</v>
      </c>
      <c r="E479" s="3" t="s">
        <v>31</v>
      </c>
      <c r="F479" s="3">
        <v>35</v>
      </c>
      <c r="G479" s="5">
        <v>2.5</v>
      </c>
      <c r="H479" s="2" t="b">
        <f>MOD(ROWS($H$6:H479),10)=0</f>
        <v>0</v>
      </c>
    </row>
    <row r="480" spans="1:8" x14ac:dyDescent="0.25">
      <c r="A480" s="3">
        <v>475</v>
      </c>
      <c r="B480" s="4">
        <v>42161</v>
      </c>
      <c r="C480" s="3" t="s">
        <v>39</v>
      </c>
      <c r="D480" s="3" t="s">
        <v>2</v>
      </c>
      <c r="E480" s="3" t="s">
        <v>33</v>
      </c>
      <c r="F480" s="3">
        <v>12</v>
      </c>
      <c r="G480" s="5">
        <v>5</v>
      </c>
      <c r="H480" s="2" t="b">
        <f>MOD(ROWS($H$6:H480),10)=0</f>
        <v>0</v>
      </c>
    </row>
    <row r="481" spans="1:8" x14ac:dyDescent="0.25">
      <c r="A481" s="3">
        <v>476</v>
      </c>
      <c r="B481" s="4">
        <v>42101</v>
      </c>
      <c r="C481" s="3" t="s">
        <v>37</v>
      </c>
      <c r="D481" s="3" t="s">
        <v>2</v>
      </c>
      <c r="E481" s="3" t="s">
        <v>31</v>
      </c>
      <c r="F481" s="3">
        <v>32</v>
      </c>
      <c r="G481" s="5">
        <v>2.5</v>
      </c>
      <c r="H481" s="2" t="b">
        <f>MOD(ROWS($H$6:H481),10)=0</f>
        <v>0</v>
      </c>
    </row>
    <row r="482" spans="1:8" x14ac:dyDescent="0.25">
      <c r="A482" s="3">
        <v>477</v>
      </c>
      <c r="B482" s="4">
        <v>42181</v>
      </c>
      <c r="C482" s="3" t="s">
        <v>37</v>
      </c>
      <c r="D482" s="3" t="s">
        <v>10</v>
      </c>
      <c r="E482" s="3" t="s">
        <v>28</v>
      </c>
      <c r="F482" s="3">
        <v>41</v>
      </c>
      <c r="G482" s="5">
        <v>2</v>
      </c>
      <c r="H482" s="2" t="b">
        <f>MOD(ROWS($H$6:H482),10)=0</f>
        <v>0</v>
      </c>
    </row>
    <row r="483" spans="1:8" x14ac:dyDescent="0.25">
      <c r="A483" s="3">
        <v>478</v>
      </c>
      <c r="B483" s="4">
        <v>42053</v>
      </c>
      <c r="C483" s="3" t="s">
        <v>38</v>
      </c>
      <c r="D483" s="3" t="s">
        <v>10</v>
      </c>
      <c r="E483" s="3" t="s">
        <v>34</v>
      </c>
      <c r="F483" s="3">
        <v>49</v>
      </c>
      <c r="G483" s="5">
        <v>0.2</v>
      </c>
      <c r="H483" s="2" t="b">
        <f>MOD(ROWS($H$6:H483),10)=0</f>
        <v>0</v>
      </c>
    </row>
    <row r="484" spans="1:8" x14ac:dyDescent="0.25">
      <c r="A484" s="3">
        <v>479</v>
      </c>
      <c r="B484" s="4">
        <v>42073</v>
      </c>
      <c r="C484" s="3" t="s">
        <v>38</v>
      </c>
      <c r="D484" s="3" t="s">
        <v>19</v>
      </c>
      <c r="E484" s="3" t="s">
        <v>31</v>
      </c>
      <c r="F484" s="3">
        <v>14</v>
      </c>
      <c r="G484" s="5">
        <v>2.5</v>
      </c>
      <c r="H484" s="2" t="b">
        <f>MOD(ROWS($H$6:H484),10)=0</f>
        <v>0</v>
      </c>
    </row>
    <row r="485" spans="1:8" x14ac:dyDescent="0.25">
      <c r="A485" s="3">
        <v>480</v>
      </c>
      <c r="B485" s="4">
        <v>42095</v>
      </c>
      <c r="C485" s="3" t="s">
        <v>38</v>
      </c>
      <c r="D485" s="3" t="s">
        <v>6</v>
      </c>
      <c r="E485" s="3" t="s">
        <v>27</v>
      </c>
      <c r="F485" s="3">
        <v>50</v>
      </c>
      <c r="G485" s="5">
        <v>0.5</v>
      </c>
      <c r="H485" s="2" t="b">
        <f>MOD(ROWS($H$6:H485),10)=0</f>
        <v>1</v>
      </c>
    </row>
    <row r="486" spans="1:8" x14ac:dyDescent="0.25">
      <c r="A486" s="3">
        <v>481</v>
      </c>
      <c r="B486" s="4">
        <v>42028</v>
      </c>
      <c r="C486" s="3" t="s">
        <v>29</v>
      </c>
      <c r="D486" s="3" t="s">
        <v>6</v>
      </c>
      <c r="E486" s="3" t="s">
        <v>36</v>
      </c>
      <c r="F486" s="3">
        <v>22</v>
      </c>
      <c r="G486" s="5">
        <v>1.5</v>
      </c>
      <c r="H486" s="2" t="b">
        <f>MOD(ROWS($H$6:H486),10)=0</f>
        <v>0</v>
      </c>
    </row>
    <row r="487" spans="1:8" x14ac:dyDescent="0.25">
      <c r="A487" s="3">
        <v>482</v>
      </c>
      <c r="B487" s="4">
        <v>42091</v>
      </c>
      <c r="C487" s="3" t="s">
        <v>38</v>
      </c>
      <c r="D487" s="3" t="s">
        <v>19</v>
      </c>
      <c r="E487" s="3" t="s">
        <v>33</v>
      </c>
      <c r="F487" s="3">
        <v>46</v>
      </c>
      <c r="G487" s="5">
        <v>5</v>
      </c>
      <c r="H487" s="2" t="b">
        <f>MOD(ROWS($H$6:H487),10)=0</f>
        <v>0</v>
      </c>
    </row>
    <row r="488" spans="1:8" x14ac:dyDescent="0.25">
      <c r="A488" s="3">
        <v>483</v>
      </c>
      <c r="B488" s="4">
        <v>42063</v>
      </c>
      <c r="C488" s="3" t="s">
        <v>37</v>
      </c>
      <c r="D488" s="3" t="s">
        <v>10</v>
      </c>
      <c r="E488" s="3" t="s">
        <v>30</v>
      </c>
      <c r="F488" s="3">
        <v>19</v>
      </c>
      <c r="G488" s="5">
        <v>0.1</v>
      </c>
      <c r="H488" s="2" t="b">
        <f>MOD(ROWS($H$6:H488),10)=0</f>
        <v>0</v>
      </c>
    </row>
    <row r="489" spans="1:8" x14ac:dyDescent="0.25">
      <c r="A489" s="3">
        <v>484</v>
      </c>
      <c r="B489" s="4">
        <v>42093</v>
      </c>
      <c r="C489" s="3" t="s">
        <v>37</v>
      </c>
      <c r="D489" s="3" t="s">
        <v>6</v>
      </c>
      <c r="E489" s="3" t="s">
        <v>36</v>
      </c>
      <c r="F489" s="3">
        <v>23</v>
      </c>
      <c r="G489" s="5">
        <v>1.5</v>
      </c>
      <c r="H489" s="2" t="b">
        <f>MOD(ROWS($H$6:H489),10)=0</f>
        <v>0</v>
      </c>
    </row>
    <row r="490" spans="1:8" x14ac:dyDescent="0.25">
      <c r="A490" s="3">
        <v>485</v>
      </c>
      <c r="B490" s="4">
        <v>42060</v>
      </c>
      <c r="C490" s="3" t="s">
        <v>29</v>
      </c>
      <c r="D490" s="3" t="s">
        <v>5</v>
      </c>
      <c r="E490" s="3" t="s">
        <v>30</v>
      </c>
      <c r="F490" s="3">
        <v>49</v>
      </c>
      <c r="G490" s="5">
        <v>0.1</v>
      </c>
      <c r="H490" s="2" t="b">
        <f>MOD(ROWS($H$6:H490),10)=0</f>
        <v>0</v>
      </c>
    </row>
    <row r="491" spans="1:8" x14ac:dyDescent="0.25">
      <c r="A491" s="3">
        <v>486</v>
      </c>
      <c r="B491" s="4">
        <v>42030</v>
      </c>
      <c r="C491" s="3" t="s">
        <v>37</v>
      </c>
      <c r="D491" s="3" t="s">
        <v>10</v>
      </c>
      <c r="E491" s="3" t="s">
        <v>27</v>
      </c>
      <c r="F491" s="3">
        <v>9</v>
      </c>
      <c r="G491" s="5">
        <v>0.5</v>
      </c>
      <c r="H491" s="2" t="b">
        <f>MOD(ROWS($H$6:H491),10)=0</f>
        <v>0</v>
      </c>
    </row>
    <row r="492" spans="1:8" x14ac:dyDescent="0.25">
      <c r="A492" s="3">
        <v>487</v>
      </c>
      <c r="B492" s="4">
        <v>42076</v>
      </c>
      <c r="C492" s="3" t="s">
        <v>32</v>
      </c>
      <c r="D492" s="3" t="s">
        <v>6</v>
      </c>
      <c r="E492" s="3" t="s">
        <v>27</v>
      </c>
      <c r="F492" s="3">
        <v>49</v>
      </c>
      <c r="G492" s="5">
        <v>0.5</v>
      </c>
      <c r="H492" s="2" t="b">
        <f>MOD(ROWS($H$6:H492),10)=0</f>
        <v>0</v>
      </c>
    </row>
    <row r="493" spans="1:8" x14ac:dyDescent="0.25">
      <c r="A493" s="3">
        <v>488</v>
      </c>
      <c r="B493" s="4">
        <v>42108</v>
      </c>
      <c r="C493" s="3" t="s">
        <v>38</v>
      </c>
      <c r="D493" s="3" t="s">
        <v>2</v>
      </c>
      <c r="E493" s="3" t="s">
        <v>27</v>
      </c>
      <c r="F493" s="3">
        <v>50</v>
      </c>
      <c r="G493" s="5">
        <v>0.5</v>
      </c>
      <c r="H493" s="2" t="b">
        <f>MOD(ROWS($H$6:H493),10)=0</f>
        <v>0</v>
      </c>
    </row>
    <row r="494" spans="1:8" x14ac:dyDescent="0.25">
      <c r="A494" s="3">
        <v>489</v>
      </c>
      <c r="B494" s="4">
        <v>42075</v>
      </c>
      <c r="C494" s="3" t="s">
        <v>39</v>
      </c>
      <c r="D494" s="3" t="s">
        <v>6</v>
      </c>
      <c r="E494" s="3" t="s">
        <v>31</v>
      </c>
      <c r="F494" s="3">
        <v>7</v>
      </c>
      <c r="G494" s="5">
        <v>2.5</v>
      </c>
      <c r="H494" s="2" t="b">
        <f>MOD(ROWS($H$6:H494),10)=0</f>
        <v>0</v>
      </c>
    </row>
    <row r="495" spans="1:8" x14ac:dyDescent="0.25">
      <c r="A495" s="3">
        <v>490</v>
      </c>
      <c r="B495" s="4">
        <v>42115</v>
      </c>
      <c r="C495" s="3" t="s">
        <v>26</v>
      </c>
      <c r="D495" s="3" t="s">
        <v>10</v>
      </c>
      <c r="E495" s="3" t="s">
        <v>28</v>
      </c>
      <c r="F495" s="3">
        <v>48</v>
      </c>
      <c r="G495" s="5">
        <v>2</v>
      </c>
      <c r="H495" s="2" t="b">
        <f>MOD(ROWS($H$6:H495),10)=0</f>
        <v>1</v>
      </c>
    </row>
    <row r="496" spans="1:8" x14ac:dyDescent="0.25">
      <c r="A496" s="3">
        <v>491</v>
      </c>
      <c r="B496" s="4">
        <v>42135</v>
      </c>
      <c r="C496" s="3" t="s">
        <v>38</v>
      </c>
      <c r="D496" s="3" t="s">
        <v>6</v>
      </c>
      <c r="E496" s="3" t="s">
        <v>36</v>
      </c>
      <c r="F496" s="3">
        <v>18</v>
      </c>
      <c r="G496" s="5">
        <v>1.5</v>
      </c>
      <c r="H496" s="2" t="b">
        <f>MOD(ROWS($H$6:H496),10)=0</f>
        <v>0</v>
      </c>
    </row>
    <row r="497" spans="1:8" x14ac:dyDescent="0.25">
      <c r="A497" s="3">
        <v>492</v>
      </c>
      <c r="B497" s="4">
        <v>42051</v>
      </c>
      <c r="C497" s="3" t="s">
        <v>26</v>
      </c>
      <c r="D497" s="3" t="s">
        <v>10</v>
      </c>
      <c r="E497" s="3" t="s">
        <v>27</v>
      </c>
      <c r="F497" s="3">
        <v>35</v>
      </c>
      <c r="G497" s="5">
        <v>0.5</v>
      </c>
      <c r="H497" s="2" t="b">
        <f>MOD(ROWS($H$6:H497),10)=0</f>
        <v>0</v>
      </c>
    </row>
    <row r="498" spans="1:8" x14ac:dyDescent="0.25">
      <c r="A498" s="3">
        <v>493</v>
      </c>
      <c r="B498" s="4">
        <v>42057</v>
      </c>
      <c r="C498" s="3" t="s">
        <v>38</v>
      </c>
      <c r="D498" s="3" t="s">
        <v>6</v>
      </c>
      <c r="E498" s="3" t="s">
        <v>28</v>
      </c>
      <c r="F498" s="3">
        <v>41</v>
      </c>
      <c r="G498" s="5">
        <v>2</v>
      </c>
      <c r="H498" s="2" t="b">
        <f>MOD(ROWS($H$6:H498),10)=0</f>
        <v>0</v>
      </c>
    </row>
    <row r="499" spans="1:8" x14ac:dyDescent="0.25">
      <c r="A499" s="3">
        <v>494</v>
      </c>
      <c r="B499" s="4">
        <v>42024</v>
      </c>
      <c r="C499" s="3" t="s">
        <v>32</v>
      </c>
      <c r="D499" s="3" t="s">
        <v>5</v>
      </c>
      <c r="E499" s="3" t="s">
        <v>33</v>
      </c>
      <c r="F499" s="3">
        <v>38</v>
      </c>
      <c r="G499" s="5">
        <v>5</v>
      </c>
      <c r="H499" s="2" t="b">
        <f>MOD(ROWS($H$6:H499),10)=0</f>
        <v>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>
    <tabColor rgb="FF2EA3F2"/>
  </sheetPr>
  <dimension ref="A1:X499"/>
  <sheetViews>
    <sheetView zoomScale="115" zoomScaleNormal="115" workbookViewId="0">
      <selection activeCell="T20" sqref="T20:T21"/>
    </sheetView>
  </sheetViews>
  <sheetFormatPr defaultColWidth="8.85546875" defaultRowHeight="14.25" x14ac:dyDescent="0.25"/>
  <cols>
    <col min="1" max="1" width="12.42578125" style="2" bestFit="1" customWidth="1"/>
    <col min="2" max="2" width="12" style="2" customWidth="1"/>
    <col min="3" max="3" width="14.28515625" style="2" bestFit="1" customWidth="1"/>
    <col min="4" max="4" width="10.7109375" style="2" bestFit="1" customWidth="1"/>
    <col min="5" max="6" width="8.85546875" style="2"/>
    <col min="7" max="7" width="3" style="2" customWidth="1"/>
    <col min="8" max="8" width="11.85546875" style="2" customWidth="1"/>
    <col min="9" max="9" width="14.140625" style="2" customWidth="1"/>
    <col min="10" max="10" width="5.42578125" style="2" customWidth="1"/>
    <col min="11" max="11" width="11.85546875" style="2" customWidth="1"/>
    <col min="12" max="12" width="14.140625" style="2" customWidth="1"/>
    <col min="13" max="22" width="8.85546875" style="2"/>
    <col min="23" max="23" width="10.7109375" style="2" bestFit="1" customWidth="1"/>
    <col min="24" max="16384" width="8.85546875" style="2"/>
  </cols>
  <sheetData>
    <row r="1" spans="1:24" x14ac:dyDescent="0.25">
      <c r="A1" s="1" t="s">
        <v>80</v>
      </c>
      <c r="B1" s="1"/>
      <c r="C1" s="1"/>
      <c r="D1" s="1"/>
      <c r="E1" s="1"/>
      <c r="F1" s="1"/>
    </row>
    <row r="2" spans="1:24" x14ac:dyDescent="0.25">
      <c r="A2" s="11"/>
      <c r="B2" s="11"/>
      <c r="C2" s="11"/>
      <c r="D2" s="11"/>
      <c r="E2" s="11"/>
      <c r="F2" s="11" t="s">
        <v>4</v>
      </c>
    </row>
    <row r="3" spans="1:24" x14ac:dyDescent="0.25">
      <c r="A3" s="4"/>
      <c r="B3" s="3"/>
      <c r="C3" s="3"/>
      <c r="D3" s="3"/>
      <c r="E3" s="3"/>
      <c r="F3" s="3" t="s">
        <v>50</v>
      </c>
    </row>
    <row r="4" spans="1:24" x14ac:dyDescent="0.25">
      <c r="H4" s="1" t="s">
        <v>78</v>
      </c>
      <c r="I4" s="1"/>
      <c r="K4" s="1" t="s">
        <v>79</v>
      </c>
      <c r="L4" s="1"/>
    </row>
    <row r="5" spans="1:24" x14ac:dyDescent="0.25">
      <c r="A5" s="11" t="s">
        <v>0</v>
      </c>
      <c r="B5" s="11" t="s">
        <v>3</v>
      </c>
      <c r="C5" s="11" t="s">
        <v>1</v>
      </c>
      <c r="D5" s="11" t="s">
        <v>7</v>
      </c>
      <c r="E5" s="11" t="s">
        <v>49</v>
      </c>
      <c r="F5" s="11" t="s">
        <v>4</v>
      </c>
      <c r="H5" s="11" t="s">
        <v>3</v>
      </c>
      <c r="I5" s="11" t="s">
        <v>1</v>
      </c>
      <c r="K5" s="11" t="s">
        <v>3</v>
      </c>
      <c r="L5" s="11" t="s">
        <v>1</v>
      </c>
    </row>
    <row r="6" spans="1:24" x14ac:dyDescent="0.25">
      <c r="A6" s="4">
        <v>42067</v>
      </c>
      <c r="B6" s="3" t="s">
        <v>29</v>
      </c>
      <c r="C6" s="3" t="s">
        <v>5</v>
      </c>
      <c r="D6" s="3" t="s">
        <v>27</v>
      </c>
      <c r="E6" s="3">
        <v>13</v>
      </c>
      <c r="F6" s="5">
        <f>E6*VLOOKUP(D6,$W$6:$X$13,2,0)</f>
        <v>6.5</v>
      </c>
      <c r="H6" s="3" t="s">
        <v>29</v>
      </c>
      <c r="I6" s="3" t="s">
        <v>2</v>
      </c>
      <c r="K6" s="3" t="s">
        <v>29</v>
      </c>
      <c r="L6" s="3" t="s">
        <v>2</v>
      </c>
      <c r="W6" s="2" t="s">
        <v>28</v>
      </c>
      <c r="X6" s="2">
        <v>2</v>
      </c>
    </row>
    <row r="7" spans="1:24" x14ac:dyDescent="0.25">
      <c r="A7" s="4">
        <v>42074</v>
      </c>
      <c r="B7" s="3" t="s">
        <v>32</v>
      </c>
      <c r="C7" s="3" t="s">
        <v>5</v>
      </c>
      <c r="D7" s="3" t="s">
        <v>34</v>
      </c>
      <c r="E7" s="3">
        <v>12</v>
      </c>
      <c r="F7" s="5">
        <f t="shared" ref="F7:F70" si="0">E7*VLOOKUP(D7,$W$6:$X$13,2,0)</f>
        <v>2.4000000000000004</v>
      </c>
      <c r="H7" s="3" t="s">
        <v>38</v>
      </c>
      <c r="I7" s="3" t="s">
        <v>10</v>
      </c>
      <c r="K7" s="3" t="s">
        <v>38</v>
      </c>
      <c r="L7" s="3" t="s">
        <v>10</v>
      </c>
      <c r="W7" s="2" t="s">
        <v>27</v>
      </c>
      <c r="X7" s="2">
        <v>0.5</v>
      </c>
    </row>
    <row r="8" spans="1:24" x14ac:dyDescent="0.25">
      <c r="A8" s="4">
        <v>42177</v>
      </c>
      <c r="B8" s="3" t="s">
        <v>26</v>
      </c>
      <c r="C8" s="3" t="s">
        <v>10</v>
      </c>
      <c r="D8" s="3" t="s">
        <v>27</v>
      </c>
      <c r="E8" s="3">
        <v>29</v>
      </c>
      <c r="F8" s="5">
        <f t="shared" si="0"/>
        <v>14.5</v>
      </c>
      <c r="H8" s="3" t="s">
        <v>32</v>
      </c>
      <c r="I8" s="3" t="s">
        <v>5</v>
      </c>
      <c r="K8" s="3" t="s">
        <v>32</v>
      </c>
      <c r="L8" s="3" t="s">
        <v>5</v>
      </c>
      <c r="W8" s="2" t="s">
        <v>31</v>
      </c>
      <c r="X8" s="2">
        <v>2.5</v>
      </c>
    </row>
    <row r="9" spans="1:24" x14ac:dyDescent="0.25">
      <c r="A9" s="4">
        <v>42103</v>
      </c>
      <c r="B9" s="3" t="s">
        <v>38</v>
      </c>
      <c r="C9" s="3" t="s">
        <v>2</v>
      </c>
      <c r="D9" s="3" t="s">
        <v>27</v>
      </c>
      <c r="E9" s="3">
        <v>33</v>
      </c>
      <c r="F9" s="5">
        <f t="shared" si="0"/>
        <v>16.5</v>
      </c>
      <c r="H9" s="3" t="s">
        <v>37</v>
      </c>
      <c r="I9" s="3" t="s">
        <v>6</v>
      </c>
      <c r="K9" s="3" t="s">
        <v>37</v>
      </c>
      <c r="L9" s="3" t="s">
        <v>6</v>
      </c>
      <c r="W9" s="2" t="s">
        <v>33</v>
      </c>
      <c r="X9" s="2">
        <v>5</v>
      </c>
    </row>
    <row r="10" spans="1:24" x14ac:dyDescent="0.25">
      <c r="A10" s="4">
        <v>42007</v>
      </c>
      <c r="B10" s="3" t="s">
        <v>37</v>
      </c>
      <c r="C10" s="3" t="s">
        <v>19</v>
      </c>
      <c r="D10" s="3" t="s">
        <v>30</v>
      </c>
      <c r="E10" s="3">
        <v>41</v>
      </c>
      <c r="F10" s="5">
        <f t="shared" si="0"/>
        <v>4.1000000000000005</v>
      </c>
      <c r="H10" s="3" t="s">
        <v>39</v>
      </c>
      <c r="I10" s="3" t="s">
        <v>6</v>
      </c>
      <c r="K10" s="3" t="s">
        <v>39</v>
      </c>
      <c r="L10" s="3" t="s">
        <v>6</v>
      </c>
      <c r="W10" s="2" t="s">
        <v>34</v>
      </c>
      <c r="X10" s="2">
        <v>0.2</v>
      </c>
    </row>
    <row r="11" spans="1:24" x14ac:dyDescent="0.25">
      <c r="A11" s="4">
        <v>42012</v>
      </c>
      <c r="B11" s="3" t="s">
        <v>29</v>
      </c>
      <c r="C11" s="3" t="s">
        <v>2</v>
      </c>
      <c r="D11" s="3" t="s">
        <v>35</v>
      </c>
      <c r="E11" s="3">
        <v>32</v>
      </c>
      <c r="F11" s="5">
        <f t="shared" si="0"/>
        <v>128</v>
      </c>
      <c r="H11" s="3" t="s">
        <v>39</v>
      </c>
      <c r="I11" s="3" t="s">
        <v>2</v>
      </c>
      <c r="K11" s="3" t="s">
        <v>39</v>
      </c>
      <c r="L11" s="3" t="s">
        <v>2</v>
      </c>
      <c r="W11" s="2" t="s">
        <v>30</v>
      </c>
      <c r="X11" s="2">
        <v>0.1</v>
      </c>
    </row>
    <row r="12" spans="1:24" x14ac:dyDescent="0.25">
      <c r="A12" s="4">
        <v>42051</v>
      </c>
      <c r="B12" s="3" t="s">
        <v>38</v>
      </c>
      <c r="C12" s="3" t="s">
        <v>10</v>
      </c>
      <c r="D12" s="3" t="s">
        <v>33</v>
      </c>
      <c r="E12" s="3">
        <v>34</v>
      </c>
      <c r="F12" s="5">
        <f t="shared" si="0"/>
        <v>170</v>
      </c>
      <c r="H12" s="3" t="s">
        <v>26</v>
      </c>
      <c r="I12" s="3" t="s">
        <v>6</v>
      </c>
      <c r="K12" s="3" t="s">
        <v>26</v>
      </c>
      <c r="L12" s="3" t="s">
        <v>6</v>
      </c>
      <c r="W12" s="2" t="s">
        <v>36</v>
      </c>
      <c r="X12" s="2">
        <v>1.5</v>
      </c>
    </row>
    <row r="13" spans="1:24" x14ac:dyDescent="0.25">
      <c r="A13" s="4">
        <v>42163</v>
      </c>
      <c r="B13" s="3" t="s">
        <v>26</v>
      </c>
      <c r="C13" s="3" t="s">
        <v>6</v>
      </c>
      <c r="D13" s="3" t="s">
        <v>35</v>
      </c>
      <c r="E13" s="3">
        <v>12</v>
      </c>
      <c r="F13" s="5">
        <f t="shared" si="0"/>
        <v>48</v>
      </c>
      <c r="H13" s="3" t="s">
        <v>26</v>
      </c>
      <c r="I13" s="3" t="s">
        <v>5</v>
      </c>
      <c r="K13" s="3" t="s">
        <v>26</v>
      </c>
      <c r="L13" s="3" t="s">
        <v>5</v>
      </c>
      <c r="W13" s="2" t="s">
        <v>35</v>
      </c>
      <c r="X13" s="2">
        <v>4</v>
      </c>
    </row>
    <row r="14" spans="1:24" x14ac:dyDescent="0.25">
      <c r="A14" s="4">
        <v>42118</v>
      </c>
      <c r="B14" s="3" t="s">
        <v>38</v>
      </c>
      <c r="C14" s="3" t="s">
        <v>19</v>
      </c>
      <c r="D14" s="3" t="s">
        <v>27</v>
      </c>
      <c r="E14" s="3">
        <v>20</v>
      </c>
      <c r="F14" s="5">
        <f t="shared" si="0"/>
        <v>10</v>
      </c>
      <c r="H14" s="3" t="s">
        <v>29</v>
      </c>
      <c r="I14" s="3" t="s">
        <v>6</v>
      </c>
      <c r="K14" s="3" t="s">
        <v>29</v>
      </c>
      <c r="L14" s="3" t="s">
        <v>6</v>
      </c>
    </row>
    <row r="15" spans="1:24" x14ac:dyDescent="0.25">
      <c r="A15" s="4">
        <v>42071</v>
      </c>
      <c r="B15" s="3" t="s">
        <v>38</v>
      </c>
      <c r="C15" s="3" t="s">
        <v>2</v>
      </c>
      <c r="D15" s="3" t="s">
        <v>27</v>
      </c>
      <c r="E15" s="3">
        <v>15</v>
      </c>
      <c r="F15" s="5">
        <f t="shared" si="0"/>
        <v>7.5</v>
      </c>
      <c r="H15" s="3" t="s">
        <v>26</v>
      </c>
      <c r="I15" s="3" t="s">
        <v>2</v>
      </c>
      <c r="K15" s="3" t="s">
        <v>26</v>
      </c>
      <c r="L15" s="3" t="s">
        <v>2</v>
      </c>
    </row>
    <row r="16" spans="1:24" x14ac:dyDescent="0.25">
      <c r="A16" s="4">
        <v>42134</v>
      </c>
      <c r="B16" s="3" t="s">
        <v>39</v>
      </c>
      <c r="C16" s="3" t="s">
        <v>5</v>
      </c>
      <c r="D16" s="3" t="s">
        <v>27</v>
      </c>
      <c r="E16" s="3">
        <v>35</v>
      </c>
      <c r="F16" s="5">
        <f t="shared" si="0"/>
        <v>17.5</v>
      </c>
      <c r="H16" s="3" t="s">
        <v>32</v>
      </c>
      <c r="I16" s="3" t="s">
        <v>2</v>
      </c>
      <c r="K16" s="3" t="s">
        <v>32</v>
      </c>
      <c r="L16" s="3" t="s">
        <v>2</v>
      </c>
    </row>
    <row r="17" spans="1:12" x14ac:dyDescent="0.25">
      <c r="A17" s="4">
        <v>42063</v>
      </c>
      <c r="B17" s="3" t="s">
        <v>32</v>
      </c>
      <c r="C17" s="3" t="s">
        <v>5</v>
      </c>
      <c r="D17" s="3" t="s">
        <v>33</v>
      </c>
      <c r="E17" s="3">
        <v>21</v>
      </c>
      <c r="F17" s="5">
        <f t="shared" si="0"/>
        <v>105</v>
      </c>
      <c r="H17" s="3" t="s">
        <v>37</v>
      </c>
      <c r="I17" s="3" t="s">
        <v>2</v>
      </c>
      <c r="K17" s="3" t="s">
        <v>37</v>
      </c>
      <c r="L17" s="3" t="s">
        <v>2</v>
      </c>
    </row>
    <row r="18" spans="1:12" x14ac:dyDescent="0.25">
      <c r="A18" s="4">
        <v>42012</v>
      </c>
      <c r="B18" s="3" t="s">
        <v>38</v>
      </c>
      <c r="C18" s="3" t="s">
        <v>5</v>
      </c>
      <c r="D18" s="3" t="s">
        <v>31</v>
      </c>
      <c r="E18" s="3">
        <v>40</v>
      </c>
      <c r="F18" s="5">
        <f t="shared" si="0"/>
        <v>100</v>
      </c>
      <c r="H18" s="3" t="s">
        <v>29</v>
      </c>
      <c r="I18" s="3" t="s">
        <v>6</v>
      </c>
      <c r="K18" s="3" t="s">
        <v>38</v>
      </c>
      <c r="L18" s="3" t="s">
        <v>5</v>
      </c>
    </row>
    <row r="19" spans="1:12" x14ac:dyDescent="0.25">
      <c r="A19" s="4">
        <v>42097</v>
      </c>
      <c r="B19" s="3" t="s">
        <v>26</v>
      </c>
      <c r="C19" s="3" t="s">
        <v>10</v>
      </c>
      <c r="D19" s="3" t="s">
        <v>28</v>
      </c>
      <c r="E19" s="3">
        <v>3</v>
      </c>
      <c r="F19" s="5">
        <f t="shared" si="0"/>
        <v>6</v>
      </c>
      <c r="H19" s="3" t="s">
        <v>38</v>
      </c>
      <c r="I19" s="3" t="s">
        <v>5</v>
      </c>
      <c r="K19" s="3" t="s">
        <v>37</v>
      </c>
      <c r="L19" s="3" t="s">
        <v>5</v>
      </c>
    </row>
    <row r="20" spans="1:12" x14ac:dyDescent="0.25">
      <c r="A20" s="4">
        <v>42058</v>
      </c>
      <c r="B20" s="3" t="s">
        <v>39</v>
      </c>
      <c r="C20" s="3" t="s">
        <v>2</v>
      </c>
      <c r="D20" s="3" t="s">
        <v>27</v>
      </c>
      <c r="E20" s="3">
        <v>25</v>
      </c>
      <c r="F20" s="5">
        <f t="shared" si="0"/>
        <v>12.5</v>
      </c>
      <c r="H20" s="3" t="s">
        <v>38</v>
      </c>
      <c r="I20" s="3" t="s">
        <v>10</v>
      </c>
      <c r="K20" s="3" t="s">
        <v>38</v>
      </c>
      <c r="L20" s="3" t="s">
        <v>19</v>
      </c>
    </row>
    <row r="21" spans="1:12" x14ac:dyDescent="0.25">
      <c r="A21" s="4">
        <v>42018</v>
      </c>
      <c r="B21" s="3" t="s">
        <v>38</v>
      </c>
      <c r="C21" s="3" t="s">
        <v>2</v>
      </c>
      <c r="D21" s="3" t="s">
        <v>34</v>
      </c>
      <c r="E21" s="3">
        <v>11</v>
      </c>
      <c r="F21" s="5">
        <f t="shared" si="0"/>
        <v>2.2000000000000002</v>
      </c>
      <c r="H21" s="3" t="s">
        <v>26</v>
      </c>
      <c r="I21" s="3" t="s">
        <v>6</v>
      </c>
      <c r="K21" s="3" t="s">
        <v>26</v>
      </c>
      <c r="L21" s="3" t="s">
        <v>19</v>
      </c>
    </row>
    <row r="22" spans="1:12" x14ac:dyDescent="0.25">
      <c r="A22" s="4">
        <v>42085</v>
      </c>
      <c r="B22" s="3" t="s">
        <v>37</v>
      </c>
      <c r="C22" s="3" t="s">
        <v>6</v>
      </c>
      <c r="D22" s="3" t="s">
        <v>33</v>
      </c>
      <c r="E22" s="3">
        <v>9</v>
      </c>
      <c r="F22" s="5">
        <f t="shared" si="0"/>
        <v>45</v>
      </c>
      <c r="H22" s="3" t="s">
        <v>26</v>
      </c>
      <c r="I22" s="3" t="s">
        <v>6</v>
      </c>
      <c r="K22" s="3" t="s">
        <v>32</v>
      </c>
      <c r="L22" s="3" t="s">
        <v>10</v>
      </c>
    </row>
    <row r="23" spans="1:12" x14ac:dyDescent="0.25">
      <c r="A23" s="4">
        <v>42150</v>
      </c>
      <c r="B23" s="3" t="s">
        <v>37</v>
      </c>
      <c r="C23" s="3" t="s">
        <v>6</v>
      </c>
      <c r="D23" s="3" t="s">
        <v>33</v>
      </c>
      <c r="E23" s="3">
        <v>48</v>
      </c>
      <c r="F23" s="5">
        <f t="shared" si="0"/>
        <v>240</v>
      </c>
      <c r="H23" s="3" t="s">
        <v>29</v>
      </c>
      <c r="I23" s="3" t="s">
        <v>6</v>
      </c>
      <c r="K23" s="3" t="s">
        <v>38</v>
      </c>
      <c r="L23" s="3" t="s">
        <v>6</v>
      </c>
    </row>
    <row r="24" spans="1:12" x14ac:dyDescent="0.25">
      <c r="A24" s="4">
        <v>42015</v>
      </c>
      <c r="B24" s="3" t="s">
        <v>38</v>
      </c>
      <c r="C24" s="3" t="s">
        <v>5</v>
      </c>
      <c r="D24" s="3" t="s">
        <v>36</v>
      </c>
      <c r="E24" s="3">
        <v>19</v>
      </c>
      <c r="F24" s="5">
        <f t="shared" si="0"/>
        <v>28.5</v>
      </c>
      <c r="H24" s="3" t="s">
        <v>37</v>
      </c>
      <c r="I24" s="3" t="s">
        <v>5</v>
      </c>
      <c r="K24" s="3" t="s">
        <v>39</v>
      </c>
      <c r="L24" s="3" t="s">
        <v>10</v>
      </c>
    </row>
    <row r="25" spans="1:12" x14ac:dyDescent="0.25">
      <c r="A25" s="4">
        <v>42013</v>
      </c>
      <c r="B25" s="3" t="s">
        <v>39</v>
      </c>
      <c r="C25" s="3" t="s">
        <v>6</v>
      </c>
      <c r="D25" s="3" t="s">
        <v>31</v>
      </c>
      <c r="E25" s="3">
        <v>50</v>
      </c>
      <c r="F25" s="5">
        <f t="shared" si="0"/>
        <v>125</v>
      </c>
      <c r="H25" s="3" t="s">
        <v>37</v>
      </c>
      <c r="I25" s="3" t="s">
        <v>6</v>
      </c>
      <c r="K25" s="3" t="s">
        <v>37</v>
      </c>
      <c r="L25" s="3" t="s">
        <v>19</v>
      </c>
    </row>
    <row r="26" spans="1:12" x14ac:dyDescent="0.25">
      <c r="A26" s="4">
        <v>42015</v>
      </c>
      <c r="B26" s="3" t="s">
        <v>39</v>
      </c>
      <c r="C26" s="3" t="s">
        <v>2</v>
      </c>
      <c r="D26" s="3" t="s">
        <v>33</v>
      </c>
      <c r="E26" s="3">
        <v>24</v>
      </c>
      <c r="F26" s="5">
        <f t="shared" si="0"/>
        <v>120</v>
      </c>
      <c r="H26" s="3" t="s">
        <v>38</v>
      </c>
      <c r="I26" s="3" t="s">
        <v>19</v>
      </c>
      <c r="K26" s="3" t="s">
        <v>29</v>
      </c>
      <c r="L26" s="3" t="s">
        <v>19</v>
      </c>
    </row>
    <row r="27" spans="1:12" x14ac:dyDescent="0.25">
      <c r="A27" s="4">
        <v>42075</v>
      </c>
      <c r="B27" s="3" t="s">
        <v>38</v>
      </c>
      <c r="C27" s="3" t="s">
        <v>19</v>
      </c>
      <c r="D27" s="3" t="s">
        <v>27</v>
      </c>
      <c r="E27" s="3">
        <v>26</v>
      </c>
      <c r="F27" s="5">
        <f t="shared" si="0"/>
        <v>13</v>
      </c>
      <c r="H27" s="3" t="s">
        <v>26</v>
      </c>
      <c r="I27" s="3" t="s">
        <v>5</v>
      </c>
      <c r="K27" s="3" t="s">
        <v>38</v>
      </c>
      <c r="L27" s="3" t="s">
        <v>2</v>
      </c>
    </row>
    <row r="28" spans="1:12" x14ac:dyDescent="0.25">
      <c r="A28" s="4">
        <v>42080</v>
      </c>
      <c r="B28" s="3" t="s">
        <v>38</v>
      </c>
      <c r="C28" s="3" t="s">
        <v>6</v>
      </c>
      <c r="D28" s="3" t="s">
        <v>27</v>
      </c>
      <c r="E28" s="3">
        <v>11</v>
      </c>
      <c r="F28" s="5">
        <f t="shared" si="0"/>
        <v>5.5</v>
      </c>
      <c r="H28" s="3" t="s">
        <v>39</v>
      </c>
      <c r="I28" s="3" t="s">
        <v>6</v>
      </c>
      <c r="K28" s="3" t="s">
        <v>32</v>
      </c>
      <c r="L28" s="3" t="s">
        <v>19</v>
      </c>
    </row>
    <row r="29" spans="1:12" x14ac:dyDescent="0.25">
      <c r="A29" s="4">
        <v>42119</v>
      </c>
      <c r="B29" s="3" t="s">
        <v>38</v>
      </c>
      <c r="C29" s="3" t="s">
        <v>5</v>
      </c>
      <c r="D29" s="3" t="s">
        <v>35</v>
      </c>
      <c r="E29" s="3">
        <v>4</v>
      </c>
      <c r="F29" s="5">
        <f t="shared" si="0"/>
        <v>16</v>
      </c>
      <c r="H29" s="3" t="s">
        <v>29</v>
      </c>
      <c r="I29" s="3" t="s">
        <v>6</v>
      </c>
      <c r="K29" s="3" t="s">
        <v>37</v>
      </c>
      <c r="L29" s="3" t="s">
        <v>10</v>
      </c>
    </row>
    <row r="30" spans="1:12" x14ac:dyDescent="0.25">
      <c r="A30" s="4">
        <v>42043</v>
      </c>
      <c r="B30" s="3" t="s">
        <v>38</v>
      </c>
      <c r="C30" s="3" t="s">
        <v>2</v>
      </c>
      <c r="D30" s="3" t="s">
        <v>36</v>
      </c>
      <c r="E30" s="3">
        <v>20</v>
      </c>
      <c r="F30" s="5">
        <f t="shared" si="0"/>
        <v>30</v>
      </c>
      <c r="H30" s="3" t="s">
        <v>26</v>
      </c>
      <c r="I30" s="3" t="s">
        <v>19</v>
      </c>
      <c r="K30" s="3" t="s">
        <v>29</v>
      </c>
      <c r="L30" s="3" t="s">
        <v>5</v>
      </c>
    </row>
    <row r="31" spans="1:12" x14ac:dyDescent="0.25">
      <c r="A31" s="4">
        <v>42057</v>
      </c>
      <c r="B31" s="3" t="s">
        <v>38</v>
      </c>
      <c r="C31" s="3" t="s">
        <v>6</v>
      </c>
      <c r="D31" s="3" t="s">
        <v>30</v>
      </c>
      <c r="E31" s="3">
        <v>24</v>
      </c>
      <c r="F31" s="5">
        <f t="shared" si="0"/>
        <v>2.4000000000000004</v>
      </c>
      <c r="H31" s="3" t="s">
        <v>39</v>
      </c>
      <c r="I31" s="3" t="s">
        <v>6</v>
      </c>
      <c r="K31" s="3" t="s">
        <v>32</v>
      </c>
      <c r="L31" s="3" t="s">
        <v>6</v>
      </c>
    </row>
    <row r="32" spans="1:12" ht="15" x14ac:dyDescent="0.25">
      <c r="A32" s="4">
        <v>42053</v>
      </c>
      <c r="B32" s="3" t="s">
        <v>26</v>
      </c>
      <c r="C32" s="3" t="s">
        <v>5</v>
      </c>
      <c r="D32" s="3" t="s">
        <v>31</v>
      </c>
      <c r="E32" s="3">
        <v>31</v>
      </c>
      <c r="F32" s="5">
        <f t="shared" si="0"/>
        <v>77.5</v>
      </c>
      <c r="H32" s="3" t="s">
        <v>32</v>
      </c>
      <c r="I32" s="3" t="s">
        <v>10</v>
      </c>
      <c r="K32"/>
      <c r="L32"/>
    </row>
    <row r="33" spans="1:12" ht="15" x14ac:dyDescent="0.25">
      <c r="A33" s="4">
        <v>42059</v>
      </c>
      <c r="B33" s="3" t="s">
        <v>26</v>
      </c>
      <c r="C33" s="3" t="s">
        <v>6</v>
      </c>
      <c r="D33" s="3" t="s">
        <v>35</v>
      </c>
      <c r="E33" s="3">
        <v>49</v>
      </c>
      <c r="F33" s="5">
        <f t="shared" si="0"/>
        <v>196</v>
      </c>
      <c r="H33" s="3" t="s">
        <v>32</v>
      </c>
      <c r="I33" s="3" t="s">
        <v>10</v>
      </c>
      <c r="K33"/>
      <c r="L33"/>
    </row>
    <row r="34" spans="1:12" ht="15" x14ac:dyDescent="0.25">
      <c r="A34" s="4">
        <v>42120</v>
      </c>
      <c r="B34" s="3" t="s">
        <v>39</v>
      </c>
      <c r="C34" s="3" t="s">
        <v>10</v>
      </c>
      <c r="D34" s="3" t="s">
        <v>27</v>
      </c>
      <c r="E34" s="3">
        <v>38</v>
      </c>
      <c r="F34" s="5">
        <f t="shared" si="0"/>
        <v>19</v>
      </c>
      <c r="H34" s="3" t="s">
        <v>38</v>
      </c>
      <c r="I34" s="3" t="s">
        <v>5</v>
      </c>
      <c r="K34"/>
      <c r="L34"/>
    </row>
    <row r="35" spans="1:12" ht="15" x14ac:dyDescent="0.25">
      <c r="A35" s="4">
        <v>42026</v>
      </c>
      <c r="B35" s="3" t="s">
        <v>32</v>
      </c>
      <c r="C35" s="3" t="s">
        <v>6</v>
      </c>
      <c r="D35" s="3" t="s">
        <v>27</v>
      </c>
      <c r="E35" s="3">
        <v>31</v>
      </c>
      <c r="F35" s="5">
        <f t="shared" si="0"/>
        <v>15.5</v>
      </c>
      <c r="H35" s="3" t="s">
        <v>37</v>
      </c>
      <c r="I35" s="3" t="s">
        <v>5</v>
      </c>
      <c r="K35"/>
      <c r="L35"/>
    </row>
    <row r="36" spans="1:12" ht="15" x14ac:dyDescent="0.25">
      <c r="A36" s="4">
        <v>42117</v>
      </c>
      <c r="B36" s="3" t="s">
        <v>39</v>
      </c>
      <c r="C36" s="3" t="s">
        <v>10</v>
      </c>
      <c r="D36" s="3" t="s">
        <v>28</v>
      </c>
      <c r="E36" s="3">
        <v>16</v>
      </c>
      <c r="F36" s="5">
        <f t="shared" si="0"/>
        <v>32</v>
      </c>
      <c r="H36" s="3" t="s">
        <v>37</v>
      </c>
      <c r="I36" s="3" t="s">
        <v>6</v>
      </c>
      <c r="K36"/>
      <c r="L36"/>
    </row>
    <row r="37" spans="1:12" ht="15" x14ac:dyDescent="0.25">
      <c r="A37" s="4">
        <v>42135</v>
      </c>
      <c r="B37" s="3" t="s">
        <v>26</v>
      </c>
      <c r="C37" s="3" t="s">
        <v>5</v>
      </c>
      <c r="D37" s="3" t="s">
        <v>33</v>
      </c>
      <c r="E37" s="3">
        <v>47</v>
      </c>
      <c r="F37" s="5">
        <f t="shared" si="0"/>
        <v>235</v>
      </c>
      <c r="H37" s="3" t="s">
        <v>32</v>
      </c>
      <c r="I37" s="3" t="s">
        <v>5</v>
      </c>
      <c r="K37"/>
      <c r="L37"/>
    </row>
    <row r="38" spans="1:12" ht="15" x14ac:dyDescent="0.25">
      <c r="A38" s="4">
        <v>42056</v>
      </c>
      <c r="B38" s="3" t="s">
        <v>39</v>
      </c>
      <c r="C38" s="3" t="s">
        <v>5</v>
      </c>
      <c r="D38" s="3" t="s">
        <v>34</v>
      </c>
      <c r="E38" s="3">
        <v>5</v>
      </c>
      <c r="F38" s="5">
        <f t="shared" si="0"/>
        <v>1</v>
      </c>
      <c r="H38" s="3" t="s">
        <v>38</v>
      </c>
      <c r="I38" s="3" t="s">
        <v>6</v>
      </c>
      <c r="K38"/>
      <c r="L38"/>
    </row>
    <row r="39" spans="1:12" ht="15" x14ac:dyDescent="0.25">
      <c r="A39" s="4">
        <v>42171</v>
      </c>
      <c r="B39" s="3" t="s">
        <v>39</v>
      </c>
      <c r="C39" s="3" t="s">
        <v>6</v>
      </c>
      <c r="D39" s="3" t="s">
        <v>35</v>
      </c>
      <c r="E39" s="3">
        <v>11</v>
      </c>
      <c r="F39" s="5">
        <f t="shared" si="0"/>
        <v>44</v>
      </c>
      <c r="H39" s="3" t="s">
        <v>39</v>
      </c>
      <c r="I39" s="3" t="s">
        <v>6</v>
      </c>
      <c r="K39"/>
      <c r="L39"/>
    </row>
    <row r="40" spans="1:12" ht="15" x14ac:dyDescent="0.25">
      <c r="A40" s="4">
        <v>42174</v>
      </c>
      <c r="B40" s="3" t="s">
        <v>29</v>
      </c>
      <c r="C40" s="3" t="s">
        <v>6</v>
      </c>
      <c r="D40" s="3" t="s">
        <v>33</v>
      </c>
      <c r="E40" s="3">
        <v>21</v>
      </c>
      <c r="F40" s="5">
        <f t="shared" si="0"/>
        <v>105</v>
      </c>
      <c r="H40" s="3" t="s">
        <v>37</v>
      </c>
      <c r="I40" s="3" t="s">
        <v>5</v>
      </c>
      <c r="K40"/>
      <c r="L40"/>
    </row>
    <row r="41" spans="1:12" ht="15" x14ac:dyDescent="0.25">
      <c r="A41" s="4">
        <v>42167</v>
      </c>
      <c r="B41" s="3" t="s">
        <v>26</v>
      </c>
      <c r="C41" s="3" t="s">
        <v>2</v>
      </c>
      <c r="D41" s="3" t="s">
        <v>35</v>
      </c>
      <c r="E41" s="3">
        <v>49</v>
      </c>
      <c r="F41" s="5">
        <f t="shared" si="0"/>
        <v>196</v>
      </c>
      <c r="H41" s="3" t="s">
        <v>39</v>
      </c>
      <c r="I41" s="3" t="s">
        <v>6</v>
      </c>
      <c r="K41"/>
      <c r="L41"/>
    </row>
    <row r="42" spans="1:12" ht="15" x14ac:dyDescent="0.25">
      <c r="A42" s="4">
        <v>42066</v>
      </c>
      <c r="B42" s="3" t="s">
        <v>26</v>
      </c>
      <c r="C42" s="3" t="s">
        <v>5</v>
      </c>
      <c r="D42" s="3" t="s">
        <v>28</v>
      </c>
      <c r="E42" s="3">
        <v>44</v>
      </c>
      <c r="F42" s="5">
        <f t="shared" si="0"/>
        <v>88</v>
      </c>
      <c r="H42" s="3" t="s">
        <v>29</v>
      </c>
      <c r="I42" s="3" t="s">
        <v>2</v>
      </c>
      <c r="K42"/>
      <c r="L42"/>
    </row>
    <row r="43" spans="1:12" ht="15" x14ac:dyDescent="0.25">
      <c r="A43" s="4">
        <v>42040</v>
      </c>
      <c r="B43" s="3" t="s">
        <v>37</v>
      </c>
      <c r="C43" s="3" t="s">
        <v>6</v>
      </c>
      <c r="D43" s="3" t="s">
        <v>36</v>
      </c>
      <c r="E43" s="3">
        <v>27</v>
      </c>
      <c r="F43" s="5">
        <f t="shared" si="0"/>
        <v>40.5</v>
      </c>
      <c r="H43" s="3" t="s">
        <v>26</v>
      </c>
      <c r="I43" s="3" t="s">
        <v>5</v>
      </c>
      <c r="K43"/>
      <c r="L43"/>
    </row>
    <row r="44" spans="1:12" ht="15" x14ac:dyDescent="0.25">
      <c r="A44" s="4">
        <v>42142</v>
      </c>
      <c r="B44" s="3" t="s">
        <v>32</v>
      </c>
      <c r="C44" s="3" t="s">
        <v>6</v>
      </c>
      <c r="D44" s="3" t="s">
        <v>36</v>
      </c>
      <c r="E44" s="3">
        <v>30</v>
      </c>
      <c r="F44" s="5">
        <f t="shared" si="0"/>
        <v>45</v>
      </c>
      <c r="H44" s="3" t="s">
        <v>29</v>
      </c>
      <c r="I44" s="3" t="s">
        <v>2</v>
      </c>
      <c r="K44"/>
      <c r="L44"/>
    </row>
    <row r="45" spans="1:12" ht="15" x14ac:dyDescent="0.25">
      <c r="A45" s="4">
        <v>42172</v>
      </c>
      <c r="B45" s="3" t="s">
        <v>26</v>
      </c>
      <c r="C45" s="3" t="s">
        <v>10</v>
      </c>
      <c r="D45" s="3" t="s">
        <v>36</v>
      </c>
      <c r="E45" s="3">
        <v>31</v>
      </c>
      <c r="F45" s="5">
        <f t="shared" si="0"/>
        <v>46.5</v>
      </c>
      <c r="H45" s="3" t="s">
        <v>39</v>
      </c>
      <c r="I45" s="3" t="s">
        <v>10</v>
      </c>
      <c r="K45"/>
      <c r="L45"/>
    </row>
    <row r="46" spans="1:12" ht="15" x14ac:dyDescent="0.25">
      <c r="A46" s="4">
        <v>42118</v>
      </c>
      <c r="B46" s="3" t="s">
        <v>39</v>
      </c>
      <c r="C46" s="3" t="s">
        <v>6</v>
      </c>
      <c r="D46" s="3" t="s">
        <v>27</v>
      </c>
      <c r="E46" s="3">
        <v>3</v>
      </c>
      <c r="F46" s="5">
        <f t="shared" si="0"/>
        <v>1.5</v>
      </c>
      <c r="H46" s="3" t="s">
        <v>37</v>
      </c>
      <c r="I46" s="3" t="s">
        <v>19</v>
      </c>
      <c r="K46"/>
      <c r="L46"/>
    </row>
    <row r="47" spans="1:12" ht="15" x14ac:dyDescent="0.25">
      <c r="A47" s="4">
        <v>42180</v>
      </c>
      <c r="B47" s="3" t="s">
        <v>38</v>
      </c>
      <c r="C47" s="3" t="s">
        <v>19</v>
      </c>
      <c r="D47" s="3" t="s">
        <v>28</v>
      </c>
      <c r="E47" s="3">
        <v>9</v>
      </c>
      <c r="F47" s="5">
        <f t="shared" si="0"/>
        <v>18</v>
      </c>
      <c r="H47" s="3" t="s">
        <v>29</v>
      </c>
      <c r="I47" s="3" t="s">
        <v>19</v>
      </c>
      <c r="K47"/>
      <c r="L47"/>
    </row>
    <row r="48" spans="1:12" ht="15" x14ac:dyDescent="0.25">
      <c r="A48" s="4">
        <v>42114</v>
      </c>
      <c r="B48" s="3" t="s">
        <v>26</v>
      </c>
      <c r="C48" s="3" t="s">
        <v>19</v>
      </c>
      <c r="D48" s="3" t="s">
        <v>36</v>
      </c>
      <c r="E48" s="3">
        <v>50</v>
      </c>
      <c r="F48" s="5">
        <f t="shared" si="0"/>
        <v>75</v>
      </c>
      <c r="H48" s="3" t="s">
        <v>38</v>
      </c>
      <c r="I48" s="3" t="s">
        <v>2</v>
      </c>
      <c r="K48"/>
      <c r="L48"/>
    </row>
    <row r="49" spans="1:12" ht="15" x14ac:dyDescent="0.25">
      <c r="A49" s="4">
        <v>42026</v>
      </c>
      <c r="B49" s="3" t="s">
        <v>32</v>
      </c>
      <c r="C49" s="3" t="s">
        <v>2</v>
      </c>
      <c r="D49" s="3" t="s">
        <v>33</v>
      </c>
      <c r="E49" s="3">
        <v>24</v>
      </c>
      <c r="F49" s="5">
        <f t="shared" si="0"/>
        <v>120</v>
      </c>
      <c r="H49" s="3" t="s">
        <v>29</v>
      </c>
      <c r="I49" s="3" t="s">
        <v>19</v>
      </c>
      <c r="K49"/>
      <c r="L49"/>
    </row>
    <row r="50" spans="1:12" ht="15" x14ac:dyDescent="0.25">
      <c r="A50" s="4">
        <v>42087</v>
      </c>
      <c r="B50" s="3" t="s">
        <v>39</v>
      </c>
      <c r="C50" s="3" t="s">
        <v>2</v>
      </c>
      <c r="D50" s="3" t="s">
        <v>36</v>
      </c>
      <c r="E50" s="3">
        <v>29</v>
      </c>
      <c r="F50" s="5">
        <f t="shared" si="0"/>
        <v>43.5</v>
      </c>
      <c r="H50" s="3" t="s">
        <v>32</v>
      </c>
      <c r="I50" s="3" t="s">
        <v>19</v>
      </c>
      <c r="K50"/>
      <c r="L50"/>
    </row>
    <row r="51" spans="1:12" ht="15" x14ac:dyDescent="0.25">
      <c r="A51" s="4">
        <v>42102</v>
      </c>
      <c r="B51" s="3" t="s">
        <v>26</v>
      </c>
      <c r="C51" s="3" t="s">
        <v>2</v>
      </c>
      <c r="D51" s="3" t="s">
        <v>35</v>
      </c>
      <c r="E51" s="3">
        <v>5</v>
      </c>
      <c r="F51" s="5">
        <f t="shared" si="0"/>
        <v>20</v>
      </c>
      <c r="H51" s="3" t="s">
        <v>26</v>
      </c>
      <c r="I51" s="3" t="s">
        <v>5</v>
      </c>
      <c r="K51"/>
      <c r="L51"/>
    </row>
    <row r="52" spans="1:12" ht="15" x14ac:dyDescent="0.25">
      <c r="A52" s="4">
        <v>42127</v>
      </c>
      <c r="B52" s="3" t="s">
        <v>37</v>
      </c>
      <c r="C52" s="3" t="s">
        <v>10</v>
      </c>
      <c r="D52" s="3" t="s">
        <v>28</v>
      </c>
      <c r="E52" s="3">
        <v>29</v>
      </c>
      <c r="F52" s="5">
        <f t="shared" si="0"/>
        <v>58</v>
      </c>
      <c r="H52" s="3" t="s">
        <v>37</v>
      </c>
      <c r="I52" s="3" t="s">
        <v>19</v>
      </c>
      <c r="K52"/>
      <c r="L52"/>
    </row>
    <row r="53" spans="1:12" ht="15" x14ac:dyDescent="0.25">
      <c r="A53" s="4">
        <v>42150</v>
      </c>
      <c r="B53" s="3" t="s">
        <v>32</v>
      </c>
      <c r="C53" s="3" t="s">
        <v>5</v>
      </c>
      <c r="D53" s="3" t="s">
        <v>30</v>
      </c>
      <c r="E53" s="3">
        <v>37</v>
      </c>
      <c r="F53" s="5">
        <f t="shared" si="0"/>
        <v>3.7</v>
      </c>
      <c r="H53" s="3" t="s">
        <v>38</v>
      </c>
      <c r="I53" s="3" t="s">
        <v>2</v>
      </c>
      <c r="K53"/>
      <c r="L53"/>
    </row>
    <row r="54" spans="1:12" ht="15" x14ac:dyDescent="0.25">
      <c r="A54" s="4">
        <v>42070</v>
      </c>
      <c r="B54" s="3" t="s">
        <v>26</v>
      </c>
      <c r="C54" s="3" t="s">
        <v>6</v>
      </c>
      <c r="D54" s="3" t="s">
        <v>27</v>
      </c>
      <c r="E54" s="3">
        <v>44</v>
      </c>
      <c r="F54" s="5">
        <f t="shared" si="0"/>
        <v>22</v>
      </c>
      <c r="H54" s="3" t="s">
        <v>38</v>
      </c>
      <c r="I54" s="3" t="s">
        <v>10</v>
      </c>
      <c r="K54"/>
      <c r="L54"/>
    </row>
    <row r="55" spans="1:12" ht="15" x14ac:dyDescent="0.25">
      <c r="A55" s="4">
        <v>42138</v>
      </c>
      <c r="B55" s="3" t="s">
        <v>29</v>
      </c>
      <c r="C55" s="3" t="s">
        <v>10</v>
      </c>
      <c r="D55" s="3" t="s">
        <v>36</v>
      </c>
      <c r="E55" s="3">
        <v>18</v>
      </c>
      <c r="F55" s="5">
        <f t="shared" si="0"/>
        <v>27</v>
      </c>
      <c r="H55" s="3" t="s">
        <v>38</v>
      </c>
      <c r="I55" s="3" t="s">
        <v>5</v>
      </c>
      <c r="K55"/>
      <c r="L55"/>
    </row>
    <row r="56" spans="1:12" ht="15" x14ac:dyDescent="0.25">
      <c r="A56" s="4">
        <v>42032</v>
      </c>
      <c r="B56" s="3" t="s">
        <v>39</v>
      </c>
      <c r="C56" s="3" t="s">
        <v>2</v>
      </c>
      <c r="D56" s="3" t="s">
        <v>35</v>
      </c>
      <c r="E56" s="3">
        <v>13</v>
      </c>
      <c r="F56" s="5">
        <f t="shared" si="0"/>
        <v>52</v>
      </c>
      <c r="H56" s="3" t="s">
        <v>26</v>
      </c>
      <c r="I56" s="3" t="s">
        <v>19</v>
      </c>
      <c r="K56"/>
      <c r="L56"/>
    </row>
    <row r="57" spans="1:12" ht="15" x14ac:dyDescent="0.25">
      <c r="A57" s="4">
        <v>42173</v>
      </c>
      <c r="B57" s="3" t="s">
        <v>29</v>
      </c>
      <c r="C57" s="3" t="s">
        <v>10</v>
      </c>
      <c r="D57" s="3" t="s">
        <v>36</v>
      </c>
      <c r="E57" s="3">
        <v>17</v>
      </c>
      <c r="F57" s="5">
        <f t="shared" si="0"/>
        <v>25.5</v>
      </c>
      <c r="H57" s="3" t="s">
        <v>26</v>
      </c>
      <c r="I57" s="3" t="s">
        <v>19</v>
      </c>
      <c r="K57"/>
      <c r="L57"/>
    </row>
    <row r="58" spans="1:12" ht="15" x14ac:dyDescent="0.25">
      <c r="A58" s="4">
        <v>42019</v>
      </c>
      <c r="B58" s="3" t="s">
        <v>39</v>
      </c>
      <c r="C58" s="3" t="s">
        <v>2</v>
      </c>
      <c r="D58" s="3" t="s">
        <v>36</v>
      </c>
      <c r="E58" s="3">
        <v>45</v>
      </c>
      <c r="F58" s="5">
        <f t="shared" si="0"/>
        <v>67.5</v>
      </c>
      <c r="H58" s="3" t="s">
        <v>37</v>
      </c>
      <c r="I58" s="3" t="s">
        <v>10</v>
      </c>
      <c r="K58"/>
      <c r="L58"/>
    </row>
    <row r="59" spans="1:12" ht="15" x14ac:dyDescent="0.25">
      <c r="A59" s="4">
        <v>42047</v>
      </c>
      <c r="B59" s="3" t="s">
        <v>37</v>
      </c>
      <c r="C59" s="3" t="s">
        <v>2</v>
      </c>
      <c r="D59" s="3" t="s">
        <v>33</v>
      </c>
      <c r="E59" s="3">
        <v>29</v>
      </c>
      <c r="F59" s="5">
        <f t="shared" si="0"/>
        <v>145</v>
      </c>
      <c r="H59" s="3" t="s">
        <v>38</v>
      </c>
      <c r="I59" s="3" t="s">
        <v>19</v>
      </c>
      <c r="K59"/>
      <c r="L59"/>
    </row>
    <row r="60" spans="1:12" ht="15" x14ac:dyDescent="0.25">
      <c r="A60" s="4">
        <v>42017</v>
      </c>
      <c r="B60" s="3" t="s">
        <v>38</v>
      </c>
      <c r="C60" s="3" t="s">
        <v>2</v>
      </c>
      <c r="D60" s="3" t="s">
        <v>36</v>
      </c>
      <c r="E60" s="3">
        <v>11</v>
      </c>
      <c r="F60" s="5">
        <f t="shared" si="0"/>
        <v>16.5</v>
      </c>
      <c r="H60" s="3" t="s">
        <v>29</v>
      </c>
      <c r="I60" s="3" t="s">
        <v>6</v>
      </c>
      <c r="K60"/>
      <c r="L60"/>
    </row>
    <row r="61" spans="1:12" ht="15" x14ac:dyDescent="0.25">
      <c r="A61" s="4">
        <v>42043</v>
      </c>
      <c r="B61" s="3" t="s">
        <v>38</v>
      </c>
      <c r="C61" s="3" t="s">
        <v>10</v>
      </c>
      <c r="D61" s="3" t="s">
        <v>36</v>
      </c>
      <c r="E61" s="3">
        <v>4</v>
      </c>
      <c r="F61" s="5">
        <f t="shared" si="0"/>
        <v>6</v>
      </c>
      <c r="H61" s="3" t="s">
        <v>37</v>
      </c>
      <c r="I61" s="3" t="s">
        <v>19</v>
      </c>
      <c r="K61"/>
      <c r="L61"/>
    </row>
    <row r="62" spans="1:12" ht="15" x14ac:dyDescent="0.25">
      <c r="A62" s="4">
        <v>42160</v>
      </c>
      <c r="B62" s="3" t="s">
        <v>32</v>
      </c>
      <c r="C62" s="3" t="s">
        <v>6</v>
      </c>
      <c r="D62" s="3" t="s">
        <v>31</v>
      </c>
      <c r="E62" s="3">
        <v>10</v>
      </c>
      <c r="F62" s="5">
        <f t="shared" si="0"/>
        <v>25</v>
      </c>
      <c r="H62" s="3" t="s">
        <v>38</v>
      </c>
      <c r="I62" s="3" t="s">
        <v>5</v>
      </c>
      <c r="K62"/>
      <c r="L62"/>
    </row>
    <row r="63" spans="1:12" ht="15" x14ac:dyDescent="0.25">
      <c r="A63" s="4">
        <v>42018</v>
      </c>
      <c r="B63" s="3" t="s">
        <v>29</v>
      </c>
      <c r="C63" s="3" t="s">
        <v>10</v>
      </c>
      <c r="D63" s="3" t="s">
        <v>33</v>
      </c>
      <c r="E63" s="3">
        <v>15</v>
      </c>
      <c r="F63" s="5">
        <f t="shared" si="0"/>
        <v>75</v>
      </c>
      <c r="H63" s="3" t="s">
        <v>37</v>
      </c>
      <c r="I63" s="3" t="s">
        <v>10</v>
      </c>
      <c r="K63"/>
      <c r="L63"/>
    </row>
    <row r="64" spans="1:12" ht="15" x14ac:dyDescent="0.25">
      <c r="A64" s="4">
        <v>42076</v>
      </c>
      <c r="B64" s="3" t="s">
        <v>32</v>
      </c>
      <c r="C64" s="3" t="s">
        <v>2</v>
      </c>
      <c r="D64" s="3" t="s">
        <v>28</v>
      </c>
      <c r="E64" s="3">
        <v>29</v>
      </c>
      <c r="F64" s="5">
        <f t="shared" si="0"/>
        <v>58</v>
      </c>
      <c r="H64" s="3" t="s">
        <v>38</v>
      </c>
      <c r="I64" s="3" t="s">
        <v>19</v>
      </c>
      <c r="K64"/>
      <c r="L64"/>
    </row>
    <row r="65" spans="1:12" ht="15" x14ac:dyDescent="0.25">
      <c r="A65" s="4">
        <v>42032</v>
      </c>
      <c r="B65" s="3" t="s">
        <v>32</v>
      </c>
      <c r="C65" s="3" t="s">
        <v>19</v>
      </c>
      <c r="D65" s="3" t="s">
        <v>27</v>
      </c>
      <c r="E65" s="3">
        <v>9</v>
      </c>
      <c r="F65" s="5">
        <f t="shared" si="0"/>
        <v>4.5</v>
      </c>
      <c r="H65" s="3" t="s">
        <v>26</v>
      </c>
      <c r="I65" s="3" t="s">
        <v>5</v>
      </c>
      <c r="K65"/>
      <c r="L65"/>
    </row>
    <row r="66" spans="1:12" ht="15" x14ac:dyDescent="0.25">
      <c r="A66" s="4">
        <v>42021</v>
      </c>
      <c r="B66" s="3" t="s">
        <v>38</v>
      </c>
      <c r="C66" s="3" t="s">
        <v>6</v>
      </c>
      <c r="D66" s="3" t="s">
        <v>30</v>
      </c>
      <c r="E66" s="3">
        <v>21</v>
      </c>
      <c r="F66" s="5">
        <f t="shared" si="0"/>
        <v>2.1</v>
      </c>
      <c r="H66" s="3" t="s">
        <v>39</v>
      </c>
      <c r="I66" s="3" t="s">
        <v>10</v>
      </c>
      <c r="K66"/>
      <c r="L66"/>
    </row>
    <row r="67" spans="1:12" ht="15" x14ac:dyDescent="0.25">
      <c r="A67" s="4">
        <v>42077</v>
      </c>
      <c r="B67" s="3" t="s">
        <v>39</v>
      </c>
      <c r="C67" s="3" t="s">
        <v>5</v>
      </c>
      <c r="D67" s="3" t="s">
        <v>34</v>
      </c>
      <c r="E67" s="3">
        <v>35</v>
      </c>
      <c r="F67" s="5">
        <f t="shared" si="0"/>
        <v>7</v>
      </c>
      <c r="H67" s="3" t="s">
        <v>29</v>
      </c>
      <c r="I67" s="3" t="s">
        <v>5</v>
      </c>
      <c r="K67"/>
      <c r="L67"/>
    </row>
    <row r="68" spans="1:12" ht="15" x14ac:dyDescent="0.25">
      <c r="A68" s="4">
        <v>42070</v>
      </c>
      <c r="B68" s="3" t="s">
        <v>37</v>
      </c>
      <c r="C68" s="3" t="s">
        <v>6</v>
      </c>
      <c r="D68" s="3" t="s">
        <v>34</v>
      </c>
      <c r="E68" s="3">
        <v>21</v>
      </c>
      <c r="F68" s="5">
        <f t="shared" si="0"/>
        <v>4.2</v>
      </c>
      <c r="H68" s="3" t="s">
        <v>39</v>
      </c>
      <c r="I68" s="3" t="s">
        <v>6</v>
      </c>
      <c r="K68"/>
      <c r="L68"/>
    </row>
    <row r="69" spans="1:12" ht="15" x14ac:dyDescent="0.25">
      <c r="A69" s="4">
        <v>42146</v>
      </c>
      <c r="B69" s="3" t="s">
        <v>39</v>
      </c>
      <c r="C69" s="3" t="s">
        <v>2</v>
      </c>
      <c r="D69" s="3" t="s">
        <v>28</v>
      </c>
      <c r="E69" s="3">
        <v>4</v>
      </c>
      <c r="F69" s="5">
        <f t="shared" si="0"/>
        <v>8</v>
      </c>
      <c r="H69" s="3" t="s">
        <v>37</v>
      </c>
      <c r="I69" s="3" t="s">
        <v>19</v>
      </c>
      <c r="K69"/>
      <c r="L69"/>
    </row>
    <row r="70" spans="1:12" ht="15" x14ac:dyDescent="0.25">
      <c r="A70" s="4">
        <v>42169</v>
      </c>
      <c r="B70" s="3" t="s">
        <v>38</v>
      </c>
      <c r="C70" s="3" t="s">
        <v>2</v>
      </c>
      <c r="D70" s="3" t="s">
        <v>36</v>
      </c>
      <c r="E70" s="3">
        <v>5</v>
      </c>
      <c r="F70" s="5">
        <f t="shared" si="0"/>
        <v>7.5</v>
      </c>
      <c r="H70" s="3" t="s">
        <v>38</v>
      </c>
      <c r="I70" s="3" t="s">
        <v>6</v>
      </c>
      <c r="K70"/>
      <c r="L70"/>
    </row>
    <row r="71" spans="1:12" ht="15" x14ac:dyDescent="0.25">
      <c r="A71" s="4">
        <v>42098</v>
      </c>
      <c r="B71" s="3" t="s">
        <v>37</v>
      </c>
      <c r="C71" s="3" t="s">
        <v>2</v>
      </c>
      <c r="D71" s="3" t="s">
        <v>30</v>
      </c>
      <c r="E71" s="3">
        <v>17</v>
      </c>
      <c r="F71" s="5">
        <f t="shared" ref="F71:F134" si="1">E71*VLOOKUP(D71,$W$6:$X$13,2,0)</f>
        <v>1.7000000000000002</v>
      </c>
      <c r="H71" s="3" t="s">
        <v>29</v>
      </c>
      <c r="I71" s="3" t="s">
        <v>5</v>
      </c>
      <c r="K71"/>
      <c r="L71"/>
    </row>
    <row r="72" spans="1:12" ht="15" x14ac:dyDescent="0.25">
      <c r="A72" s="4">
        <v>42080</v>
      </c>
      <c r="B72" s="3" t="s">
        <v>38</v>
      </c>
      <c r="C72" s="3" t="s">
        <v>19</v>
      </c>
      <c r="D72" s="3" t="s">
        <v>27</v>
      </c>
      <c r="E72" s="3">
        <v>2</v>
      </c>
      <c r="F72" s="5">
        <f t="shared" si="1"/>
        <v>1</v>
      </c>
      <c r="H72" s="3" t="s">
        <v>38</v>
      </c>
      <c r="I72" s="3" t="s">
        <v>5</v>
      </c>
      <c r="K72"/>
      <c r="L72"/>
    </row>
    <row r="73" spans="1:12" ht="15" x14ac:dyDescent="0.25">
      <c r="A73" s="4">
        <v>42132</v>
      </c>
      <c r="B73" s="3" t="s">
        <v>37</v>
      </c>
      <c r="C73" s="3" t="s">
        <v>5</v>
      </c>
      <c r="D73" s="3" t="s">
        <v>30</v>
      </c>
      <c r="E73" s="3">
        <v>11</v>
      </c>
      <c r="F73" s="5">
        <f t="shared" si="1"/>
        <v>1.1000000000000001</v>
      </c>
      <c r="H73" s="3" t="s">
        <v>26</v>
      </c>
      <c r="I73" s="3" t="s">
        <v>2</v>
      </c>
      <c r="K73"/>
      <c r="L73"/>
    </row>
    <row r="74" spans="1:12" ht="15" x14ac:dyDescent="0.25">
      <c r="A74" s="4">
        <v>42145</v>
      </c>
      <c r="B74" s="3" t="s">
        <v>38</v>
      </c>
      <c r="C74" s="3" t="s">
        <v>10</v>
      </c>
      <c r="D74" s="3" t="s">
        <v>30</v>
      </c>
      <c r="E74" s="3">
        <v>37</v>
      </c>
      <c r="F74" s="5">
        <f t="shared" si="1"/>
        <v>3.7</v>
      </c>
      <c r="H74" s="3" t="s">
        <v>37</v>
      </c>
      <c r="I74" s="3" t="s">
        <v>5</v>
      </c>
      <c r="K74"/>
      <c r="L74"/>
    </row>
    <row r="75" spans="1:12" ht="15" x14ac:dyDescent="0.25">
      <c r="A75" s="4">
        <v>42179</v>
      </c>
      <c r="B75" s="3" t="s">
        <v>37</v>
      </c>
      <c r="C75" s="3" t="s">
        <v>2</v>
      </c>
      <c r="D75" s="3" t="s">
        <v>34</v>
      </c>
      <c r="E75" s="3">
        <v>26</v>
      </c>
      <c r="F75" s="5">
        <f t="shared" si="1"/>
        <v>5.2</v>
      </c>
      <c r="H75" s="3" t="s">
        <v>38</v>
      </c>
      <c r="I75" s="3" t="s">
        <v>2</v>
      </c>
      <c r="K75"/>
      <c r="L75"/>
    </row>
    <row r="76" spans="1:12" ht="15" x14ac:dyDescent="0.25">
      <c r="A76" s="4">
        <v>42016</v>
      </c>
      <c r="B76" s="3" t="s">
        <v>32</v>
      </c>
      <c r="C76" s="3" t="s">
        <v>19</v>
      </c>
      <c r="D76" s="3" t="s">
        <v>27</v>
      </c>
      <c r="E76" s="3">
        <v>45</v>
      </c>
      <c r="F76" s="5">
        <f t="shared" si="1"/>
        <v>22.5</v>
      </c>
      <c r="H76" s="3" t="s">
        <v>37</v>
      </c>
      <c r="I76" s="3" t="s">
        <v>2</v>
      </c>
      <c r="K76"/>
      <c r="L76"/>
    </row>
    <row r="77" spans="1:12" ht="15" x14ac:dyDescent="0.25">
      <c r="A77" s="4">
        <v>42011</v>
      </c>
      <c r="B77" s="3" t="s">
        <v>29</v>
      </c>
      <c r="C77" s="3" t="s">
        <v>6</v>
      </c>
      <c r="D77" s="3" t="s">
        <v>35</v>
      </c>
      <c r="E77" s="3">
        <v>31</v>
      </c>
      <c r="F77" s="5">
        <f t="shared" si="1"/>
        <v>124</v>
      </c>
      <c r="H77" s="3" t="s">
        <v>29</v>
      </c>
      <c r="I77" s="3" t="s">
        <v>6</v>
      </c>
      <c r="K77"/>
      <c r="L77"/>
    </row>
    <row r="78" spans="1:12" ht="15" x14ac:dyDescent="0.25">
      <c r="A78" s="4">
        <v>42107</v>
      </c>
      <c r="B78" s="3" t="s">
        <v>39</v>
      </c>
      <c r="C78" s="3" t="s">
        <v>6</v>
      </c>
      <c r="D78" s="3" t="s">
        <v>30</v>
      </c>
      <c r="E78" s="3">
        <v>25</v>
      </c>
      <c r="F78" s="5">
        <f t="shared" si="1"/>
        <v>2.5</v>
      </c>
      <c r="H78" s="3" t="s">
        <v>32</v>
      </c>
      <c r="I78" s="3" t="s">
        <v>19</v>
      </c>
      <c r="K78"/>
      <c r="L78"/>
    </row>
    <row r="79" spans="1:12" ht="15" x14ac:dyDescent="0.25">
      <c r="A79" s="4">
        <v>42152</v>
      </c>
      <c r="B79" s="3" t="s">
        <v>38</v>
      </c>
      <c r="C79" s="3" t="s">
        <v>10</v>
      </c>
      <c r="D79" s="3" t="s">
        <v>28</v>
      </c>
      <c r="E79" s="3">
        <v>12</v>
      </c>
      <c r="F79" s="5">
        <f t="shared" si="1"/>
        <v>24</v>
      </c>
      <c r="H79" s="3" t="s">
        <v>26</v>
      </c>
      <c r="I79" s="3" t="s">
        <v>5</v>
      </c>
      <c r="K79"/>
      <c r="L79"/>
    </row>
    <row r="80" spans="1:12" ht="15" x14ac:dyDescent="0.25">
      <c r="A80" s="4">
        <v>42161</v>
      </c>
      <c r="B80" s="3" t="s">
        <v>32</v>
      </c>
      <c r="C80" s="3" t="s">
        <v>6</v>
      </c>
      <c r="D80" s="3" t="s">
        <v>28</v>
      </c>
      <c r="E80" s="3">
        <v>25</v>
      </c>
      <c r="F80" s="5">
        <f t="shared" si="1"/>
        <v>50</v>
      </c>
      <c r="H80" s="3" t="s">
        <v>32</v>
      </c>
      <c r="I80" s="3" t="s">
        <v>19</v>
      </c>
      <c r="K80"/>
      <c r="L80"/>
    </row>
    <row r="81" spans="1:12" ht="15" x14ac:dyDescent="0.25">
      <c r="A81" s="4">
        <v>42118</v>
      </c>
      <c r="B81" s="3" t="s">
        <v>38</v>
      </c>
      <c r="C81" s="3" t="s">
        <v>5</v>
      </c>
      <c r="D81" s="3" t="s">
        <v>35</v>
      </c>
      <c r="E81" s="3">
        <v>48</v>
      </c>
      <c r="F81" s="5">
        <f t="shared" si="1"/>
        <v>192</v>
      </c>
      <c r="H81" s="3" t="s">
        <v>32</v>
      </c>
      <c r="I81" s="3" t="s">
        <v>6</v>
      </c>
      <c r="K81"/>
      <c r="L81"/>
    </row>
    <row r="82" spans="1:12" ht="15" x14ac:dyDescent="0.25">
      <c r="A82" s="4">
        <v>42141</v>
      </c>
      <c r="B82" s="3" t="s">
        <v>38</v>
      </c>
      <c r="C82" s="3" t="s">
        <v>10</v>
      </c>
      <c r="D82" s="3" t="s">
        <v>35</v>
      </c>
      <c r="E82" s="3">
        <v>32</v>
      </c>
      <c r="F82" s="5">
        <f t="shared" si="1"/>
        <v>128</v>
      </c>
      <c r="H82" s="3" t="s">
        <v>32</v>
      </c>
      <c r="I82" s="3" t="s">
        <v>5</v>
      </c>
      <c r="K82"/>
      <c r="L82"/>
    </row>
    <row r="83" spans="1:12" ht="15" x14ac:dyDescent="0.25">
      <c r="A83" s="4">
        <v>42064</v>
      </c>
      <c r="B83" s="3" t="s">
        <v>29</v>
      </c>
      <c r="C83" s="3" t="s">
        <v>5</v>
      </c>
      <c r="D83" s="3" t="s">
        <v>33</v>
      </c>
      <c r="E83" s="3">
        <v>4</v>
      </c>
      <c r="F83" s="5">
        <f t="shared" si="1"/>
        <v>20</v>
      </c>
      <c r="H83" s="3" t="s">
        <v>38</v>
      </c>
      <c r="I83" s="3" t="s">
        <v>19</v>
      </c>
      <c r="K83"/>
      <c r="L83"/>
    </row>
    <row r="84" spans="1:12" ht="15" x14ac:dyDescent="0.25">
      <c r="A84" s="4">
        <v>42141</v>
      </c>
      <c r="B84" s="3" t="s">
        <v>26</v>
      </c>
      <c r="C84" s="3" t="s">
        <v>6</v>
      </c>
      <c r="D84" s="3" t="s">
        <v>33</v>
      </c>
      <c r="E84" s="3">
        <v>35</v>
      </c>
      <c r="F84" s="5">
        <f t="shared" si="1"/>
        <v>175</v>
      </c>
      <c r="H84" s="3" t="s">
        <v>32</v>
      </c>
      <c r="I84" s="3" t="s">
        <v>5</v>
      </c>
      <c r="K84"/>
      <c r="L84"/>
    </row>
    <row r="85" spans="1:12" x14ac:dyDescent="0.25">
      <c r="A85" s="4">
        <v>42090</v>
      </c>
      <c r="B85" s="3" t="s">
        <v>26</v>
      </c>
      <c r="C85" s="3" t="s">
        <v>6</v>
      </c>
      <c r="D85" s="3" t="s">
        <v>35</v>
      </c>
      <c r="E85" s="3">
        <v>50</v>
      </c>
      <c r="F85" s="5">
        <f t="shared" si="1"/>
        <v>200</v>
      </c>
    </row>
    <row r="86" spans="1:12" x14ac:dyDescent="0.25">
      <c r="A86" s="4">
        <v>42052</v>
      </c>
      <c r="B86" s="3" t="s">
        <v>39</v>
      </c>
      <c r="C86" s="3" t="s">
        <v>2</v>
      </c>
      <c r="D86" s="3" t="s">
        <v>30</v>
      </c>
      <c r="E86" s="3">
        <v>27</v>
      </c>
      <c r="F86" s="5">
        <f t="shared" si="1"/>
        <v>2.7</v>
      </c>
    </row>
    <row r="87" spans="1:12" x14ac:dyDescent="0.25">
      <c r="A87" s="4">
        <v>42123</v>
      </c>
      <c r="B87" s="3" t="s">
        <v>29</v>
      </c>
      <c r="C87" s="3" t="s">
        <v>6</v>
      </c>
      <c r="D87" s="3" t="s">
        <v>35</v>
      </c>
      <c r="E87" s="3">
        <v>36</v>
      </c>
      <c r="F87" s="5">
        <f t="shared" si="1"/>
        <v>144</v>
      </c>
    </row>
    <row r="88" spans="1:12" x14ac:dyDescent="0.25">
      <c r="A88" s="4">
        <v>42182</v>
      </c>
      <c r="B88" s="3" t="s">
        <v>38</v>
      </c>
      <c r="C88" s="3" t="s">
        <v>6</v>
      </c>
      <c r="D88" s="3" t="s">
        <v>28</v>
      </c>
      <c r="E88" s="3">
        <v>36</v>
      </c>
      <c r="F88" s="5">
        <f t="shared" si="1"/>
        <v>72</v>
      </c>
    </row>
    <row r="89" spans="1:12" x14ac:dyDescent="0.25">
      <c r="A89" s="4">
        <v>42126</v>
      </c>
      <c r="B89" s="3" t="s">
        <v>29</v>
      </c>
      <c r="C89" s="3" t="s">
        <v>2</v>
      </c>
      <c r="D89" s="3" t="s">
        <v>35</v>
      </c>
      <c r="E89" s="3">
        <v>5</v>
      </c>
      <c r="F89" s="5">
        <f t="shared" si="1"/>
        <v>20</v>
      </c>
    </row>
    <row r="90" spans="1:12" x14ac:dyDescent="0.25">
      <c r="A90" s="4">
        <v>42050</v>
      </c>
      <c r="B90" s="3" t="s">
        <v>38</v>
      </c>
      <c r="C90" s="3" t="s">
        <v>19</v>
      </c>
      <c r="D90" s="3" t="s">
        <v>27</v>
      </c>
      <c r="E90" s="3">
        <v>11</v>
      </c>
      <c r="F90" s="5">
        <f t="shared" si="1"/>
        <v>5.5</v>
      </c>
    </row>
    <row r="91" spans="1:12" x14ac:dyDescent="0.25">
      <c r="A91" s="4">
        <v>42072</v>
      </c>
      <c r="B91" s="3" t="s">
        <v>39</v>
      </c>
      <c r="C91" s="3" t="s">
        <v>10</v>
      </c>
      <c r="D91" s="3" t="s">
        <v>33</v>
      </c>
      <c r="E91" s="3">
        <v>7</v>
      </c>
      <c r="F91" s="5">
        <f t="shared" si="1"/>
        <v>35</v>
      </c>
    </row>
    <row r="92" spans="1:12" x14ac:dyDescent="0.25">
      <c r="A92" s="4">
        <v>42035</v>
      </c>
      <c r="B92" s="3" t="s">
        <v>37</v>
      </c>
      <c r="C92" s="3" t="s">
        <v>5</v>
      </c>
      <c r="D92" s="3" t="s">
        <v>33</v>
      </c>
      <c r="E92" s="3">
        <v>40</v>
      </c>
      <c r="F92" s="5">
        <f t="shared" si="1"/>
        <v>200</v>
      </c>
    </row>
    <row r="93" spans="1:12" x14ac:dyDescent="0.25">
      <c r="A93" s="4">
        <v>42169</v>
      </c>
      <c r="B93" s="3" t="s">
        <v>37</v>
      </c>
      <c r="C93" s="3" t="s">
        <v>5</v>
      </c>
      <c r="D93" s="3" t="s">
        <v>28</v>
      </c>
      <c r="E93" s="3">
        <v>44</v>
      </c>
      <c r="F93" s="5">
        <f t="shared" si="1"/>
        <v>88</v>
      </c>
    </row>
    <row r="94" spans="1:12" x14ac:dyDescent="0.25">
      <c r="A94" s="4">
        <v>42133</v>
      </c>
      <c r="B94" s="3" t="s">
        <v>39</v>
      </c>
      <c r="C94" s="3" t="s">
        <v>2</v>
      </c>
      <c r="D94" s="3" t="s">
        <v>34</v>
      </c>
      <c r="E94" s="3">
        <v>50</v>
      </c>
      <c r="F94" s="5">
        <f t="shared" si="1"/>
        <v>10</v>
      </c>
    </row>
    <row r="95" spans="1:12" x14ac:dyDescent="0.25">
      <c r="A95" s="4">
        <v>42132</v>
      </c>
      <c r="B95" s="3" t="s">
        <v>37</v>
      </c>
      <c r="C95" s="3" t="s">
        <v>2</v>
      </c>
      <c r="D95" s="3" t="s">
        <v>35</v>
      </c>
      <c r="E95" s="3">
        <v>22</v>
      </c>
      <c r="F95" s="5">
        <f t="shared" si="1"/>
        <v>88</v>
      </c>
    </row>
    <row r="96" spans="1:12" x14ac:dyDescent="0.25">
      <c r="A96" s="4">
        <v>42091</v>
      </c>
      <c r="B96" s="3" t="s">
        <v>37</v>
      </c>
      <c r="C96" s="3" t="s">
        <v>10</v>
      </c>
      <c r="D96" s="3" t="s">
        <v>27</v>
      </c>
      <c r="E96" s="3">
        <v>35</v>
      </c>
      <c r="F96" s="5">
        <f t="shared" si="1"/>
        <v>17.5</v>
      </c>
    </row>
    <row r="97" spans="1:6" x14ac:dyDescent="0.25">
      <c r="A97" s="4">
        <v>42180</v>
      </c>
      <c r="B97" s="3" t="s">
        <v>26</v>
      </c>
      <c r="C97" s="3" t="s">
        <v>10</v>
      </c>
      <c r="D97" s="3" t="s">
        <v>35</v>
      </c>
      <c r="E97" s="3">
        <v>22</v>
      </c>
      <c r="F97" s="5">
        <f t="shared" si="1"/>
        <v>88</v>
      </c>
    </row>
    <row r="98" spans="1:6" x14ac:dyDescent="0.25">
      <c r="A98" s="4">
        <v>42172</v>
      </c>
      <c r="B98" s="3" t="s">
        <v>26</v>
      </c>
      <c r="C98" s="3" t="s">
        <v>5</v>
      </c>
      <c r="D98" s="3" t="s">
        <v>30</v>
      </c>
      <c r="E98" s="3">
        <v>6</v>
      </c>
      <c r="F98" s="5">
        <f t="shared" si="1"/>
        <v>0.60000000000000009</v>
      </c>
    </row>
    <row r="99" spans="1:6" x14ac:dyDescent="0.25">
      <c r="A99" s="4">
        <v>42046</v>
      </c>
      <c r="B99" s="3" t="s">
        <v>37</v>
      </c>
      <c r="C99" s="3" t="s">
        <v>6</v>
      </c>
      <c r="D99" s="3" t="s">
        <v>35</v>
      </c>
      <c r="E99" s="3">
        <v>49</v>
      </c>
      <c r="F99" s="5">
        <f t="shared" si="1"/>
        <v>196</v>
      </c>
    </row>
    <row r="100" spans="1:6" x14ac:dyDescent="0.25">
      <c r="A100" s="4">
        <v>42039</v>
      </c>
      <c r="B100" s="3" t="s">
        <v>37</v>
      </c>
      <c r="C100" s="3" t="s">
        <v>19</v>
      </c>
      <c r="D100" s="3" t="s">
        <v>35</v>
      </c>
      <c r="E100" s="3">
        <v>24</v>
      </c>
      <c r="F100" s="5">
        <f t="shared" si="1"/>
        <v>96</v>
      </c>
    </row>
    <row r="101" spans="1:6" x14ac:dyDescent="0.25">
      <c r="A101" s="4">
        <v>42114</v>
      </c>
      <c r="B101" s="3" t="s">
        <v>26</v>
      </c>
      <c r="C101" s="3" t="s">
        <v>10</v>
      </c>
      <c r="D101" s="3" t="s">
        <v>31</v>
      </c>
      <c r="E101" s="3">
        <v>2</v>
      </c>
      <c r="F101" s="5">
        <f t="shared" si="1"/>
        <v>5</v>
      </c>
    </row>
    <row r="102" spans="1:6" x14ac:dyDescent="0.25">
      <c r="A102" s="4">
        <v>42165</v>
      </c>
      <c r="B102" s="3" t="s">
        <v>37</v>
      </c>
      <c r="C102" s="3" t="s">
        <v>2</v>
      </c>
      <c r="D102" s="3" t="s">
        <v>34</v>
      </c>
      <c r="E102" s="3">
        <v>20</v>
      </c>
      <c r="F102" s="5">
        <f t="shared" si="1"/>
        <v>4</v>
      </c>
    </row>
    <row r="103" spans="1:6" x14ac:dyDescent="0.25">
      <c r="A103" s="4">
        <v>42136</v>
      </c>
      <c r="B103" s="3" t="s">
        <v>38</v>
      </c>
      <c r="C103" s="3" t="s">
        <v>10</v>
      </c>
      <c r="D103" s="3" t="s">
        <v>36</v>
      </c>
      <c r="E103" s="3">
        <v>26</v>
      </c>
      <c r="F103" s="5">
        <f t="shared" si="1"/>
        <v>39</v>
      </c>
    </row>
    <row r="104" spans="1:6" x14ac:dyDescent="0.25">
      <c r="A104" s="4">
        <v>42121</v>
      </c>
      <c r="B104" s="3" t="s">
        <v>39</v>
      </c>
      <c r="C104" s="3" t="s">
        <v>19</v>
      </c>
      <c r="D104" s="3" t="s">
        <v>36</v>
      </c>
      <c r="E104" s="3">
        <v>24</v>
      </c>
      <c r="F104" s="5">
        <f t="shared" si="1"/>
        <v>36</v>
      </c>
    </row>
    <row r="105" spans="1:6" x14ac:dyDescent="0.25">
      <c r="A105" s="4">
        <v>42184</v>
      </c>
      <c r="B105" s="3" t="s">
        <v>38</v>
      </c>
      <c r="C105" s="3" t="s">
        <v>2</v>
      </c>
      <c r="D105" s="3" t="s">
        <v>28</v>
      </c>
      <c r="E105" s="3">
        <v>41</v>
      </c>
      <c r="F105" s="5">
        <f t="shared" si="1"/>
        <v>82</v>
      </c>
    </row>
    <row r="106" spans="1:6" x14ac:dyDescent="0.25">
      <c r="A106" s="4">
        <v>42026</v>
      </c>
      <c r="B106" s="3" t="s">
        <v>26</v>
      </c>
      <c r="C106" s="3" t="s">
        <v>2</v>
      </c>
      <c r="D106" s="3" t="s">
        <v>31</v>
      </c>
      <c r="E106" s="3">
        <v>27</v>
      </c>
      <c r="F106" s="5">
        <f t="shared" si="1"/>
        <v>67.5</v>
      </c>
    </row>
    <row r="107" spans="1:6" x14ac:dyDescent="0.25">
      <c r="A107" s="4">
        <v>42039</v>
      </c>
      <c r="B107" s="3" t="s">
        <v>29</v>
      </c>
      <c r="C107" s="3" t="s">
        <v>6</v>
      </c>
      <c r="D107" s="3" t="s">
        <v>31</v>
      </c>
      <c r="E107" s="3">
        <v>29</v>
      </c>
      <c r="F107" s="5">
        <f t="shared" si="1"/>
        <v>72.5</v>
      </c>
    </row>
    <row r="108" spans="1:6" x14ac:dyDescent="0.25">
      <c r="A108" s="4">
        <v>42174</v>
      </c>
      <c r="B108" s="3" t="s">
        <v>29</v>
      </c>
      <c r="C108" s="3" t="s">
        <v>5</v>
      </c>
      <c r="D108" s="3" t="s">
        <v>28</v>
      </c>
      <c r="E108" s="3">
        <v>40</v>
      </c>
      <c r="F108" s="5">
        <f t="shared" si="1"/>
        <v>80</v>
      </c>
    </row>
    <row r="109" spans="1:6" x14ac:dyDescent="0.25">
      <c r="A109" s="4">
        <v>42130</v>
      </c>
      <c r="B109" s="3" t="s">
        <v>37</v>
      </c>
      <c r="C109" s="3" t="s">
        <v>19</v>
      </c>
      <c r="D109" s="3" t="s">
        <v>34</v>
      </c>
      <c r="E109" s="3">
        <v>32</v>
      </c>
      <c r="F109" s="5">
        <f t="shared" si="1"/>
        <v>6.4</v>
      </c>
    </row>
    <row r="110" spans="1:6" x14ac:dyDescent="0.25">
      <c r="A110" s="4">
        <v>42013</v>
      </c>
      <c r="B110" s="3" t="s">
        <v>38</v>
      </c>
      <c r="C110" s="3" t="s">
        <v>2</v>
      </c>
      <c r="D110" s="3" t="s">
        <v>28</v>
      </c>
      <c r="E110" s="3">
        <v>29</v>
      </c>
      <c r="F110" s="5">
        <f t="shared" si="1"/>
        <v>58</v>
      </c>
    </row>
    <row r="111" spans="1:6" x14ac:dyDescent="0.25">
      <c r="A111" s="4">
        <v>42068</v>
      </c>
      <c r="B111" s="3" t="s">
        <v>32</v>
      </c>
      <c r="C111" s="3" t="s">
        <v>6</v>
      </c>
      <c r="D111" s="3" t="s">
        <v>31</v>
      </c>
      <c r="E111" s="3">
        <v>19</v>
      </c>
      <c r="F111" s="5">
        <f t="shared" si="1"/>
        <v>47.5</v>
      </c>
    </row>
    <row r="112" spans="1:6" x14ac:dyDescent="0.25">
      <c r="A112" s="4">
        <v>42093</v>
      </c>
      <c r="B112" s="3" t="s">
        <v>29</v>
      </c>
      <c r="C112" s="3" t="s">
        <v>5</v>
      </c>
      <c r="D112" s="3" t="s">
        <v>28</v>
      </c>
      <c r="E112" s="3">
        <v>15</v>
      </c>
      <c r="F112" s="5">
        <f t="shared" si="1"/>
        <v>30</v>
      </c>
    </row>
    <row r="113" spans="1:6" x14ac:dyDescent="0.25">
      <c r="A113" s="4">
        <v>42178</v>
      </c>
      <c r="B113" s="3" t="s">
        <v>37</v>
      </c>
      <c r="C113" s="3" t="s">
        <v>6</v>
      </c>
      <c r="D113" s="3" t="s">
        <v>30</v>
      </c>
      <c r="E113" s="3">
        <v>24</v>
      </c>
      <c r="F113" s="5">
        <f t="shared" si="1"/>
        <v>2.4000000000000004</v>
      </c>
    </row>
    <row r="114" spans="1:6" x14ac:dyDescent="0.25">
      <c r="A114" s="4">
        <v>42097</v>
      </c>
      <c r="B114" s="3" t="s">
        <v>38</v>
      </c>
      <c r="C114" s="3" t="s">
        <v>5</v>
      </c>
      <c r="D114" s="3" t="s">
        <v>28</v>
      </c>
      <c r="E114" s="3">
        <v>21</v>
      </c>
      <c r="F114" s="5">
        <f t="shared" si="1"/>
        <v>42</v>
      </c>
    </row>
    <row r="115" spans="1:6" x14ac:dyDescent="0.25">
      <c r="A115" s="4">
        <v>42140</v>
      </c>
      <c r="B115" s="3" t="s">
        <v>32</v>
      </c>
      <c r="C115" s="3" t="s">
        <v>10</v>
      </c>
      <c r="D115" s="3" t="s">
        <v>28</v>
      </c>
      <c r="E115" s="3">
        <v>16</v>
      </c>
      <c r="F115" s="5">
        <f t="shared" si="1"/>
        <v>32</v>
      </c>
    </row>
    <row r="116" spans="1:6" x14ac:dyDescent="0.25">
      <c r="A116" s="4">
        <v>42010</v>
      </c>
      <c r="B116" s="3" t="s">
        <v>38</v>
      </c>
      <c r="C116" s="3" t="s">
        <v>19</v>
      </c>
      <c r="D116" s="3" t="s">
        <v>31</v>
      </c>
      <c r="E116" s="3">
        <v>44</v>
      </c>
      <c r="F116" s="5">
        <f t="shared" si="1"/>
        <v>110</v>
      </c>
    </row>
    <row r="117" spans="1:6" x14ac:dyDescent="0.25">
      <c r="A117" s="4">
        <v>42019</v>
      </c>
      <c r="B117" s="3" t="s">
        <v>29</v>
      </c>
      <c r="C117" s="3" t="s">
        <v>5</v>
      </c>
      <c r="D117" s="3" t="s">
        <v>28</v>
      </c>
      <c r="E117" s="3">
        <v>4</v>
      </c>
      <c r="F117" s="5">
        <f t="shared" si="1"/>
        <v>8</v>
      </c>
    </row>
    <row r="118" spans="1:6" x14ac:dyDescent="0.25">
      <c r="A118" s="4">
        <v>42095</v>
      </c>
      <c r="B118" s="3" t="s">
        <v>39</v>
      </c>
      <c r="C118" s="3" t="s">
        <v>19</v>
      </c>
      <c r="D118" s="3" t="s">
        <v>28</v>
      </c>
      <c r="E118" s="3">
        <v>5</v>
      </c>
      <c r="F118" s="5">
        <f t="shared" si="1"/>
        <v>10</v>
      </c>
    </row>
    <row r="119" spans="1:6" x14ac:dyDescent="0.25">
      <c r="A119" s="4">
        <v>42089</v>
      </c>
      <c r="B119" s="3" t="s">
        <v>39</v>
      </c>
      <c r="C119" s="3" t="s">
        <v>19</v>
      </c>
      <c r="D119" s="3" t="s">
        <v>33</v>
      </c>
      <c r="E119" s="3">
        <v>1</v>
      </c>
      <c r="F119" s="5">
        <f t="shared" si="1"/>
        <v>5</v>
      </c>
    </row>
    <row r="120" spans="1:6" x14ac:dyDescent="0.25">
      <c r="A120" s="4">
        <v>42175</v>
      </c>
      <c r="B120" s="3" t="s">
        <v>37</v>
      </c>
      <c r="C120" s="3" t="s">
        <v>19</v>
      </c>
      <c r="D120" s="3" t="s">
        <v>30</v>
      </c>
      <c r="E120" s="3">
        <v>43</v>
      </c>
      <c r="F120" s="5">
        <f t="shared" si="1"/>
        <v>4.3</v>
      </c>
    </row>
    <row r="121" spans="1:6" x14ac:dyDescent="0.25">
      <c r="A121" s="4">
        <v>42138</v>
      </c>
      <c r="B121" s="3" t="s">
        <v>26</v>
      </c>
      <c r="C121" s="3" t="s">
        <v>5</v>
      </c>
      <c r="D121" s="3" t="s">
        <v>33</v>
      </c>
      <c r="E121" s="3">
        <v>34</v>
      </c>
      <c r="F121" s="5">
        <f t="shared" si="1"/>
        <v>170</v>
      </c>
    </row>
    <row r="122" spans="1:6" x14ac:dyDescent="0.25">
      <c r="A122" s="4">
        <v>42143</v>
      </c>
      <c r="B122" s="3" t="s">
        <v>29</v>
      </c>
      <c r="C122" s="3" t="s">
        <v>2</v>
      </c>
      <c r="D122" s="3" t="s">
        <v>31</v>
      </c>
      <c r="E122" s="3">
        <v>20</v>
      </c>
      <c r="F122" s="5">
        <f t="shared" si="1"/>
        <v>50</v>
      </c>
    </row>
    <row r="123" spans="1:6" x14ac:dyDescent="0.25">
      <c r="A123" s="4">
        <v>42011</v>
      </c>
      <c r="B123" s="3" t="s">
        <v>38</v>
      </c>
      <c r="C123" s="3" t="s">
        <v>5</v>
      </c>
      <c r="D123" s="3" t="s">
        <v>36</v>
      </c>
      <c r="E123" s="3">
        <v>17</v>
      </c>
      <c r="F123" s="5">
        <f t="shared" si="1"/>
        <v>25.5</v>
      </c>
    </row>
    <row r="124" spans="1:6" x14ac:dyDescent="0.25">
      <c r="A124" s="4">
        <v>42138</v>
      </c>
      <c r="B124" s="3" t="s">
        <v>39</v>
      </c>
      <c r="C124" s="3" t="s">
        <v>6</v>
      </c>
      <c r="D124" s="3" t="s">
        <v>36</v>
      </c>
      <c r="E124" s="3">
        <v>23</v>
      </c>
      <c r="F124" s="5">
        <f t="shared" si="1"/>
        <v>34.5</v>
      </c>
    </row>
    <row r="125" spans="1:6" x14ac:dyDescent="0.25">
      <c r="A125" s="4">
        <v>42166</v>
      </c>
      <c r="B125" s="3" t="s">
        <v>37</v>
      </c>
      <c r="C125" s="3" t="s">
        <v>19</v>
      </c>
      <c r="D125" s="3" t="s">
        <v>30</v>
      </c>
      <c r="E125" s="3">
        <v>22</v>
      </c>
      <c r="F125" s="5">
        <f t="shared" si="1"/>
        <v>2.2000000000000002</v>
      </c>
    </row>
    <row r="126" spans="1:6" x14ac:dyDescent="0.25">
      <c r="A126" s="4">
        <v>42043</v>
      </c>
      <c r="B126" s="3" t="s">
        <v>39</v>
      </c>
      <c r="C126" s="3" t="s">
        <v>6</v>
      </c>
      <c r="D126" s="3" t="s">
        <v>33</v>
      </c>
      <c r="E126" s="3">
        <v>40</v>
      </c>
      <c r="F126" s="5">
        <f t="shared" si="1"/>
        <v>200</v>
      </c>
    </row>
    <row r="127" spans="1:6" x14ac:dyDescent="0.25">
      <c r="A127" s="4">
        <v>42184</v>
      </c>
      <c r="B127" s="3" t="s">
        <v>29</v>
      </c>
      <c r="C127" s="3" t="s">
        <v>6</v>
      </c>
      <c r="D127" s="3" t="s">
        <v>35</v>
      </c>
      <c r="E127" s="3">
        <v>50</v>
      </c>
      <c r="F127" s="5">
        <f t="shared" si="1"/>
        <v>200</v>
      </c>
    </row>
    <row r="128" spans="1:6" x14ac:dyDescent="0.25">
      <c r="A128" s="4">
        <v>42176</v>
      </c>
      <c r="B128" s="3" t="s">
        <v>39</v>
      </c>
      <c r="C128" s="3" t="s">
        <v>5</v>
      </c>
      <c r="D128" s="3" t="s">
        <v>30</v>
      </c>
      <c r="E128" s="3">
        <v>29</v>
      </c>
      <c r="F128" s="5">
        <f t="shared" si="1"/>
        <v>2.9000000000000004</v>
      </c>
    </row>
    <row r="129" spans="1:6" x14ac:dyDescent="0.25">
      <c r="A129" s="4">
        <v>42062</v>
      </c>
      <c r="B129" s="3" t="s">
        <v>38</v>
      </c>
      <c r="C129" s="3" t="s">
        <v>10</v>
      </c>
      <c r="D129" s="3" t="s">
        <v>34</v>
      </c>
      <c r="E129" s="3">
        <v>17</v>
      </c>
      <c r="F129" s="5">
        <f t="shared" si="1"/>
        <v>3.4000000000000004</v>
      </c>
    </row>
    <row r="130" spans="1:6" x14ac:dyDescent="0.25">
      <c r="A130" s="4">
        <v>42162</v>
      </c>
      <c r="B130" s="3" t="s">
        <v>26</v>
      </c>
      <c r="C130" s="3" t="s">
        <v>19</v>
      </c>
      <c r="D130" s="3" t="s">
        <v>35</v>
      </c>
      <c r="E130" s="3">
        <v>42</v>
      </c>
      <c r="F130" s="5">
        <f t="shared" si="1"/>
        <v>168</v>
      </c>
    </row>
    <row r="131" spans="1:6" x14ac:dyDescent="0.25">
      <c r="A131" s="4">
        <v>42127</v>
      </c>
      <c r="B131" s="3" t="s">
        <v>26</v>
      </c>
      <c r="C131" s="3" t="s">
        <v>10</v>
      </c>
      <c r="D131" s="3" t="s">
        <v>28</v>
      </c>
      <c r="E131" s="3">
        <v>50</v>
      </c>
      <c r="F131" s="5">
        <f t="shared" si="1"/>
        <v>100</v>
      </c>
    </row>
    <row r="132" spans="1:6" x14ac:dyDescent="0.25">
      <c r="A132" s="4">
        <v>42100</v>
      </c>
      <c r="B132" s="3" t="s">
        <v>39</v>
      </c>
      <c r="C132" s="3" t="s">
        <v>19</v>
      </c>
      <c r="D132" s="3" t="s">
        <v>35</v>
      </c>
      <c r="E132" s="3">
        <v>20</v>
      </c>
      <c r="F132" s="5">
        <f t="shared" si="1"/>
        <v>80</v>
      </c>
    </row>
    <row r="133" spans="1:6" x14ac:dyDescent="0.25">
      <c r="A133" s="4">
        <v>42164</v>
      </c>
      <c r="B133" s="3" t="s">
        <v>32</v>
      </c>
      <c r="C133" s="3" t="s">
        <v>2</v>
      </c>
      <c r="D133" s="3" t="s">
        <v>30</v>
      </c>
      <c r="E133" s="3">
        <v>7</v>
      </c>
      <c r="F133" s="5">
        <f t="shared" si="1"/>
        <v>0.70000000000000007</v>
      </c>
    </row>
    <row r="134" spans="1:6" x14ac:dyDescent="0.25">
      <c r="A134" s="4">
        <v>42074</v>
      </c>
      <c r="B134" s="3" t="s">
        <v>26</v>
      </c>
      <c r="C134" s="3" t="s">
        <v>6</v>
      </c>
      <c r="D134" s="3" t="s">
        <v>34</v>
      </c>
      <c r="E134" s="3">
        <v>23</v>
      </c>
      <c r="F134" s="5">
        <f t="shared" si="1"/>
        <v>4.6000000000000005</v>
      </c>
    </row>
    <row r="135" spans="1:6" x14ac:dyDescent="0.25">
      <c r="A135" s="4">
        <v>42168</v>
      </c>
      <c r="B135" s="3" t="s">
        <v>29</v>
      </c>
      <c r="C135" s="3" t="s">
        <v>10</v>
      </c>
      <c r="D135" s="3" t="s">
        <v>30</v>
      </c>
      <c r="E135" s="3">
        <v>41</v>
      </c>
      <c r="F135" s="5">
        <f t="shared" ref="F135:F198" si="2">E135*VLOOKUP(D135,$W$6:$X$13,2,0)</f>
        <v>4.1000000000000005</v>
      </c>
    </row>
    <row r="136" spans="1:6" x14ac:dyDescent="0.25">
      <c r="A136" s="4">
        <v>42067</v>
      </c>
      <c r="B136" s="3" t="s">
        <v>32</v>
      </c>
      <c r="C136" s="3" t="s">
        <v>10</v>
      </c>
      <c r="D136" s="3" t="s">
        <v>33</v>
      </c>
      <c r="E136" s="3">
        <v>10</v>
      </c>
      <c r="F136" s="5">
        <f t="shared" si="2"/>
        <v>50</v>
      </c>
    </row>
    <row r="137" spans="1:6" x14ac:dyDescent="0.25">
      <c r="A137" s="4">
        <v>42133</v>
      </c>
      <c r="B137" s="3" t="s">
        <v>32</v>
      </c>
      <c r="C137" s="3" t="s">
        <v>6</v>
      </c>
      <c r="D137" s="3" t="s">
        <v>27</v>
      </c>
      <c r="E137" s="3">
        <v>50</v>
      </c>
      <c r="F137" s="5">
        <f t="shared" si="2"/>
        <v>25</v>
      </c>
    </row>
    <row r="138" spans="1:6" x14ac:dyDescent="0.25">
      <c r="A138" s="4">
        <v>42161</v>
      </c>
      <c r="B138" s="3" t="s">
        <v>38</v>
      </c>
      <c r="C138" s="3" t="s">
        <v>19</v>
      </c>
      <c r="D138" s="3" t="s">
        <v>34</v>
      </c>
      <c r="E138" s="3">
        <v>6</v>
      </c>
      <c r="F138" s="5">
        <f t="shared" si="2"/>
        <v>1.2000000000000002</v>
      </c>
    </row>
    <row r="139" spans="1:6" x14ac:dyDescent="0.25">
      <c r="A139" s="4">
        <v>42032</v>
      </c>
      <c r="B139" s="3" t="s">
        <v>37</v>
      </c>
      <c r="C139" s="3" t="s">
        <v>2</v>
      </c>
      <c r="D139" s="3" t="s">
        <v>31</v>
      </c>
      <c r="E139" s="3">
        <v>37</v>
      </c>
      <c r="F139" s="5">
        <f t="shared" si="2"/>
        <v>92.5</v>
      </c>
    </row>
    <row r="140" spans="1:6" x14ac:dyDescent="0.25">
      <c r="A140" s="4">
        <v>42117</v>
      </c>
      <c r="B140" s="3" t="s">
        <v>26</v>
      </c>
      <c r="C140" s="3" t="s">
        <v>2</v>
      </c>
      <c r="D140" s="3" t="s">
        <v>30</v>
      </c>
      <c r="E140" s="3">
        <v>2</v>
      </c>
      <c r="F140" s="5">
        <f t="shared" si="2"/>
        <v>0.2</v>
      </c>
    </row>
    <row r="141" spans="1:6" x14ac:dyDescent="0.25">
      <c r="A141" s="4">
        <v>42125</v>
      </c>
      <c r="B141" s="3" t="s">
        <v>37</v>
      </c>
      <c r="C141" s="3" t="s">
        <v>2</v>
      </c>
      <c r="D141" s="3" t="s">
        <v>36</v>
      </c>
      <c r="E141" s="3">
        <v>36</v>
      </c>
      <c r="F141" s="5">
        <f t="shared" si="2"/>
        <v>54</v>
      </c>
    </row>
    <row r="142" spans="1:6" x14ac:dyDescent="0.25">
      <c r="A142" s="4">
        <v>42153</v>
      </c>
      <c r="B142" s="3" t="s">
        <v>38</v>
      </c>
      <c r="C142" s="3" t="s">
        <v>5</v>
      </c>
      <c r="D142" s="3" t="s">
        <v>30</v>
      </c>
      <c r="E142" s="3">
        <v>28</v>
      </c>
      <c r="F142" s="5">
        <f t="shared" si="2"/>
        <v>2.8000000000000003</v>
      </c>
    </row>
    <row r="143" spans="1:6" x14ac:dyDescent="0.25">
      <c r="A143" s="4">
        <v>42149</v>
      </c>
      <c r="B143" s="3" t="s">
        <v>32</v>
      </c>
      <c r="C143" s="3" t="s">
        <v>10</v>
      </c>
      <c r="D143" s="3" t="s">
        <v>33</v>
      </c>
      <c r="E143" s="3">
        <v>10</v>
      </c>
      <c r="F143" s="5">
        <f t="shared" si="2"/>
        <v>50</v>
      </c>
    </row>
    <row r="144" spans="1:6" x14ac:dyDescent="0.25">
      <c r="A144" s="4">
        <v>42107</v>
      </c>
      <c r="B144" s="3" t="s">
        <v>39</v>
      </c>
      <c r="C144" s="3" t="s">
        <v>5</v>
      </c>
      <c r="D144" s="3" t="s">
        <v>36</v>
      </c>
      <c r="E144" s="3">
        <v>47</v>
      </c>
      <c r="F144" s="5">
        <f t="shared" si="2"/>
        <v>70.5</v>
      </c>
    </row>
    <row r="145" spans="1:6" x14ac:dyDescent="0.25">
      <c r="A145" s="4">
        <v>42178</v>
      </c>
      <c r="B145" s="3" t="s">
        <v>39</v>
      </c>
      <c r="C145" s="3" t="s">
        <v>10</v>
      </c>
      <c r="D145" s="3" t="s">
        <v>28</v>
      </c>
      <c r="E145" s="3">
        <v>44</v>
      </c>
      <c r="F145" s="5">
        <f t="shared" si="2"/>
        <v>88</v>
      </c>
    </row>
    <row r="146" spans="1:6" x14ac:dyDescent="0.25">
      <c r="A146" s="4">
        <v>42033</v>
      </c>
      <c r="B146" s="3" t="s">
        <v>37</v>
      </c>
      <c r="C146" s="3" t="s">
        <v>2</v>
      </c>
      <c r="D146" s="3" t="s">
        <v>35</v>
      </c>
      <c r="E146" s="3">
        <v>12</v>
      </c>
      <c r="F146" s="5">
        <f t="shared" si="2"/>
        <v>48</v>
      </c>
    </row>
    <row r="147" spans="1:6" x14ac:dyDescent="0.25">
      <c r="A147" s="4">
        <v>42132</v>
      </c>
      <c r="B147" s="3" t="s">
        <v>29</v>
      </c>
      <c r="C147" s="3" t="s">
        <v>2</v>
      </c>
      <c r="D147" s="3" t="s">
        <v>27</v>
      </c>
      <c r="E147" s="3">
        <v>14</v>
      </c>
      <c r="F147" s="5">
        <f t="shared" si="2"/>
        <v>7</v>
      </c>
    </row>
    <row r="148" spans="1:6" x14ac:dyDescent="0.25">
      <c r="A148" s="4">
        <v>42006</v>
      </c>
      <c r="B148" s="3" t="s">
        <v>32</v>
      </c>
      <c r="C148" s="3" t="s">
        <v>6</v>
      </c>
      <c r="D148" s="3" t="s">
        <v>34</v>
      </c>
      <c r="E148" s="3">
        <v>44</v>
      </c>
      <c r="F148" s="5">
        <f t="shared" si="2"/>
        <v>8.8000000000000007</v>
      </c>
    </row>
    <row r="149" spans="1:6" x14ac:dyDescent="0.25">
      <c r="A149" s="4">
        <v>42173</v>
      </c>
      <c r="B149" s="3" t="s">
        <v>29</v>
      </c>
      <c r="C149" s="3" t="s">
        <v>10</v>
      </c>
      <c r="D149" s="3" t="s">
        <v>31</v>
      </c>
      <c r="E149" s="3">
        <v>12</v>
      </c>
      <c r="F149" s="5">
        <f t="shared" si="2"/>
        <v>30</v>
      </c>
    </row>
    <row r="150" spans="1:6" x14ac:dyDescent="0.25">
      <c r="A150" s="4">
        <v>42093</v>
      </c>
      <c r="B150" s="3" t="s">
        <v>26</v>
      </c>
      <c r="C150" s="3" t="s">
        <v>19</v>
      </c>
      <c r="D150" s="3" t="s">
        <v>31</v>
      </c>
      <c r="E150" s="3">
        <v>35</v>
      </c>
      <c r="F150" s="5">
        <f t="shared" si="2"/>
        <v>87.5</v>
      </c>
    </row>
    <row r="151" spans="1:6" x14ac:dyDescent="0.25">
      <c r="A151" s="4">
        <v>42093</v>
      </c>
      <c r="B151" s="3" t="s">
        <v>32</v>
      </c>
      <c r="C151" s="3" t="s">
        <v>6</v>
      </c>
      <c r="D151" s="3" t="s">
        <v>36</v>
      </c>
      <c r="E151" s="3">
        <v>19</v>
      </c>
      <c r="F151" s="5">
        <f t="shared" si="2"/>
        <v>28.5</v>
      </c>
    </row>
    <row r="152" spans="1:6" x14ac:dyDescent="0.25">
      <c r="A152" s="4">
        <v>42033</v>
      </c>
      <c r="B152" s="3" t="s">
        <v>38</v>
      </c>
      <c r="C152" s="3" t="s">
        <v>10</v>
      </c>
      <c r="D152" s="3" t="s">
        <v>34</v>
      </c>
      <c r="E152" s="3">
        <v>9</v>
      </c>
      <c r="F152" s="5">
        <f t="shared" si="2"/>
        <v>1.8</v>
      </c>
    </row>
    <row r="153" spans="1:6" x14ac:dyDescent="0.25">
      <c r="A153" s="4">
        <v>42184</v>
      </c>
      <c r="B153" s="3" t="s">
        <v>32</v>
      </c>
      <c r="C153" s="3" t="s">
        <v>5</v>
      </c>
      <c r="D153" s="3" t="s">
        <v>36</v>
      </c>
      <c r="E153" s="3">
        <v>16</v>
      </c>
      <c r="F153" s="5">
        <f t="shared" si="2"/>
        <v>24</v>
      </c>
    </row>
    <row r="154" spans="1:6" x14ac:dyDescent="0.25">
      <c r="A154" s="4">
        <v>42072</v>
      </c>
      <c r="B154" s="3" t="s">
        <v>37</v>
      </c>
      <c r="C154" s="3" t="s">
        <v>2</v>
      </c>
      <c r="D154" s="3" t="s">
        <v>31</v>
      </c>
      <c r="E154" s="3">
        <v>39</v>
      </c>
      <c r="F154" s="5">
        <f t="shared" si="2"/>
        <v>97.5</v>
      </c>
    </row>
    <row r="155" spans="1:6" x14ac:dyDescent="0.25">
      <c r="A155" s="4">
        <v>42131</v>
      </c>
      <c r="B155" s="3" t="s">
        <v>39</v>
      </c>
      <c r="C155" s="3" t="s">
        <v>5</v>
      </c>
      <c r="D155" s="3" t="s">
        <v>34</v>
      </c>
      <c r="E155" s="3">
        <v>25</v>
      </c>
      <c r="F155" s="5">
        <f t="shared" si="2"/>
        <v>5</v>
      </c>
    </row>
    <row r="156" spans="1:6" x14ac:dyDescent="0.25">
      <c r="A156" s="4">
        <v>42018</v>
      </c>
      <c r="B156" s="3" t="s">
        <v>39</v>
      </c>
      <c r="C156" s="3" t="s">
        <v>19</v>
      </c>
      <c r="D156" s="3" t="s">
        <v>28</v>
      </c>
      <c r="E156" s="3">
        <v>13</v>
      </c>
      <c r="F156" s="5">
        <f t="shared" si="2"/>
        <v>26</v>
      </c>
    </row>
    <row r="157" spans="1:6" x14ac:dyDescent="0.25">
      <c r="A157" s="4">
        <v>42128</v>
      </c>
      <c r="B157" s="3" t="s">
        <v>39</v>
      </c>
      <c r="C157" s="3" t="s">
        <v>10</v>
      </c>
      <c r="D157" s="3" t="s">
        <v>27</v>
      </c>
      <c r="E157" s="3">
        <v>40</v>
      </c>
      <c r="F157" s="5">
        <f t="shared" si="2"/>
        <v>20</v>
      </c>
    </row>
    <row r="158" spans="1:6" x14ac:dyDescent="0.25">
      <c r="A158" s="4">
        <v>42029</v>
      </c>
      <c r="B158" s="3" t="s">
        <v>37</v>
      </c>
      <c r="C158" s="3" t="s">
        <v>2</v>
      </c>
      <c r="D158" s="3" t="s">
        <v>36</v>
      </c>
      <c r="E158" s="3">
        <v>20</v>
      </c>
      <c r="F158" s="5">
        <f t="shared" si="2"/>
        <v>30</v>
      </c>
    </row>
    <row r="159" spans="1:6" x14ac:dyDescent="0.25">
      <c r="A159" s="4">
        <v>42133</v>
      </c>
      <c r="B159" s="3" t="s">
        <v>38</v>
      </c>
      <c r="C159" s="3" t="s">
        <v>5</v>
      </c>
      <c r="D159" s="3" t="s">
        <v>34</v>
      </c>
      <c r="E159" s="3">
        <v>24</v>
      </c>
      <c r="F159" s="5">
        <f t="shared" si="2"/>
        <v>4.8000000000000007</v>
      </c>
    </row>
    <row r="160" spans="1:6" x14ac:dyDescent="0.25">
      <c r="A160" s="4">
        <v>42079</v>
      </c>
      <c r="B160" s="3" t="s">
        <v>26</v>
      </c>
      <c r="C160" s="3" t="s">
        <v>2</v>
      </c>
      <c r="D160" s="3" t="s">
        <v>30</v>
      </c>
      <c r="E160" s="3">
        <v>47</v>
      </c>
      <c r="F160" s="5">
        <f t="shared" si="2"/>
        <v>4.7</v>
      </c>
    </row>
    <row r="161" spans="1:6" x14ac:dyDescent="0.25">
      <c r="A161" s="4">
        <v>42112</v>
      </c>
      <c r="B161" s="3" t="s">
        <v>32</v>
      </c>
      <c r="C161" s="3" t="s">
        <v>6</v>
      </c>
      <c r="D161" s="3" t="s">
        <v>34</v>
      </c>
      <c r="E161" s="3">
        <v>4</v>
      </c>
      <c r="F161" s="5">
        <f t="shared" si="2"/>
        <v>0.8</v>
      </c>
    </row>
    <row r="162" spans="1:6" x14ac:dyDescent="0.25">
      <c r="A162" s="4">
        <v>42083</v>
      </c>
      <c r="B162" s="3" t="s">
        <v>38</v>
      </c>
      <c r="C162" s="3" t="s">
        <v>5</v>
      </c>
      <c r="D162" s="3" t="s">
        <v>36</v>
      </c>
      <c r="E162" s="3">
        <v>34</v>
      </c>
      <c r="F162" s="5">
        <f t="shared" si="2"/>
        <v>51</v>
      </c>
    </row>
    <row r="163" spans="1:6" x14ac:dyDescent="0.25">
      <c r="A163" s="4">
        <v>42136</v>
      </c>
      <c r="B163" s="3" t="s">
        <v>29</v>
      </c>
      <c r="C163" s="3" t="s">
        <v>5</v>
      </c>
      <c r="D163" s="3" t="s">
        <v>34</v>
      </c>
      <c r="E163" s="3">
        <v>26</v>
      </c>
      <c r="F163" s="5">
        <f t="shared" si="2"/>
        <v>5.2</v>
      </c>
    </row>
    <row r="164" spans="1:6" x14ac:dyDescent="0.25">
      <c r="A164" s="4">
        <v>42016</v>
      </c>
      <c r="B164" s="3" t="s">
        <v>26</v>
      </c>
      <c r="C164" s="3" t="s">
        <v>5</v>
      </c>
      <c r="D164" s="3" t="s">
        <v>30</v>
      </c>
      <c r="E164" s="3">
        <v>8</v>
      </c>
      <c r="F164" s="5">
        <f t="shared" si="2"/>
        <v>0.8</v>
      </c>
    </row>
    <row r="165" spans="1:6" x14ac:dyDescent="0.25">
      <c r="A165" s="4">
        <v>42097</v>
      </c>
      <c r="B165" s="3" t="s">
        <v>29</v>
      </c>
      <c r="C165" s="3" t="s">
        <v>5</v>
      </c>
      <c r="D165" s="3" t="s">
        <v>36</v>
      </c>
      <c r="E165" s="3">
        <v>33</v>
      </c>
      <c r="F165" s="5">
        <f t="shared" si="2"/>
        <v>49.5</v>
      </c>
    </row>
    <row r="166" spans="1:6" x14ac:dyDescent="0.25">
      <c r="A166" s="4">
        <v>42150</v>
      </c>
      <c r="B166" s="3" t="s">
        <v>26</v>
      </c>
      <c r="C166" s="3" t="s">
        <v>19</v>
      </c>
      <c r="D166" s="3" t="s">
        <v>30</v>
      </c>
      <c r="E166" s="3">
        <v>40</v>
      </c>
      <c r="F166" s="5">
        <f t="shared" si="2"/>
        <v>4</v>
      </c>
    </row>
    <row r="167" spans="1:6" x14ac:dyDescent="0.25">
      <c r="A167" s="4">
        <v>42039</v>
      </c>
      <c r="B167" s="3" t="s">
        <v>26</v>
      </c>
      <c r="C167" s="3" t="s">
        <v>10</v>
      </c>
      <c r="D167" s="3" t="s">
        <v>28</v>
      </c>
      <c r="E167" s="3">
        <v>8</v>
      </c>
      <c r="F167" s="5">
        <f t="shared" si="2"/>
        <v>16</v>
      </c>
    </row>
    <row r="168" spans="1:6" x14ac:dyDescent="0.25">
      <c r="A168" s="4">
        <v>42147</v>
      </c>
      <c r="B168" s="3" t="s">
        <v>32</v>
      </c>
      <c r="C168" s="3" t="s">
        <v>10</v>
      </c>
      <c r="D168" s="3" t="s">
        <v>27</v>
      </c>
      <c r="E168" s="3">
        <v>40</v>
      </c>
      <c r="F168" s="5">
        <f t="shared" si="2"/>
        <v>20</v>
      </c>
    </row>
    <row r="169" spans="1:6" x14ac:dyDescent="0.25">
      <c r="A169" s="4">
        <v>42172</v>
      </c>
      <c r="B169" s="3" t="s">
        <v>39</v>
      </c>
      <c r="C169" s="3" t="s">
        <v>10</v>
      </c>
      <c r="D169" s="3" t="s">
        <v>34</v>
      </c>
      <c r="E169" s="3">
        <v>48</v>
      </c>
      <c r="F169" s="5">
        <f t="shared" si="2"/>
        <v>9.6000000000000014</v>
      </c>
    </row>
    <row r="170" spans="1:6" x14ac:dyDescent="0.25">
      <c r="A170" s="4">
        <v>42170</v>
      </c>
      <c r="B170" s="3" t="s">
        <v>26</v>
      </c>
      <c r="C170" s="3" t="s">
        <v>6</v>
      </c>
      <c r="D170" s="3" t="s">
        <v>30</v>
      </c>
      <c r="E170" s="3">
        <v>7</v>
      </c>
      <c r="F170" s="5">
        <f t="shared" si="2"/>
        <v>0.70000000000000007</v>
      </c>
    </row>
    <row r="171" spans="1:6" x14ac:dyDescent="0.25">
      <c r="A171" s="4">
        <v>42139</v>
      </c>
      <c r="B171" s="3" t="s">
        <v>37</v>
      </c>
      <c r="C171" s="3" t="s">
        <v>10</v>
      </c>
      <c r="D171" s="3" t="s">
        <v>27</v>
      </c>
      <c r="E171" s="3">
        <v>47</v>
      </c>
      <c r="F171" s="5">
        <f t="shared" si="2"/>
        <v>23.5</v>
      </c>
    </row>
    <row r="172" spans="1:6" x14ac:dyDescent="0.25">
      <c r="A172" s="4">
        <v>42167</v>
      </c>
      <c r="B172" s="3" t="s">
        <v>26</v>
      </c>
      <c r="C172" s="3" t="s">
        <v>6</v>
      </c>
      <c r="D172" s="3" t="s">
        <v>28</v>
      </c>
      <c r="E172" s="3">
        <v>46</v>
      </c>
      <c r="F172" s="5">
        <f t="shared" si="2"/>
        <v>92</v>
      </c>
    </row>
    <row r="173" spans="1:6" x14ac:dyDescent="0.25">
      <c r="A173" s="4">
        <v>42078</v>
      </c>
      <c r="B173" s="3" t="s">
        <v>37</v>
      </c>
      <c r="C173" s="3" t="s">
        <v>19</v>
      </c>
      <c r="D173" s="3" t="s">
        <v>28</v>
      </c>
      <c r="E173" s="3">
        <v>31</v>
      </c>
      <c r="F173" s="5">
        <f t="shared" si="2"/>
        <v>62</v>
      </c>
    </row>
    <row r="174" spans="1:6" x14ac:dyDescent="0.25">
      <c r="A174" s="4">
        <v>42127</v>
      </c>
      <c r="B174" s="3" t="s">
        <v>29</v>
      </c>
      <c r="C174" s="3" t="s">
        <v>10</v>
      </c>
      <c r="D174" s="3" t="s">
        <v>27</v>
      </c>
      <c r="E174" s="3">
        <v>41</v>
      </c>
      <c r="F174" s="5">
        <f t="shared" si="2"/>
        <v>20.5</v>
      </c>
    </row>
    <row r="175" spans="1:6" x14ac:dyDescent="0.25">
      <c r="A175" s="4">
        <v>42040</v>
      </c>
      <c r="B175" s="3" t="s">
        <v>26</v>
      </c>
      <c r="C175" s="3" t="s">
        <v>5</v>
      </c>
      <c r="D175" s="3" t="s">
        <v>27</v>
      </c>
      <c r="E175" s="3">
        <v>43</v>
      </c>
      <c r="F175" s="5">
        <f t="shared" si="2"/>
        <v>21.5</v>
      </c>
    </row>
    <row r="176" spans="1:6" x14ac:dyDescent="0.25">
      <c r="A176" s="4">
        <v>42157</v>
      </c>
      <c r="B176" s="3" t="s">
        <v>39</v>
      </c>
      <c r="C176" s="3" t="s">
        <v>6</v>
      </c>
      <c r="D176" s="3" t="s">
        <v>35</v>
      </c>
      <c r="E176" s="3">
        <v>3</v>
      </c>
      <c r="F176" s="5">
        <f t="shared" si="2"/>
        <v>12</v>
      </c>
    </row>
    <row r="177" spans="1:6" x14ac:dyDescent="0.25">
      <c r="A177" s="4">
        <v>42112</v>
      </c>
      <c r="B177" s="3" t="s">
        <v>37</v>
      </c>
      <c r="C177" s="3" t="s">
        <v>6</v>
      </c>
      <c r="D177" s="3" t="s">
        <v>33</v>
      </c>
      <c r="E177" s="3">
        <v>18</v>
      </c>
      <c r="F177" s="5">
        <f t="shared" si="2"/>
        <v>90</v>
      </c>
    </row>
    <row r="178" spans="1:6" x14ac:dyDescent="0.25">
      <c r="A178" s="4">
        <v>42014</v>
      </c>
      <c r="B178" s="3" t="s">
        <v>37</v>
      </c>
      <c r="C178" s="3" t="s">
        <v>5</v>
      </c>
      <c r="D178" s="3" t="s">
        <v>34</v>
      </c>
      <c r="E178" s="3">
        <v>12</v>
      </c>
      <c r="F178" s="5">
        <f t="shared" si="2"/>
        <v>2.4000000000000004</v>
      </c>
    </row>
    <row r="179" spans="1:6" x14ac:dyDescent="0.25">
      <c r="A179" s="4">
        <v>42159</v>
      </c>
      <c r="B179" s="3" t="s">
        <v>32</v>
      </c>
      <c r="C179" s="3" t="s">
        <v>2</v>
      </c>
      <c r="D179" s="3" t="s">
        <v>28</v>
      </c>
      <c r="E179" s="3">
        <v>24</v>
      </c>
      <c r="F179" s="5">
        <f t="shared" si="2"/>
        <v>48</v>
      </c>
    </row>
    <row r="180" spans="1:6" x14ac:dyDescent="0.25">
      <c r="A180" s="4">
        <v>42018</v>
      </c>
      <c r="B180" s="3" t="s">
        <v>38</v>
      </c>
      <c r="C180" s="3" t="s">
        <v>2</v>
      </c>
      <c r="D180" s="3" t="s">
        <v>30</v>
      </c>
      <c r="E180" s="3">
        <v>31</v>
      </c>
      <c r="F180" s="5">
        <f t="shared" si="2"/>
        <v>3.1</v>
      </c>
    </row>
    <row r="181" spans="1:6" x14ac:dyDescent="0.25">
      <c r="A181" s="4">
        <v>42122</v>
      </c>
      <c r="B181" s="3" t="s">
        <v>26</v>
      </c>
      <c r="C181" s="3" t="s">
        <v>10</v>
      </c>
      <c r="D181" s="3" t="s">
        <v>36</v>
      </c>
      <c r="E181" s="3">
        <v>32</v>
      </c>
      <c r="F181" s="5">
        <f t="shared" si="2"/>
        <v>48</v>
      </c>
    </row>
    <row r="182" spans="1:6" x14ac:dyDescent="0.25">
      <c r="A182" s="4">
        <v>42158</v>
      </c>
      <c r="B182" s="3" t="s">
        <v>32</v>
      </c>
      <c r="C182" s="3" t="s">
        <v>10</v>
      </c>
      <c r="D182" s="3" t="s">
        <v>35</v>
      </c>
      <c r="E182" s="3">
        <v>17</v>
      </c>
      <c r="F182" s="5">
        <f t="shared" si="2"/>
        <v>68</v>
      </c>
    </row>
    <row r="183" spans="1:6" x14ac:dyDescent="0.25">
      <c r="A183" s="4">
        <v>42007</v>
      </c>
      <c r="B183" s="3" t="s">
        <v>39</v>
      </c>
      <c r="C183" s="3" t="s">
        <v>6</v>
      </c>
      <c r="D183" s="3" t="s">
        <v>34</v>
      </c>
      <c r="E183" s="3">
        <v>5</v>
      </c>
      <c r="F183" s="5">
        <f t="shared" si="2"/>
        <v>1</v>
      </c>
    </row>
    <row r="184" spans="1:6" x14ac:dyDescent="0.25">
      <c r="A184" s="4">
        <v>42152</v>
      </c>
      <c r="B184" s="3" t="s">
        <v>37</v>
      </c>
      <c r="C184" s="3" t="s">
        <v>5</v>
      </c>
      <c r="D184" s="3" t="s">
        <v>36</v>
      </c>
      <c r="E184" s="3">
        <v>6</v>
      </c>
      <c r="F184" s="5">
        <f t="shared" si="2"/>
        <v>9</v>
      </c>
    </row>
    <row r="185" spans="1:6" x14ac:dyDescent="0.25">
      <c r="A185" s="4">
        <v>42124</v>
      </c>
      <c r="B185" s="3" t="s">
        <v>26</v>
      </c>
      <c r="C185" s="3" t="s">
        <v>19</v>
      </c>
      <c r="D185" s="3" t="s">
        <v>36</v>
      </c>
      <c r="E185" s="3">
        <v>28</v>
      </c>
      <c r="F185" s="5">
        <f t="shared" si="2"/>
        <v>42</v>
      </c>
    </row>
    <row r="186" spans="1:6" x14ac:dyDescent="0.25">
      <c r="A186" s="4">
        <v>42084</v>
      </c>
      <c r="B186" s="3" t="s">
        <v>26</v>
      </c>
      <c r="C186" s="3" t="s">
        <v>6</v>
      </c>
      <c r="D186" s="3" t="s">
        <v>31</v>
      </c>
      <c r="E186" s="3">
        <v>36</v>
      </c>
      <c r="F186" s="5">
        <f t="shared" si="2"/>
        <v>90</v>
      </c>
    </row>
    <row r="187" spans="1:6" x14ac:dyDescent="0.25">
      <c r="A187" s="4">
        <v>42116</v>
      </c>
      <c r="B187" s="3" t="s">
        <v>32</v>
      </c>
      <c r="C187" s="3" t="s">
        <v>10</v>
      </c>
      <c r="D187" s="3" t="s">
        <v>30</v>
      </c>
      <c r="E187" s="3">
        <v>30</v>
      </c>
      <c r="F187" s="5">
        <f t="shared" si="2"/>
        <v>3</v>
      </c>
    </row>
    <row r="188" spans="1:6" x14ac:dyDescent="0.25">
      <c r="A188" s="4">
        <v>42153</v>
      </c>
      <c r="B188" s="3" t="s">
        <v>39</v>
      </c>
      <c r="C188" s="3" t="s">
        <v>6</v>
      </c>
      <c r="D188" s="3" t="s">
        <v>35</v>
      </c>
      <c r="E188" s="3">
        <v>26</v>
      </c>
      <c r="F188" s="5">
        <f t="shared" si="2"/>
        <v>104</v>
      </c>
    </row>
    <row r="189" spans="1:6" x14ac:dyDescent="0.25">
      <c r="A189" s="4">
        <v>42006</v>
      </c>
      <c r="B189" s="3" t="s">
        <v>38</v>
      </c>
      <c r="C189" s="3" t="s">
        <v>10</v>
      </c>
      <c r="D189" s="3" t="s">
        <v>34</v>
      </c>
      <c r="E189" s="3">
        <v>33</v>
      </c>
      <c r="F189" s="5">
        <f t="shared" si="2"/>
        <v>6.6000000000000005</v>
      </c>
    </row>
    <row r="190" spans="1:6" x14ac:dyDescent="0.25">
      <c r="A190" s="4">
        <v>42138</v>
      </c>
      <c r="B190" s="3" t="s">
        <v>26</v>
      </c>
      <c r="C190" s="3" t="s">
        <v>6</v>
      </c>
      <c r="D190" s="3" t="s">
        <v>28</v>
      </c>
      <c r="E190" s="3">
        <v>26</v>
      </c>
      <c r="F190" s="5">
        <f t="shared" si="2"/>
        <v>52</v>
      </c>
    </row>
    <row r="191" spans="1:6" x14ac:dyDescent="0.25">
      <c r="A191" s="4">
        <v>42054</v>
      </c>
      <c r="B191" s="3" t="s">
        <v>38</v>
      </c>
      <c r="C191" s="3" t="s">
        <v>6</v>
      </c>
      <c r="D191" s="3" t="s">
        <v>27</v>
      </c>
      <c r="E191" s="3">
        <v>17</v>
      </c>
      <c r="F191" s="5">
        <f t="shared" si="2"/>
        <v>8.5</v>
      </c>
    </row>
    <row r="192" spans="1:6" x14ac:dyDescent="0.25">
      <c r="A192" s="4">
        <v>42030</v>
      </c>
      <c r="B192" s="3" t="s">
        <v>26</v>
      </c>
      <c r="C192" s="3" t="s">
        <v>19</v>
      </c>
      <c r="D192" s="3" t="s">
        <v>31</v>
      </c>
      <c r="E192" s="3">
        <v>7</v>
      </c>
      <c r="F192" s="5">
        <f t="shared" si="2"/>
        <v>17.5</v>
      </c>
    </row>
    <row r="193" spans="1:6" x14ac:dyDescent="0.25">
      <c r="A193" s="4">
        <v>42119</v>
      </c>
      <c r="B193" s="3" t="s">
        <v>38</v>
      </c>
      <c r="C193" s="3" t="s">
        <v>2</v>
      </c>
      <c r="D193" s="3" t="s">
        <v>34</v>
      </c>
      <c r="E193" s="3">
        <v>35</v>
      </c>
      <c r="F193" s="5">
        <f t="shared" si="2"/>
        <v>7</v>
      </c>
    </row>
    <row r="194" spans="1:6" x14ac:dyDescent="0.25">
      <c r="A194" s="4">
        <v>42109</v>
      </c>
      <c r="B194" s="3" t="s">
        <v>29</v>
      </c>
      <c r="C194" s="3" t="s">
        <v>5</v>
      </c>
      <c r="D194" s="3" t="s">
        <v>34</v>
      </c>
      <c r="E194" s="3">
        <v>12</v>
      </c>
      <c r="F194" s="5">
        <f t="shared" si="2"/>
        <v>2.4000000000000004</v>
      </c>
    </row>
    <row r="195" spans="1:6" x14ac:dyDescent="0.25">
      <c r="A195" s="4">
        <v>42122</v>
      </c>
      <c r="B195" s="3" t="s">
        <v>29</v>
      </c>
      <c r="C195" s="3" t="s">
        <v>2</v>
      </c>
      <c r="D195" s="3" t="s">
        <v>35</v>
      </c>
      <c r="E195" s="3">
        <v>22</v>
      </c>
      <c r="F195" s="5">
        <f t="shared" si="2"/>
        <v>88</v>
      </c>
    </row>
    <row r="196" spans="1:6" x14ac:dyDescent="0.25">
      <c r="A196" s="4">
        <v>42014</v>
      </c>
      <c r="B196" s="3" t="s">
        <v>37</v>
      </c>
      <c r="C196" s="3" t="s">
        <v>10</v>
      </c>
      <c r="D196" s="3" t="s">
        <v>35</v>
      </c>
      <c r="E196" s="3">
        <v>11</v>
      </c>
      <c r="F196" s="5">
        <f t="shared" si="2"/>
        <v>44</v>
      </c>
    </row>
    <row r="197" spans="1:6" x14ac:dyDescent="0.25">
      <c r="A197" s="4">
        <v>42173</v>
      </c>
      <c r="B197" s="3" t="s">
        <v>39</v>
      </c>
      <c r="C197" s="3" t="s">
        <v>6</v>
      </c>
      <c r="D197" s="3" t="s">
        <v>33</v>
      </c>
      <c r="E197" s="3">
        <v>18</v>
      </c>
      <c r="F197" s="5">
        <f t="shared" si="2"/>
        <v>90</v>
      </c>
    </row>
    <row r="198" spans="1:6" x14ac:dyDescent="0.25">
      <c r="A198" s="4">
        <v>42147</v>
      </c>
      <c r="B198" s="3" t="s">
        <v>26</v>
      </c>
      <c r="C198" s="3" t="s">
        <v>6</v>
      </c>
      <c r="D198" s="3" t="s">
        <v>36</v>
      </c>
      <c r="E198" s="3">
        <v>49</v>
      </c>
      <c r="F198" s="5">
        <f t="shared" si="2"/>
        <v>73.5</v>
      </c>
    </row>
    <row r="199" spans="1:6" x14ac:dyDescent="0.25">
      <c r="A199" s="4">
        <v>42138</v>
      </c>
      <c r="B199" s="3" t="s">
        <v>37</v>
      </c>
      <c r="C199" s="3" t="s">
        <v>2</v>
      </c>
      <c r="D199" s="3" t="s">
        <v>33</v>
      </c>
      <c r="E199" s="3">
        <v>8</v>
      </c>
      <c r="F199" s="5">
        <f t="shared" ref="F199:F262" si="3">E199*VLOOKUP(D199,$W$6:$X$13,2,0)</f>
        <v>40</v>
      </c>
    </row>
    <row r="200" spans="1:6" x14ac:dyDescent="0.25">
      <c r="A200" s="4">
        <v>42086</v>
      </c>
      <c r="B200" s="3" t="s">
        <v>38</v>
      </c>
      <c r="C200" s="3" t="s">
        <v>6</v>
      </c>
      <c r="D200" s="3" t="s">
        <v>35</v>
      </c>
      <c r="E200" s="3">
        <v>18</v>
      </c>
      <c r="F200" s="5">
        <f t="shared" si="3"/>
        <v>72</v>
      </c>
    </row>
    <row r="201" spans="1:6" x14ac:dyDescent="0.25">
      <c r="A201" s="4">
        <v>42105</v>
      </c>
      <c r="B201" s="3" t="s">
        <v>39</v>
      </c>
      <c r="C201" s="3" t="s">
        <v>6</v>
      </c>
      <c r="D201" s="3" t="s">
        <v>36</v>
      </c>
      <c r="E201" s="3">
        <v>5</v>
      </c>
      <c r="F201" s="5">
        <f t="shared" si="3"/>
        <v>7.5</v>
      </c>
    </row>
    <row r="202" spans="1:6" x14ac:dyDescent="0.25">
      <c r="A202" s="4">
        <v>42096</v>
      </c>
      <c r="B202" s="3" t="s">
        <v>29</v>
      </c>
      <c r="C202" s="3" t="s">
        <v>5</v>
      </c>
      <c r="D202" s="3" t="s">
        <v>28</v>
      </c>
      <c r="E202" s="3">
        <v>43</v>
      </c>
      <c r="F202" s="5">
        <f t="shared" si="3"/>
        <v>86</v>
      </c>
    </row>
    <row r="203" spans="1:6" x14ac:dyDescent="0.25">
      <c r="A203" s="4">
        <v>42130</v>
      </c>
      <c r="B203" s="3" t="s">
        <v>38</v>
      </c>
      <c r="C203" s="3" t="s">
        <v>10</v>
      </c>
      <c r="D203" s="3" t="s">
        <v>36</v>
      </c>
      <c r="E203" s="3">
        <v>45</v>
      </c>
      <c r="F203" s="5">
        <f t="shared" si="3"/>
        <v>67.5</v>
      </c>
    </row>
    <row r="204" spans="1:6" x14ac:dyDescent="0.25">
      <c r="A204" s="4">
        <v>42094</v>
      </c>
      <c r="B204" s="3" t="s">
        <v>32</v>
      </c>
      <c r="C204" s="3" t="s">
        <v>10</v>
      </c>
      <c r="D204" s="3" t="s">
        <v>33</v>
      </c>
      <c r="E204" s="3">
        <v>41</v>
      </c>
      <c r="F204" s="5">
        <f t="shared" si="3"/>
        <v>205</v>
      </c>
    </row>
    <row r="205" spans="1:6" x14ac:dyDescent="0.25">
      <c r="A205" s="4">
        <v>42025</v>
      </c>
      <c r="B205" s="3" t="s">
        <v>32</v>
      </c>
      <c r="C205" s="3" t="s">
        <v>10</v>
      </c>
      <c r="D205" s="3" t="s">
        <v>35</v>
      </c>
      <c r="E205" s="3">
        <v>42</v>
      </c>
      <c r="F205" s="5">
        <f t="shared" si="3"/>
        <v>168</v>
      </c>
    </row>
    <row r="206" spans="1:6" x14ac:dyDescent="0.25">
      <c r="A206" s="4">
        <v>42122</v>
      </c>
      <c r="B206" s="3" t="s">
        <v>39</v>
      </c>
      <c r="C206" s="3" t="s">
        <v>2</v>
      </c>
      <c r="D206" s="3" t="s">
        <v>36</v>
      </c>
      <c r="E206" s="3">
        <v>3</v>
      </c>
      <c r="F206" s="5">
        <f t="shared" si="3"/>
        <v>4.5</v>
      </c>
    </row>
    <row r="207" spans="1:6" x14ac:dyDescent="0.25">
      <c r="A207" s="4">
        <v>42014</v>
      </c>
      <c r="B207" s="3" t="s">
        <v>37</v>
      </c>
      <c r="C207" s="3" t="s">
        <v>5</v>
      </c>
      <c r="D207" s="3" t="s">
        <v>31</v>
      </c>
      <c r="E207" s="3">
        <v>28</v>
      </c>
      <c r="F207" s="5">
        <f t="shared" si="3"/>
        <v>70</v>
      </c>
    </row>
    <row r="208" spans="1:6" x14ac:dyDescent="0.25">
      <c r="A208" s="4">
        <v>42054</v>
      </c>
      <c r="B208" s="3" t="s">
        <v>37</v>
      </c>
      <c r="C208" s="3" t="s">
        <v>19</v>
      </c>
      <c r="D208" s="3" t="s">
        <v>28</v>
      </c>
      <c r="E208" s="3">
        <v>1</v>
      </c>
      <c r="F208" s="5">
        <f t="shared" si="3"/>
        <v>2</v>
      </c>
    </row>
    <row r="209" spans="1:6" x14ac:dyDescent="0.25">
      <c r="A209" s="4">
        <v>42060</v>
      </c>
      <c r="B209" s="3" t="s">
        <v>38</v>
      </c>
      <c r="C209" s="3" t="s">
        <v>6</v>
      </c>
      <c r="D209" s="3" t="s">
        <v>27</v>
      </c>
      <c r="E209" s="3">
        <v>14</v>
      </c>
      <c r="F209" s="5">
        <f t="shared" si="3"/>
        <v>7</v>
      </c>
    </row>
    <row r="210" spans="1:6" x14ac:dyDescent="0.25">
      <c r="A210" s="4">
        <v>42154</v>
      </c>
      <c r="B210" s="3" t="s">
        <v>38</v>
      </c>
      <c r="C210" s="3" t="s">
        <v>5</v>
      </c>
      <c r="D210" s="3" t="s">
        <v>35</v>
      </c>
      <c r="E210" s="3">
        <v>32</v>
      </c>
      <c r="F210" s="5">
        <f t="shared" si="3"/>
        <v>128</v>
      </c>
    </row>
    <row r="211" spans="1:6" x14ac:dyDescent="0.25">
      <c r="A211" s="4">
        <v>42152</v>
      </c>
      <c r="B211" s="3" t="s">
        <v>37</v>
      </c>
      <c r="C211" s="3" t="s">
        <v>10</v>
      </c>
      <c r="D211" s="3" t="s">
        <v>36</v>
      </c>
      <c r="E211" s="3">
        <v>11</v>
      </c>
      <c r="F211" s="5">
        <f t="shared" si="3"/>
        <v>16.5</v>
      </c>
    </row>
    <row r="212" spans="1:6" x14ac:dyDescent="0.25">
      <c r="A212" s="4">
        <v>42009</v>
      </c>
      <c r="B212" s="3" t="s">
        <v>32</v>
      </c>
      <c r="C212" s="3" t="s">
        <v>2</v>
      </c>
      <c r="D212" s="3" t="s">
        <v>35</v>
      </c>
      <c r="E212" s="3">
        <v>19</v>
      </c>
      <c r="F212" s="5">
        <f t="shared" si="3"/>
        <v>76</v>
      </c>
    </row>
    <row r="213" spans="1:6" x14ac:dyDescent="0.25">
      <c r="A213" s="4">
        <v>42176</v>
      </c>
      <c r="B213" s="3" t="s">
        <v>32</v>
      </c>
      <c r="C213" s="3" t="s">
        <v>10</v>
      </c>
      <c r="D213" s="3" t="s">
        <v>28</v>
      </c>
      <c r="E213" s="3">
        <v>4</v>
      </c>
      <c r="F213" s="5">
        <f t="shared" si="3"/>
        <v>8</v>
      </c>
    </row>
    <row r="214" spans="1:6" x14ac:dyDescent="0.25">
      <c r="A214" s="4">
        <v>42111</v>
      </c>
      <c r="B214" s="3" t="s">
        <v>39</v>
      </c>
      <c r="C214" s="3" t="s">
        <v>6</v>
      </c>
      <c r="D214" s="3" t="s">
        <v>34</v>
      </c>
      <c r="E214" s="3">
        <v>32</v>
      </c>
      <c r="F214" s="5">
        <f t="shared" si="3"/>
        <v>6.4</v>
      </c>
    </row>
    <row r="215" spans="1:6" x14ac:dyDescent="0.25">
      <c r="A215" s="4">
        <v>42093</v>
      </c>
      <c r="B215" s="3" t="s">
        <v>39</v>
      </c>
      <c r="C215" s="3" t="s">
        <v>10</v>
      </c>
      <c r="D215" s="3" t="s">
        <v>28</v>
      </c>
      <c r="E215" s="3">
        <v>29</v>
      </c>
      <c r="F215" s="5">
        <f t="shared" si="3"/>
        <v>58</v>
      </c>
    </row>
    <row r="216" spans="1:6" x14ac:dyDescent="0.25">
      <c r="A216" s="4">
        <v>42005</v>
      </c>
      <c r="B216" s="3" t="s">
        <v>37</v>
      </c>
      <c r="C216" s="3" t="s">
        <v>5</v>
      </c>
      <c r="D216" s="3" t="s">
        <v>35</v>
      </c>
      <c r="E216" s="3">
        <v>40</v>
      </c>
      <c r="F216" s="5">
        <f t="shared" si="3"/>
        <v>160</v>
      </c>
    </row>
    <row r="217" spans="1:6" x14ac:dyDescent="0.25">
      <c r="A217" s="4">
        <v>42008</v>
      </c>
      <c r="B217" s="3" t="s">
        <v>37</v>
      </c>
      <c r="C217" s="3" t="s">
        <v>6</v>
      </c>
      <c r="D217" s="3" t="s">
        <v>33</v>
      </c>
      <c r="E217" s="3">
        <v>38</v>
      </c>
      <c r="F217" s="5">
        <f t="shared" si="3"/>
        <v>190</v>
      </c>
    </row>
    <row r="218" spans="1:6" x14ac:dyDescent="0.25">
      <c r="A218" s="4">
        <v>42151</v>
      </c>
      <c r="B218" s="3" t="s">
        <v>32</v>
      </c>
      <c r="C218" s="3" t="s">
        <v>19</v>
      </c>
      <c r="D218" s="3" t="s">
        <v>33</v>
      </c>
      <c r="E218" s="3">
        <v>13</v>
      </c>
      <c r="F218" s="5">
        <f t="shared" si="3"/>
        <v>65</v>
      </c>
    </row>
    <row r="219" spans="1:6" x14ac:dyDescent="0.25">
      <c r="A219" s="4">
        <v>42026</v>
      </c>
      <c r="B219" s="3" t="s">
        <v>32</v>
      </c>
      <c r="C219" s="3" t="s">
        <v>2</v>
      </c>
      <c r="D219" s="3" t="s">
        <v>34</v>
      </c>
      <c r="E219" s="3">
        <v>19</v>
      </c>
      <c r="F219" s="5">
        <f t="shared" si="3"/>
        <v>3.8000000000000003</v>
      </c>
    </row>
    <row r="220" spans="1:6" x14ac:dyDescent="0.25">
      <c r="A220" s="4">
        <v>42028</v>
      </c>
      <c r="B220" s="3" t="s">
        <v>37</v>
      </c>
      <c r="C220" s="3" t="s">
        <v>5</v>
      </c>
      <c r="D220" s="3" t="s">
        <v>28</v>
      </c>
      <c r="E220" s="3">
        <v>2</v>
      </c>
      <c r="F220" s="5">
        <f t="shared" si="3"/>
        <v>4</v>
      </c>
    </row>
    <row r="221" spans="1:6" x14ac:dyDescent="0.25">
      <c r="A221" s="4">
        <v>42105</v>
      </c>
      <c r="B221" s="3" t="s">
        <v>32</v>
      </c>
      <c r="C221" s="3" t="s">
        <v>10</v>
      </c>
      <c r="D221" s="3" t="s">
        <v>27</v>
      </c>
      <c r="E221" s="3">
        <v>46</v>
      </c>
      <c r="F221" s="5">
        <f t="shared" si="3"/>
        <v>23</v>
      </c>
    </row>
    <row r="222" spans="1:6" x14ac:dyDescent="0.25">
      <c r="A222" s="4">
        <v>42038</v>
      </c>
      <c r="B222" s="3" t="s">
        <v>32</v>
      </c>
      <c r="C222" s="3" t="s">
        <v>5</v>
      </c>
      <c r="D222" s="3" t="s">
        <v>35</v>
      </c>
      <c r="E222" s="3">
        <v>41</v>
      </c>
      <c r="F222" s="5">
        <f t="shared" si="3"/>
        <v>164</v>
      </c>
    </row>
    <row r="223" spans="1:6" x14ac:dyDescent="0.25">
      <c r="A223" s="4">
        <v>42014</v>
      </c>
      <c r="B223" s="3" t="s">
        <v>38</v>
      </c>
      <c r="C223" s="3" t="s">
        <v>10</v>
      </c>
      <c r="D223" s="3" t="s">
        <v>36</v>
      </c>
      <c r="E223" s="3">
        <v>11</v>
      </c>
      <c r="F223" s="5">
        <f t="shared" si="3"/>
        <v>16.5</v>
      </c>
    </row>
    <row r="224" spans="1:6" x14ac:dyDescent="0.25">
      <c r="A224" s="4">
        <v>42005</v>
      </c>
      <c r="B224" s="3" t="s">
        <v>38</v>
      </c>
      <c r="C224" s="3" t="s">
        <v>10</v>
      </c>
      <c r="D224" s="3" t="s">
        <v>34</v>
      </c>
      <c r="E224" s="3">
        <v>21</v>
      </c>
      <c r="F224" s="5">
        <f t="shared" si="3"/>
        <v>4.2</v>
      </c>
    </row>
    <row r="225" spans="1:6" x14ac:dyDescent="0.25">
      <c r="A225" s="4">
        <v>42117</v>
      </c>
      <c r="B225" s="3" t="s">
        <v>32</v>
      </c>
      <c r="C225" s="3" t="s">
        <v>6</v>
      </c>
      <c r="D225" s="3" t="s">
        <v>31</v>
      </c>
      <c r="E225" s="3">
        <v>8</v>
      </c>
      <c r="F225" s="5">
        <f t="shared" si="3"/>
        <v>20</v>
      </c>
    </row>
    <row r="226" spans="1:6" x14ac:dyDescent="0.25">
      <c r="A226" s="4">
        <v>42048</v>
      </c>
      <c r="B226" s="3" t="s">
        <v>26</v>
      </c>
      <c r="C226" s="3" t="s">
        <v>19</v>
      </c>
      <c r="D226" s="3" t="s">
        <v>35</v>
      </c>
      <c r="E226" s="3">
        <v>15</v>
      </c>
      <c r="F226" s="5">
        <f t="shared" si="3"/>
        <v>60</v>
      </c>
    </row>
    <row r="227" spans="1:6" x14ac:dyDescent="0.25">
      <c r="A227" s="4">
        <v>42152</v>
      </c>
      <c r="B227" s="3" t="s">
        <v>37</v>
      </c>
      <c r="C227" s="3" t="s">
        <v>2</v>
      </c>
      <c r="D227" s="3" t="s">
        <v>30</v>
      </c>
      <c r="E227" s="3">
        <v>15</v>
      </c>
      <c r="F227" s="5">
        <f t="shared" si="3"/>
        <v>1.5</v>
      </c>
    </row>
    <row r="228" spans="1:6" x14ac:dyDescent="0.25">
      <c r="A228" s="4">
        <v>42055</v>
      </c>
      <c r="B228" s="3" t="s">
        <v>38</v>
      </c>
      <c r="C228" s="3" t="s">
        <v>19</v>
      </c>
      <c r="D228" s="3" t="s">
        <v>28</v>
      </c>
      <c r="E228" s="3">
        <v>14</v>
      </c>
      <c r="F228" s="5">
        <f t="shared" si="3"/>
        <v>28</v>
      </c>
    </row>
    <row r="229" spans="1:6" x14ac:dyDescent="0.25">
      <c r="A229" s="4">
        <v>42016</v>
      </c>
      <c r="B229" s="3" t="s">
        <v>38</v>
      </c>
      <c r="C229" s="3" t="s">
        <v>6</v>
      </c>
      <c r="D229" s="3" t="s">
        <v>35</v>
      </c>
      <c r="E229" s="3">
        <v>49</v>
      </c>
      <c r="F229" s="5">
        <f t="shared" si="3"/>
        <v>196</v>
      </c>
    </row>
    <row r="230" spans="1:6" x14ac:dyDescent="0.25">
      <c r="A230" s="4">
        <v>42075</v>
      </c>
      <c r="B230" s="3" t="s">
        <v>37</v>
      </c>
      <c r="C230" s="3" t="s">
        <v>2</v>
      </c>
      <c r="D230" s="3" t="s">
        <v>31</v>
      </c>
      <c r="E230" s="3">
        <v>5</v>
      </c>
      <c r="F230" s="5">
        <f t="shared" si="3"/>
        <v>12.5</v>
      </c>
    </row>
    <row r="231" spans="1:6" x14ac:dyDescent="0.25">
      <c r="A231" s="4">
        <v>42128</v>
      </c>
      <c r="B231" s="3" t="s">
        <v>39</v>
      </c>
      <c r="C231" s="3" t="s">
        <v>6</v>
      </c>
      <c r="D231" s="3" t="s">
        <v>34</v>
      </c>
      <c r="E231" s="3">
        <v>19</v>
      </c>
      <c r="F231" s="5">
        <f t="shared" si="3"/>
        <v>3.8000000000000003</v>
      </c>
    </row>
    <row r="232" spans="1:6" x14ac:dyDescent="0.25">
      <c r="A232" s="4">
        <v>42122</v>
      </c>
      <c r="B232" s="3" t="s">
        <v>32</v>
      </c>
      <c r="C232" s="3" t="s">
        <v>10</v>
      </c>
      <c r="D232" s="3" t="s">
        <v>34</v>
      </c>
      <c r="E232" s="3">
        <v>22</v>
      </c>
      <c r="F232" s="5">
        <f t="shared" si="3"/>
        <v>4.4000000000000004</v>
      </c>
    </row>
    <row r="233" spans="1:6" x14ac:dyDescent="0.25">
      <c r="A233" s="4">
        <v>42151</v>
      </c>
      <c r="B233" s="3" t="s">
        <v>37</v>
      </c>
      <c r="C233" s="3" t="s">
        <v>19</v>
      </c>
      <c r="D233" s="3" t="s">
        <v>31</v>
      </c>
      <c r="E233" s="3">
        <v>28</v>
      </c>
      <c r="F233" s="5">
        <f t="shared" si="3"/>
        <v>70</v>
      </c>
    </row>
    <row r="234" spans="1:6" x14ac:dyDescent="0.25">
      <c r="A234" s="4">
        <v>42020</v>
      </c>
      <c r="B234" s="3" t="s">
        <v>37</v>
      </c>
      <c r="C234" s="3" t="s">
        <v>2</v>
      </c>
      <c r="D234" s="3" t="s">
        <v>28</v>
      </c>
      <c r="E234" s="3">
        <v>26</v>
      </c>
      <c r="F234" s="5">
        <f t="shared" si="3"/>
        <v>52</v>
      </c>
    </row>
    <row r="235" spans="1:6" x14ac:dyDescent="0.25">
      <c r="A235" s="4">
        <v>42087</v>
      </c>
      <c r="B235" s="3" t="s">
        <v>39</v>
      </c>
      <c r="C235" s="3" t="s">
        <v>6</v>
      </c>
      <c r="D235" s="3" t="s">
        <v>33</v>
      </c>
      <c r="E235" s="3">
        <v>23</v>
      </c>
      <c r="F235" s="5">
        <f t="shared" si="3"/>
        <v>115</v>
      </c>
    </row>
    <row r="236" spans="1:6" x14ac:dyDescent="0.25">
      <c r="A236" s="4">
        <v>42030</v>
      </c>
      <c r="B236" s="3" t="s">
        <v>39</v>
      </c>
      <c r="C236" s="3" t="s">
        <v>10</v>
      </c>
      <c r="D236" s="3" t="s">
        <v>34</v>
      </c>
      <c r="E236" s="3">
        <v>39</v>
      </c>
      <c r="F236" s="5">
        <f t="shared" si="3"/>
        <v>7.8000000000000007</v>
      </c>
    </row>
    <row r="237" spans="1:6" x14ac:dyDescent="0.25">
      <c r="A237" s="4">
        <v>42104</v>
      </c>
      <c r="B237" s="3" t="s">
        <v>29</v>
      </c>
      <c r="C237" s="3" t="s">
        <v>19</v>
      </c>
      <c r="D237" s="3" t="s">
        <v>27</v>
      </c>
      <c r="E237" s="3">
        <v>14</v>
      </c>
      <c r="F237" s="5">
        <f t="shared" si="3"/>
        <v>7</v>
      </c>
    </row>
    <row r="238" spans="1:6" x14ac:dyDescent="0.25">
      <c r="A238" s="4">
        <v>42137</v>
      </c>
      <c r="B238" s="3" t="s">
        <v>26</v>
      </c>
      <c r="C238" s="3" t="s">
        <v>2</v>
      </c>
      <c r="D238" s="3" t="s">
        <v>28</v>
      </c>
      <c r="E238" s="3">
        <v>35</v>
      </c>
      <c r="F238" s="5">
        <f t="shared" si="3"/>
        <v>70</v>
      </c>
    </row>
    <row r="239" spans="1:6" x14ac:dyDescent="0.25">
      <c r="A239" s="4">
        <v>42149</v>
      </c>
      <c r="B239" s="3" t="s">
        <v>37</v>
      </c>
      <c r="C239" s="3" t="s">
        <v>19</v>
      </c>
      <c r="D239" s="3" t="s">
        <v>28</v>
      </c>
      <c r="E239" s="3">
        <v>26</v>
      </c>
      <c r="F239" s="5">
        <f t="shared" si="3"/>
        <v>52</v>
      </c>
    </row>
    <row r="240" spans="1:6" x14ac:dyDescent="0.25">
      <c r="A240" s="4">
        <v>42108</v>
      </c>
      <c r="B240" s="3" t="s">
        <v>37</v>
      </c>
      <c r="C240" s="3" t="s">
        <v>10</v>
      </c>
      <c r="D240" s="3" t="s">
        <v>34</v>
      </c>
      <c r="E240" s="3">
        <v>26</v>
      </c>
      <c r="F240" s="5">
        <f t="shared" si="3"/>
        <v>5.2</v>
      </c>
    </row>
    <row r="241" spans="1:6" x14ac:dyDescent="0.25">
      <c r="A241" s="4">
        <v>42183</v>
      </c>
      <c r="B241" s="3" t="s">
        <v>32</v>
      </c>
      <c r="C241" s="3" t="s">
        <v>6</v>
      </c>
      <c r="D241" s="3" t="s">
        <v>28</v>
      </c>
      <c r="E241" s="3">
        <v>50</v>
      </c>
      <c r="F241" s="5">
        <f t="shared" si="3"/>
        <v>100</v>
      </c>
    </row>
    <row r="242" spans="1:6" x14ac:dyDescent="0.25">
      <c r="A242" s="4">
        <v>42064</v>
      </c>
      <c r="B242" s="3" t="s">
        <v>29</v>
      </c>
      <c r="C242" s="3" t="s">
        <v>6</v>
      </c>
      <c r="D242" s="3" t="s">
        <v>28</v>
      </c>
      <c r="E242" s="3">
        <v>17</v>
      </c>
      <c r="F242" s="5">
        <f t="shared" si="3"/>
        <v>34</v>
      </c>
    </row>
    <row r="243" spans="1:6" x14ac:dyDescent="0.25">
      <c r="A243" s="4">
        <v>42041</v>
      </c>
      <c r="B243" s="3" t="s">
        <v>37</v>
      </c>
      <c r="C243" s="3" t="s">
        <v>5</v>
      </c>
      <c r="D243" s="3" t="s">
        <v>35</v>
      </c>
      <c r="E243" s="3">
        <v>41</v>
      </c>
      <c r="F243" s="5">
        <f t="shared" si="3"/>
        <v>164</v>
      </c>
    </row>
    <row r="244" spans="1:6" x14ac:dyDescent="0.25">
      <c r="A244" s="4">
        <v>42161</v>
      </c>
      <c r="B244" s="3" t="s">
        <v>38</v>
      </c>
      <c r="C244" s="3" t="s">
        <v>19</v>
      </c>
      <c r="D244" s="3" t="s">
        <v>31</v>
      </c>
      <c r="E244" s="3">
        <v>21</v>
      </c>
      <c r="F244" s="5">
        <f t="shared" si="3"/>
        <v>52.5</v>
      </c>
    </row>
    <row r="245" spans="1:6" x14ac:dyDescent="0.25">
      <c r="A245" s="4">
        <v>42079</v>
      </c>
      <c r="B245" s="3" t="s">
        <v>32</v>
      </c>
      <c r="C245" s="3" t="s">
        <v>5</v>
      </c>
      <c r="D245" s="3" t="s">
        <v>30</v>
      </c>
      <c r="E245" s="3">
        <v>45</v>
      </c>
      <c r="F245" s="5">
        <f t="shared" si="3"/>
        <v>4.5</v>
      </c>
    </row>
    <row r="246" spans="1:6" x14ac:dyDescent="0.25">
      <c r="A246" s="4">
        <v>42008</v>
      </c>
      <c r="B246" s="3" t="s">
        <v>39</v>
      </c>
      <c r="C246" s="3" t="s">
        <v>6</v>
      </c>
      <c r="D246" s="3" t="s">
        <v>35</v>
      </c>
      <c r="E246" s="3">
        <v>38</v>
      </c>
      <c r="F246" s="5">
        <f t="shared" si="3"/>
        <v>152</v>
      </c>
    </row>
    <row r="247" spans="1:6" x14ac:dyDescent="0.25">
      <c r="A247" s="4">
        <v>42055</v>
      </c>
      <c r="B247" s="3" t="s">
        <v>29</v>
      </c>
      <c r="C247" s="3" t="s">
        <v>2</v>
      </c>
      <c r="D247" s="3" t="s">
        <v>35</v>
      </c>
      <c r="E247" s="3">
        <v>44</v>
      </c>
      <c r="F247" s="5">
        <f t="shared" si="3"/>
        <v>176</v>
      </c>
    </row>
    <row r="248" spans="1:6" x14ac:dyDescent="0.25">
      <c r="A248" s="4">
        <v>42010</v>
      </c>
      <c r="B248" s="3" t="s">
        <v>26</v>
      </c>
      <c r="C248" s="3" t="s">
        <v>5</v>
      </c>
      <c r="D248" s="3" t="s">
        <v>33</v>
      </c>
      <c r="E248" s="3">
        <v>43</v>
      </c>
      <c r="F248" s="5">
        <f t="shared" si="3"/>
        <v>215</v>
      </c>
    </row>
    <row r="249" spans="1:6" x14ac:dyDescent="0.25">
      <c r="A249" s="4">
        <v>42109</v>
      </c>
      <c r="B249" s="3" t="s">
        <v>38</v>
      </c>
      <c r="C249" s="3" t="s">
        <v>19</v>
      </c>
      <c r="D249" s="3" t="s">
        <v>34</v>
      </c>
      <c r="E249" s="3">
        <v>10</v>
      </c>
      <c r="F249" s="5">
        <f t="shared" si="3"/>
        <v>2</v>
      </c>
    </row>
    <row r="250" spans="1:6" x14ac:dyDescent="0.25">
      <c r="A250" s="4">
        <v>42057</v>
      </c>
      <c r="B250" s="3" t="s">
        <v>39</v>
      </c>
      <c r="C250" s="3" t="s">
        <v>2</v>
      </c>
      <c r="D250" s="3" t="s">
        <v>28</v>
      </c>
      <c r="E250" s="3">
        <v>30</v>
      </c>
      <c r="F250" s="5">
        <f t="shared" si="3"/>
        <v>60</v>
      </c>
    </row>
    <row r="251" spans="1:6" x14ac:dyDescent="0.25">
      <c r="A251" s="4">
        <v>42131</v>
      </c>
      <c r="B251" s="3" t="s">
        <v>39</v>
      </c>
      <c r="C251" s="3" t="s">
        <v>2</v>
      </c>
      <c r="D251" s="3" t="s">
        <v>30</v>
      </c>
      <c r="E251" s="3">
        <v>22</v>
      </c>
      <c r="F251" s="5">
        <f t="shared" si="3"/>
        <v>2.2000000000000002</v>
      </c>
    </row>
    <row r="252" spans="1:6" x14ac:dyDescent="0.25">
      <c r="A252" s="4">
        <v>42025</v>
      </c>
      <c r="B252" s="3" t="s">
        <v>29</v>
      </c>
      <c r="C252" s="3" t="s">
        <v>6</v>
      </c>
      <c r="D252" s="3" t="s">
        <v>36</v>
      </c>
      <c r="E252" s="3">
        <v>39</v>
      </c>
      <c r="F252" s="5">
        <f t="shared" si="3"/>
        <v>58.5</v>
      </c>
    </row>
    <row r="253" spans="1:6" x14ac:dyDescent="0.25">
      <c r="A253" s="4">
        <v>42084</v>
      </c>
      <c r="B253" s="3" t="s">
        <v>29</v>
      </c>
      <c r="C253" s="3" t="s">
        <v>2</v>
      </c>
      <c r="D253" s="3" t="s">
        <v>30</v>
      </c>
      <c r="E253" s="3">
        <v>45</v>
      </c>
      <c r="F253" s="5">
        <f t="shared" si="3"/>
        <v>4.5</v>
      </c>
    </row>
    <row r="254" spans="1:6" x14ac:dyDescent="0.25">
      <c r="A254" s="4">
        <v>42146</v>
      </c>
      <c r="B254" s="3" t="s">
        <v>39</v>
      </c>
      <c r="C254" s="3" t="s">
        <v>2</v>
      </c>
      <c r="D254" s="3" t="s">
        <v>35</v>
      </c>
      <c r="E254" s="3">
        <v>24</v>
      </c>
      <c r="F254" s="5">
        <f t="shared" si="3"/>
        <v>96</v>
      </c>
    </row>
    <row r="255" spans="1:6" x14ac:dyDescent="0.25">
      <c r="A255" s="4">
        <v>42119</v>
      </c>
      <c r="B255" s="3" t="s">
        <v>26</v>
      </c>
      <c r="C255" s="3" t="s">
        <v>10</v>
      </c>
      <c r="D255" s="3" t="s">
        <v>28</v>
      </c>
      <c r="E255" s="3">
        <v>1</v>
      </c>
      <c r="F255" s="5">
        <f t="shared" si="3"/>
        <v>2</v>
      </c>
    </row>
    <row r="256" spans="1:6" x14ac:dyDescent="0.25">
      <c r="A256" s="4">
        <v>42009</v>
      </c>
      <c r="B256" s="3" t="s">
        <v>38</v>
      </c>
      <c r="C256" s="3" t="s">
        <v>6</v>
      </c>
      <c r="D256" s="3" t="s">
        <v>34</v>
      </c>
      <c r="E256" s="3">
        <v>49</v>
      </c>
      <c r="F256" s="5">
        <f t="shared" si="3"/>
        <v>9.8000000000000007</v>
      </c>
    </row>
    <row r="257" spans="1:6" x14ac:dyDescent="0.25">
      <c r="A257" s="4">
        <v>42177</v>
      </c>
      <c r="B257" s="3" t="s">
        <v>26</v>
      </c>
      <c r="C257" s="3" t="s">
        <v>5</v>
      </c>
      <c r="D257" s="3" t="s">
        <v>36</v>
      </c>
      <c r="E257" s="3">
        <v>32</v>
      </c>
      <c r="F257" s="5">
        <f t="shared" si="3"/>
        <v>48</v>
      </c>
    </row>
    <row r="258" spans="1:6" x14ac:dyDescent="0.25">
      <c r="A258" s="4">
        <v>42083</v>
      </c>
      <c r="B258" s="3" t="s">
        <v>32</v>
      </c>
      <c r="C258" s="3" t="s">
        <v>10</v>
      </c>
      <c r="D258" s="3" t="s">
        <v>27</v>
      </c>
      <c r="E258" s="3">
        <v>17</v>
      </c>
      <c r="F258" s="5">
        <f t="shared" si="3"/>
        <v>8.5</v>
      </c>
    </row>
    <row r="259" spans="1:6" x14ac:dyDescent="0.25">
      <c r="A259" s="4">
        <v>42095</v>
      </c>
      <c r="B259" s="3" t="s">
        <v>38</v>
      </c>
      <c r="C259" s="3" t="s">
        <v>10</v>
      </c>
      <c r="D259" s="3" t="s">
        <v>35</v>
      </c>
      <c r="E259" s="3">
        <v>9</v>
      </c>
      <c r="F259" s="5">
        <f t="shared" si="3"/>
        <v>36</v>
      </c>
    </row>
    <row r="260" spans="1:6" x14ac:dyDescent="0.25">
      <c r="A260" s="4">
        <v>42025</v>
      </c>
      <c r="B260" s="3" t="s">
        <v>38</v>
      </c>
      <c r="C260" s="3" t="s">
        <v>19</v>
      </c>
      <c r="D260" s="3" t="s">
        <v>35</v>
      </c>
      <c r="E260" s="3">
        <v>23</v>
      </c>
      <c r="F260" s="5">
        <f t="shared" si="3"/>
        <v>92</v>
      </c>
    </row>
    <row r="261" spans="1:6" x14ac:dyDescent="0.25">
      <c r="A261" s="4">
        <v>42086</v>
      </c>
      <c r="B261" s="3" t="s">
        <v>29</v>
      </c>
      <c r="C261" s="3" t="s">
        <v>2</v>
      </c>
      <c r="D261" s="3" t="s">
        <v>35</v>
      </c>
      <c r="E261" s="3">
        <v>49</v>
      </c>
      <c r="F261" s="5">
        <f t="shared" si="3"/>
        <v>196</v>
      </c>
    </row>
    <row r="262" spans="1:6" x14ac:dyDescent="0.25">
      <c r="A262" s="4">
        <v>42077</v>
      </c>
      <c r="B262" s="3" t="s">
        <v>32</v>
      </c>
      <c r="C262" s="3" t="s">
        <v>19</v>
      </c>
      <c r="D262" s="3" t="s">
        <v>31</v>
      </c>
      <c r="E262" s="3">
        <v>25</v>
      </c>
      <c r="F262" s="5">
        <f t="shared" si="3"/>
        <v>62.5</v>
      </c>
    </row>
    <row r="263" spans="1:6" x14ac:dyDescent="0.25">
      <c r="A263" s="4">
        <v>42059</v>
      </c>
      <c r="B263" s="3" t="s">
        <v>32</v>
      </c>
      <c r="C263" s="3" t="s">
        <v>19</v>
      </c>
      <c r="D263" s="3" t="s">
        <v>31</v>
      </c>
      <c r="E263" s="3">
        <v>11</v>
      </c>
      <c r="F263" s="5">
        <f t="shared" ref="F263:F326" si="4">E263*VLOOKUP(D263,$W$6:$X$13,2,0)</f>
        <v>27.5</v>
      </c>
    </row>
    <row r="264" spans="1:6" x14ac:dyDescent="0.25">
      <c r="A264" s="4">
        <v>42033</v>
      </c>
      <c r="B264" s="3" t="s">
        <v>37</v>
      </c>
      <c r="C264" s="3" t="s">
        <v>2</v>
      </c>
      <c r="D264" s="3" t="s">
        <v>34</v>
      </c>
      <c r="E264" s="3">
        <v>18</v>
      </c>
      <c r="F264" s="5">
        <f t="shared" si="4"/>
        <v>3.6</v>
      </c>
    </row>
    <row r="265" spans="1:6" x14ac:dyDescent="0.25">
      <c r="A265" s="4">
        <v>42063</v>
      </c>
      <c r="B265" s="3" t="s">
        <v>39</v>
      </c>
      <c r="C265" s="3" t="s">
        <v>10</v>
      </c>
      <c r="D265" s="3" t="s">
        <v>33</v>
      </c>
      <c r="E265" s="3">
        <v>40</v>
      </c>
      <c r="F265" s="5">
        <f t="shared" si="4"/>
        <v>200</v>
      </c>
    </row>
    <row r="266" spans="1:6" x14ac:dyDescent="0.25">
      <c r="A266" s="4">
        <v>42063</v>
      </c>
      <c r="B266" s="3" t="s">
        <v>38</v>
      </c>
      <c r="C266" s="3" t="s">
        <v>6</v>
      </c>
      <c r="D266" s="3" t="s">
        <v>30</v>
      </c>
      <c r="E266" s="3">
        <v>3</v>
      </c>
      <c r="F266" s="5">
        <f t="shared" si="4"/>
        <v>0.30000000000000004</v>
      </c>
    </row>
    <row r="267" spans="1:6" x14ac:dyDescent="0.25">
      <c r="A267" s="4">
        <v>42122</v>
      </c>
      <c r="B267" s="3" t="s">
        <v>26</v>
      </c>
      <c r="C267" s="3" t="s">
        <v>2</v>
      </c>
      <c r="D267" s="3" t="s">
        <v>27</v>
      </c>
      <c r="E267" s="3">
        <v>17</v>
      </c>
      <c r="F267" s="5">
        <f t="shared" si="4"/>
        <v>8.5</v>
      </c>
    </row>
    <row r="268" spans="1:6" x14ac:dyDescent="0.25">
      <c r="A268" s="4">
        <v>42118</v>
      </c>
      <c r="B268" s="3" t="s">
        <v>37</v>
      </c>
      <c r="C268" s="3" t="s">
        <v>10</v>
      </c>
      <c r="D268" s="3" t="s">
        <v>31</v>
      </c>
      <c r="E268" s="3">
        <v>9</v>
      </c>
      <c r="F268" s="5">
        <f t="shared" si="4"/>
        <v>22.5</v>
      </c>
    </row>
    <row r="269" spans="1:6" x14ac:dyDescent="0.25">
      <c r="A269" s="4">
        <v>42177</v>
      </c>
      <c r="B269" s="3" t="s">
        <v>29</v>
      </c>
      <c r="C269" s="3" t="s">
        <v>10</v>
      </c>
      <c r="D269" s="3" t="s">
        <v>30</v>
      </c>
      <c r="E269" s="3">
        <v>34</v>
      </c>
      <c r="F269" s="5">
        <f t="shared" si="4"/>
        <v>3.4000000000000004</v>
      </c>
    </row>
    <row r="270" spans="1:6" x14ac:dyDescent="0.25">
      <c r="A270" s="4">
        <v>42053</v>
      </c>
      <c r="B270" s="3" t="s">
        <v>32</v>
      </c>
      <c r="C270" s="3" t="s">
        <v>10</v>
      </c>
      <c r="D270" s="3" t="s">
        <v>28</v>
      </c>
      <c r="E270" s="3">
        <v>22</v>
      </c>
      <c r="F270" s="5">
        <f t="shared" si="4"/>
        <v>44</v>
      </c>
    </row>
    <row r="271" spans="1:6" x14ac:dyDescent="0.25">
      <c r="A271" s="4">
        <v>42030</v>
      </c>
      <c r="B271" s="3" t="s">
        <v>38</v>
      </c>
      <c r="C271" s="3" t="s">
        <v>2</v>
      </c>
      <c r="D271" s="3" t="s">
        <v>31</v>
      </c>
      <c r="E271" s="3">
        <v>28</v>
      </c>
      <c r="F271" s="5">
        <f t="shared" si="4"/>
        <v>70</v>
      </c>
    </row>
    <row r="272" spans="1:6" x14ac:dyDescent="0.25">
      <c r="A272" s="4">
        <v>42090</v>
      </c>
      <c r="B272" s="3" t="s">
        <v>32</v>
      </c>
      <c r="C272" s="3" t="s">
        <v>2</v>
      </c>
      <c r="D272" s="3" t="s">
        <v>31</v>
      </c>
      <c r="E272" s="3">
        <v>21</v>
      </c>
      <c r="F272" s="5">
        <f t="shared" si="4"/>
        <v>52.5</v>
      </c>
    </row>
    <row r="273" spans="1:6" x14ac:dyDescent="0.25">
      <c r="A273" s="4">
        <v>42158</v>
      </c>
      <c r="B273" s="3" t="s">
        <v>29</v>
      </c>
      <c r="C273" s="3" t="s">
        <v>10</v>
      </c>
      <c r="D273" s="3" t="s">
        <v>30</v>
      </c>
      <c r="E273" s="3">
        <v>45</v>
      </c>
      <c r="F273" s="5">
        <f t="shared" si="4"/>
        <v>4.5</v>
      </c>
    </row>
    <row r="274" spans="1:6" x14ac:dyDescent="0.25">
      <c r="A274" s="4">
        <v>42185</v>
      </c>
      <c r="B274" s="3" t="s">
        <v>29</v>
      </c>
      <c r="C274" s="3" t="s">
        <v>2</v>
      </c>
      <c r="D274" s="3" t="s">
        <v>33</v>
      </c>
      <c r="E274" s="3">
        <v>17</v>
      </c>
      <c r="F274" s="5">
        <f t="shared" si="4"/>
        <v>85</v>
      </c>
    </row>
    <row r="275" spans="1:6" x14ac:dyDescent="0.25">
      <c r="A275" s="4">
        <v>42079</v>
      </c>
      <c r="B275" s="3" t="s">
        <v>38</v>
      </c>
      <c r="C275" s="3" t="s">
        <v>5</v>
      </c>
      <c r="D275" s="3" t="s">
        <v>28</v>
      </c>
      <c r="E275" s="3">
        <v>44</v>
      </c>
      <c r="F275" s="5">
        <f t="shared" si="4"/>
        <v>88</v>
      </c>
    </row>
    <row r="276" spans="1:6" x14ac:dyDescent="0.25">
      <c r="A276" s="4">
        <v>42078</v>
      </c>
      <c r="B276" s="3" t="s">
        <v>29</v>
      </c>
      <c r="C276" s="3" t="s">
        <v>19</v>
      </c>
      <c r="D276" s="3" t="s">
        <v>33</v>
      </c>
      <c r="E276" s="3">
        <v>20</v>
      </c>
      <c r="F276" s="5">
        <f t="shared" si="4"/>
        <v>100</v>
      </c>
    </row>
    <row r="277" spans="1:6" x14ac:dyDescent="0.25">
      <c r="A277" s="4">
        <v>42170</v>
      </c>
      <c r="B277" s="3" t="s">
        <v>39</v>
      </c>
      <c r="C277" s="3" t="s">
        <v>10</v>
      </c>
      <c r="D277" s="3" t="s">
        <v>36</v>
      </c>
      <c r="E277" s="3">
        <v>29</v>
      </c>
      <c r="F277" s="5">
        <f t="shared" si="4"/>
        <v>43.5</v>
      </c>
    </row>
    <row r="278" spans="1:6" x14ac:dyDescent="0.25">
      <c r="A278" s="4">
        <v>42027</v>
      </c>
      <c r="B278" s="3" t="s">
        <v>26</v>
      </c>
      <c r="C278" s="3" t="s">
        <v>10</v>
      </c>
      <c r="D278" s="3" t="s">
        <v>36</v>
      </c>
      <c r="E278" s="3">
        <v>13</v>
      </c>
      <c r="F278" s="5">
        <f t="shared" si="4"/>
        <v>19.5</v>
      </c>
    </row>
    <row r="279" spans="1:6" x14ac:dyDescent="0.25">
      <c r="A279" s="4">
        <v>42038</v>
      </c>
      <c r="B279" s="3" t="s">
        <v>37</v>
      </c>
      <c r="C279" s="3" t="s">
        <v>19</v>
      </c>
      <c r="D279" s="3" t="s">
        <v>33</v>
      </c>
      <c r="E279" s="3">
        <v>45</v>
      </c>
      <c r="F279" s="5">
        <f t="shared" si="4"/>
        <v>225</v>
      </c>
    </row>
    <row r="280" spans="1:6" x14ac:dyDescent="0.25">
      <c r="A280" s="4">
        <v>42066</v>
      </c>
      <c r="B280" s="3" t="s">
        <v>29</v>
      </c>
      <c r="C280" s="3" t="s">
        <v>2</v>
      </c>
      <c r="D280" s="3" t="s">
        <v>36</v>
      </c>
      <c r="E280" s="3">
        <v>40</v>
      </c>
      <c r="F280" s="5">
        <f t="shared" si="4"/>
        <v>60</v>
      </c>
    </row>
    <row r="281" spans="1:6" x14ac:dyDescent="0.25">
      <c r="A281" s="4">
        <v>42069</v>
      </c>
      <c r="B281" s="3" t="s">
        <v>29</v>
      </c>
      <c r="C281" s="3" t="s">
        <v>5</v>
      </c>
      <c r="D281" s="3" t="s">
        <v>31</v>
      </c>
      <c r="E281" s="3">
        <v>10</v>
      </c>
      <c r="F281" s="5">
        <f t="shared" si="4"/>
        <v>25</v>
      </c>
    </row>
    <row r="282" spans="1:6" x14ac:dyDescent="0.25">
      <c r="A282" s="4">
        <v>42131</v>
      </c>
      <c r="B282" s="3" t="s">
        <v>29</v>
      </c>
      <c r="C282" s="3" t="s">
        <v>5</v>
      </c>
      <c r="D282" s="3" t="s">
        <v>36</v>
      </c>
      <c r="E282" s="3">
        <v>40</v>
      </c>
      <c r="F282" s="5">
        <f t="shared" si="4"/>
        <v>60</v>
      </c>
    </row>
    <row r="283" spans="1:6" x14ac:dyDescent="0.25">
      <c r="A283" s="4">
        <v>42164</v>
      </c>
      <c r="B283" s="3" t="s">
        <v>26</v>
      </c>
      <c r="C283" s="3" t="s">
        <v>10</v>
      </c>
      <c r="D283" s="3" t="s">
        <v>34</v>
      </c>
      <c r="E283" s="3">
        <v>24</v>
      </c>
      <c r="F283" s="5">
        <f t="shared" si="4"/>
        <v>4.8000000000000007</v>
      </c>
    </row>
    <row r="284" spans="1:6" x14ac:dyDescent="0.25">
      <c r="A284" s="4">
        <v>42013</v>
      </c>
      <c r="B284" s="3" t="s">
        <v>38</v>
      </c>
      <c r="C284" s="3" t="s">
        <v>6</v>
      </c>
      <c r="D284" s="3" t="s">
        <v>35</v>
      </c>
      <c r="E284" s="3">
        <v>5</v>
      </c>
      <c r="F284" s="5">
        <f t="shared" si="4"/>
        <v>20</v>
      </c>
    </row>
    <row r="285" spans="1:6" x14ac:dyDescent="0.25">
      <c r="A285" s="4">
        <v>42106</v>
      </c>
      <c r="B285" s="3" t="s">
        <v>29</v>
      </c>
      <c r="C285" s="3" t="s">
        <v>19</v>
      </c>
      <c r="D285" s="3" t="s">
        <v>35</v>
      </c>
      <c r="E285" s="3">
        <v>47</v>
      </c>
      <c r="F285" s="5">
        <f t="shared" si="4"/>
        <v>188</v>
      </c>
    </row>
    <row r="286" spans="1:6" x14ac:dyDescent="0.25">
      <c r="A286" s="4">
        <v>42126</v>
      </c>
      <c r="B286" s="3" t="s">
        <v>38</v>
      </c>
      <c r="C286" s="3" t="s">
        <v>2</v>
      </c>
      <c r="D286" s="3" t="s">
        <v>31</v>
      </c>
      <c r="E286" s="3">
        <v>47</v>
      </c>
      <c r="F286" s="5">
        <f t="shared" si="4"/>
        <v>117.5</v>
      </c>
    </row>
    <row r="287" spans="1:6" x14ac:dyDescent="0.25">
      <c r="A287" s="4">
        <v>42157</v>
      </c>
      <c r="B287" s="3" t="s">
        <v>32</v>
      </c>
      <c r="C287" s="3" t="s">
        <v>6</v>
      </c>
      <c r="D287" s="3" t="s">
        <v>36</v>
      </c>
      <c r="E287" s="3">
        <v>27</v>
      </c>
      <c r="F287" s="5">
        <f t="shared" si="4"/>
        <v>40.5</v>
      </c>
    </row>
    <row r="288" spans="1:6" x14ac:dyDescent="0.25">
      <c r="A288" s="4">
        <v>42128</v>
      </c>
      <c r="B288" s="3" t="s">
        <v>26</v>
      </c>
      <c r="C288" s="3" t="s">
        <v>5</v>
      </c>
      <c r="D288" s="3" t="s">
        <v>36</v>
      </c>
      <c r="E288" s="3">
        <v>8</v>
      </c>
      <c r="F288" s="5">
        <f t="shared" si="4"/>
        <v>12</v>
      </c>
    </row>
    <row r="289" spans="1:6" x14ac:dyDescent="0.25">
      <c r="A289" s="4">
        <v>42010</v>
      </c>
      <c r="B289" s="3" t="s">
        <v>29</v>
      </c>
      <c r="C289" s="3" t="s">
        <v>19</v>
      </c>
      <c r="D289" s="3" t="s">
        <v>31</v>
      </c>
      <c r="E289" s="3">
        <v>45</v>
      </c>
      <c r="F289" s="5">
        <f t="shared" si="4"/>
        <v>112.5</v>
      </c>
    </row>
    <row r="290" spans="1:6" x14ac:dyDescent="0.25">
      <c r="A290" s="4">
        <v>42046</v>
      </c>
      <c r="B290" s="3" t="s">
        <v>32</v>
      </c>
      <c r="C290" s="3" t="s">
        <v>19</v>
      </c>
      <c r="D290" s="3" t="s">
        <v>28</v>
      </c>
      <c r="E290" s="3">
        <v>8</v>
      </c>
      <c r="F290" s="5">
        <f t="shared" si="4"/>
        <v>16</v>
      </c>
    </row>
    <row r="291" spans="1:6" x14ac:dyDescent="0.25">
      <c r="A291" s="4">
        <v>42128</v>
      </c>
      <c r="B291" s="3" t="s">
        <v>26</v>
      </c>
      <c r="C291" s="3" t="s">
        <v>10</v>
      </c>
      <c r="D291" s="3" t="s">
        <v>36</v>
      </c>
      <c r="E291" s="3">
        <v>41</v>
      </c>
      <c r="F291" s="5">
        <f t="shared" si="4"/>
        <v>61.5</v>
      </c>
    </row>
    <row r="292" spans="1:6" x14ac:dyDescent="0.25">
      <c r="A292" s="4">
        <v>42104</v>
      </c>
      <c r="B292" s="3" t="s">
        <v>32</v>
      </c>
      <c r="C292" s="3" t="s">
        <v>19</v>
      </c>
      <c r="D292" s="3" t="s">
        <v>31</v>
      </c>
      <c r="E292" s="3">
        <v>43</v>
      </c>
      <c r="F292" s="5">
        <f t="shared" si="4"/>
        <v>107.5</v>
      </c>
    </row>
    <row r="293" spans="1:6" x14ac:dyDescent="0.25">
      <c r="A293" s="4">
        <v>42170</v>
      </c>
      <c r="B293" s="3" t="s">
        <v>26</v>
      </c>
      <c r="C293" s="3" t="s">
        <v>19</v>
      </c>
      <c r="D293" s="3" t="s">
        <v>28</v>
      </c>
      <c r="E293" s="3">
        <v>3</v>
      </c>
      <c r="F293" s="5">
        <f t="shared" si="4"/>
        <v>6</v>
      </c>
    </row>
    <row r="294" spans="1:6" x14ac:dyDescent="0.25">
      <c r="A294" s="4">
        <v>42179</v>
      </c>
      <c r="B294" s="3" t="s">
        <v>39</v>
      </c>
      <c r="C294" s="3" t="s">
        <v>6</v>
      </c>
      <c r="D294" s="3" t="s">
        <v>34</v>
      </c>
      <c r="E294" s="3">
        <v>10</v>
      </c>
      <c r="F294" s="5">
        <f t="shared" si="4"/>
        <v>2</v>
      </c>
    </row>
    <row r="295" spans="1:6" x14ac:dyDescent="0.25">
      <c r="A295" s="4">
        <v>42098</v>
      </c>
      <c r="B295" s="3" t="s">
        <v>37</v>
      </c>
      <c r="C295" s="3" t="s">
        <v>19</v>
      </c>
      <c r="D295" s="3" t="s">
        <v>36</v>
      </c>
      <c r="E295" s="3">
        <v>33</v>
      </c>
      <c r="F295" s="5">
        <f t="shared" si="4"/>
        <v>49.5</v>
      </c>
    </row>
    <row r="296" spans="1:6" x14ac:dyDescent="0.25">
      <c r="A296" s="4">
        <v>42011</v>
      </c>
      <c r="B296" s="3" t="s">
        <v>32</v>
      </c>
      <c r="C296" s="3" t="s">
        <v>10</v>
      </c>
      <c r="D296" s="3" t="s">
        <v>36</v>
      </c>
      <c r="E296" s="3">
        <v>30</v>
      </c>
      <c r="F296" s="5">
        <f t="shared" si="4"/>
        <v>45</v>
      </c>
    </row>
    <row r="297" spans="1:6" x14ac:dyDescent="0.25">
      <c r="A297" s="4">
        <v>42153</v>
      </c>
      <c r="B297" s="3" t="s">
        <v>26</v>
      </c>
      <c r="C297" s="3" t="s">
        <v>5</v>
      </c>
      <c r="D297" s="3" t="s">
        <v>31</v>
      </c>
      <c r="E297" s="3">
        <v>50</v>
      </c>
      <c r="F297" s="5">
        <f t="shared" si="4"/>
        <v>125</v>
      </c>
    </row>
    <row r="298" spans="1:6" x14ac:dyDescent="0.25">
      <c r="A298" s="4">
        <v>42040</v>
      </c>
      <c r="B298" s="3" t="s">
        <v>37</v>
      </c>
      <c r="C298" s="3" t="s">
        <v>19</v>
      </c>
      <c r="D298" s="3" t="s">
        <v>28</v>
      </c>
      <c r="E298" s="3">
        <v>24</v>
      </c>
      <c r="F298" s="5">
        <f t="shared" si="4"/>
        <v>48</v>
      </c>
    </row>
    <row r="299" spans="1:6" x14ac:dyDescent="0.25">
      <c r="A299" s="4">
        <v>42089</v>
      </c>
      <c r="B299" s="3" t="s">
        <v>38</v>
      </c>
      <c r="C299" s="3" t="s">
        <v>2</v>
      </c>
      <c r="D299" s="3" t="s">
        <v>27</v>
      </c>
      <c r="E299" s="3">
        <v>19</v>
      </c>
      <c r="F299" s="5">
        <f t="shared" si="4"/>
        <v>9.5</v>
      </c>
    </row>
    <row r="300" spans="1:6" x14ac:dyDescent="0.25">
      <c r="A300" s="4">
        <v>42054</v>
      </c>
      <c r="B300" s="3" t="s">
        <v>37</v>
      </c>
      <c r="C300" s="3" t="s">
        <v>19</v>
      </c>
      <c r="D300" s="3" t="s">
        <v>35</v>
      </c>
      <c r="E300" s="3">
        <v>44</v>
      </c>
      <c r="F300" s="5">
        <f t="shared" si="4"/>
        <v>176</v>
      </c>
    </row>
    <row r="301" spans="1:6" x14ac:dyDescent="0.25">
      <c r="A301" s="4">
        <v>42028</v>
      </c>
      <c r="B301" s="3" t="s">
        <v>29</v>
      </c>
      <c r="C301" s="3" t="s">
        <v>10</v>
      </c>
      <c r="D301" s="3" t="s">
        <v>27</v>
      </c>
      <c r="E301" s="3">
        <v>33</v>
      </c>
      <c r="F301" s="5">
        <f t="shared" si="4"/>
        <v>16.5</v>
      </c>
    </row>
    <row r="302" spans="1:6" x14ac:dyDescent="0.25">
      <c r="A302" s="4">
        <v>42009</v>
      </c>
      <c r="B302" s="3" t="s">
        <v>38</v>
      </c>
      <c r="C302" s="3" t="s">
        <v>2</v>
      </c>
      <c r="D302" s="3" t="s">
        <v>35</v>
      </c>
      <c r="E302" s="3">
        <v>45</v>
      </c>
      <c r="F302" s="5">
        <f t="shared" si="4"/>
        <v>180</v>
      </c>
    </row>
    <row r="303" spans="1:6" x14ac:dyDescent="0.25">
      <c r="A303" s="4">
        <v>42077</v>
      </c>
      <c r="B303" s="3" t="s">
        <v>38</v>
      </c>
      <c r="C303" s="3" t="s">
        <v>10</v>
      </c>
      <c r="D303" s="3" t="s">
        <v>35</v>
      </c>
      <c r="E303" s="3">
        <v>48</v>
      </c>
      <c r="F303" s="5">
        <f t="shared" si="4"/>
        <v>192</v>
      </c>
    </row>
    <row r="304" spans="1:6" x14ac:dyDescent="0.25">
      <c r="A304" s="4">
        <v>42161</v>
      </c>
      <c r="B304" s="3" t="s">
        <v>38</v>
      </c>
      <c r="C304" s="3" t="s">
        <v>6</v>
      </c>
      <c r="D304" s="3" t="s">
        <v>30</v>
      </c>
      <c r="E304" s="3">
        <v>25</v>
      </c>
      <c r="F304" s="5">
        <f t="shared" si="4"/>
        <v>2.5</v>
      </c>
    </row>
    <row r="305" spans="1:6" x14ac:dyDescent="0.25">
      <c r="A305" s="4">
        <v>42168</v>
      </c>
      <c r="B305" s="3" t="s">
        <v>32</v>
      </c>
      <c r="C305" s="3" t="s">
        <v>2</v>
      </c>
      <c r="D305" s="3" t="s">
        <v>28</v>
      </c>
      <c r="E305" s="3">
        <v>39</v>
      </c>
      <c r="F305" s="5">
        <f t="shared" si="4"/>
        <v>78</v>
      </c>
    </row>
    <row r="306" spans="1:6" x14ac:dyDescent="0.25">
      <c r="A306" s="4">
        <v>42053</v>
      </c>
      <c r="B306" s="3" t="s">
        <v>39</v>
      </c>
      <c r="C306" s="3" t="s">
        <v>5</v>
      </c>
      <c r="D306" s="3" t="s">
        <v>30</v>
      </c>
      <c r="E306" s="3">
        <v>38</v>
      </c>
      <c r="F306" s="5">
        <f t="shared" si="4"/>
        <v>3.8000000000000003</v>
      </c>
    </row>
    <row r="307" spans="1:6" x14ac:dyDescent="0.25">
      <c r="A307" s="4">
        <v>42028</v>
      </c>
      <c r="B307" s="3" t="s">
        <v>38</v>
      </c>
      <c r="C307" s="3" t="s">
        <v>5</v>
      </c>
      <c r="D307" s="3" t="s">
        <v>33</v>
      </c>
      <c r="E307" s="3">
        <v>24</v>
      </c>
      <c r="F307" s="5">
        <f t="shared" si="4"/>
        <v>120</v>
      </c>
    </row>
    <row r="308" spans="1:6" x14ac:dyDescent="0.25">
      <c r="A308" s="4">
        <v>42091</v>
      </c>
      <c r="B308" s="3" t="s">
        <v>26</v>
      </c>
      <c r="C308" s="3" t="s">
        <v>6</v>
      </c>
      <c r="D308" s="3" t="s">
        <v>30</v>
      </c>
      <c r="E308" s="3">
        <v>27</v>
      </c>
      <c r="F308" s="5">
        <f t="shared" si="4"/>
        <v>2.7</v>
      </c>
    </row>
    <row r="309" spans="1:6" x14ac:dyDescent="0.25">
      <c r="A309" s="4">
        <v>42102</v>
      </c>
      <c r="B309" s="3" t="s">
        <v>39</v>
      </c>
      <c r="C309" s="3" t="s">
        <v>6</v>
      </c>
      <c r="D309" s="3" t="s">
        <v>28</v>
      </c>
      <c r="E309" s="3">
        <v>27</v>
      </c>
      <c r="F309" s="5">
        <f t="shared" si="4"/>
        <v>54</v>
      </c>
    </row>
    <row r="310" spans="1:6" x14ac:dyDescent="0.25">
      <c r="A310" s="4">
        <v>42032</v>
      </c>
      <c r="B310" s="3" t="s">
        <v>38</v>
      </c>
      <c r="C310" s="3" t="s">
        <v>2</v>
      </c>
      <c r="D310" s="3" t="s">
        <v>33</v>
      </c>
      <c r="E310" s="3">
        <v>5</v>
      </c>
      <c r="F310" s="5">
        <f t="shared" si="4"/>
        <v>25</v>
      </c>
    </row>
    <row r="311" spans="1:6" x14ac:dyDescent="0.25">
      <c r="A311" s="4">
        <v>42096</v>
      </c>
      <c r="B311" s="3" t="s">
        <v>38</v>
      </c>
      <c r="C311" s="3" t="s">
        <v>5</v>
      </c>
      <c r="D311" s="3" t="s">
        <v>33</v>
      </c>
      <c r="E311" s="3">
        <v>10</v>
      </c>
      <c r="F311" s="5">
        <f t="shared" si="4"/>
        <v>50</v>
      </c>
    </row>
    <row r="312" spans="1:6" x14ac:dyDescent="0.25">
      <c r="A312" s="4">
        <v>42005</v>
      </c>
      <c r="B312" s="3" t="s">
        <v>29</v>
      </c>
      <c r="C312" s="3" t="s">
        <v>10</v>
      </c>
      <c r="D312" s="3" t="s">
        <v>33</v>
      </c>
      <c r="E312" s="3">
        <v>12</v>
      </c>
      <c r="F312" s="5">
        <f t="shared" si="4"/>
        <v>60</v>
      </c>
    </row>
    <row r="313" spans="1:6" x14ac:dyDescent="0.25">
      <c r="A313" s="4">
        <v>42071</v>
      </c>
      <c r="B313" s="3" t="s">
        <v>37</v>
      </c>
      <c r="C313" s="3" t="s">
        <v>6</v>
      </c>
      <c r="D313" s="3" t="s">
        <v>36</v>
      </c>
      <c r="E313" s="3">
        <v>10</v>
      </c>
      <c r="F313" s="5">
        <f t="shared" si="4"/>
        <v>15</v>
      </c>
    </row>
    <row r="314" spans="1:6" x14ac:dyDescent="0.25">
      <c r="A314" s="4">
        <v>42086</v>
      </c>
      <c r="B314" s="3" t="s">
        <v>37</v>
      </c>
      <c r="C314" s="3" t="s">
        <v>5</v>
      </c>
      <c r="D314" s="3" t="s">
        <v>36</v>
      </c>
      <c r="E314" s="3">
        <v>34</v>
      </c>
      <c r="F314" s="5">
        <f t="shared" si="4"/>
        <v>51</v>
      </c>
    </row>
    <row r="315" spans="1:6" x14ac:dyDescent="0.25">
      <c r="A315" s="4">
        <v>42175</v>
      </c>
      <c r="B315" s="3" t="s">
        <v>26</v>
      </c>
      <c r="C315" s="3" t="s">
        <v>6</v>
      </c>
      <c r="D315" s="3" t="s">
        <v>31</v>
      </c>
      <c r="E315" s="3">
        <v>1</v>
      </c>
      <c r="F315" s="5">
        <f t="shared" si="4"/>
        <v>2.5</v>
      </c>
    </row>
    <row r="316" spans="1:6" x14ac:dyDescent="0.25">
      <c r="A316" s="4">
        <v>42080</v>
      </c>
      <c r="B316" s="3" t="s">
        <v>29</v>
      </c>
      <c r="C316" s="3" t="s">
        <v>6</v>
      </c>
      <c r="D316" s="3" t="s">
        <v>30</v>
      </c>
      <c r="E316" s="3">
        <v>48</v>
      </c>
      <c r="F316" s="5">
        <f t="shared" si="4"/>
        <v>4.8000000000000007</v>
      </c>
    </row>
    <row r="317" spans="1:6" x14ac:dyDescent="0.25">
      <c r="A317" s="4">
        <v>42166</v>
      </c>
      <c r="B317" s="3" t="s">
        <v>26</v>
      </c>
      <c r="C317" s="3" t="s">
        <v>19</v>
      </c>
      <c r="D317" s="3" t="s">
        <v>33</v>
      </c>
      <c r="E317" s="3">
        <v>26</v>
      </c>
      <c r="F317" s="5">
        <f t="shared" si="4"/>
        <v>130</v>
      </c>
    </row>
    <row r="318" spans="1:6" x14ac:dyDescent="0.25">
      <c r="A318" s="4">
        <v>42151</v>
      </c>
      <c r="B318" s="3" t="s">
        <v>32</v>
      </c>
      <c r="C318" s="3" t="s">
        <v>10</v>
      </c>
      <c r="D318" s="3" t="s">
        <v>28</v>
      </c>
      <c r="E318" s="3">
        <v>48</v>
      </c>
      <c r="F318" s="5">
        <f t="shared" si="4"/>
        <v>96</v>
      </c>
    </row>
    <row r="319" spans="1:6" x14ac:dyDescent="0.25">
      <c r="A319" s="4">
        <v>42157</v>
      </c>
      <c r="B319" s="3" t="s">
        <v>38</v>
      </c>
      <c r="C319" s="3" t="s">
        <v>19</v>
      </c>
      <c r="D319" s="3" t="s">
        <v>35</v>
      </c>
      <c r="E319" s="3">
        <v>6</v>
      </c>
      <c r="F319" s="5">
        <f t="shared" si="4"/>
        <v>24</v>
      </c>
    </row>
    <row r="320" spans="1:6" x14ac:dyDescent="0.25">
      <c r="A320" s="4">
        <v>42107</v>
      </c>
      <c r="B320" s="3" t="s">
        <v>26</v>
      </c>
      <c r="C320" s="3" t="s">
        <v>19</v>
      </c>
      <c r="D320" s="3" t="s">
        <v>35</v>
      </c>
      <c r="E320" s="3">
        <v>50</v>
      </c>
      <c r="F320" s="5">
        <f t="shared" si="4"/>
        <v>200</v>
      </c>
    </row>
    <row r="321" spans="1:6" x14ac:dyDescent="0.25">
      <c r="A321" s="4">
        <v>42149</v>
      </c>
      <c r="B321" s="3" t="s">
        <v>37</v>
      </c>
      <c r="C321" s="3" t="s">
        <v>19</v>
      </c>
      <c r="D321" s="3" t="s">
        <v>30</v>
      </c>
      <c r="E321" s="3">
        <v>14</v>
      </c>
      <c r="F321" s="5">
        <f t="shared" si="4"/>
        <v>1.4000000000000001</v>
      </c>
    </row>
    <row r="322" spans="1:6" x14ac:dyDescent="0.25">
      <c r="A322" s="4">
        <v>42060</v>
      </c>
      <c r="B322" s="3" t="s">
        <v>37</v>
      </c>
      <c r="C322" s="3" t="s">
        <v>10</v>
      </c>
      <c r="D322" s="3" t="s">
        <v>33</v>
      </c>
      <c r="E322" s="3">
        <v>39</v>
      </c>
      <c r="F322" s="5">
        <f t="shared" si="4"/>
        <v>195</v>
      </c>
    </row>
    <row r="323" spans="1:6" x14ac:dyDescent="0.25">
      <c r="A323" s="4">
        <v>42136</v>
      </c>
      <c r="B323" s="3" t="s">
        <v>37</v>
      </c>
      <c r="C323" s="3" t="s">
        <v>5</v>
      </c>
      <c r="D323" s="3" t="s">
        <v>28</v>
      </c>
      <c r="E323" s="3">
        <v>5</v>
      </c>
      <c r="F323" s="5">
        <f t="shared" si="4"/>
        <v>10</v>
      </c>
    </row>
    <row r="324" spans="1:6" x14ac:dyDescent="0.25">
      <c r="A324" s="4">
        <v>42171</v>
      </c>
      <c r="B324" s="3" t="s">
        <v>26</v>
      </c>
      <c r="C324" s="3" t="s">
        <v>2</v>
      </c>
      <c r="D324" s="3" t="s">
        <v>31</v>
      </c>
      <c r="E324" s="3">
        <v>15</v>
      </c>
      <c r="F324" s="5">
        <f t="shared" si="4"/>
        <v>37.5</v>
      </c>
    </row>
    <row r="325" spans="1:6" x14ac:dyDescent="0.25">
      <c r="A325" s="4">
        <v>42101</v>
      </c>
      <c r="B325" s="3" t="s">
        <v>32</v>
      </c>
      <c r="C325" s="3" t="s">
        <v>2</v>
      </c>
      <c r="D325" s="3" t="s">
        <v>36</v>
      </c>
      <c r="E325" s="3">
        <v>26</v>
      </c>
      <c r="F325" s="5">
        <f t="shared" si="4"/>
        <v>39</v>
      </c>
    </row>
    <row r="326" spans="1:6" x14ac:dyDescent="0.25">
      <c r="A326" s="4">
        <v>42150</v>
      </c>
      <c r="B326" s="3" t="s">
        <v>32</v>
      </c>
      <c r="C326" s="3" t="s">
        <v>5</v>
      </c>
      <c r="D326" s="3" t="s">
        <v>30</v>
      </c>
      <c r="E326" s="3">
        <v>43</v>
      </c>
      <c r="F326" s="5">
        <f t="shared" si="4"/>
        <v>4.3</v>
      </c>
    </row>
    <row r="327" spans="1:6" x14ac:dyDescent="0.25">
      <c r="A327" s="4">
        <v>42046</v>
      </c>
      <c r="B327" s="3" t="s">
        <v>37</v>
      </c>
      <c r="C327" s="3" t="s">
        <v>19</v>
      </c>
      <c r="D327" s="3" t="s">
        <v>30</v>
      </c>
      <c r="E327" s="3">
        <v>29</v>
      </c>
      <c r="F327" s="5">
        <f>E327*VLOOKUP(D327,$W$6:$X$13,2,0)</f>
        <v>2.9000000000000004</v>
      </c>
    </row>
    <row r="328" spans="1:6" x14ac:dyDescent="0.25">
      <c r="A328" s="4">
        <v>42067</v>
      </c>
      <c r="B328" s="3" t="s">
        <v>39</v>
      </c>
      <c r="C328" s="3" t="s">
        <v>6</v>
      </c>
      <c r="D328" s="3" t="s">
        <v>36</v>
      </c>
      <c r="E328" s="3">
        <v>9</v>
      </c>
      <c r="F328" s="5">
        <f>E328*VLOOKUP(D328,$W$6:$X$13,2,0)</f>
        <v>13.5</v>
      </c>
    </row>
    <row r="329" spans="1:6" x14ac:dyDescent="0.25">
      <c r="A329" s="4">
        <v>42166</v>
      </c>
      <c r="B329" s="3" t="s">
        <v>39</v>
      </c>
      <c r="C329" s="3" t="s">
        <v>6</v>
      </c>
      <c r="D329" s="3" t="s">
        <v>36</v>
      </c>
      <c r="E329" s="3">
        <v>13</v>
      </c>
      <c r="F329" s="5">
        <f>E329*VLOOKUP(D329,$W$6:$X$13,2,0)</f>
        <v>19.5</v>
      </c>
    </row>
    <row r="330" spans="1:6" x14ac:dyDescent="0.25">
      <c r="A330" s="4">
        <v>42039</v>
      </c>
      <c r="B330" s="3" t="s">
        <v>38</v>
      </c>
      <c r="C330" s="3" t="s">
        <v>19</v>
      </c>
      <c r="D330" s="3" t="s">
        <v>30</v>
      </c>
      <c r="E330" s="3">
        <v>48</v>
      </c>
      <c r="F330" s="5">
        <f t="shared" ref="F330:F393" si="5">E330*VLOOKUP(D330,$W$6:$X$13,2,0)</f>
        <v>4.8000000000000007</v>
      </c>
    </row>
    <row r="331" spans="1:6" x14ac:dyDescent="0.25">
      <c r="A331" s="4">
        <v>42174</v>
      </c>
      <c r="B331" s="3" t="s">
        <v>39</v>
      </c>
      <c r="C331" s="3" t="s">
        <v>5</v>
      </c>
      <c r="D331" s="3" t="s">
        <v>33</v>
      </c>
      <c r="E331" s="3">
        <v>5</v>
      </c>
      <c r="F331" s="5">
        <f t="shared" si="5"/>
        <v>25</v>
      </c>
    </row>
    <row r="332" spans="1:6" x14ac:dyDescent="0.25">
      <c r="A332" s="4">
        <v>42146</v>
      </c>
      <c r="B332" s="3" t="s">
        <v>32</v>
      </c>
      <c r="C332" s="3" t="s">
        <v>2</v>
      </c>
      <c r="D332" s="3" t="s">
        <v>30</v>
      </c>
      <c r="E332" s="3">
        <v>18</v>
      </c>
      <c r="F332" s="5">
        <f t="shared" si="5"/>
        <v>1.8</v>
      </c>
    </row>
    <row r="333" spans="1:6" x14ac:dyDescent="0.25">
      <c r="A333" s="4">
        <v>42182</v>
      </c>
      <c r="B333" s="3" t="s">
        <v>37</v>
      </c>
      <c r="C333" s="3" t="s">
        <v>19</v>
      </c>
      <c r="D333" s="3" t="s">
        <v>35</v>
      </c>
      <c r="E333" s="3">
        <v>9</v>
      </c>
      <c r="F333" s="5">
        <f t="shared" si="5"/>
        <v>36</v>
      </c>
    </row>
    <row r="334" spans="1:6" x14ac:dyDescent="0.25">
      <c r="A334" s="4">
        <v>42025</v>
      </c>
      <c r="B334" s="3" t="s">
        <v>32</v>
      </c>
      <c r="C334" s="3" t="s">
        <v>6</v>
      </c>
      <c r="D334" s="3" t="s">
        <v>35</v>
      </c>
      <c r="E334" s="3">
        <v>22</v>
      </c>
      <c r="F334" s="5">
        <f t="shared" si="5"/>
        <v>88</v>
      </c>
    </row>
    <row r="335" spans="1:6" x14ac:dyDescent="0.25">
      <c r="A335" s="4">
        <v>42019</v>
      </c>
      <c r="B335" s="3" t="s">
        <v>29</v>
      </c>
      <c r="C335" s="3" t="s">
        <v>5</v>
      </c>
      <c r="D335" s="3" t="s">
        <v>36</v>
      </c>
      <c r="E335" s="3">
        <v>23</v>
      </c>
      <c r="F335" s="5">
        <f t="shared" si="5"/>
        <v>34.5</v>
      </c>
    </row>
    <row r="336" spans="1:6" x14ac:dyDescent="0.25">
      <c r="A336" s="4">
        <v>42110</v>
      </c>
      <c r="B336" s="3" t="s">
        <v>32</v>
      </c>
      <c r="C336" s="3" t="s">
        <v>6</v>
      </c>
      <c r="D336" s="3" t="s">
        <v>36</v>
      </c>
      <c r="E336" s="3">
        <v>20</v>
      </c>
      <c r="F336" s="5">
        <f t="shared" si="5"/>
        <v>30</v>
      </c>
    </row>
    <row r="337" spans="1:6" x14ac:dyDescent="0.25">
      <c r="A337" s="4">
        <v>42081</v>
      </c>
      <c r="B337" s="3" t="s">
        <v>38</v>
      </c>
      <c r="C337" s="3" t="s">
        <v>19</v>
      </c>
      <c r="D337" s="3" t="s">
        <v>33</v>
      </c>
      <c r="E337" s="3">
        <v>45</v>
      </c>
      <c r="F337" s="5">
        <f t="shared" si="5"/>
        <v>225</v>
      </c>
    </row>
    <row r="338" spans="1:6" x14ac:dyDescent="0.25">
      <c r="A338" s="4">
        <v>42027</v>
      </c>
      <c r="B338" s="3" t="s">
        <v>37</v>
      </c>
      <c r="C338" s="3" t="s">
        <v>10</v>
      </c>
      <c r="D338" s="3" t="s">
        <v>28</v>
      </c>
      <c r="E338" s="3">
        <v>45</v>
      </c>
      <c r="F338" s="5">
        <f t="shared" si="5"/>
        <v>90</v>
      </c>
    </row>
    <row r="339" spans="1:6" x14ac:dyDescent="0.25">
      <c r="A339" s="4">
        <v>42115</v>
      </c>
      <c r="B339" s="3" t="s">
        <v>38</v>
      </c>
      <c r="C339" s="3" t="s">
        <v>10</v>
      </c>
      <c r="D339" s="3" t="s">
        <v>31</v>
      </c>
      <c r="E339" s="3">
        <v>36</v>
      </c>
      <c r="F339" s="5">
        <f t="shared" si="5"/>
        <v>90</v>
      </c>
    </row>
    <row r="340" spans="1:6" x14ac:dyDescent="0.25">
      <c r="A340" s="4">
        <v>42088</v>
      </c>
      <c r="B340" s="3" t="s">
        <v>38</v>
      </c>
      <c r="C340" s="3" t="s">
        <v>19</v>
      </c>
      <c r="D340" s="3" t="s">
        <v>28</v>
      </c>
      <c r="E340" s="3">
        <v>38</v>
      </c>
      <c r="F340" s="5">
        <f t="shared" si="5"/>
        <v>76</v>
      </c>
    </row>
    <row r="341" spans="1:6" x14ac:dyDescent="0.25">
      <c r="A341" s="4">
        <v>42105</v>
      </c>
      <c r="B341" s="3" t="s">
        <v>29</v>
      </c>
      <c r="C341" s="3" t="s">
        <v>6</v>
      </c>
      <c r="D341" s="3" t="s">
        <v>31</v>
      </c>
      <c r="E341" s="3">
        <v>50</v>
      </c>
      <c r="F341" s="5">
        <f t="shared" si="5"/>
        <v>125</v>
      </c>
    </row>
    <row r="342" spans="1:6" x14ac:dyDescent="0.25">
      <c r="A342" s="4">
        <v>42097</v>
      </c>
      <c r="B342" s="3" t="s">
        <v>32</v>
      </c>
      <c r="C342" s="3" t="s">
        <v>2</v>
      </c>
      <c r="D342" s="3" t="s">
        <v>28</v>
      </c>
      <c r="E342" s="3">
        <v>17</v>
      </c>
      <c r="F342" s="5">
        <f t="shared" si="5"/>
        <v>34</v>
      </c>
    </row>
    <row r="343" spans="1:6" x14ac:dyDescent="0.25">
      <c r="A343" s="4">
        <v>42100</v>
      </c>
      <c r="B343" s="3" t="s">
        <v>26</v>
      </c>
      <c r="C343" s="3" t="s">
        <v>19</v>
      </c>
      <c r="D343" s="3" t="s">
        <v>33</v>
      </c>
      <c r="E343" s="3">
        <v>13</v>
      </c>
      <c r="F343" s="5">
        <f t="shared" si="5"/>
        <v>65</v>
      </c>
    </row>
    <row r="344" spans="1:6" x14ac:dyDescent="0.25">
      <c r="A344" s="4">
        <v>42130</v>
      </c>
      <c r="B344" s="3" t="s">
        <v>37</v>
      </c>
      <c r="C344" s="3" t="s">
        <v>19</v>
      </c>
      <c r="D344" s="3" t="s">
        <v>35</v>
      </c>
      <c r="E344" s="3">
        <v>31</v>
      </c>
      <c r="F344" s="5">
        <f t="shared" si="5"/>
        <v>124</v>
      </c>
    </row>
    <row r="345" spans="1:6" x14ac:dyDescent="0.25">
      <c r="A345" s="4">
        <v>42095</v>
      </c>
      <c r="B345" s="3" t="s">
        <v>37</v>
      </c>
      <c r="C345" s="3" t="s">
        <v>19</v>
      </c>
      <c r="D345" s="3" t="s">
        <v>33</v>
      </c>
      <c r="E345" s="3">
        <v>14</v>
      </c>
      <c r="F345" s="5">
        <f t="shared" si="5"/>
        <v>70</v>
      </c>
    </row>
    <row r="346" spans="1:6" x14ac:dyDescent="0.25">
      <c r="A346" s="4">
        <v>42117</v>
      </c>
      <c r="B346" s="3" t="s">
        <v>39</v>
      </c>
      <c r="C346" s="3" t="s">
        <v>19</v>
      </c>
      <c r="D346" s="3" t="s">
        <v>30</v>
      </c>
      <c r="E346" s="3">
        <v>16</v>
      </c>
      <c r="F346" s="5">
        <f t="shared" si="5"/>
        <v>1.6</v>
      </c>
    </row>
    <row r="347" spans="1:6" x14ac:dyDescent="0.25">
      <c r="A347" s="4">
        <v>42019</v>
      </c>
      <c r="B347" s="3" t="s">
        <v>39</v>
      </c>
      <c r="C347" s="3" t="s">
        <v>19</v>
      </c>
      <c r="D347" s="3" t="s">
        <v>36</v>
      </c>
      <c r="E347" s="3">
        <v>42</v>
      </c>
      <c r="F347" s="5">
        <f t="shared" si="5"/>
        <v>63</v>
      </c>
    </row>
    <row r="348" spans="1:6" x14ac:dyDescent="0.25">
      <c r="A348" s="4">
        <v>42093</v>
      </c>
      <c r="B348" s="3" t="s">
        <v>32</v>
      </c>
      <c r="C348" s="3" t="s">
        <v>6</v>
      </c>
      <c r="D348" s="3" t="s">
        <v>35</v>
      </c>
      <c r="E348" s="3">
        <v>11</v>
      </c>
      <c r="F348" s="5">
        <f t="shared" si="5"/>
        <v>44</v>
      </c>
    </row>
    <row r="349" spans="1:6" x14ac:dyDescent="0.25">
      <c r="A349" s="4">
        <v>42110</v>
      </c>
      <c r="B349" s="3" t="s">
        <v>38</v>
      </c>
      <c r="C349" s="3" t="s">
        <v>2</v>
      </c>
      <c r="D349" s="3" t="s">
        <v>36</v>
      </c>
      <c r="E349" s="3">
        <v>36</v>
      </c>
      <c r="F349" s="5">
        <f t="shared" si="5"/>
        <v>54</v>
      </c>
    </row>
    <row r="350" spans="1:6" x14ac:dyDescent="0.25">
      <c r="A350" s="4">
        <v>42087</v>
      </c>
      <c r="B350" s="3" t="s">
        <v>37</v>
      </c>
      <c r="C350" s="3" t="s">
        <v>2</v>
      </c>
      <c r="D350" s="3" t="s">
        <v>34</v>
      </c>
      <c r="E350" s="3">
        <v>14</v>
      </c>
      <c r="F350" s="5">
        <f t="shared" si="5"/>
        <v>2.8000000000000003</v>
      </c>
    </row>
    <row r="351" spans="1:6" x14ac:dyDescent="0.25">
      <c r="A351" s="4">
        <v>42138</v>
      </c>
      <c r="B351" s="3" t="s">
        <v>37</v>
      </c>
      <c r="C351" s="3" t="s">
        <v>19</v>
      </c>
      <c r="D351" s="3" t="s">
        <v>31</v>
      </c>
      <c r="E351" s="3">
        <v>4</v>
      </c>
      <c r="F351" s="5">
        <f t="shared" si="5"/>
        <v>10</v>
      </c>
    </row>
    <row r="352" spans="1:6" x14ac:dyDescent="0.25">
      <c r="A352" s="4">
        <v>42036</v>
      </c>
      <c r="B352" s="3" t="s">
        <v>26</v>
      </c>
      <c r="C352" s="3" t="s">
        <v>19</v>
      </c>
      <c r="D352" s="3" t="s">
        <v>31</v>
      </c>
      <c r="E352" s="3">
        <v>14</v>
      </c>
      <c r="F352" s="5">
        <f t="shared" si="5"/>
        <v>35</v>
      </c>
    </row>
    <row r="353" spans="1:6" x14ac:dyDescent="0.25">
      <c r="A353" s="4">
        <v>42084</v>
      </c>
      <c r="B353" s="3" t="s">
        <v>37</v>
      </c>
      <c r="C353" s="3" t="s">
        <v>19</v>
      </c>
      <c r="D353" s="3" t="s">
        <v>34</v>
      </c>
      <c r="E353" s="3">
        <v>20</v>
      </c>
      <c r="F353" s="5">
        <f t="shared" si="5"/>
        <v>4</v>
      </c>
    </row>
    <row r="354" spans="1:6" x14ac:dyDescent="0.25">
      <c r="A354" s="4">
        <v>42018</v>
      </c>
      <c r="B354" s="3" t="s">
        <v>39</v>
      </c>
      <c r="C354" s="3" t="s">
        <v>19</v>
      </c>
      <c r="D354" s="3" t="s">
        <v>34</v>
      </c>
      <c r="E354" s="3">
        <v>44</v>
      </c>
      <c r="F354" s="5">
        <f t="shared" si="5"/>
        <v>8.8000000000000007</v>
      </c>
    </row>
    <row r="355" spans="1:6" x14ac:dyDescent="0.25">
      <c r="A355" s="4">
        <v>42117</v>
      </c>
      <c r="B355" s="3" t="s">
        <v>38</v>
      </c>
      <c r="C355" s="3" t="s">
        <v>5</v>
      </c>
      <c r="D355" s="3" t="s">
        <v>33</v>
      </c>
      <c r="E355" s="3">
        <v>50</v>
      </c>
      <c r="F355" s="5">
        <f t="shared" si="5"/>
        <v>250</v>
      </c>
    </row>
    <row r="356" spans="1:6" x14ac:dyDescent="0.25">
      <c r="A356" s="4">
        <v>42125</v>
      </c>
      <c r="B356" s="3" t="s">
        <v>32</v>
      </c>
      <c r="C356" s="3" t="s">
        <v>2</v>
      </c>
      <c r="D356" s="3" t="s">
        <v>34</v>
      </c>
      <c r="E356" s="3">
        <v>26</v>
      </c>
      <c r="F356" s="5">
        <f t="shared" si="5"/>
        <v>5.2</v>
      </c>
    </row>
    <row r="357" spans="1:6" x14ac:dyDescent="0.25">
      <c r="A357" s="4">
        <v>42155</v>
      </c>
      <c r="B357" s="3" t="s">
        <v>37</v>
      </c>
      <c r="C357" s="3" t="s">
        <v>19</v>
      </c>
      <c r="D357" s="3" t="s">
        <v>34</v>
      </c>
      <c r="E357" s="3">
        <v>49</v>
      </c>
      <c r="F357" s="5">
        <f t="shared" si="5"/>
        <v>9.8000000000000007</v>
      </c>
    </row>
    <row r="358" spans="1:6" x14ac:dyDescent="0.25">
      <c r="A358" s="4">
        <v>42083</v>
      </c>
      <c r="B358" s="3" t="s">
        <v>38</v>
      </c>
      <c r="C358" s="3" t="s">
        <v>6</v>
      </c>
      <c r="D358" s="3" t="s">
        <v>27</v>
      </c>
      <c r="E358" s="3">
        <v>28</v>
      </c>
      <c r="F358" s="5">
        <f t="shared" si="5"/>
        <v>14</v>
      </c>
    </row>
    <row r="359" spans="1:6" x14ac:dyDescent="0.25">
      <c r="A359" s="4">
        <v>42185</v>
      </c>
      <c r="B359" s="3" t="s">
        <v>39</v>
      </c>
      <c r="C359" s="3" t="s">
        <v>2</v>
      </c>
      <c r="D359" s="3" t="s">
        <v>34</v>
      </c>
      <c r="E359" s="3">
        <v>28</v>
      </c>
      <c r="F359" s="5">
        <f t="shared" si="5"/>
        <v>5.6000000000000005</v>
      </c>
    </row>
    <row r="360" spans="1:6" x14ac:dyDescent="0.25">
      <c r="A360" s="4">
        <v>42098</v>
      </c>
      <c r="B360" s="3" t="s">
        <v>32</v>
      </c>
      <c r="C360" s="3" t="s">
        <v>19</v>
      </c>
      <c r="D360" s="3" t="s">
        <v>27</v>
      </c>
      <c r="E360" s="3">
        <v>18</v>
      </c>
      <c r="F360" s="5">
        <f t="shared" si="5"/>
        <v>9</v>
      </c>
    </row>
    <row r="361" spans="1:6" x14ac:dyDescent="0.25">
      <c r="A361" s="4">
        <v>42056</v>
      </c>
      <c r="B361" s="3" t="s">
        <v>37</v>
      </c>
      <c r="C361" s="3" t="s">
        <v>19</v>
      </c>
      <c r="D361" s="3" t="s">
        <v>33</v>
      </c>
      <c r="E361" s="3">
        <v>8</v>
      </c>
      <c r="F361" s="5">
        <f t="shared" si="5"/>
        <v>40</v>
      </c>
    </row>
    <row r="362" spans="1:6" x14ac:dyDescent="0.25">
      <c r="A362" s="4">
        <v>42082</v>
      </c>
      <c r="B362" s="3" t="s">
        <v>37</v>
      </c>
      <c r="C362" s="3" t="s">
        <v>10</v>
      </c>
      <c r="D362" s="3" t="s">
        <v>33</v>
      </c>
      <c r="E362" s="3">
        <v>32</v>
      </c>
      <c r="F362" s="5">
        <f t="shared" si="5"/>
        <v>160</v>
      </c>
    </row>
    <row r="363" spans="1:6" x14ac:dyDescent="0.25">
      <c r="A363" s="4">
        <v>42144</v>
      </c>
      <c r="B363" s="3" t="s">
        <v>38</v>
      </c>
      <c r="C363" s="3" t="s">
        <v>19</v>
      </c>
      <c r="D363" s="3" t="s">
        <v>33</v>
      </c>
      <c r="E363" s="3">
        <v>37</v>
      </c>
      <c r="F363" s="5">
        <f t="shared" si="5"/>
        <v>185</v>
      </c>
    </row>
    <row r="364" spans="1:6" x14ac:dyDescent="0.25">
      <c r="A364" s="4">
        <v>42040</v>
      </c>
      <c r="B364" s="3" t="s">
        <v>37</v>
      </c>
      <c r="C364" s="3" t="s">
        <v>10</v>
      </c>
      <c r="D364" s="3" t="s">
        <v>36</v>
      </c>
      <c r="E364" s="3">
        <v>46</v>
      </c>
      <c r="F364" s="5">
        <f t="shared" si="5"/>
        <v>69</v>
      </c>
    </row>
    <row r="365" spans="1:6" x14ac:dyDescent="0.25">
      <c r="A365" s="4">
        <v>42173</v>
      </c>
      <c r="B365" s="3" t="s">
        <v>26</v>
      </c>
      <c r="C365" s="3" t="s">
        <v>19</v>
      </c>
      <c r="D365" s="3" t="s">
        <v>31</v>
      </c>
      <c r="E365" s="3">
        <v>40</v>
      </c>
      <c r="F365" s="5">
        <f t="shared" si="5"/>
        <v>100</v>
      </c>
    </row>
    <row r="366" spans="1:6" x14ac:dyDescent="0.25">
      <c r="A366" s="4">
        <v>42183</v>
      </c>
      <c r="B366" s="3" t="s">
        <v>26</v>
      </c>
      <c r="C366" s="3" t="s">
        <v>2</v>
      </c>
      <c r="D366" s="3" t="s">
        <v>28</v>
      </c>
      <c r="E366" s="3">
        <v>12</v>
      </c>
      <c r="F366" s="5">
        <f t="shared" si="5"/>
        <v>24</v>
      </c>
    </row>
    <row r="367" spans="1:6" x14ac:dyDescent="0.25">
      <c r="A367" s="4">
        <v>42089</v>
      </c>
      <c r="B367" s="3" t="s">
        <v>26</v>
      </c>
      <c r="C367" s="3" t="s">
        <v>5</v>
      </c>
      <c r="D367" s="3" t="s">
        <v>33</v>
      </c>
      <c r="E367" s="3">
        <v>37</v>
      </c>
      <c r="F367" s="5">
        <f t="shared" si="5"/>
        <v>185</v>
      </c>
    </row>
    <row r="368" spans="1:6" x14ac:dyDescent="0.25">
      <c r="A368" s="4">
        <v>42061</v>
      </c>
      <c r="B368" s="3" t="s">
        <v>38</v>
      </c>
      <c r="C368" s="3" t="s">
        <v>6</v>
      </c>
      <c r="D368" s="3" t="s">
        <v>35</v>
      </c>
      <c r="E368" s="3">
        <v>11</v>
      </c>
      <c r="F368" s="5">
        <f t="shared" si="5"/>
        <v>44</v>
      </c>
    </row>
    <row r="369" spans="1:6" x14ac:dyDescent="0.25">
      <c r="A369" s="4">
        <v>42157</v>
      </c>
      <c r="B369" s="3" t="s">
        <v>39</v>
      </c>
      <c r="C369" s="3" t="s">
        <v>10</v>
      </c>
      <c r="D369" s="3" t="s">
        <v>35</v>
      </c>
      <c r="E369" s="3">
        <v>31</v>
      </c>
      <c r="F369" s="5">
        <f t="shared" si="5"/>
        <v>124</v>
      </c>
    </row>
    <row r="370" spans="1:6" x14ac:dyDescent="0.25">
      <c r="A370" s="4">
        <v>42070</v>
      </c>
      <c r="B370" s="3" t="s">
        <v>26</v>
      </c>
      <c r="C370" s="3" t="s">
        <v>5</v>
      </c>
      <c r="D370" s="3" t="s">
        <v>27</v>
      </c>
      <c r="E370" s="3">
        <v>12</v>
      </c>
      <c r="F370" s="5">
        <f t="shared" si="5"/>
        <v>6</v>
      </c>
    </row>
    <row r="371" spans="1:6" x14ac:dyDescent="0.25">
      <c r="A371" s="4">
        <v>42104</v>
      </c>
      <c r="B371" s="3" t="s">
        <v>29</v>
      </c>
      <c r="C371" s="3" t="s">
        <v>19</v>
      </c>
      <c r="D371" s="3" t="s">
        <v>27</v>
      </c>
      <c r="E371" s="3">
        <v>24</v>
      </c>
      <c r="F371" s="5">
        <f t="shared" si="5"/>
        <v>12</v>
      </c>
    </row>
    <row r="372" spans="1:6" x14ac:dyDescent="0.25">
      <c r="A372" s="4">
        <v>42135</v>
      </c>
      <c r="B372" s="3" t="s">
        <v>37</v>
      </c>
      <c r="C372" s="3" t="s">
        <v>10</v>
      </c>
      <c r="D372" s="3" t="s">
        <v>34</v>
      </c>
      <c r="E372" s="3">
        <v>36</v>
      </c>
      <c r="F372" s="5">
        <f t="shared" si="5"/>
        <v>7.2</v>
      </c>
    </row>
    <row r="373" spans="1:6" x14ac:dyDescent="0.25">
      <c r="A373" s="4">
        <v>42174</v>
      </c>
      <c r="B373" s="3" t="s">
        <v>39</v>
      </c>
      <c r="C373" s="3" t="s">
        <v>6</v>
      </c>
      <c r="D373" s="3" t="s">
        <v>30</v>
      </c>
      <c r="E373" s="3">
        <v>40</v>
      </c>
      <c r="F373" s="5">
        <f t="shared" si="5"/>
        <v>4</v>
      </c>
    </row>
    <row r="374" spans="1:6" x14ac:dyDescent="0.25">
      <c r="A374" s="4">
        <v>42013</v>
      </c>
      <c r="B374" s="3" t="s">
        <v>38</v>
      </c>
      <c r="C374" s="3" t="s">
        <v>10</v>
      </c>
      <c r="D374" s="3" t="s">
        <v>33</v>
      </c>
      <c r="E374" s="3">
        <v>12</v>
      </c>
      <c r="F374" s="5">
        <f t="shared" si="5"/>
        <v>60</v>
      </c>
    </row>
    <row r="375" spans="1:6" x14ac:dyDescent="0.25">
      <c r="A375" s="4">
        <v>42079</v>
      </c>
      <c r="B375" s="3" t="s">
        <v>39</v>
      </c>
      <c r="C375" s="3" t="s">
        <v>2</v>
      </c>
      <c r="D375" s="3" t="s">
        <v>27</v>
      </c>
      <c r="E375" s="3">
        <v>16</v>
      </c>
      <c r="F375" s="5">
        <f t="shared" si="5"/>
        <v>8</v>
      </c>
    </row>
    <row r="376" spans="1:6" x14ac:dyDescent="0.25">
      <c r="A376" s="4">
        <v>42092</v>
      </c>
      <c r="B376" s="3" t="s">
        <v>38</v>
      </c>
      <c r="C376" s="3" t="s">
        <v>10</v>
      </c>
      <c r="D376" s="3" t="s">
        <v>34</v>
      </c>
      <c r="E376" s="3">
        <v>27</v>
      </c>
      <c r="F376" s="5">
        <f t="shared" si="5"/>
        <v>5.4</v>
      </c>
    </row>
    <row r="377" spans="1:6" x14ac:dyDescent="0.25">
      <c r="A377" s="4">
        <v>42110</v>
      </c>
      <c r="B377" s="3" t="s">
        <v>29</v>
      </c>
      <c r="C377" s="3" t="s">
        <v>5</v>
      </c>
      <c r="D377" s="3" t="s">
        <v>33</v>
      </c>
      <c r="E377" s="3">
        <v>31</v>
      </c>
      <c r="F377" s="5">
        <f t="shared" si="5"/>
        <v>155</v>
      </c>
    </row>
    <row r="378" spans="1:6" x14ac:dyDescent="0.25">
      <c r="A378" s="4">
        <v>42046</v>
      </c>
      <c r="B378" s="3" t="s">
        <v>37</v>
      </c>
      <c r="C378" s="3" t="s">
        <v>2</v>
      </c>
      <c r="D378" s="3" t="s">
        <v>33</v>
      </c>
      <c r="E378" s="3">
        <v>11</v>
      </c>
      <c r="F378" s="5">
        <f t="shared" si="5"/>
        <v>55</v>
      </c>
    </row>
    <row r="379" spans="1:6" x14ac:dyDescent="0.25">
      <c r="A379" s="4">
        <v>42031</v>
      </c>
      <c r="B379" s="3" t="s">
        <v>39</v>
      </c>
      <c r="C379" s="3" t="s">
        <v>19</v>
      </c>
      <c r="D379" s="3" t="s">
        <v>36</v>
      </c>
      <c r="E379" s="3">
        <v>4</v>
      </c>
      <c r="F379" s="5">
        <f t="shared" si="5"/>
        <v>6</v>
      </c>
    </row>
    <row r="380" spans="1:6" x14ac:dyDescent="0.25">
      <c r="A380" s="4">
        <v>42070</v>
      </c>
      <c r="B380" s="3" t="s">
        <v>39</v>
      </c>
      <c r="C380" s="3" t="s">
        <v>2</v>
      </c>
      <c r="D380" s="3" t="s">
        <v>34</v>
      </c>
      <c r="E380" s="3">
        <v>6</v>
      </c>
      <c r="F380" s="5">
        <f t="shared" si="5"/>
        <v>1.2000000000000002</v>
      </c>
    </row>
    <row r="381" spans="1:6" x14ac:dyDescent="0.25">
      <c r="A381" s="4">
        <v>42111</v>
      </c>
      <c r="B381" s="3" t="s">
        <v>29</v>
      </c>
      <c r="C381" s="3" t="s">
        <v>2</v>
      </c>
      <c r="D381" s="3" t="s">
        <v>36</v>
      </c>
      <c r="E381" s="3">
        <v>28</v>
      </c>
      <c r="F381" s="5">
        <f t="shared" si="5"/>
        <v>42</v>
      </c>
    </row>
    <row r="382" spans="1:6" x14ac:dyDescent="0.25">
      <c r="A382" s="4">
        <v>42107</v>
      </c>
      <c r="B382" s="3" t="s">
        <v>37</v>
      </c>
      <c r="C382" s="3" t="s">
        <v>5</v>
      </c>
      <c r="D382" s="3" t="s">
        <v>27</v>
      </c>
      <c r="E382" s="3">
        <v>22</v>
      </c>
      <c r="F382" s="5">
        <f t="shared" si="5"/>
        <v>11</v>
      </c>
    </row>
    <row r="383" spans="1:6" x14ac:dyDescent="0.25">
      <c r="A383" s="4">
        <v>42053</v>
      </c>
      <c r="B383" s="3" t="s">
        <v>39</v>
      </c>
      <c r="C383" s="3" t="s">
        <v>2</v>
      </c>
      <c r="D383" s="3" t="s">
        <v>28</v>
      </c>
      <c r="E383" s="3">
        <v>46</v>
      </c>
      <c r="F383" s="5">
        <f t="shared" si="5"/>
        <v>92</v>
      </c>
    </row>
    <row r="384" spans="1:6" x14ac:dyDescent="0.25">
      <c r="A384" s="4">
        <v>42047</v>
      </c>
      <c r="B384" s="3" t="s">
        <v>38</v>
      </c>
      <c r="C384" s="3" t="s">
        <v>2</v>
      </c>
      <c r="D384" s="3" t="s">
        <v>27</v>
      </c>
      <c r="E384" s="3">
        <v>48</v>
      </c>
      <c r="F384" s="5">
        <f t="shared" si="5"/>
        <v>24</v>
      </c>
    </row>
    <row r="385" spans="1:6" x14ac:dyDescent="0.25">
      <c r="A385" s="4">
        <v>42132</v>
      </c>
      <c r="B385" s="3" t="s">
        <v>26</v>
      </c>
      <c r="C385" s="3" t="s">
        <v>6</v>
      </c>
      <c r="D385" s="3" t="s">
        <v>27</v>
      </c>
      <c r="E385" s="3">
        <v>28</v>
      </c>
      <c r="F385" s="5">
        <f t="shared" si="5"/>
        <v>14</v>
      </c>
    </row>
    <row r="386" spans="1:6" x14ac:dyDescent="0.25">
      <c r="A386" s="4">
        <v>42011</v>
      </c>
      <c r="B386" s="3" t="s">
        <v>26</v>
      </c>
      <c r="C386" s="3" t="s">
        <v>10</v>
      </c>
      <c r="D386" s="3" t="s">
        <v>27</v>
      </c>
      <c r="E386" s="3">
        <v>3</v>
      </c>
      <c r="F386" s="5">
        <f t="shared" si="5"/>
        <v>1.5</v>
      </c>
    </row>
    <row r="387" spans="1:6" x14ac:dyDescent="0.25">
      <c r="A387" s="4">
        <v>42132</v>
      </c>
      <c r="B387" s="3" t="s">
        <v>38</v>
      </c>
      <c r="C387" s="3" t="s">
        <v>19</v>
      </c>
      <c r="D387" s="3" t="s">
        <v>34</v>
      </c>
      <c r="E387" s="3">
        <v>42</v>
      </c>
      <c r="F387" s="5">
        <f t="shared" si="5"/>
        <v>8.4</v>
      </c>
    </row>
    <row r="388" spans="1:6" x14ac:dyDescent="0.25">
      <c r="A388" s="4">
        <v>42155</v>
      </c>
      <c r="B388" s="3" t="s">
        <v>37</v>
      </c>
      <c r="C388" s="3" t="s">
        <v>5</v>
      </c>
      <c r="D388" s="3" t="s">
        <v>34</v>
      </c>
      <c r="E388" s="3">
        <v>40</v>
      </c>
      <c r="F388" s="5">
        <f t="shared" si="5"/>
        <v>8</v>
      </c>
    </row>
    <row r="389" spans="1:6" x14ac:dyDescent="0.25">
      <c r="A389" s="4">
        <v>42043</v>
      </c>
      <c r="B389" s="3" t="s">
        <v>29</v>
      </c>
      <c r="C389" s="3" t="s">
        <v>2</v>
      </c>
      <c r="D389" s="3" t="s">
        <v>30</v>
      </c>
      <c r="E389" s="3">
        <v>39</v>
      </c>
      <c r="F389" s="5">
        <f t="shared" si="5"/>
        <v>3.9000000000000004</v>
      </c>
    </row>
    <row r="390" spans="1:6" x14ac:dyDescent="0.25">
      <c r="A390" s="4">
        <v>42184</v>
      </c>
      <c r="B390" s="3" t="s">
        <v>39</v>
      </c>
      <c r="C390" s="3" t="s">
        <v>6</v>
      </c>
      <c r="D390" s="3" t="s">
        <v>33</v>
      </c>
      <c r="E390" s="3">
        <v>41</v>
      </c>
      <c r="F390" s="5">
        <f t="shared" si="5"/>
        <v>205</v>
      </c>
    </row>
    <row r="391" spans="1:6" x14ac:dyDescent="0.25">
      <c r="A391" s="4">
        <v>42163</v>
      </c>
      <c r="B391" s="3" t="s">
        <v>39</v>
      </c>
      <c r="C391" s="3" t="s">
        <v>10</v>
      </c>
      <c r="D391" s="3" t="s">
        <v>30</v>
      </c>
      <c r="E391" s="3">
        <v>18</v>
      </c>
      <c r="F391" s="5">
        <f t="shared" si="5"/>
        <v>1.8</v>
      </c>
    </row>
    <row r="392" spans="1:6" x14ac:dyDescent="0.25">
      <c r="A392" s="4">
        <v>42023</v>
      </c>
      <c r="B392" s="3" t="s">
        <v>37</v>
      </c>
      <c r="C392" s="3" t="s">
        <v>19</v>
      </c>
      <c r="D392" s="3" t="s">
        <v>35</v>
      </c>
      <c r="E392" s="3">
        <v>45</v>
      </c>
      <c r="F392" s="5">
        <f t="shared" si="5"/>
        <v>180</v>
      </c>
    </row>
    <row r="393" spans="1:6" x14ac:dyDescent="0.25">
      <c r="A393" s="4">
        <v>42157</v>
      </c>
      <c r="B393" s="3" t="s">
        <v>32</v>
      </c>
      <c r="C393" s="3" t="s">
        <v>5</v>
      </c>
      <c r="D393" s="3" t="s">
        <v>31</v>
      </c>
      <c r="E393" s="3">
        <v>10</v>
      </c>
      <c r="F393" s="5">
        <f t="shared" si="5"/>
        <v>25</v>
      </c>
    </row>
    <row r="394" spans="1:6" x14ac:dyDescent="0.25">
      <c r="A394" s="4">
        <v>42013</v>
      </c>
      <c r="B394" s="3" t="s">
        <v>37</v>
      </c>
      <c r="C394" s="3" t="s">
        <v>5</v>
      </c>
      <c r="D394" s="3" t="s">
        <v>34</v>
      </c>
      <c r="E394" s="3">
        <v>23</v>
      </c>
      <c r="F394" s="5">
        <f t="shared" ref="F394:F457" si="6">E394*VLOOKUP(D394,$W$6:$X$13,2,0)</f>
        <v>4.6000000000000005</v>
      </c>
    </row>
    <row r="395" spans="1:6" x14ac:dyDescent="0.25">
      <c r="A395" s="4">
        <v>42153</v>
      </c>
      <c r="B395" s="3" t="s">
        <v>38</v>
      </c>
      <c r="C395" s="3" t="s">
        <v>6</v>
      </c>
      <c r="D395" s="3" t="s">
        <v>33</v>
      </c>
      <c r="E395" s="3">
        <v>49</v>
      </c>
      <c r="F395" s="5">
        <f t="shared" si="6"/>
        <v>245</v>
      </c>
    </row>
    <row r="396" spans="1:6" x14ac:dyDescent="0.25">
      <c r="A396" s="4">
        <v>42098</v>
      </c>
      <c r="B396" s="3" t="s">
        <v>29</v>
      </c>
      <c r="C396" s="3" t="s">
        <v>6</v>
      </c>
      <c r="D396" s="3" t="s">
        <v>33</v>
      </c>
      <c r="E396" s="3">
        <v>14</v>
      </c>
      <c r="F396" s="5">
        <f t="shared" si="6"/>
        <v>70</v>
      </c>
    </row>
    <row r="397" spans="1:6" x14ac:dyDescent="0.25">
      <c r="A397" s="4">
        <v>42006</v>
      </c>
      <c r="B397" s="3" t="s">
        <v>29</v>
      </c>
      <c r="C397" s="3" t="s">
        <v>19</v>
      </c>
      <c r="D397" s="3" t="s">
        <v>36</v>
      </c>
      <c r="E397" s="3">
        <v>37</v>
      </c>
      <c r="F397" s="5">
        <f t="shared" si="6"/>
        <v>55.5</v>
      </c>
    </row>
    <row r="398" spans="1:6" x14ac:dyDescent="0.25">
      <c r="A398" s="4">
        <v>42181</v>
      </c>
      <c r="B398" s="3" t="s">
        <v>29</v>
      </c>
      <c r="C398" s="3" t="s">
        <v>5</v>
      </c>
      <c r="D398" s="3" t="s">
        <v>31</v>
      </c>
      <c r="E398" s="3">
        <v>50</v>
      </c>
      <c r="F398" s="5">
        <f t="shared" si="6"/>
        <v>125</v>
      </c>
    </row>
    <row r="399" spans="1:6" x14ac:dyDescent="0.25">
      <c r="A399" s="4">
        <v>42006</v>
      </c>
      <c r="B399" s="3" t="s">
        <v>38</v>
      </c>
      <c r="C399" s="3" t="s">
        <v>5</v>
      </c>
      <c r="D399" s="3" t="s">
        <v>33</v>
      </c>
      <c r="E399" s="3">
        <v>27</v>
      </c>
      <c r="F399" s="5">
        <f t="shared" si="6"/>
        <v>135</v>
      </c>
    </row>
    <row r="400" spans="1:6" x14ac:dyDescent="0.25">
      <c r="A400" s="4">
        <v>42036</v>
      </c>
      <c r="B400" s="3" t="s">
        <v>26</v>
      </c>
      <c r="C400" s="3" t="s">
        <v>2</v>
      </c>
      <c r="D400" s="3" t="s">
        <v>33</v>
      </c>
      <c r="E400" s="3">
        <v>41</v>
      </c>
      <c r="F400" s="5">
        <f t="shared" si="6"/>
        <v>205</v>
      </c>
    </row>
    <row r="401" spans="1:6" x14ac:dyDescent="0.25">
      <c r="A401" s="4">
        <v>42161</v>
      </c>
      <c r="B401" s="3" t="s">
        <v>37</v>
      </c>
      <c r="C401" s="3" t="s">
        <v>5</v>
      </c>
      <c r="D401" s="3" t="s">
        <v>33</v>
      </c>
      <c r="E401" s="3">
        <v>27</v>
      </c>
      <c r="F401" s="5">
        <f t="shared" si="6"/>
        <v>135</v>
      </c>
    </row>
    <row r="402" spans="1:6" x14ac:dyDescent="0.25">
      <c r="A402" s="4">
        <v>42059</v>
      </c>
      <c r="B402" s="3" t="s">
        <v>39</v>
      </c>
      <c r="C402" s="3" t="s">
        <v>10</v>
      </c>
      <c r="D402" s="3" t="s">
        <v>27</v>
      </c>
      <c r="E402" s="3">
        <v>4</v>
      </c>
      <c r="F402" s="5">
        <f t="shared" si="6"/>
        <v>2</v>
      </c>
    </row>
    <row r="403" spans="1:6" x14ac:dyDescent="0.25">
      <c r="A403" s="4">
        <v>42132</v>
      </c>
      <c r="B403" s="3" t="s">
        <v>37</v>
      </c>
      <c r="C403" s="3" t="s">
        <v>5</v>
      </c>
      <c r="D403" s="3" t="s">
        <v>36</v>
      </c>
      <c r="E403" s="3">
        <v>31</v>
      </c>
      <c r="F403" s="5">
        <f t="shared" si="6"/>
        <v>46.5</v>
      </c>
    </row>
    <row r="404" spans="1:6" x14ac:dyDescent="0.25">
      <c r="A404" s="4">
        <v>42005</v>
      </c>
      <c r="B404" s="3" t="s">
        <v>38</v>
      </c>
      <c r="C404" s="3" t="s">
        <v>2</v>
      </c>
      <c r="D404" s="3" t="s">
        <v>35</v>
      </c>
      <c r="E404" s="3">
        <v>30</v>
      </c>
      <c r="F404" s="5">
        <f t="shared" si="6"/>
        <v>120</v>
      </c>
    </row>
    <row r="405" spans="1:6" x14ac:dyDescent="0.25">
      <c r="A405" s="4">
        <v>42066</v>
      </c>
      <c r="B405" s="3" t="s">
        <v>39</v>
      </c>
      <c r="C405" s="3" t="s">
        <v>5</v>
      </c>
      <c r="D405" s="3" t="s">
        <v>27</v>
      </c>
      <c r="E405" s="3">
        <v>23</v>
      </c>
      <c r="F405" s="5">
        <f t="shared" si="6"/>
        <v>11.5</v>
      </c>
    </row>
    <row r="406" spans="1:6" x14ac:dyDescent="0.25">
      <c r="A406" s="4">
        <v>42080</v>
      </c>
      <c r="B406" s="3" t="s">
        <v>38</v>
      </c>
      <c r="C406" s="3" t="s">
        <v>5</v>
      </c>
      <c r="D406" s="3" t="s">
        <v>28</v>
      </c>
      <c r="E406" s="3">
        <v>22</v>
      </c>
      <c r="F406" s="5">
        <f t="shared" si="6"/>
        <v>44</v>
      </c>
    </row>
    <row r="407" spans="1:6" x14ac:dyDescent="0.25">
      <c r="A407" s="4">
        <v>42118</v>
      </c>
      <c r="B407" s="3" t="s">
        <v>26</v>
      </c>
      <c r="C407" s="3" t="s">
        <v>2</v>
      </c>
      <c r="D407" s="3" t="s">
        <v>28</v>
      </c>
      <c r="E407" s="3">
        <v>34</v>
      </c>
      <c r="F407" s="5">
        <f t="shared" si="6"/>
        <v>68</v>
      </c>
    </row>
    <row r="408" spans="1:6" x14ac:dyDescent="0.25">
      <c r="A408" s="4">
        <v>42040</v>
      </c>
      <c r="B408" s="3" t="s">
        <v>37</v>
      </c>
      <c r="C408" s="3" t="s">
        <v>2</v>
      </c>
      <c r="D408" s="3" t="s">
        <v>35</v>
      </c>
      <c r="E408" s="3">
        <v>33</v>
      </c>
      <c r="F408" s="5">
        <f t="shared" si="6"/>
        <v>132</v>
      </c>
    </row>
    <row r="409" spans="1:6" x14ac:dyDescent="0.25">
      <c r="A409" s="4">
        <v>42036</v>
      </c>
      <c r="B409" s="3" t="s">
        <v>26</v>
      </c>
      <c r="C409" s="3" t="s">
        <v>10</v>
      </c>
      <c r="D409" s="3" t="s">
        <v>34</v>
      </c>
      <c r="E409" s="3">
        <v>23</v>
      </c>
      <c r="F409" s="5">
        <f t="shared" si="6"/>
        <v>4.6000000000000005</v>
      </c>
    </row>
    <row r="410" spans="1:6" x14ac:dyDescent="0.25">
      <c r="A410" s="4">
        <v>42023</v>
      </c>
      <c r="B410" s="3" t="s">
        <v>29</v>
      </c>
      <c r="C410" s="3" t="s">
        <v>6</v>
      </c>
      <c r="D410" s="3" t="s">
        <v>35</v>
      </c>
      <c r="E410" s="3">
        <v>46</v>
      </c>
      <c r="F410" s="5">
        <f t="shared" si="6"/>
        <v>184</v>
      </c>
    </row>
    <row r="411" spans="1:6" x14ac:dyDescent="0.25">
      <c r="A411" s="4">
        <v>42180</v>
      </c>
      <c r="B411" s="3" t="s">
        <v>26</v>
      </c>
      <c r="C411" s="3" t="s">
        <v>6</v>
      </c>
      <c r="D411" s="3" t="s">
        <v>28</v>
      </c>
      <c r="E411" s="3">
        <v>4</v>
      </c>
      <c r="F411" s="5">
        <f t="shared" si="6"/>
        <v>8</v>
      </c>
    </row>
    <row r="412" spans="1:6" x14ac:dyDescent="0.25">
      <c r="A412" s="4">
        <v>42044</v>
      </c>
      <c r="B412" s="3" t="s">
        <v>38</v>
      </c>
      <c r="C412" s="3" t="s">
        <v>5</v>
      </c>
      <c r="D412" s="3" t="s">
        <v>35</v>
      </c>
      <c r="E412" s="3">
        <v>23</v>
      </c>
      <c r="F412" s="5">
        <f t="shared" si="6"/>
        <v>92</v>
      </c>
    </row>
    <row r="413" spans="1:6" x14ac:dyDescent="0.25">
      <c r="A413" s="4">
        <v>42029</v>
      </c>
      <c r="B413" s="3" t="s">
        <v>29</v>
      </c>
      <c r="C413" s="3" t="s">
        <v>10</v>
      </c>
      <c r="D413" s="3" t="s">
        <v>27</v>
      </c>
      <c r="E413" s="3">
        <v>10</v>
      </c>
      <c r="F413" s="5">
        <f t="shared" si="6"/>
        <v>5</v>
      </c>
    </row>
    <row r="414" spans="1:6" x14ac:dyDescent="0.25">
      <c r="A414" s="4">
        <v>42126</v>
      </c>
      <c r="B414" s="3" t="s">
        <v>26</v>
      </c>
      <c r="C414" s="3" t="s">
        <v>2</v>
      </c>
      <c r="D414" s="3" t="s">
        <v>31</v>
      </c>
      <c r="E414" s="3">
        <v>4</v>
      </c>
      <c r="F414" s="5">
        <f t="shared" si="6"/>
        <v>10</v>
      </c>
    </row>
    <row r="415" spans="1:6" x14ac:dyDescent="0.25">
      <c r="A415" s="4">
        <v>42013</v>
      </c>
      <c r="B415" s="3" t="s">
        <v>26</v>
      </c>
      <c r="C415" s="3" t="s">
        <v>5</v>
      </c>
      <c r="D415" s="3" t="s">
        <v>27</v>
      </c>
      <c r="E415" s="3">
        <v>10</v>
      </c>
      <c r="F415" s="5">
        <f t="shared" si="6"/>
        <v>5</v>
      </c>
    </row>
    <row r="416" spans="1:6" x14ac:dyDescent="0.25">
      <c r="A416" s="4">
        <v>42092</v>
      </c>
      <c r="B416" s="3" t="s">
        <v>32</v>
      </c>
      <c r="C416" s="3" t="s">
        <v>10</v>
      </c>
      <c r="D416" s="3" t="s">
        <v>27</v>
      </c>
      <c r="E416" s="3">
        <v>38</v>
      </c>
      <c r="F416" s="5">
        <f t="shared" si="6"/>
        <v>19</v>
      </c>
    </row>
    <row r="417" spans="1:6" x14ac:dyDescent="0.25">
      <c r="A417" s="4">
        <v>42109</v>
      </c>
      <c r="B417" s="3" t="s">
        <v>32</v>
      </c>
      <c r="C417" s="3" t="s">
        <v>19</v>
      </c>
      <c r="D417" s="3" t="s">
        <v>31</v>
      </c>
      <c r="E417" s="3">
        <v>47</v>
      </c>
      <c r="F417" s="5">
        <f t="shared" si="6"/>
        <v>117.5</v>
      </c>
    </row>
    <row r="418" spans="1:6" x14ac:dyDescent="0.25">
      <c r="A418" s="4">
        <v>42138</v>
      </c>
      <c r="B418" s="3" t="s">
        <v>26</v>
      </c>
      <c r="C418" s="3" t="s">
        <v>5</v>
      </c>
      <c r="D418" s="3" t="s">
        <v>33</v>
      </c>
      <c r="E418" s="3">
        <v>29</v>
      </c>
      <c r="F418" s="5">
        <f t="shared" si="6"/>
        <v>145</v>
      </c>
    </row>
    <row r="419" spans="1:6" x14ac:dyDescent="0.25">
      <c r="A419" s="4">
        <v>42044</v>
      </c>
      <c r="B419" s="3" t="s">
        <v>37</v>
      </c>
      <c r="C419" s="3" t="s">
        <v>10</v>
      </c>
      <c r="D419" s="3" t="s">
        <v>27</v>
      </c>
      <c r="E419" s="3">
        <v>46</v>
      </c>
      <c r="F419" s="5">
        <f t="shared" si="6"/>
        <v>23</v>
      </c>
    </row>
    <row r="420" spans="1:6" x14ac:dyDescent="0.25">
      <c r="A420" s="4">
        <v>42010</v>
      </c>
      <c r="B420" s="3" t="s">
        <v>26</v>
      </c>
      <c r="C420" s="3" t="s">
        <v>19</v>
      </c>
      <c r="D420" s="3" t="s">
        <v>31</v>
      </c>
      <c r="E420" s="3">
        <v>37</v>
      </c>
      <c r="F420" s="5">
        <f t="shared" si="6"/>
        <v>92.5</v>
      </c>
    </row>
    <row r="421" spans="1:6" x14ac:dyDescent="0.25">
      <c r="A421" s="4">
        <v>42032</v>
      </c>
      <c r="B421" s="3" t="s">
        <v>29</v>
      </c>
      <c r="C421" s="3" t="s">
        <v>10</v>
      </c>
      <c r="D421" s="3" t="s">
        <v>36</v>
      </c>
      <c r="E421" s="3">
        <v>10</v>
      </c>
      <c r="F421" s="5">
        <f t="shared" si="6"/>
        <v>15</v>
      </c>
    </row>
    <row r="422" spans="1:6" x14ac:dyDescent="0.25">
      <c r="A422" s="4">
        <v>42067</v>
      </c>
      <c r="B422" s="3" t="s">
        <v>37</v>
      </c>
      <c r="C422" s="3" t="s">
        <v>2</v>
      </c>
      <c r="D422" s="3" t="s">
        <v>28</v>
      </c>
      <c r="E422" s="3">
        <v>41</v>
      </c>
      <c r="F422" s="5">
        <f t="shared" si="6"/>
        <v>82</v>
      </c>
    </row>
    <row r="423" spans="1:6" x14ac:dyDescent="0.25">
      <c r="A423" s="4">
        <v>42165</v>
      </c>
      <c r="B423" s="3" t="s">
        <v>26</v>
      </c>
      <c r="C423" s="3" t="s">
        <v>6</v>
      </c>
      <c r="D423" s="3" t="s">
        <v>34</v>
      </c>
      <c r="E423" s="3">
        <v>46</v>
      </c>
      <c r="F423" s="5">
        <f t="shared" si="6"/>
        <v>9.2000000000000011</v>
      </c>
    </row>
    <row r="424" spans="1:6" x14ac:dyDescent="0.25">
      <c r="A424" s="4">
        <v>42128</v>
      </c>
      <c r="B424" s="3" t="s">
        <v>32</v>
      </c>
      <c r="C424" s="3" t="s">
        <v>19</v>
      </c>
      <c r="D424" s="3" t="s">
        <v>36</v>
      </c>
      <c r="E424" s="3">
        <v>41</v>
      </c>
      <c r="F424" s="5">
        <f t="shared" si="6"/>
        <v>61.5</v>
      </c>
    </row>
    <row r="425" spans="1:6" x14ac:dyDescent="0.25">
      <c r="A425" s="4">
        <v>42139</v>
      </c>
      <c r="B425" s="3" t="s">
        <v>29</v>
      </c>
      <c r="C425" s="3" t="s">
        <v>5</v>
      </c>
      <c r="D425" s="3" t="s">
        <v>31</v>
      </c>
      <c r="E425" s="3">
        <v>37</v>
      </c>
      <c r="F425" s="5">
        <f t="shared" si="6"/>
        <v>92.5</v>
      </c>
    </row>
    <row r="426" spans="1:6" x14ac:dyDescent="0.25">
      <c r="A426" s="4">
        <v>42047</v>
      </c>
      <c r="B426" s="3" t="s">
        <v>32</v>
      </c>
      <c r="C426" s="3" t="s">
        <v>19</v>
      </c>
      <c r="D426" s="3" t="s">
        <v>33</v>
      </c>
      <c r="E426" s="3">
        <v>34</v>
      </c>
      <c r="F426" s="5">
        <f t="shared" si="6"/>
        <v>170</v>
      </c>
    </row>
    <row r="427" spans="1:6" x14ac:dyDescent="0.25">
      <c r="A427" s="4">
        <v>42087</v>
      </c>
      <c r="B427" s="3" t="s">
        <v>38</v>
      </c>
      <c r="C427" s="3" t="s">
        <v>2</v>
      </c>
      <c r="D427" s="3" t="s">
        <v>30</v>
      </c>
      <c r="E427" s="3">
        <v>39</v>
      </c>
      <c r="F427" s="5">
        <f t="shared" si="6"/>
        <v>3.9000000000000004</v>
      </c>
    </row>
    <row r="428" spans="1:6" x14ac:dyDescent="0.25">
      <c r="A428" s="4">
        <v>42162</v>
      </c>
      <c r="B428" s="3" t="s">
        <v>37</v>
      </c>
      <c r="C428" s="3" t="s">
        <v>5</v>
      </c>
      <c r="D428" s="3" t="s">
        <v>35</v>
      </c>
      <c r="E428" s="3">
        <v>3</v>
      </c>
      <c r="F428" s="5">
        <f t="shared" si="6"/>
        <v>12</v>
      </c>
    </row>
    <row r="429" spans="1:6" x14ac:dyDescent="0.25">
      <c r="A429" s="4">
        <v>42057</v>
      </c>
      <c r="B429" s="3" t="s">
        <v>29</v>
      </c>
      <c r="C429" s="3" t="s">
        <v>2</v>
      </c>
      <c r="D429" s="3" t="s">
        <v>28</v>
      </c>
      <c r="E429" s="3">
        <v>28</v>
      </c>
      <c r="F429" s="5">
        <f t="shared" si="6"/>
        <v>56</v>
      </c>
    </row>
    <row r="430" spans="1:6" x14ac:dyDescent="0.25">
      <c r="A430" s="4">
        <v>42130</v>
      </c>
      <c r="B430" s="3" t="s">
        <v>37</v>
      </c>
      <c r="C430" s="3" t="s">
        <v>10</v>
      </c>
      <c r="D430" s="3" t="s">
        <v>34</v>
      </c>
      <c r="E430" s="3">
        <v>6</v>
      </c>
      <c r="F430" s="5">
        <f t="shared" si="6"/>
        <v>1.2000000000000002</v>
      </c>
    </row>
    <row r="431" spans="1:6" x14ac:dyDescent="0.25">
      <c r="A431" s="4">
        <v>42152</v>
      </c>
      <c r="B431" s="3" t="s">
        <v>32</v>
      </c>
      <c r="C431" s="3" t="s">
        <v>2</v>
      </c>
      <c r="D431" s="3" t="s">
        <v>31</v>
      </c>
      <c r="E431" s="3">
        <v>11</v>
      </c>
      <c r="F431" s="5">
        <f t="shared" si="6"/>
        <v>27.5</v>
      </c>
    </row>
    <row r="432" spans="1:6" x14ac:dyDescent="0.25">
      <c r="A432" s="4">
        <v>42014</v>
      </c>
      <c r="B432" s="3" t="s">
        <v>26</v>
      </c>
      <c r="C432" s="3" t="s">
        <v>2</v>
      </c>
      <c r="D432" s="3" t="s">
        <v>34</v>
      </c>
      <c r="E432" s="3">
        <v>14</v>
      </c>
      <c r="F432" s="5">
        <f t="shared" si="6"/>
        <v>2.8000000000000003</v>
      </c>
    </row>
    <row r="433" spans="1:6" x14ac:dyDescent="0.25">
      <c r="A433" s="4">
        <v>42140</v>
      </c>
      <c r="B433" s="3" t="s">
        <v>37</v>
      </c>
      <c r="C433" s="3" t="s">
        <v>19</v>
      </c>
      <c r="D433" s="3" t="s">
        <v>30</v>
      </c>
      <c r="E433" s="3">
        <v>9</v>
      </c>
      <c r="F433" s="5">
        <f t="shared" si="6"/>
        <v>0.9</v>
      </c>
    </row>
    <row r="434" spans="1:6" x14ac:dyDescent="0.25">
      <c r="A434" s="4">
        <v>42021</v>
      </c>
      <c r="B434" s="3" t="s">
        <v>38</v>
      </c>
      <c r="C434" s="3" t="s">
        <v>6</v>
      </c>
      <c r="D434" s="3" t="s">
        <v>27</v>
      </c>
      <c r="E434" s="3">
        <v>2</v>
      </c>
      <c r="F434" s="5">
        <f t="shared" si="6"/>
        <v>1</v>
      </c>
    </row>
    <row r="435" spans="1:6" x14ac:dyDescent="0.25">
      <c r="A435" s="4">
        <v>42149</v>
      </c>
      <c r="B435" s="3" t="s">
        <v>39</v>
      </c>
      <c r="C435" s="3" t="s">
        <v>10</v>
      </c>
      <c r="D435" s="3" t="s">
        <v>36</v>
      </c>
      <c r="E435" s="3">
        <v>19</v>
      </c>
      <c r="F435" s="5">
        <f t="shared" si="6"/>
        <v>28.5</v>
      </c>
    </row>
    <row r="436" spans="1:6" x14ac:dyDescent="0.25">
      <c r="A436" s="4">
        <v>42015</v>
      </c>
      <c r="B436" s="3" t="s">
        <v>32</v>
      </c>
      <c r="C436" s="3" t="s">
        <v>10</v>
      </c>
      <c r="D436" s="3" t="s">
        <v>36</v>
      </c>
      <c r="E436" s="3">
        <v>15</v>
      </c>
      <c r="F436" s="5">
        <f t="shared" si="6"/>
        <v>22.5</v>
      </c>
    </row>
    <row r="437" spans="1:6" x14ac:dyDescent="0.25">
      <c r="A437" s="4">
        <v>42087</v>
      </c>
      <c r="B437" s="3" t="s">
        <v>32</v>
      </c>
      <c r="C437" s="3" t="s">
        <v>6</v>
      </c>
      <c r="D437" s="3" t="s">
        <v>33</v>
      </c>
      <c r="E437" s="3">
        <v>44</v>
      </c>
      <c r="F437" s="5">
        <f t="shared" si="6"/>
        <v>220</v>
      </c>
    </row>
    <row r="438" spans="1:6" x14ac:dyDescent="0.25">
      <c r="A438" s="4">
        <v>42034</v>
      </c>
      <c r="B438" s="3" t="s">
        <v>39</v>
      </c>
      <c r="C438" s="3" t="s">
        <v>10</v>
      </c>
      <c r="D438" s="3" t="s">
        <v>27</v>
      </c>
      <c r="E438" s="3">
        <v>24</v>
      </c>
      <c r="F438" s="5">
        <f t="shared" si="6"/>
        <v>12</v>
      </c>
    </row>
    <row r="439" spans="1:6" x14ac:dyDescent="0.25">
      <c r="A439" s="4">
        <v>42110</v>
      </c>
      <c r="B439" s="3" t="s">
        <v>39</v>
      </c>
      <c r="C439" s="3" t="s">
        <v>10</v>
      </c>
      <c r="D439" s="3" t="s">
        <v>28</v>
      </c>
      <c r="E439" s="3">
        <v>46</v>
      </c>
      <c r="F439" s="5">
        <f t="shared" si="6"/>
        <v>92</v>
      </c>
    </row>
    <row r="440" spans="1:6" x14ac:dyDescent="0.25">
      <c r="A440" s="4">
        <v>42107</v>
      </c>
      <c r="B440" s="3" t="s">
        <v>39</v>
      </c>
      <c r="C440" s="3" t="s">
        <v>19</v>
      </c>
      <c r="D440" s="3" t="s">
        <v>34</v>
      </c>
      <c r="E440" s="3">
        <v>11</v>
      </c>
      <c r="F440" s="5">
        <f t="shared" si="6"/>
        <v>2.2000000000000002</v>
      </c>
    </row>
    <row r="441" spans="1:6" x14ac:dyDescent="0.25">
      <c r="A441" s="4">
        <v>42130</v>
      </c>
      <c r="B441" s="3" t="s">
        <v>32</v>
      </c>
      <c r="C441" s="3" t="s">
        <v>6</v>
      </c>
      <c r="D441" s="3" t="s">
        <v>33</v>
      </c>
      <c r="E441" s="3">
        <v>20</v>
      </c>
      <c r="F441" s="5">
        <f t="shared" si="6"/>
        <v>100</v>
      </c>
    </row>
    <row r="442" spans="1:6" x14ac:dyDescent="0.25">
      <c r="A442" s="4">
        <v>42076</v>
      </c>
      <c r="B442" s="3" t="s">
        <v>38</v>
      </c>
      <c r="C442" s="3" t="s">
        <v>5</v>
      </c>
      <c r="D442" s="3" t="s">
        <v>30</v>
      </c>
      <c r="E442" s="3">
        <v>10</v>
      </c>
      <c r="F442" s="5">
        <f t="shared" si="6"/>
        <v>1</v>
      </c>
    </row>
    <row r="443" spans="1:6" x14ac:dyDescent="0.25">
      <c r="A443" s="4">
        <v>42023</v>
      </c>
      <c r="B443" s="3" t="s">
        <v>32</v>
      </c>
      <c r="C443" s="3" t="s">
        <v>10</v>
      </c>
      <c r="D443" s="3" t="s">
        <v>27</v>
      </c>
      <c r="E443" s="3">
        <v>25</v>
      </c>
      <c r="F443" s="5">
        <f t="shared" si="6"/>
        <v>12.5</v>
      </c>
    </row>
    <row r="444" spans="1:6" x14ac:dyDescent="0.25">
      <c r="A444" s="4">
        <v>42093</v>
      </c>
      <c r="B444" s="3" t="s">
        <v>29</v>
      </c>
      <c r="C444" s="3" t="s">
        <v>2</v>
      </c>
      <c r="D444" s="3" t="s">
        <v>34</v>
      </c>
      <c r="E444" s="3">
        <v>47</v>
      </c>
      <c r="F444" s="5">
        <f t="shared" si="6"/>
        <v>9.4</v>
      </c>
    </row>
    <row r="445" spans="1:6" x14ac:dyDescent="0.25">
      <c r="A445" s="4">
        <v>42035</v>
      </c>
      <c r="B445" s="3" t="s">
        <v>29</v>
      </c>
      <c r="C445" s="3" t="s">
        <v>6</v>
      </c>
      <c r="D445" s="3" t="s">
        <v>33</v>
      </c>
      <c r="E445" s="3">
        <v>17</v>
      </c>
      <c r="F445" s="5">
        <f t="shared" si="6"/>
        <v>85</v>
      </c>
    </row>
    <row r="446" spans="1:6" x14ac:dyDescent="0.25">
      <c r="A446" s="4">
        <v>42099</v>
      </c>
      <c r="B446" s="3" t="s">
        <v>38</v>
      </c>
      <c r="C446" s="3" t="s">
        <v>5</v>
      </c>
      <c r="D446" s="3" t="s">
        <v>30</v>
      </c>
      <c r="E446" s="3">
        <v>10</v>
      </c>
      <c r="F446" s="5">
        <f t="shared" si="6"/>
        <v>1</v>
      </c>
    </row>
    <row r="447" spans="1:6" x14ac:dyDescent="0.25">
      <c r="A447" s="4">
        <v>42080</v>
      </c>
      <c r="B447" s="3" t="s">
        <v>32</v>
      </c>
      <c r="C447" s="3" t="s">
        <v>6</v>
      </c>
      <c r="D447" s="3" t="s">
        <v>30</v>
      </c>
      <c r="E447" s="3">
        <v>30</v>
      </c>
      <c r="F447" s="5">
        <f t="shared" si="6"/>
        <v>3</v>
      </c>
    </row>
    <row r="448" spans="1:6" x14ac:dyDescent="0.25">
      <c r="A448" s="4">
        <v>42006</v>
      </c>
      <c r="B448" s="3" t="s">
        <v>29</v>
      </c>
      <c r="C448" s="3" t="s">
        <v>19</v>
      </c>
      <c r="D448" s="3" t="s">
        <v>27</v>
      </c>
      <c r="E448" s="3">
        <v>13</v>
      </c>
      <c r="F448" s="5">
        <f t="shared" si="6"/>
        <v>6.5</v>
      </c>
    </row>
    <row r="449" spans="1:6" x14ac:dyDescent="0.25">
      <c r="A449" s="4">
        <v>42179</v>
      </c>
      <c r="B449" s="3" t="s">
        <v>38</v>
      </c>
      <c r="C449" s="3" t="s">
        <v>2</v>
      </c>
      <c r="D449" s="3" t="s">
        <v>28</v>
      </c>
      <c r="E449" s="3">
        <v>17</v>
      </c>
      <c r="F449" s="5">
        <f t="shared" si="6"/>
        <v>34</v>
      </c>
    </row>
    <row r="450" spans="1:6" x14ac:dyDescent="0.25">
      <c r="A450" s="4">
        <v>42170</v>
      </c>
      <c r="B450" s="3" t="s">
        <v>39</v>
      </c>
      <c r="C450" s="3" t="s">
        <v>5</v>
      </c>
      <c r="D450" s="3" t="s">
        <v>27</v>
      </c>
      <c r="E450" s="3">
        <v>32</v>
      </c>
      <c r="F450" s="5">
        <f t="shared" si="6"/>
        <v>16</v>
      </c>
    </row>
    <row r="451" spans="1:6" x14ac:dyDescent="0.25">
      <c r="A451" s="4">
        <v>42068</v>
      </c>
      <c r="B451" s="3" t="s">
        <v>26</v>
      </c>
      <c r="C451" s="3" t="s">
        <v>10</v>
      </c>
      <c r="D451" s="3" t="s">
        <v>36</v>
      </c>
      <c r="E451" s="3">
        <v>34</v>
      </c>
      <c r="F451" s="5">
        <f t="shared" si="6"/>
        <v>51</v>
      </c>
    </row>
    <row r="452" spans="1:6" x14ac:dyDescent="0.25">
      <c r="A452" s="4">
        <v>42118</v>
      </c>
      <c r="B452" s="3" t="s">
        <v>29</v>
      </c>
      <c r="C452" s="3" t="s">
        <v>19</v>
      </c>
      <c r="D452" s="3" t="s">
        <v>31</v>
      </c>
      <c r="E452" s="3">
        <v>14</v>
      </c>
      <c r="F452" s="5">
        <f t="shared" si="6"/>
        <v>35</v>
      </c>
    </row>
    <row r="453" spans="1:6" x14ac:dyDescent="0.25">
      <c r="A453" s="4">
        <v>42042</v>
      </c>
      <c r="B453" s="3" t="s">
        <v>39</v>
      </c>
      <c r="C453" s="3" t="s">
        <v>10</v>
      </c>
      <c r="D453" s="3" t="s">
        <v>28</v>
      </c>
      <c r="E453" s="3">
        <v>37</v>
      </c>
      <c r="F453" s="5">
        <f t="shared" si="6"/>
        <v>74</v>
      </c>
    </row>
    <row r="454" spans="1:6" x14ac:dyDescent="0.25">
      <c r="A454" s="4">
        <v>42016</v>
      </c>
      <c r="B454" s="3" t="s">
        <v>32</v>
      </c>
      <c r="C454" s="3" t="s">
        <v>10</v>
      </c>
      <c r="D454" s="3" t="s">
        <v>36</v>
      </c>
      <c r="E454" s="3">
        <v>31</v>
      </c>
      <c r="F454" s="5">
        <f t="shared" si="6"/>
        <v>46.5</v>
      </c>
    </row>
    <row r="455" spans="1:6" x14ac:dyDescent="0.25">
      <c r="A455" s="4">
        <v>42126</v>
      </c>
      <c r="B455" s="3" t="s">
        <v>26</v>
      </c>
      <c r="C455" s="3" t="s">
        <v>10</v>
      </c>
      <c r="D455" s="3" t="s">
        <v>36</v>
      </c>
      <c r="E455" s="3">
        <v>32</v>
      </c>
      <c r="F455" s="5">
        <f t="shared" si="6"/>
        <v>48</v>
      </c>
    </row>
    <row r="456" spans="1:6" x14ac:dyDescent="0.25">
      <c r="A456" s="4">
        <v>42162</v>
      </c>
      <c r="B456" s="3" t="s">
        <v>37</v>
      </c>
      <c r="C456" s="3" t="s">
        <v>5</v>
      </c>
      <c r="D456" s="3" t="s">
        <v>30</v>
      </c>
      <c r="E456" s="3">
        <v>27</v>
      </c>
      <c r="F456" s="5">
        <f t="shared" si="6"/>
        <v>2.7</v>
      </c>
    </row>
    <row r="457" spans="1:6" x14ac:dyDescent="0.25">
      <c r="A457" s="4">
        <v>42157</v>
      </c>
      <c r="B457" s="3" t="s">
        <v>32</v>
      </c>
      <c r="C457" s="3" t="s">
        <v>5</v>
      </c>
      <c r="D457" s="3" t="s">
        <v>33</v>
      </c>
      <c r="E457" s="3">
        <v>27</v>
      </c>
      <c r="F457" s="5">
        <f t="shared" si="6"/>
        <v>135</v>
      </c>
    </row>
    <row r="458" spans="1:6" x14ac:dyDescent="0.25">
      <c r="A458" s="4">
        <v>42070</v>
      </c>
      <c r="B458" s="3" t="s">
        <v>29</v>
      </c>
      <c r="C458" s="3" t="s">
        <v>2</v>
      </c>
      <c r="D458" s="3" t="s">
        <v>27</v>
      </c>
      <c r="E458" s="3">
        <v>12</v>
      </c>
      <c r="F458" s="5">
        <f t="shared" ref="F458:F499" si="7">E458*VLOOKUP(D458,$W$6:$X$13,2,0)</f>
        <v>6</v>
      </c>
    </row>
    <row r="459" spans="1:6" x14ac:dyDescent="0.25">
      <c r="A459" s="4">
        <v>42035</v>
      </c>
      <c r="B459" s="3" t="s">
        <v>29</v>
      </c>
      <c r="C459" s="3" t="s">
        <v>19</v>
      </c>
      <c r="D459" s="3" t="s">
        <v>34</v>
      </c>
      <c r="E459" s="3">
        <v>11</v>
      </c>
      <c r="F459" s="5">
        <f t="shared" si="7"/>
        <v>2.2000000000000002</v>
      </c>
    </row>
    <row r="460" spans="1:6" x14ac:dyDescent="0.25">
      <c r="A460" s="4">
        <v>42026</v>
      </c>
      <c r="B460" s="3" t="s">
        <v>29</v>
      </c>
      <c r="C460" s="3" t="s">
        <v>2</v>
      </c>
      <c r="D460" s="3" t="s">
        <v>36</v>
      </c>
      <c r="E460" s="3">
        <v>32</v>
      </c>
      <c r="F460" s="5">
        <f t="shared" si="7"/>
        <v>48</v>
      </c>
    </row>
    <row r="461" spans="1:6" x14ac:dyDescent="0.25">
      <c r="A461" s="4">
        <v>42159</v>
      </c>
      <c r="B461" s="3" t="s">
        <v>39</v>
      </c>
      <c r="C461" s="3" t="s">
        <v>10</v>
      </c>
      <c r="D461" s="3" t="s">
        <v>31</v>
      </c>
      <c r="E461" s="3">
        <v>23</v>
      </c>
      <c r="F461" s="5">
        <f t="shared" si="7"/>
        <v>57.5</v>
      </c>
    </row>
    <row r="462" spans="1:6" x14ac:dyDescent="0.25">
      <c r="A462" s="4">
        <v>42050</v>
      </c>
      <c r="B462" s="3" t="s">
        <v>26</v>
      </c>
      <c r="C462" s="3" t="s">
        <v>6</v>
      </c>
      <c r="D462" s="3" t="s">
        <v>27</v>
      </c>
      <c r="E462" s="3">
        <v>45</v>
      </c>
      <c r="F462" s="5">
        <f t="shared" si="7"/>
        <v>22.5</v>
      </c>
    </row>
    <row r="463" spans="1:6" x14ac:dyDescent="0.25">
      <c r="A463" s="4">
        <v>42118</v>
      </c>
      <c r="B463" s="3" t="s">
        <v>39</v>
      </c>
      <c r="C463" s="3" t="s">
        <v>5</v>
      </c>
      <c r="D463" s="3" t="s">
        <v>31</v>
      </c>
      <c r="E463" s="3">
        <v>11</v>
      </c>
      <c r="F463" s="5">
        <f t="shared" si="7"/>
        <v>27.5</v>
      </c>
    </row>
    <row r="464" spans="1:6" x14ac:dyDescent="0.25">
      <c r="A464" s="4">
        <v>42013</v>
      </c>
      <c r="B464" s="3" t="s">
        <v>39</v>
      </c>
      <c r="C464" s="3" t="s">
        <v>6</v>
      </c>
      <c r="D464" s="3" t="s">
        <v>30</v>
      </c>
      <c r="E464" s="3">
        <v>33</v>
      </c>
      <c r="F464" s="5">
        <f t="shared" si="7"/>
        <v>3.3000000000000003</v>
      </c>
    </row>
    <row r="465" spans="1:6" x14ac:dyDescent="0.25">
      <c r="A465" s="4">
        <v>42090</v>
      </c>
      <c r="B465" s="3" t="s">
        <v>29</v>
      </c>
      <c r="C465" s="3" t="s">
        <v>2</v>
      </c>
      <c r="D465" s="3" t="s">
        <v>31</v>
      </c>
      <c r="E465" s="3">
        <v>34</v>
      </c>
      <c r="F465" s="5">
        <f t="shared" si="7"/>
        <v>85</v>
      </c>
    </row>
    <row r="466" spans="1:6" x14ac:dyDescent="0.25">
      <c r="A466" s="4">
        <v>42140</v>
      </c>
      <c r="B466" s="3" t="s">
        <v>37</v>
      </c>
      <c r="C466" s="3" t="s">
        <v>19</v>
      </c>
      <c r="D466" s="3" t="s">
        <v>36</v>
      </c>
      <c r="E466" s="3">
        <v>42</v>
      </c>
      <c r="F466" s="5">
        <f t="shared" si="7"/>
        <v>63</v>
      </c>
    </row>
    <row r="467" spans="1:6" x14ac:dyDescent="0.25">
      <c r="A467" s="4">
        <v>42073</v>
      </c>
      <c r="B467" s="3" t="s">
        <v>29</v>
      </c>
      <c r="C467" s="3" t="s">
        <v>2</v>
      </c>
      <c r="D467" s="3" t="s">
        <v>31</v>
      </c>
      <c r="E467" s="3">
        <v>8</v>
      </c>
      <c r="F467" s="5">
        <f t="shared" si="7"/>
        <v>20</v>
      </c>
    </row>
    <row r="468" spans="1:6" x14ac:dyDescent="0.25">
      <c r="A468" s="4">
        <v>42093</v>
      </c>
      <c r="B468" s="3" t="s">
        <v>37</v>
      </c>
      <c r="C468" s="3" t="s">
        <v>19</v>
      </c>
      <c r="D468" s="3" t="s">
        <v>33</v>
      </c>
      <c r="E468" s="3">
        <v>11</v>
      </c>
      <c r="F468" s="5">
        <f t="shared" si="7"/>
        <v>55</v>
      </c>
    </row>
    <row r="469" spans="1:6" x14ac:dyDescent="0.25">
      <c r="A469" s="4">
        <v>42094</v>
      </c>
      <c r="B469" s="3" t="s">
        <v>29</v>
      </c>
      <c r="C469" s="3" t="s">
        <v>2</v>
      </c>
      <c r="D469" s="3" t="s">
        <v>27</v>
      </c>
      <c r="E469" s="3">
        <v>18</v>
      </c>
      <c r="F469" s="5">
        <f t="shared" si="7"/>
        <v>9</v>
      </c>
    </row>
    <row r="470" spans="1:6" x14ac:dyDescent="0.25">
      <c r="A470" s="4">
        <v>42056</v>
      </c>
      <c r="B470" s="3" t="s">
        <v>38</v>
      </c>
      <c r="C470" s="3" t="s">
        <v>6</v>
      </c>
      <c r="D470" s="3" t="s">
        <v>30</v>
      </c>
      <c r="E470" s="3">
        <v>44</v>
      </c>
      <c r="F470" s="5">
        <f t="shared" si="7"/>
        <v>4.4000000000000004</v>
      </c>
    </row>
    <row r="471" spans="1:6" x14ac:dyDescent="0.25">
      <c r="A471" s="4">
        <v>42143</v>
      </c>
      <c r="B471" s="3" t="s">
        <v>38</v>
      </c>
      <c r="C471" s="3" t="s">
        <v>5</v>
      </c>
      <c r="D471" s="3" t="s">
        <v>30</v>
      </c>
      <c r="E471" s="3">
        <v>47</v>
      </c>
      <c r="F471" s="5">
        <f t="shared" si="7"/>
        <v>4.7</v>
      </c>
    </row>
    <row r="472" spans="1:6" x14ac:dyDescent="0.25">
      <c r="A472" s="4">
        <v>42032</v>
      </c>
      <c r="B472" s="3" t="s">
        <v>39</v>
      </c>
      <c r="C472" s="3" t="s">
        <v>2</v>
      </c>
      <c r="D472" s="3" t="s">
        <v>31</v>
      </c>
      <c r="E472" s="3">
        <v>35</v>
      </c>
      <c r="F472" s="5">
        <f t="shared" si="7"/>
        <v>87.5</v>
      </c>
    </row>
    <row r="473" spans="1:6" x14ac:dyDescent="0.25">
      <c r="A473" s="4">
        <v>42041</v>
      </c>
      <c r="B473" s="3" t="s">
        <v>39</v>
      </c>
      <c r="C473" s="3" t="s">
        <v>6</v>
      </c>
      <c r="D473" s="3" t="s">
        <v>36</v>
      </c>
      <c r="E473" s="3">
        <v>13</v>
      </c>
      <c r="F473" s="5">
        <f t="shared" si="7"/>
        <v>19.5</v>
      </c>
    </row>
    <row r="474" spans="1:6" x14ac:dyDescent="0.25">
      <c r="A474" s="4">
        <v>42062</v>
      </c>
      <c r="B474" s="3" t="s">
        <v>37</v>
      </c>
      <c r="C474" s="3" t="s">
        <v>10</v>
      </c>
      <c r="D474" s="3" t="s">
        <v>34</v>
      </c>
      <c r="E474" s="3">
        <v>30</v>
      </c>
      <c r="F474" s="5">
        <f t="shared" si="7"/>
        <v>6</v>
      </c>
    </row>
    <row r="475" spans="1:6" x14ac:dyDescent="0.25">
      <c r="A475" s="4">
        <v>42145</v>
      </c>
      <c r="B475" s="3" t="s">
        <v>37</v>
      </c>
      <c r="C475" s="3" t="s">
        <v>19</v>
      </c>
      <c r="D475" s="3" t="s">
        <v>31</v>
      </c>
      <c r="E475" s="3">
        <v>14</v>
      </c>
      <c r="F475" s="5">
        <f t="shared" si="7"/>
        <v>35</v>
      </c>
    </row>
    <row r="476" spans="1:6" x14ac:dyDescent="0.25">
      <c r="A476" s="4">
        <v>42144</v>
      </c>
      <c r="B476" s="3" t="s">
        <v>32</v>
      </c>
      <c r="C476" s="3" t="s">
        <v>5</v>
      </c>
      <c r="D476" s="3" t="s">
        <v>27</v>
      </c>
      <c r="E476" s="3">
        <v>27</v>
      </c>
      <c r="F476" s="5">
        <f t="shared" si="7"/>
        <v>13.5</v>
      </c>
    </row>
    <row r="477" spans="1:6" x14ac:dyDescent="0.25">
      <c r="A477" s="4">
        <v>42079</v>
      </c>
      <c r="B477" s="3" t="s">
        <v>29</v>
      </c>
      <c r="C477" s="3" t="s">
        <v>10</v>
      </c>
      <c r="D477" s="3" t="s">
        <v>30</v>
      </c>
      <c r="E477" s="3">
        <v>4</v>
      </c>
      <c r="F477" s="5">
        <f t="shared" si="7"/>
        <v>0.4</v>
      </c>
    </row>
    <row r="478" spans="1:6" x14ac:dyDescent="0.25">
      <c r="A478" s="4">
        <v>42138</v>
      </c>
      <c r="B478" s="3" t="s">
        <v>39</v>
      </c>
      <c r="C478" s="3" t="s">
        <v>5</v>
      </c>
      <c r="D478" s="3" t="s">
        <v>36</v>
      </c>
      <c r="E478" s="3">
        <v>6</v>
      </c>
      <c r="F478" s="5">
        <f t="shared" si="7"/>
        <v>9</v>
      </c>
    </row>
    <row r="479" spans="1:6" x14ac:dyDescent="0.25">
      <c r="A479" s="4">
        <v>42078</v>
      </c>
      <c r="B479" s="3" t="s">
        <v>38</v>
      </c>
      <c r="C479" s="3" t="s">
        <v>5</v>
      </c>
      <c r="D479" s="3" t="s">
        <v>31</v>
      </c>
      <c r="E479" s="3">
        <v>35</v>
      </c>
      <c r="F479" s="5">
        <f t="shared" si="7"/>
        <v>87.5</v>
      </c>
    </row>
    <row r="480" spans="1:6" x14ac:dyDescent="0.25">
      <c r="A480" s="4">
        <v>42161</v>
      </c>
      <c r="B480" s="3" t="s">
        <v>39</v>
      </c>
      <c r="C480" s="3" t="s">
        <v>2</v>
      </c>
      <c r="D480" s="3" t="s">
        <v>33</v>
      </c>
      <c r="E480" s="3">
        <v>12</v>
      </c>
      <c r="F480" s="5">
        <f t="shared" si="7"/>
        <v>60</v>
      </c>
    </row>
    <row r="481" spans="1:6" x14ac:dyDescent="0.25">
      <c r="A481" s="4">
        <v>42101</v>
      </c>
      <c r="B481" s="3" t="s">
        <v>37</v>
      </c>
      <c r="C481" s="3" t="s">
        <v>2</v>
      </c>
      <c r="D481" s="3" t="s">
        <v>31</v>
      </c>
      <c r="E481" s="3">
        <v>32</v>
      </c>
      <c r="F481" s="5">
        <f t="shared" si="7"/>
        <v>80</v>
      </c>
    </row>
    <row r="482" spans="1:6" x14ac:dyDescent="0.25">
      <c r="A482" s="4">
        <v>42181</v>
      </c>
      <c r="B482" s="3" t="s">
        <v>37</v>
      </c>
      <c r="C482" s="3" t="s">
        <v>10</v>
      </c>
      <c r="D482" s="3" t="s">
        <v>28</v>
      </c>
      <c r="E482" s="3">
        <v>41</v>
      </c>
      <c r="F482" s="5">
        <f t="shared" si="7"/>
        <v>82</v>
      </c>
    </row>
    <row r="483" spans="1:6" x14ac:dyDescent="0.25">
      <c r="A483" s="4">
        <v>42053</v>
      </c>
      <c r="B483" s="3" t="s">
        <v>38</v>
      </c>
      <c r="C483" s="3" t="s">
        <v>10</v>
      </c>
      <c r="D483" s="3" t="s">
        <v>34</v>
      </c>
      <c r="E483" s="3">
        <v>49</v>
      </c>
      <c r="F483" s="5">
        <f t="shared" si="7"/>
        <v>9.8000000000000007</v>
      </c>
    </row>
    <row r="484" spans="1:6" x14ac:dyDescent="0.25">
      <c r="A484" s="4">
        <v>42073</v>
      </c>
      <c r="B484" s="3" t="s">
        <v>38</v>
      </c>
      <c r="C484" s="3" t="s">
        <v>19</v>
      </c>
      <c r="D484" s="3" t="s">
        <v>31</v>
      </c>
      <c r="E484" s="3">
        <v>14</v>
      </c>
      <c r="F484" s="5">
        <f t="shared" si="7"/>
        <v>35</v>
      </c>
    </row>
    <row r="485" spans="1:6" x14ac:dyDescent="0.25">
      <c r="A485" s="4">
        <v>42095</v>
      </c>
      <c r="B485" s="3" t="s">
        <v>38</v>
      </c>
      <c r="C485" s="3" t="s">
        <v>6</v>
      </c>
      <c r="D485" s="3" t="s">
        <v>27</v>
      </c>
      <c r="E485" s="3">
        <v>50</v>
      </c>
      <c r="F485" s="5">
        <f t="shared" si="7"/>
        <v>25</v>
      </c>
    </row>
    <row r="486" spans="1:6" x14ac:dyDescent="0.25">
      <c r="A486" s="4">
        <v>42028</v>
      </c>
      <c r="B486" s="3" t="s">
        <v>29</v>
      </c>
      <c r="C486" s="3" t="s">
        <v>6</v>
      </c>
      <c r="D486" s="3" t="s">
        <v>36</v>
      </c>
      <c r="E486" s="3">
        <v>22</v>
      </c>
      <c r="F486" s="5">
        <f t="shared" si="7"/>
        <v>33</v>
      </c>
    </row>
    <row r="487" spans="1:6" x14ac:dyDescent="0.25">
      <c r="A487" s="4">
        <v>42091</v>
      </c>
      <c r="B487" s="3" t="s">
        <v>38</v>
      </c>
      <c r="C487" s="3" t="s">
        <v>19</v>
      </c>
      <c r="D487" s="3" t="s">
        <v>33</v>
      </c>
      <c r="E487" s="3">
        <v>46</v>
      </c>
      <c r="F487" s="5">
        <f t="shared" si="7"/>
        <v>230</v>
      </c>
    </row>
    <row r="488" spans="1:6" x14ac:dyDescent="0.25">
      <c r="A488" s="4">
        <v>42063</v>
      </c>
      <c r="B488" s="3" t="s">
        <v>37</v>
      </c>
      <c r="C488" s="3" t="s">
        <v>10</v>
      </c>
      <c r="D488" s="3" t="s">
        <v>30</v>
      </c>
      <c r="E488" s="3">
        <v>19</v>
      </c>
      <c r="F488" s="5">
        <f t="shared" si="7"/>
        <v>1.9000000000000001</v>
      </c>
    </row>
    <row r="489" spans="1:6" x14ac:dyDescent="0.25">
      <c r="A489" s="4">
        <v>42093</v>
      </c>
      <c r="B489" s="3" t="s">
        <v>37</v>
      </c>
      <c r="C489" s="3" t="s">
        <v>6</v>
      </c>
      <c r="D489" s="3" t="s">
        <v>36</v>
      </c>
      <c r="E489" s="3">
        <v>23</v>
      </c>
      <c r="F489" s="5">
        <f t="shared" si="7"/>
        <v>34.5</v>
      </c>
    </row>
    <row r="490" spans="1:6" x14ac:dyDescent="0.25">
      <c r="A490" s="4">
        <v>42060</v>
      </c>
      <c r="B490" s="3" t="s">
        <v>29</v>
      </c>
      <c r="C490" s="3" t="s">
        <v>5</v>
      </c>
      <c r="D490" s="3" t="s">
        <v>30</v>
      </c>
      <c r="E490" s="3">
        <v>49</v>
      </c>
      <c r="F490" s="5">
        <f t="shared" si="7"/>
        <v>4.9000000000000004</v>
      </c>
    </row>
    <row r="491" spans="1:6" x14ac:dyDescent="0.25">
      <c r="A491" s="4">
        <v>42030</v>
      </c>
      <c r="B491" s="3" t="s">
        <v>37</v>
      </c>
      <c r="C491" s="3" t="s">
        <v>10</v>
      </c>
      <c r="D491" s="3" t="s">
        <v>27</v>
      </c>
      <c r="E491" s="3">
        <v>9</v>
      </c>
      <c r="F491" s="5">
        <f t="shared" si="7"/>
        <v>4.5</v>
      </c>
    </row>
    <row r="492" spans="1:6" x14ac:dyDescent="0.25">
      <c r="A492" s="4">
        <v>42076</v>
      </c>
      <c r="B492" s="3" t="s">
        <v>32</v>
      </c>
      <c r="C492" s="3" t="s">
        <v>6</v>
      </c>
      <c r="D492" s="3" t="s">
        <v>27</v>
      </c>
      <c r="E492" s="3">
        <v>49</v>
      </c>
      <c r="F492" s="5">
        <f t="shared" si="7"/>
        <v>24.5</v>
      </c>
    </row>
    <row r="493" spans="1:6" x14ac:dyDescent="0.25">
      <c r="A493" s="4">
        <v>42108</v>
      </c>
      <c r="B493" s="3" t="s">
        <v>38</v>
      </c>
      <c r="C493" s="3" t="s">
        <v>2</v>
      </c>
      <c r="D493" s="3" t="s">
        <v>27</v>
      </c>
      <c r="E493" s="3">
        <v>50</v>
      </c>
      <c r="F493" s="5">
        <f t="shared" si="7"/>
        <v>25</v>
      </c>
    </row>
    <row r="494" spans="1:6" x14ac:dyDescent="0.25">
      <c r="A494" s="4">
        <v>42075</v>
      </c>
      <c r="B494" s="3" t="s">
        <v>39</v>
      </c>
      <c r="C494" s="3" t="s">
        <v>6</v>
      </c>
      <c r="D494" s="3" t="s">
        <v>31</v>
      </c>
      <c r="E494" s="3">
        <v>7</v>
      </c>
      <c r="F494" s="5">
        <f t="shared" si="7"/>
        <v>17.5</v>
      </c>
    </row>
    <row r="495" spans="1:6" x14ac:dyDescent="0.25">
      <c r="A495" s="4">
        <v>42115</v>
      </c>
      <c r="B495" s="3" t="s">
        <v>26</v>
      </c>
      <c r="C495" s="3" t="s">
        <v>10</v>
      </c>
      <c r="D495" s="3" t="s">
        <v>28</v>
      </c>
      <c r="E495" s="3">
        <v>48</v>
      </c>
      <c r="F495" s="5">
        <f t="shared" si="7"/>
        <v>96</v>
      </c>
    </row>
    <row r="496" spans="1:6" x14ac:dyDescent="0.25">
      <c r="A496" s="4">
        <v>42135</v>
      </c>
      <c r="B496" s="3" t="s">
        <v>38</v>
      </c>
      <c r="C496" s="3" t="s">
        <v>6</v>
      </c>
      <c r="D496" s="3" t="s">
        <v>36</v>
      </c>
      <c r="E496" s="3">
        <v>18</v>
      </c>
      <c r="F496" s="5">
        <f t="shared" si="7"/>
        <v>27</v>
      </c>
    </row>
    <row r="497" spans="1:6" x14ac:dyDescent="0.25">
      <c r="A497" s="4">
        <v>42051</v>
      </c>
      <c r="B497" s="3" t="s">
        <v>26</v>
      </c>
      <c r="C497" s="3" t="s">
        <v>10</v>
      </c>
      <c r="D497" s="3" t="s">
        <v>27</v>
      </c>
      <c r="E497" s="3">
        <v>35</v>
      </c>
      <c r="F497" s="5">
        <f t="shared" si="7"/>
        <v>17.5</v>
      </c>
    </row>
    <row r="498" spans="1:6" x14ac:dyDescent="0.25">
      <c r="A498" s="4">
        <v>42057</v>
      </c>
      <c r="B498" s="3" t="s">
        <v>38</v>
      </c>
      <c r="C498" s="3" t="s">
        <v>6</v>
      </c>
      <c r="D498" s="3" t="s">
        <v>28</v>
      </c>
      <c r="E498" s="3">
        <v>41</v>
      </c>
      <c r="F498" s="5">
        <f t="shared" si="7"/>
        <v>82</v>
      </c>
    </row>
    <row r="499" spans="1:6" x14ac:dyDescent="0.25">
      <c r="A499" s="4">
        <v>42024</v>
      </c>
      <c r="B499" s="3" t="s">
        <v>32</v>
      </c>
      <c r="C499" s="3" t="s">
        <v>5</v>
      </c>
      <c r="D499" s="3" t="s">
        <v>33</v>
      </c>
      <c r="E499" s="3">
        <v>38</v>
      </c>
      <c r="F499" s="5">
        <f t="shared" si="7"/>
        <v>190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>
    <tabColor rgb="FF2EA3F2"/>
  </sheetPr>
  <dimension ref="A1:G18"/>
  <sheetViews>
    <sheetView tabSelected="1" zoomScale="115" zoomScaleNormal="115" workbookViewId="0">
      <selection activeCell="C5" sqref="C5"/>
    </sheetView>
  </sheetViews>
  <sheetFormatPr defaultColWidth="8.85546875" defaultRowHeight="14.25" x14ac:dyDescent="0.25"/>
  <cols>
    <col min="1" max="1" width="8.85546875" style="2"/>
    <col min="2" max="2" width="4.140625" style="2" customWidth="1"/>
    <col min="3" max="3" width="10.28515625" style="2" bestFit="1" customWidth="1"/>
    <col min="4" max="4" width="4.85546875" style="2" customWidth="1"/>
    <col min="5" max="5" width="9.85546875" style="2" bestFit="1" customWidth="1"/>
    <col min="6" max="6" width="3.140625" style="2" customWidth="1"/>
    <col min="7" max="16384" width="8.85546875" style="2"/>
  </cols>
  <sheetData>
    <row r="1" spans="1:7" x14ac:dyDescent="0.25">
      <c r="A1" s="11" t="s">
        <v>45</v>
      </c>
      <c r="C1" s="11" t="s">
        <v>46</v>
      </c>
      <c r="E1" s="11"/>
      <c r="G1" s="11"/>
    </row>
    <row r="2" spans="1:7" x14ac:dyDescent="0.25">
      <c r="A2" s="3" t="s">
        <v>8</v>
      </c>
      <c r="C2" s="3" t="s">
        <v>26</v>
      </c>
      <c r="E2" s="6" t="b">
        <f>ISNUMBER(MATCH(C2,$A$2:$A$18,0))</f>
        <v>1</v>
      </c>
      <c r="G2" s="6" t="b">
        <f>ISNA(MATCH(C2,$A$2:$A$18,0))</f>
        <v>0</v>
      </c>
    </row>
    <row r="3" spans="1:7" x14ac:dyDescent="0.25">
      <c r="A3" s="3" t="s">
        <v>9</v>
      </c>
      <c r="C3" s="3" t="s">
        <v>29</v>
      </c>
    </row>
    <row r="4" spans="1:7" x14ac:dyDescent="0.25">
      <c r="A4" s="3" t="s">
        <v>11</v>
      </c>
      <c r="C4" s="3" t="s">
        <v>32</v>
      </c>
      <c r="E4" s="11" t="s">
        <v>47</v>
      </c>
      <c r="G4" s="11" t="s">
        <v>48</v>
      </c>
    </row>
    <row r="5" spans="1:7" x14ac:dyDescent="0.25">
      <c r="A5" s="3" t="s">
        <v>12</v>
      </c>
      <c r="C5" s="3" t="s">
        <v>37</v>
      </c>
      <c r="E5" s="11" t="s">
        <v>46</v>
      </c>
      <c r="G5" s="11" t="s">
        <v>46</v>
      </c>
    </row>
    <row r="6" spans="1:7" x14ac:dyDescent="0.25">
      <c r="A6" s="3" t="s">
        <v>39</v>
      </c>
      <c r="C6" s="3" t="s">
        <v>38</v>
      </c>
      <c r="E6" s="3" t="s">
        <v>26</v>
      </c>
      <c r="G6" s="3" t="s">
        <v>32</v>
      </c>
    </row>
    <row r="7" spans="1:7" x14ac:dyDescent="0.25">
      <c r="A7" s="3" t="s">
        <v>13</v>
      </c>
      <c r="C7" s="3" t="s">
        <v>39</v>
      </c>
      <c r="E7" s="3" t="s">
        <v>29</v>
      </c>
      <c r="G7" s="3" t="s">
        <v>37</v>
      </c>
    </row>
    <row r="8" spans="1:7" x14ac:dyDescent="0.25">
      <c r="A8" s="3" t="s">
        <v>14</v>
      </c>
      <c r="E8" s="3" t="s">
        <v>39</v>
      </c>
      <c r="G8" s="3" t="s">
        <v>38</v>
      </c>
    </row>
    <row r="9" spans="1:7" x14ac:dyDescent="0.25">
      <c r="A9" s="3" t="s">
        <v>15</v>
      </c>
    </row>
    <row r="10" spans="1:7" x14ac:dyDescent="0.25">
      <c r="A10" s="3" t="s">
        <v>16</v>
      </c>
    </row>
    <row r="11" spans="1:7" x14ac:dyDescent="0.25">
      <c r="A11" s="3" t="s">
        <v>17</v>
      </c>
    </row>
    <row r="12" spans="1:7" x14ac:dyDescent="0.25">
      <c r="A12" s="3" t="s">
        <v>18</v>
      </c>
    </row>
    <row r="13" spans="1:7" x14ac:dyDescent="0.25">
      <c r="A13" s="3" t="s">
        <v>29</v>
      </c>
    </row>
    <row r="14" spans="1:7" x14ac:dyDescent="0.25">
      <c r="A14" s="3" t="s">
        <v>20</v>
      </c>
    </row>
    <row r="15" spans="1:7" x14ac:dyDescent="0.25">
      <c r="A15" s="3" t="s">
        <v>21</v>
      </c>
    </row>
    <row r="16" spans="1:7" x14ac:dyDescent="0.25">
      <c r="A16" s="3" t="s">
        <v>26</v>
      </c>
    </row>
    <row r="17" spans="1:1" x14ac:dyDescent="0.25">
      <c r="A17" s="3" t="s">
        <v>22</v>
      </c>
    </row>
    <row r="18" spans="1:1" x14ac:dyDescent="0.25">
      <c r="A18" s="3" t="s">
        <v>23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12</vt:i4>
      </vt:variant>
      <vt:variant>
        <vt:lpstr>Nazwane zakresy</vt:lpstr>
      </vt:variant>
      <vt:variant>
        <vt:i4>22</vt:i4>
      </vt:variant>
    </vt:vector>
  </HeadingPairs>
  <TitlesOfParts>
    <vt:vector size="34" baseType="lpstr">
      <vt:lpstr>ExceliAdam</vt:lpstr>
      <vt:lpstr>Podstawy</vt:lpstr>
      <vt:lpstr>I</vt:lpstr>
      <vt:lpstr>2Kryteria</vt:lpstr>
      <vt:lpstr>LUB</vt:lpstr>
      <vt:lpstr>Tekst</vt:lpstr>
      <vt:lpstr>SymboleWieloznaczne</vt:lpstr>
      <vt:lpstr>FormułaPomocnicza</vt:lpstr>
      <vt:lpstr>SamaFormuła</vt:lpstr>
      <vt:lpstr>Wiersze</vt:lpstr>
      <vt:lpstr>Duplikaty</vt:lpstr>
      <vt:lpstr>Listy</vt:lpstr>
      <vt:lpstr>'2Kryteria'!Kryteria</vt:lpstr>
      <vt:lpstr>Duplikaty!Kryteria</vt:lpstr>
      <vt:lpstr>FormułaPomocnicza!Kryteria</vt:lpstr>
      <vt:lpstr>I!Kryteria</vt:lpstr>
      <vt:lpstr>Listy!Kryteria</vt:lpstr>
      <vt:lpstr>LUB!Kryteria</vt:lpstr>
      <vt:lpstr>Podstawy!Kryteria</vt:lpstr>
      <vt:lpstr>SamaFormuła!Kryteria</vt:lpstr>
      <vt:lpstr>SymboleWieloznaczne!Kryteria</vt:lpstr>
      <vt:lpstr>Tekst!Kryteria</vt:lpstr>
      <vt:lpstr>Wiersze!Kryteria</vt:lpstr>
      <vt:lpstr>'2Kryteria'!Wybieranie</vt:lpstr>
      <vt:lpstr>Duplikaty!Wybieranie</vt:lpstr>
      <vt:lpstr>FormułaPomocnicza!Wybieranie</vt:lpstr>
      <vt:lpstr>I!Wybieranie</vt:lpstr>
      <vt:lpstr>Listy!Wybieranie</vt:lpstr>
      <vt:lpstr>LUB!Wybieranie</vt:lpstr>
      <vt:lpstr>Podstawy!Wybieranie</vt:lpstr>
      <vt:lpstr>SamaFormuła!Wybieranie</vt:lpstr>
      <vt:lpstr>SymboleWieloznaczne!Wybieranie</vt:lpstr>
      <vt:lpstr>Tekst!Wybieranie</vt:lpstr>
      <vt:lpstr>Wiersze!Wybieranie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Hubert Wiedeński</cp:lastModifiedBy>
  <dcterms:created xsi:type="dcterms:W3CDTF">2019-04-15T19:45:38Z</dcterms:created>
  <dcterms:modified xsi:type="dcterms:W3CDTF">2026-10-21T23:05:30Z</dcterms:modified>
</cp:coreProperties>
</file>