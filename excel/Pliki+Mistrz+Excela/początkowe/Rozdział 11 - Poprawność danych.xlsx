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4EF2289F-ADFF-4E5F-B8C5-B83935033591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ExceliAdam" sheetId="11" r:id="rId1"/>
    <sheet name="Punkty" sheetId="4" r:id="rId2"/>
    <sheet name="Data" sheetId="5" r:id="rId3"/>
    <sheet name="Lista" sheetId="7" r:id="rId4"/>
    <sheet name="Budżet" sheetId="9" r:id="rId5"/>
    <sheet name="ListaZależna" sheetId="10" r:id="rId6"/>
  </sheets>
  <definedNames>
    <definedName name="_xlnm._FilterDatabase" localSheetId="4" hidden="1">Budżet!#REF!</definedName>
    <definedName name="_xlnm._FilterDatabase" localSheetId="2" hidden="1">Data!#REF!</definedName>
    <definedName name="_xlnm._FilterDatabase" localSheetId="3" hidden="1">Lista!#REF!</definedName>
    <definedName name="_xlnm._FilterDatabase" localSheetId="5" hidden="1">ListaZależna!$A$1:$C$10</definedName>
    <definedName name="_xlnm._FilterDatabase" localSheetId="1" hidden="1">Punkty!#REF!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  <definedName name="Owoce">ListaZależna!$B$2:$B$12</definedName>
    <definedName name="Sery">ListaZależna!$C$2:$C$9</definedName>
    <definedName name="Warzywa">ListaZależna!$A$2:$A$14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0" l="1" a="1"/>
  <c r="F7" i="9"/>
  <c r="G3" i="5"/>
  <c r="D7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<sst xmlns="http://schemas.openxmlformats.org/spreadsheetml/2006/main" count="172" uniqueCount="109">
  <si>
    <t>Indeks/Przedmiot</t>
  </si>
  <si>
    <t>Polski</t>
  </si>
  <si>
    <t>Fizyka</t>
  </si>
  <si>
    <t>Biologia</t>
  </si>
  <si>
    <t>Chemia</t>
  </si>
  <si>
    <t>Historia</t>
  </si>
  <si>
    <t>Pracownik</t>
  </si>
  <si>
    <t>Data</t>
  </si>
  <si>
    <t>Fabryka</t>
  </si>
  <si>
    <t>Ilość godzin</t>
  </si>
  <si>
    <t>Początek</t>
  </si>
  <si>
    <t>Koniec</t>
  </si>
  <si>
    <t>Donald</t>
  </si>
  <si>
    <t>Stonoga</t>
  </si>
  <si>
    <t>Mini</t>
  </si>
  <si>
    <t>Żuczek</t>
  </si>
  <si>
    <t>Motylek</t>
  </si>
  <si>
    <t>Ptaszek</t>
  </si>
  <si>
    <t>Sknerus</t>
  </si>
  <si>
    <t>Goofy</t>
  </si>
  <si>
    <t>Pracownicy</t>
  </si>
  <si>
    <t>Mickey</t>
  </si>
  <si>
    <t>Budżet Imprezy</t>
  </si>
  <si>
    <t>Koszty Imprezy</t>
  </si>
  <si>
    <t>Alkohol</t>
  </si>
  <si>
    <t>Przekąski</t>
  </si>
  <si>
    <t>Soki</t>
  </si>
  <si>
    <t>Owoce</t>
  </si>
  <si>
    <t>Suma</t>
  </si>
  <si>
    <t>Warzywa</t>
  </si>
  <si>
    <t>Sery</t>
  </si>
  <si>
    <t>Grupa</t>
  </si>
  <si>
    <t>Produkt</t>
  </si>
  <si>
    <t>Brokuł</t>
  </si>
  <si>
    <t>Truskawka</t>
  </si>
  <si>
    <t>Kalafior</t>
  </si>
  <si>
    <t>Malina</t>
  </si>
  <si>
    <t>Figa</t>
  </si>
  <si>
    <t>Kapusta</t>
  </si>
  <si>
    <t>Pomarańcza</t>
  </si>
  <si>
    <t>Cebula</t>
  </si>
  <si>
    <t>Mandarynka</t>
  </si>
  <si>
    <t>Por</t>
  </si>
  <si>
    <t>Ananas</t>
  </si>
  <si>
    <t>Szczypiorek</t>
  </si>
  <si>
    <t>Kiwi</t>
  </si>
  <si>
    <t>Gruszka</t>
  </si>
  <si>
    <t>Burak</t>
  </si>
  <si>
    <t>Jabłko</t>
  </si>
  <si>
    <t>Pietruszka</t>
  </si>
  <si>
    <t>Czereśnia</t>
  </si>
  <si>
    <t>Roszpunka</t>
  </si>
  <si>
    <t>Śliwka</t>
  </si>
  <si>
    <t>Szpinak</t>
  </si>
  <si>
    <t>Batat</t>
  </si>
  <si>
    <t>Pomidor</t>
  </si>
  <si>
    <t>Ziemniak</t>
  </si>
  <si>
    <t>Dawid</t>
  </si>
  <si>
    <t>Gabriel</t>
  </si>
  <si>
    <t>Szczepan</t>
  </si>
  <si>
    <t>Natalia</t>
  </si>
  <si>
    <t>Raport z przepracowanych godzin</t>
  </si>
  <si>
    <t>Tort</t>
  </si>
  <si>
    <t>Mozzarella</t>
  </si>
  <si>
    <t xml:space="preserve">Camembert </t>
  </si>
  <si>
    <t>Gouda</t>
  </si>
  <si>
    <t>Brie</t>
  </si>
  <si>
    <t>Munster</t>
  </si>
  <si>
    <t>Roquefort</t>
  </si>
  <si>
    <t>Kozi</t>
  </si>
  <si>
    <t>Edam</t>
  </si>
  <si>
    <t/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</si>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</sst>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\ &quot;zł&quot;;[Red]\-#,##0\ &quot;zł&quot;"/>
    <numFmt numFmtId="165" formatCode="#,##0.00\ &quot;zł&quot;;[Red]\-#,##0.00\ &quot;zł&quot;"/>
    <numFmt numFmtId="166" formatCode="_-* #,##0.00\ _z_ł_-;\-* #,##0.00\ _z_ł_-;_-* &quot;-&quot;??\ _z_ł_-;_-@_-"/>
    <numFmt numFmtId="167" formatCode="&quot;$&quot;#,##0,"/>
    <numFmt numFmtId="168" formatCode="d\-mmm\-yyyy"/>
  </numFmts>
  <fonts count="2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B3E7BE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5">
    <xf numFmtId="0" fontId="0" fillId="0" borderId="0"/>
    <xf numFmtId="0" fontId="4" fillId="2" borderId="0" applyNumberFormat="0" applyBorder="0" applyAlignment="0" applyProtection="0"/>
    <xf numFmtId="0" fontId="5" fillId="0" borderId="0"/>
    <xf numFmtId="165" fontId="6" fillId="4" borderId="1" applyNumberFormat="0" applyAlignment="0"/>
    <xf numFmtId="0" fontId="7" fillId="7" borderId="1">
      <alignment wrapText="1"/>
    </xf>
    <xf numFmtId="0" fontId="8" fillId="8" borderId="5" applyBorder="0">
      <alignment horizontal="centerContinuous" wrapText="1"/>
    </xf>
    <xf numFmtId="43" fontId="9" fillId="0" borderId="0" applyFont="0" applyFill="0" applyBorder="0" applyAlignment="0" applyProtection="0"/>
    <xf numFmtId="167" fontId="10" fillId="0" borderId="0"/>
    <xf numFmtId="0" fontId="2" fillId="5" borderId="0"/>
    <xf numFmtId="166" fontId="5" fillId="0" borderId="0" applyFont="0" applyFill="0" applyBorder="0" applyAlignment="0" applyProtection="0"/>
    <xf numFmtId="0" fontId="4" fillId="9" borderId="1">
      <alignment horizontal="center" vertical="center"/>
    </xf>
    <xf numFmtId="0" fontId="2" fillId="10" borderId="1">
      <alignment horizontal="center" vertical="center"/>
    </xf>
    <xf numFmtId="165" fontId="1" fillId="11" borderId="1" applyNumberFormat="0"/>
    <xf numFmtId="165" fontId="1" fillId="12" borderId="1" applyFont="0" applyBorder="0"/>
    <xf numFmtId="165" fontId="1" fillId="10" borderId="1" applyFont="0" applyBorder="0"/>
    <xf numFmtId="165" fontId="1" fillId="13" borderId="1" applyFont="0" applyBorder="0"/>
    <xf numFmtId="165" fontId="1" fillId="14" borderId="1" applyFont="0" applyBorder="0"/>
    <xf numFmtId="0" fontId="1" fillId="15" borderId="0" applyFont="0" applyBorder="0"/>
    <xf numFmtId="165" fontId="1" fillId="16" borderId="1" applyFont="0" applyBorder="0"/>
    <xf numFmtId="165" fontId="6" fillId="4" borderId="1"/>
    <xf numFmtId="165" fontId="6" fillId="4" borderId="1" applyNumberFormat="0"/>
    <xf numFmtId="0" fontId="6" fillId="4" borderId="1"/>
    <xf numFmtId="168" fontId="11" fillId="0" borderId="0" applyFont="0" applyFill="0" applyBorder="0" applyProtection="0">
      <alignment horizontal="center"/>
    </xf>
    <xf numFmtId="0" fontId="12" fillId="0" borderId="0" applyNumberFormat="0" applyFill="0" applyBorder="0" applyAlignment="0" applyProtection="0"/>
    <xf numFmtId="0" fontId="6" fillId="3" borderId="5" applyBorder="0"/>
    <xf numFmtId="0" fontId="2" fillId="2" borderId="1"/>
    <xf numFmtId="0" fontId="9" fillId="0" borderId="0"/>
    <xf numFmtId="0" fontId="13" fillId="0" borderId="0"/>
    <xf numFmtId="165" fontId="1" fillId="17" borderId="1"/>
    <xf numFmtId="0" fontId="9" fillId="0" borderId="0">
      <alignment wrapText="1"/>
    </xf>
    <xf numFmtId="0" fontId="6" fillId="3" borderId="5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55">
    <xf numFmtId="0" fontId="0" fillId="0" borderId="0" xfId="0"/>
    <xf numFmtId="0" fontId="5" fillId="0" borderId="0" xfId="2"/>
    <xf numFmtId="0" fontId="14" fillId="10" borderId="1" xfId="1" applyFont="1" applyFill="1" applyBorder="1" applyAlignment="1">
      <alignment horizontal="center" vertical="center"/>
    </xf>
    <xf numFmtId="0" fontId="15" fillId="0" borderId="0" xfId="2" applyFont="1"/>
    <xf numFmtId="0" fontId="15" fillId="0" borderId="1" xfId="2" applyFont="1" applyBorder="1"/>
    <xf numFmtId="0" fontId="14" fillId="10" borderId="4" xfId="1" applyFont="1" applyFill="1" applyBorder="1" applyAlignment="1">
      <alignment horizontal="center" vertical="center" wrapText="1"/>
    </xf>
    <xf numFmtId="0" fontId="14" fillId="10" borderId="4" xfId="1" applyFont="1" applyFill="1" applyBorder="1" applyAlignment="1">
      <alignment horizontal="centerContinuous" vertical="center"/>
    </xf>
    <xf numFmtId="164" fontId="15" fillId="0" borderId="1" xfId="2" applyNumberFormat="1" applyFont="1" applyBorder="1"/>
    <xf numFmtId="0" fontId="15" fillId="0" borderId="2" xfId="2" applyFont="1" applyBorder="1"/>
    <xf numFmtId="164" fontId="15" fillId="0" borderId="2" xfId="2" applyNumberFormat="1" applyFont="1" applyBorder="1"/>
    <xf numFmtId="0" fontId="16" fillId="0" borderId="3" xfId="2" applyFont="1" applyBorder="1"/>
    <xf numFmtId="164" fontId="17" fillId="6" borderId="3" xfId="3" applyNumberFormat="1" applyFont="1" applyFill="1" applyBorder="1"/>
    <xf numFmtId="0" fontId="14" fillId="10" borderId="4" xfId="1" applyFont="1" applyFill="1" applyBorder="1" applyAlignment="1">
      <alignment horizontal="center" vertical="center"/>
    </xf>
    <xf numFmtId="0" fontId="15" fillId="0" borderId="6" xfId="2" applyFont="1" applyBorder="1"/>
    <xf numFmtId="0" fontId="14" fillId="5" borderId="0" xfId="2" applyFont="1" applyFill="1" applyAlignment="1">
      <alignment horizontal="centerContinuous"/>
    </xf>
    <xf numFmtId="14" fontId="15" fillId="0" borderId="1" xfId="2" applyNumberFormat="1" applyFont="1" applyBorder="1"/>
    <xf numFmtId="14" fontId="15" fillId="18" borderId="1" xfId="2" applyNumberFormat="1" applyFont="1" applyFill="1" applyBorder="1"/>
    <xf numFmtId="0" fontId="1" fillId="0" borderId="0" xfId="31"/>
    <xf numFmtId="0" fontId="3" fillId="0" borderId="0" xfId="32" applyFont="1" applyAlignment="1">
      <alignment vertical="center"/>
    </xf>
    <xf numFmtId="0" fontId="18" fillId="0" borderId="0" xfId="33" applyAlignment="1">
      <alignment vertical="center"/>
    </xf>
    <xf numFmtId="0" fontId="20" fillId="0" borderId="0" xfId="31" applyFont="1" applyAlignment="1">
      <alignment vertical="center"/>
    </xf>
    <xf numFmtId="0" fontId="1" fillId="0" borderId="7" xfId="31" applyBorder="1"/>
    <xf numFmtId="0" fontId="3" fillId="0" borderId="0" xfId="31" applyFont="1" applyAlignment="1">
      <alignment wrapText="1"/>
    </xf>
    <xf numFmtId="0" fontId="0" fillId="0" borderId="0" xfId="31" applyFont="1" applyAlignment="1">
      <alignment vertical="top"/>
    </xf>
    <xf numFmtId="0" fontId="18" fillId="0" borderId="0" xfId="33" applyAlignment="1"/>
    <xf numFmtId="0" fontId="1" fillId="0" borderId="0" xfId="31" applyAlignment="1">
      <alignment vertical="top"/>
    </xf>
    <xf numFmtId="0" fontId="19" fillId="0" borderId="0" xfId="23" applyFont="1" applyAlignment="1"/>
    <xf numFmtId="0" fontId="3" fillId="0" borderId="0" xfId="31" applyFont="1" applyAlignment="1">
      <alignment vertical="center"/>
    </xf>
    <xf numFmtId="0" fontId="1" fillId="0" borderId="0" xfId="31" applyAlignment="1">
      <alignment vertical="center"/>
    </xf>
    <xf numFmtId="0" fontId="12" fillId="0" borderId="0" xfId="23" applyAlignment="1"/>
    <xf numFmtId="0" fontId="3" fillId="0" borderId="0" xfId="31" applyFont="1" applyAlignment="1">
      <alignment vertical="top" wrapText="1"/>
    </xf>
    <xf numFmtId="0" fontId="1" fillId="19" borderId="0" xfId="31" applyFill="1" applyAlignment="1">
      <alignment vertical="top" wrapText="1"/>
    </xf>
    <xf numFmtId="0" fontId="1" fillId="19" borderId="0" xfId="31" applyFill="1" applyAlignment="1">
      <alignment wrapText="1"/>
    </xf>
    <xf numFmtId="0" fontId="1" fillId="0" borderId="0" xfId="31" applyAlignment="1">
      <alignment vertical="top" wrapText="1"/>
    </xf>
    <xf numFmtId="0" fontId="1" fillId="19" borderId="0" xfId="31" applyFill="1" applyAlignment="1">
      <alignment wrapText="1"/>
    </xf>
    <xf numFmtId="0" fontId="3" fillId="0" borderId="7" xfId="31" applyFont="1" applyBorder="1" applyAlignment="1">
      <alignment vertical="top" wrapText="1"/>
    </xf>
    <xf numFmtId="0" fontId="3" fillId="0" borderId="0" xfId="31" applyFont="1" applyAlignment="1">
      <alignment vertical="top" wrapText="1"/>
    </xf>
    <xf numFmtId="0" fontId="0" fillId="0" borderId="0" xfId="31" applyFont="1" applyAlignment="1">
      <alignment vertical="top"/>
    </xf>
    <xf numFmtId="0" fontId="19" fillId="0" borderId="0" xfId="33" applyFont="1" applyAlignment="1"/>
    <xf numFmtId="0" fontId="19" fillId="0" borderId="0" xfId="23" applyFont="1" applyAlignment="1"/>
    <xf numFmtId="0" fontId="1" fillId="19" borderId="0" xfId="31" applyFill="1" applyAlignment="1">
      <alignment vertical="top" wrapText="1"/>
    </xf>
    <xf numFmtId="0" fontId="1" fillId="0" borderId="0" xfId="31" applyAlignment="1">
      <alignment vertical="top"/>
    </xf>
    <xf numFmtId="0" fontId="0" fillId="0" borderId="7" xfId="31" applyFont="1" applyBorder="1" applyAlignment="1">
      <alignment vertical="top"/>
    </xf>
    <xf numFmtId="0" fontId="3" fillId="0" borderId="0" xfId="31" applyFont="1"/>
    <xf numFmtId="0" fontId="12" fillId="0" borderId="0" xfId="34" applyAlignment="1">
      <alignment vertical="center"/>
    </xf>
    <xf numFmtId="0" fontId="19" fillId="0" borderId="0" xfId="33" applyFont="1" applyAlignment="1">
      <alignment vertical="center"/>
    </xf>
    <xf numFmtId="0" fontId="18" fillId="0" borderId="0" xfId="33" applyAlignment="1">
      <alignment vertical="center"/>
    </xf>
    <xf numFmtId="0" fontId="3" fillId="0" borderId="7" xfId="31" applyFont="1" applyBorder="1" applyAlignment="1">
      <alignment vertical="center"/>
    </xf>
    <xf numFmtId="0" fontId="3" fillId="0" borderId="0" xfId="31" applyFont="1" applyAlignment="1">
      <alignment vertical="center"/>
    </xf>
    <xf numFmtId="0" fontId="1" fillId="0" borderId="0" xfId="31" applyAlignment="1">
      <alignment vertical="center"/>
    </xf>
    <xf numFmtId="0" fontId="3" fillId="0" borderId="0" xfId="32" applyFont="1" applyAlignment="1">
      <alignment vertical="center"/>
    </xf>
    <xf numFmtId="0" fontId="20" fillId="0" borderId="0" xfId="31" applyFont="1" applyAlignment="1">
      <alignment vertical="center"/>
    </xf>
    <xf numFmtId="0" fontId="3" fillId="0" borderId="7" xfId="31" applyFont="1" applyBorder="1" applyAlignment="1">
      <alignment wrapText="1"/>
    </xf>
    <xf numFmtId="0" fontId="3" fillId="0" borderId="0" xfId="31" applyFont="1" applyAlignment="1">
      <alignment wrapText="1"/>
    </xf>
    <xf numFmtId="0" fontId="14" fillId="10" borderId="0" xfId="1" applyFont="1" applyFill="1" applyBorder="1" applyAlignment="1">
      <alignment horizontal="center" vertical="center"/>
    </xf>
  </cellXfs>
  <cellStyles count="35">
    <cellStyle name="Akcent 1" xfId="1" builtinId="29"/>
    <cellStyle name="blue" xfId="4" xr:uid="{00000000-0005-0000-0000-000001000000}"/>
    <cellStyle name="BlueTitle" xfId="5" xr:uid="{00000000-0005-0000-0000-000002000000}"/>
    <cellStyle name="Comma 2" xfId="6" xr:uid="{00000000-0005-0000-0000-000003000000}"/>
    <cellStyle name="Currency Round to thousands" xfId="7" xr:uid="{00000000-0005-0000-0000-000004000000}"/>
    <cellStyle name="Czarny" xfId="8" xr:uid="{00000000-0005-0000-0000-000005000000}"/>
    <cellStyle name="Dziesiętny 2" xfId="9" xr:uid="{00000000-0005-0000-0000-000006000000}"/>
    <cellStyle name="Excel - Etykieta" xfId="10" xr:uid="{00000000-0005-0000-0000-000007000000}"/>
    <cellStyle name="Excel - Etykiety light" xfId="11" xr:uid="{00000000-0005-0000-0000-000008000000}"/>
    <cellStyle name="Excel - Formuła" xfId="12" xr:uid="{00000000-0005-0000-0000-000009000000}"/>
    <cellStyle name="Excel - green" xfId="13" xr:uid="{00000000-0005-0000-0000-00000A000000}"/>
    <cellStyle name="Excel - lightblue" xfId="14" xr:uid="{00000000-0005-0000-0000-00000B000000}"/>
    <cellStyle name="Excel - orange" xfId="15" xr:uid="{00000000-0005-0000-0000-00000C000000}"/>
    <cellStyle name="Excel - purple" xfId="16" xr:uid="{00000000-0005-0000-0000-00000D000000}"/>
    <cellStyle name="Excel - red" xfId="17" xr:uid="{00000000-0005-0000-0000-00000E000000}"/>
    <cellStyle name="Excel - yellow" xfId="18" xr:uid="{00000000-0005-0000-0000-00000F000000}"/>
    <cellStyle name="Formuła" xfId="19" xr:uid="{00000000-0005-0000-0000-000010000000}"/>
    <cellStyle name="Formuła 2" xfId="20" xr:uid="{00000000-0005-0000-0000-000011000000}"/>
    <cellStyle name="Formuła 3" xfId="3" xr:uid="{00000000-0005-0000-0000-000012000000}"/>
    <cellStyle name="Formuła 4" xfId="21" xr:uid="{00000000-0005-0000-0000-000013000000}"/>
    <cellStyle name="Four-Digit Year" xfId="22" xr:uid="{00000000-0005-0000-0000-000014000000}"/>
    <cellStyle name="Hiperłącze 2" xfId="23" xr:uid="{00000000-0005-0000-0000-000015000000}"/>
    <cellStyle name="Hiperłącze 2 2" xfId="33" xr:uid="{EB838721-020D-4658-94D5-41FE5073758D}"/>
    <cellStyle name="Hiperłącze 2 3" xfId="34" xr:uid="{AAE8E7DC-0F88-45AB-BEDD-82E78BD9C8C7}"/>
    <cellStyle name="Informacja" xfId="24" xr:uid="{00000000-0005-0000-0000-000016000000}"/>
    <cellStyle name="Nagłówek" xfId="25" xr:uid="{00000000-0005-0000-0000-000017000000}"/>
    <cellStyle name="Normal 2" xfId="26" xr:uid="{00000000-0005-0000-0000-000018000000}"/>
    <cellStyle name="Normalny" xfId="0" builtinId="0"/>
    <cellStyle name="Normalny 2" xfId="2" xr:uid="{00000000-0005-0000-0000-00001A000000}"/>
    <cellStyle name="Normalny 2 3 2 2" xfId="31" xr:uid="{0EE5F7F2-8D31-4C20-907F-8A6BFAA9562E}"/>
    <cellStyle name="Normalny 3" xfId="27" xr:uid="{00000000-0005-0000-0000-00001B000000}"/>
    <cellStyle name="Normalny 4 2" xfId="32" xr:uid="{11AA502C-2C51-4E44-A78D-1AE22AE768B1}"/>
    <cellStyle name="Styl 1" xfId="28" xr:uid="{00000000-0005-0000-0000-00001C000000}"/>
    <cellStyle name="Wrap Text" xfId="29" xr:uid="{00000000-0005-0000-0000-00001D000000}"/>
    <cellStyle name="ziel" xfId="30" xr:uid="{00000000-0005-0000-0000-00001E000000}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CFF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AA3E58C7-DBEE-4113-B2A2-55C398AB2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D7556492-01D4-4B5B-9599-A6BC2C6F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884B1F58-4D34-4373-B878-6556C7879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FC1B31E1-51E4-4134-A459-F74EDB9187D3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2AE041-17E8-40EB-A03A-B121CC6B1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430EF20-AD7E-42F7-AC23-92046C071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103B56B-99B6-447C-B2A8-AAD7F1C76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1A08AAC-B0B7-41C8-971A-EEA67A470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9CFDD48-0F0A-4F2C-9E36-D671F66F6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8687DAA-AFC1-4AD0-82F0-14D166295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701800DB-BFBB-4B6F-A900-66C49B2AF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FD2928C3-3052-4E50-883D-998A3F9E8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366F28FD-47E9-4554-B54E-093E69083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DBB82C-DCE3-4728-A51F-E4525D3FCDAC}" name="Tabela1" displayName="Tabela1" ref="C1:C6" totalsRowShown="0" headerRowDxfId="0" dataDxfId="1" tableBorderDxfId="3" headerRowCellStyle="Akcent 1" dataCellStyle="Normalny 2">
  <autoFilter ref="C1:C6" xr:uid="{04DBB82C-DCE3-4728-A51F-E4525D3FCDAC}"/>
  <tableColumns count="1">
    <tableColumn id="1" xr3:uid="{C207B087-7FC5-4411-9D55-6267B4B1F4CF}" name="Pracownicy" dataDxfId="2" dataCellStyle="Normalny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930A-7623-4286-9337-20D2F167697D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/>
  <cols>
    <col min="1" max="99" width="2.42578125" style="17" customWidth="1"/>
    <col min="100" max="101" width="2.42578125" style="1" customWidth="1"/>
    <col min="102" max="105" width="9.140625" style="17"/>
    <col min="106" max="106" width="10.7109375" style="17" customWidth="1"/>
    <col min="107" max="107" width="73.7109375" style="17" customWidth="1"/>
    <col min="108" max="108" width="6.28515625" style="17" customWidth="1"/>
    <col min="109" max="16384" width="9.140625" style="17"/>
  </cols>
  <sheetData>
    <row r="1" spans="18:99" s="1" customFormat="1" ht="6" customHeight="1"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</row>
    <row r="2" spans="18:99" s="1" customFormat="1" ht="6" customHeight="1">
      <c r="R2" s="17"/>
      <c r="S2" s="17"/>
      <c r="T2" s="17"/>
      <c r="U2" s="17"/>
      <c r="V2" s="17"/>
      <c r="W2" s="17"/>
      <c r="X2" s="17"/>
      <c r="Y2" s="17"/>
      <c r="Z2" s="50" t="s">
        <v>72</v>
      </c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18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</row>
    <row r="3" spans="18:99" s="1" customFormat="1" ht="6" customHeight="1">
      <c r="R3" s="17"/>
      <c r="S3" s="17"/>
      <c r="T3" s="17"/>
      <c r="U3" s="17"/>
      <c r="V3" s="17"/>
      <c r="W3" s="17"/>
      <c r="X3" s="17"/>
      <c r="Y3" s="17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18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</row>
    <row r="4" spans="18:99" s="1" customFormat="1" ht="6" customHeight="1">
      <c r="R4" s="17"/>
      <c r="S4" s="17"/>
      <c r="T4" s="17"/>
      <c r="U4" s="17"/>
      <c r="V4" s="17"/>
      <c r="W4" s="17"/>
      <c r="X4" s="17"/>
      <c r="Y4" s="17"/>
      <c r="Z4" s="45" t="s">
        <v>73</v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19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</row>
    <row r="5" spans="18:99" s="1" customFormat="1" ht="6" customHeight="1">
      <c r="R5" s="51" t="s">
        <v>74</v>
      </c>
      <c r="S5" s="51"/>
      <c r="T5" s="51"/>
      <c r="U5" s="51"/>
      <c r="V5" s="51"/>
      <c r="W5" s="51"/>
      <c r="X5" s="17"/>
      <c r="Y5" s="17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19"/>
      <c r="BE5" s="17"/>
      <c r="BF5" s="51" t="s">
        <v>75</v>
      </c>
      <c r="BG5" s="51"/>
      <c r="BH5" s="51"/>
      <c r="BI5" s="51"/>
      <c r="BJ5" s="51"/>
      <c r="BK5" s="51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</row>
    <row r="6" spans="18:99" s="1" customFormat="1" ht="6" customHeight="1">
      <c r="R6" s="51"/>
      <c r="S6" s="51"/>
      <c r="T6" s="51"/>
      <c r="U6" s="51"/>
      <c r="V6" s="51"/>
      <c r="W6" s="51"/>
      <c r="X6" s="17"/>
      <c r="Y6" s="17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19"/>
      <c r="BE6" s="17"/>
      <c r="BF6" s="51"/>
      <c r="BG6" s="51"/>
      <c r="BH6" s="51"/>
      <c r="BI6" s="51"/>
      <c r="BJ6" s="51"/>
      <c r="BK6" s="51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</row>
    <row r="7" spans="18:99" s="1" customFormat="1" ht="6" customHeight="1">
      <c r="R7" s="51"/>
      <c r="S7" s="51"/>
      <c r="T7" s="51"/>
      <c r="U7" s="51"/>
      <c r="V7" s="51"/>
      <c r="W7" s="51"/>
      <c r="X7" s="20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51"/>
      <c r="BG7" s="51"/>
      <c r="BH7" s="51"/>
      <c r="BI7" s="51"/>
      <c r="BJ7" s="51"/>
      <c r="BK7" s="51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</row>
    <row r="8" spans="18:99" s="1" customFormat="1" ht="6" customHeight="1"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</row>
    <row r="9" spans="18:99" s="1" customFormat="1" ht="6" customHeight="1">
      <c r="R9" s="21"/>
      <c r="S9" s="21"/>
      <c r="T9" s="21"/>
      <c r="U9" s="21"/>
      <c r="V9" s="21"/>
      <c r="W9" s="21"/>
      <c r="X9" s="21"/>
      <c r="Y9" s="21"/>
      <c r="Z9" s="52" t="s">
        <v>76</v>
      </c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22"/>
      <c r="BE9" s="17"/>
      <c r="BF9" s="21"/>
      <c r="BG9" s="21"/>
      <c r="BH9" s="21"/>
      <c r="BI9" s="21"/>
      <c r="BJ9" s="21"/>
      <c r="BK9" s="21"/>
      <c r="BL9" s="21"/>
      <c r="BM9" s="21"/>
      <c r="BN9" s="42" t="s">
        <v>77</v>
      </c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23"/>
      <c r="CS9" s="23"/>
      <c r="CT9" s="23"/>
      <c r="CU9" s="23"/>
    </row>
    <row r="10" spans="18:99" s="1" customFormat="1" ht="6" customHeight="1">
      <c r="R10" s="17"/>
      <c r="S10" s="17"/>
      <c r="T10" s="17"/>
      <c r="U10" s="17"/>
      <c r="V10" s="17"/>
      <c r="W10" s="17"/>
      <c r="X10" s="17"/>
      <c r="Y10" s="17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22"/>
      <c r="BE10" s="17"/>
      <c r="BF10" s="17"/>
      <c r="BG10" s="17"/>
      <c r="BH10" s="17"/>
      <c r="BI10" s="17"/>
      <c r="BJ10" s="17"/>
      <c r="BK10" s="17"/>
      <c r="BL10" s="17"/>
      <c r="BM10" s="1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23"/>
      <c r="CS10" s="23"/>
      <c r="CT10" s="23"/>
      <c r="CU10" s="23"/>
    </row>
    <row r="11" spans="18:99" s="1" customFormat="1" ht="6" customHeight="1">
      <c r="R11" s="17"/>
      <c r="S11" s="17"/>
      <c r="T11" s="17"/>
      <c r="U11" s="17"/>
      <c r="V11" s="17"/>
      <c r="W11" s="17"/>
      <c r="X11" s="17"/>
      <c r="Y11" s="17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22"/>
      <c r="BE11" s="17"/>
      <c r="BF11" s="17"/>
      <c r="BG11" s="17"/>
      <c r="BH11" s="17"/>
      <c r="BI11" s="17"/>
      <c r="BJ11" s="17"/>
      <c r="BK11" s="17"/>
      <c r="BL11" s="17"/>
      <c r="BM11" s="1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23"/>
      <c r="CS11" s="23"/>
      <c r="CT11" s="23"/>
      <c r="CU11" s="23"/>
    </row>
    <row r="12" spans="18:99" s="1" customFormat="1" ht="6" customHeight="1">
      <c r="R12" s="17"/>
      <c r="S12" s="17"/>
      <c r="T12" s="17"/>
      <c r="U12" s="17"/>
      <c r="V12" s="17"/>
      <c r="W12" s="17"/>
      <c r="X12" s="17"/>
      <c r="Y12" s="17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22"/>
      <c r="BE12" s="17"/>
      <c r="BF12" s="17"/>
      <c r="BG12" s="17"/>
      <c r="BH12" s="17"/>
      <c r="BI12" s="17"/>
      <c r="BJ12" s="17"/>
      <c r="BK12" s="17"/>
      <c r="BL12" s="17"/>
      <c r="BM12" s="17"/>
      <c r="BN12" s="38" t="s">
        <v>78</v>
      </c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24"/>
      <c r="CS12" s="24"/>
      <c r="CT12" s="24"/>
      <c r="CU12" s="24"/>
    </row>
    <row r="13" spans="18:99" s="1" customFormat="1" ht="6" customHeight="1">
      <c r="R13" s="17"/>
      <c r="S13" s="17"/>
      <c r="T13" s="17"/>
      <c r="U13" s="17"/>
      <c r="V13" s="17"/>
      <c r="W13" s="17"/>
      <c r="X13" s="17"/>
      <c r="Y13" s="17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22"/>
      <c r="BE13" s="17"/>
      <c r="BF13" s="17"/>
      <c r="BG13" s="17"/>
      <c r="BH13" s="17"/>
      <c r="BI13" s="17"/>
      <c r="BJ13" s="17"/>
      <c r="BK13" s="17"/>
      <c r="BL13" s="17"/>
      <c r="BM13" s="17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24"/>
      <c r="CS13" s="24"/>
      <c r="CT13" s="24"/>
      <c r="CU13" s="24"/>
    </row>
    <row r="14" spans="18:99" s="1" customFormat="1" ht="6" customHeight="1">
      <c r="R14" s="17"/>
      <c r="S14" s="17"/>
      <c r="T14" s="17"/>
      <c r="U14" s="17"/>
      <c r="V14" s="17"/>
      <c r="W14" s="17"/>
      <c r="X14" s="17"/>
      <c r="Y14" s="17"/>
      <c r="Z14" s="41" t="s">
        <v>79</v>
      </c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25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</row>
    <row r="15" spans="18:99" s="1" customFormat="1" ht="6" customHeight="1">
      <c r="R15" s="17"/>
      <c r="S15" s="17"/>
      <c r="T15" s="17"/>
      <c r="U15" s="17"/>
      <c r="V15" s="17"/>
      <c r="W15" s="17"/>
      <c r="X15" s="17"/>
      <c r="Y15" s="17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25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</row>
    <row r="16" spans="18:99" s="1" customFormat="1" ht="6" customHeight="1">
      <c r="R16" s="17"/>
      <c r="S16" s="17"/>
      <c r="T16" s="17"/>
      <c r="U16" s="17"/>
      <c r="V16" s="17"/>
      <c r="W16" s="17"/>
      <c r="X16" s="17"/>
      <c r="Y16" s="17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25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</row>
    <row r="17" spans="18:56" ht="6" customHeight="1">
      <c r="Z17" s="39" t="s">
        <v>80</v>
      </c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26"/>
    </row>
    <row r="18" spans="18:56" ht="6" customHeight="1"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26"/>
    </row>
    <row r="19" spans="18:56" ht="6" customHeight="1"/>
    <row r="20" spans="18:56" ht="6" customHeight="1"/>
    <row r="21" spans="18:56" ht="6" customHeight="1">
      <c r="R21" s="21"/>
      <c r="S21" s="21"/>
      <c r="T21" s="21"/>
      <c r="U21" s="21"/>
      <c r="V21" s="21"/>
      <c r="W21" s="21"/>
      <c r="X21" s="21"/>
      <c r="Y21" s="21"/>
      <c r="Z21" s="47" t="s">
        <v>81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27"/>
    </row>
    <row r="22" spans="18:56" ht="6" customHeight="1"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27"/>
    </row>
    <row r="23" spans="18:56" ht="6" customHeight="1">
      <c r="Z23" s="49" t="s">
        <v>82</v>
      </c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28"/>
    </row>
    <row r="24" spans="18:56" ht="6" customHeight="1"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28"/>
    </row>
    <row r="25" spans="18:56" ht="6" customHeight="1"/>
    <row r="26" spans="18:56" ht="6" customHeight="1">
      <c r="Z26" s="39" t="s">
        <v>83</v>
      </c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26"/>
    </row>
    <row r="27" spans="18:56" ht="6" customHeight="1"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26"/>
    </row>
    <row r="28" spans="18:56" ht="6" customHeight="1"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</row>
    <row r="29" spans="18:56" ht="6" customHeight="1"/>
    <row r="30" spans="18:56" ht="6" customHeight="1"/>
    <row r="31" spans="18:56" ht="6" customHeight="1"/>
    <row r="32" spans="18:56" ht="6" customHeight="1">
      <c r="R32" s="21"/>
      <c r="S32" s="21"/>
      <c r="T32" s="21"/>
      <c r="U32" s="21"/>
      <c r="V32" s="21"/>
      <c r="W32" s="21"/>
      <c r="X32" s="21"/>
      <c r="Y32" s="21"/>
      <c r="Z32" s="35" t="s">
        <v>84</v>
      </c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0"/>
    </row>
    <row r="33" spans="18:99" s="1" customFormat="1" ht="6" customHeight="1">
      <c r="R33" s="17"/>
      <c r="S33" s="17"/>
      <c r="T33" s="17"/>
      <c r="U33" s="17"/>
      <c r="V33" s="17"/>
      <c r="W33" s="17"/>
      <c r="X33" s="17"/>
      <c r="Y33" s="17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0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</row>
    <row r="34" spans="18:99" s="1" customFormat="1" ht="6" customHeight="1">
      <c r="R34" s="17"/>
      <c r="S34" s="17"/>
      <c r="T34" s="17"/>
      <c r="U34" s="17"/>
      <c r="V34" s="17"/>
      <c r="W34" s="17"/>
      <c r="X34" s="17"/>
      <c r="Y34" s="17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0"/>
      <c r="BE34" s="17"/>
      <c r="BF34" s="21"/>
      <c r="BG34" s="21"/>
      <c r="BH34" s="21"/>
      <c r="BI34" s="21"/>
      <c r="BJ34" s="21"/>
      <c r="BK34" s="21"/>
      <c r="BL34" s="21"/>
      <c r="BM34" s="21"/>
      <c r="BN34" s="42" t="s">
        <v>85</v>
      </c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23"/>
      <c r="CS34" s="23"/>
      <c r="CT34" s="23"/>
      <c r="CU34" s="23"/>
    </row>
    <row r="35" spans="18:99" s="1" customFormat="1" ht="6" customHeight="1">
      <c r="R35" s="17"/>
      <c r="S35" s="17"/>
      <c r="T35" s="17"/>
      <c r="U35" s="17"/>
      <c r="V35" s="17"/>
      <c r="W35" s="17"/>
      <c r="X35" s="17"/>
      <c r="Y35" s="17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0"/>
      <c r="BE35" s="17"/>
      <c r="BF35" s="17"/>
      <c r="BG35" s="17"/>
      <c r="BH35" s="17"/>
      <c r="BI35" s="17"/>
      <c r="BJ35" s="17"/>
      <c r="BK35" s="17"/>
      <c r="BL35" s="17"/>
      <c r="BM35" s="1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23"/>
      <c r="CS35" s="23"/>
      <c r="CT35" s="23"/>
      <c r="CU35" s="23"/>
    </row>
    <row r="36" spans="18:99" s="1" customFormat="1" ht="6" customHeight="1">
      <c r="R36" s="17"/>
      <c r="S36" s="17"/>
      <c r="T36" s="17"/>
      <c r="U36" s="17"/>
      <c r="V36" s="17"/>
      <c r="W36" s="17"/>
      <c r="X36" s="17"/>
      <c r="Y36" s="17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0"/>
      <c r="BE36" s="17"/>
      <c r="BF36" s="17"/>
      <c r="BG36" s="17"/>
      <c r="BH36" s="17"/>
      <c r="BI36" s="17"/>
      <c r="BJ36" s="17"/>
      <c r="BK36" s="17"/>
      <c r="BL36" s="17"/>
      <c r="BM36" s="1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23"/>
      <c r="CS36" s="23"/>
      <c r="CT36" s="23"/>
      <c r="CU36" s="23"/>
    </row>
    <row r="37" spans="18:99" s="1" customFormat="1" ht="6" customHeight="1">
      <c r="R37" s="17"/>
      <c r="S37" s="17"/>
      <c r="T37" s="17"/>
      <c r="U37" s="17"/>
      <c r="V37" s="17"/>
      <c r="W37" s="17"/>
      <c r="X37" s="17"/>
      <c r="Y37" s="17"/>
      <c r="Z37" s="41" t="s">
        <v>86</v>
      </c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25"/>
      <c r="BE37" s="17"/>
      <c r="BF37" s="17"/>
      <c r="BG37" s="17"/>
      <c r="BH37" s="17"/>
      <c r="BI37" s="17"/>
      <c r="BJ37" s="17"/>
      <c r="BK37" s="17"/>
      <c r="BL37" s="17"/>
      <c r="BM37" s="17"/>
      <c r="BN37" s="38" t="s">
        <v>87</v>
      </c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24"/>
      <c r="CS37" s="24"/>
      <c r="CT37" s="24"/>
      <c r="CU37" s="24"/>
    </row>
    <row r="38" spans="18:99" s="1" customFormat="1" ht="6" customHeight="1">
      <c r="R38" s="17"/>
      <c r="S38" s="17"/>
      <c r="T38" s="17"/>
      <c r="U38" s="17"/>
      <c r="V38" s="17"/>
      <c r="W38" s="17"/>
      <c r="X38" s="17"/>
      <c r="Y38" s="17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25"/>
      <c r="BE38" s="17"/>
      <c r="BF38" s="17"/>
      <c r="BG38" s="17"/>
      <c r="BH38" s="17"/>
      <c r="BI38" s="17"/>
      <c r="BJ38" s="17"/>
      <c r="BK38" s="17"/>
      <c r="BL38" s="17"/>
      <c r="BM38" s="17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24"/>
      <c r="CS38" s="24"/>
      <c r="CT38" s="24"/>
      <c r="CU38" s="24"/>
    </row>
    <row r="39" spans="18:99" s="1" customFormat="1" ht="6" customHeight="1">
      <c r="R39" s="17"/>
      <c r="S39" s="17"/>
      <c r="T39" s="17"/>
      <c r="U39" s="17"/>
      <c r="V39" s="17"/>
      <c r="W39" s="17"/>
      <c r="X39" s="17"/>
      <c r="Y39" s="17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25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</row>
    <row r="40" spans="18:99" s="1" customFormat="1" ht="6" customHeight="1">
      <c r="R40" s="17"/>
      <c r="S40" s="17"/>
      <c r="T40" s="17"/>
      <c r="U40" s="17"/>
      <c r="V40" s="17"/>
      <c r="W40" s="17"/>
      <c r="X40" s="17"/>
      <c r="Y40" s="17"/>
      <c r="Z40" s="39" t="s">
        <v>88</v>
      </c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26"/>
      <c r="BE40" s="17"/>
      <c r="BF40" s="17"/>
      <c r="BG40" s="17"/>
      <c r="BH40" s="17"/>
      <c r="BI40" s="17"/>
      <c r="BJ40" s="17"/>
      <c r="BK40" s="17"/>
      <c r="BL40" s="17"/>
      <c r="BM40" s="17"/>
      <c r="BN40" s="37" t="s">
        <v>89</v>
      </c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23"/>
      <c r="CS40" s="23"/>
      <c r="CT40" s="23"/>
      <c r="CU40" s="23"/>
    </row>
    <row r="41" spans="18:99" s="1" customFormat="1" ht="6" customHeight="1">
      <c r="R41" s="17"/>
      <c r="S41" s="17"/>
      <c r="T41" s="17"/>
      <c r="U41" s="17"/>
      <c r="V41" s="17"/>
      <c r="W41" s="17"/>
      <c r="X41" s="17"/>
      <c r="Y41" s="17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26"/>
      <c r="BE41" s="17"/>
      <c r="BF41" s="17"/>
      <c r="BG41" s="17"/>
      <c r="BH41" s="17"/>
      <c r="BI41" s="17"/>
      <c r="BJ41" s="17"/>
      <c r="BK41" s="17"/>
      <c r="BL41" s="17"/>
      <c r="BM41" s="1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23"/>
      <c r="CS41" s="23"/>
      <c r="CT41" s="23"/>
      <c r="CU41" s="23"/>
    </row>
    <row r="42" spans="18:99" s="1" customFormat="1" ht="6" customHeight="1"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23"/>
      <c r="CS42" s="23"/>
      <c r="CT42" s="23"/>
      <c r="CU42" s="23"/>
    </row>
    <row r="43" spans="18:99" s="1" customFormat="1" ht="6" customHeight="1">
      <c r="R43" s="21"/>
      <c r="S43" s="21"/>
      <c r="T43" s="21"/>
      <c r="U43" s="21"/>
      <c r="V43" s="21"/>
      <c r="W43" s="21"/>
      <c r="X43" s="21"/>
      <c r="Y43" s="21"/>
      <c r="Z43" s="35" t="s">
        <v>90</v>
      </c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0"/>
      <c r="BE43" s="17"/>
      <c r="BF43" s="17"/>
      <c r="BG43" s="17"/>
      <c r="BH43" s="17"/>
      <c r="BI43" s="17"/>
      <c r="BJ43" s="17"/>
      <c r="BK43" s="17"/>
      <c r="BL43" s="17"/>
      <c r="BM43" s="17"/>
      <c r="BN43" s="38" t="s">
        <v>91</v>
      </c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24"/>
      <c r="CS43" s="24"/>
      <c r="CT43" s="24"/>
      <c r="CU43" s="24"/>
    </row>
    <row r="44" spans="18:99" s="1" customFormat="1" ht="6" customHeight="1">
      <c r="R44" s="17"/>
      <c r="S44" s="17"/>
      <c r="T44" s="17"/>
      <c r="U44" s="17"/>
      <c r="V44" s="17"/>
      <c r="W44" s="17"/>
      <c r="X44" s="17"/>
      <c r="Y44" s="17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0"/>
      <c r="BE44" s="17"/>
      <c r="BF44" s="17"/>
      <c r="BG44" s="17"/>
      <c r="BH44" s="17"/>
      <c r="BI44" s="17"/>
      <c r="BJ44" s="17"/>
      <c r="BK44" s="17"/>
      <c r="BL44" s="17"/>
      <c r="BM44" s="17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24"/>
      <c r="CS44" s="24"/>
      <c r="CT44" s="24"/>
      <c r="CU44" s="24"/>
    </row>
    <row r="45" spans="18:99" s="1" customFormat="1" ht="6" customHeight="1">
      <c r="R45" s="17"/>
      <c r="S45" s="17"/>
      <c r="T45" s="17"/>
      <c r="U45" s="17"/>
      <c r="V45" s="17"/>
      <c r="W45" s="17"/>
      <c r="X45" s="17"/>
      <c r="Y45" s="17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0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</row>
    <row r="46" spans="18:99" s="1" customFormat="1" ht="6" customHeight="1">
      <c r="R46" s="17"/>
      <c r="S46" s="17"/>
      <c r="T46" s="17"/>
      <c r="U46" s="17"/>
      <c r="V46" s="17"/>
      <c r="W46" s="17"/>
      <c r="X46" s="17"/>
      <c r="Y46" s="17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0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</row>
    <row r="47" spans="18:99" s="1" customFormat="1" ht="6" customHeight="1">
      <c r="R47" s="17"/>
      <c r="S47" s="17"/>
      <c r="T47" s="17"/>
      <c r="U47" s="17"/>
      <c r="V47" s="17"/>
      <c r="W47" s="17"/>
      <c r="X47" s="17"/>
      <c r="Y47" s="17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0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</row>
    <row r="48" spans="18:99" s="1" customFormat="1" ht="6" customHeight="1">
      <c r="R48" s="17"/>
      <c r="S48" s="17"/>
      <c r="T48" s="17"/>
      <c r="U48" s="17"/>
      <c r="V48" s="17"/>
      <c r="W48" s="17"/>
      <c r="X48" s="17"/>
      <c r="Y48" s="17"/>
      <c r="Z48" s="41" t="s">
        <v>92</v>
      </c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25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</row>
    <row r="49" spans="2:99" s="1" customFormat="1" ht="6" customHeight="1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25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</row>
    <row r="50" spans="2:99" s="1" customFormat="1" ht="6" customHeight="1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25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</row>
    <row r="51" spans="2:99" s="1" customFormat="1" ht="6" customHeight="1">
      <c r="B51" s="45" t="s">
        <v>93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17"/>
      <c r="R51" s="17"/>
      <c r="S51" s="17"/>
      <c r="T51" s="17"/>
      <c r="U51" s="17"/>
      <c r="V51" s="17"/>
      <c r="W51" s="17"/>
      <c r="X51" s="17"/>
      <c r="Y51" s="17"/>
      <c r="Z51" s="39" t="s">
        <v>94</v>
      </c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26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</row>
    <row r="52" spans="2:99" s="1" customFormat="1" ht="6" customHeight="1"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17"/>
      <c r="R52" s="17"/>
      <c r="S52" s="17"/>
      <c r="T52" s="17"/>
      <c r="U52" s="17"/>
      <c r="V52" s="17"/>
      <c r="W52" s="17"/>
      <c r="X52" s="17"/>
      <c r="Y52" s="17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26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</row>
    <row r="53" spans="2:99" s="1" customFormat="1" ht="6" customHeight="1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</row>
    <row r="54" spans="2:99" s="1" customFormat="1" ht="6" customHeight="1">
      <c r="B54" s="43" t="s">
        <v>95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17"/>
      <c r="R54" s="21"/>
      <c r="S54" s="21"/>
      <c r="T54" s="21"/>
      <c r="U54" s="21"/>
      <c r="V54" s="21"/>
      <c r="W54" s="21"/>
      <c r="X54" s="21"/>
      <c r="Y54" s="21"/>
      <c r="Z54" s="35" t="s">
        <v>96</v>
      </c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0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</row>
    <row r="55" spans="2:99" s="1" customFormat="1" ht="6" customHeight="1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17"/>
      <c r="R55" s="17"/>
      <c r="S55" s="17"/>
      <c r="T55" s="17"/>
      <c r="U55" s="17"/>
      <c r="V55" s="17"/>
      <c r="W55" s="17"/>
      <c r="X55" s="17"/>
      <c r="Y55" s="17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0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</row>
    <row r="56" spans="2:99" s="1" customFormat="1" ht="6" customHeight="1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17"/>
      <c r="R56" s="17"/>
      <c r="S56" s="17"/>
      <c r="T56" s="17"/>
      <c r="U56" s="17"/>
      <c r="V56" s="17"/>
      <c r="W56" s="17"/>
      <c r="X56" s="17"/>
      <c r="Y56" s="17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0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</row>
    <row r="57" spans="2:99" s="1" customFormat="1" ht="6" customHeight="1">
      <c r="B57" s="46" t="s">
        <v>97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17"/>
      <c r="R57" s="17"/>
      <c r="S57" s="17"/>
      <c r="T57" s="17"/>
      <c r="U57" s="17"/>
      <c r="V57" s="17"/>
      <c r="W57" s="17"/>
      <c r="X57" s="17"/>
      <c r="Y57" s="17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0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</row>
    <row r="58" spans="2:99" s="1" customFormat="1" ht="6" customHeight="1"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17"/>
      <c r="R58" s="17"/>
      <c r="S58" s="17"/>
      <c r="T58" s="17"/>
      <c r="U58" s="17"/>
      <c r="V58" s="17"/>
      <c r="W58" s="17"/>
      <c r="X58" s="17"/>
      <c r="Y58" s="17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0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</row>
    <row r="59" spans="2:99" s="1" customFormat="1" ht="6" customHeight="1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41" t="s">
        <v>98</v>
      </c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25"/>
      <c r="BE59" s="17"/>
      <c r="BF59" s="21"/>
      <c r="BG59" s="21"/>
      <c r="BH59" s="21"/>
      <c r="BI59" s="21"/>
      <c r="BJ59" s="21"/>
      <c r="BK59" s="21"/>
      <c r="BL59" s="21"/>
      <c r="BM59" s="21"/>
      <c r="BN59" s="42" t="s">
        <v>85</v>
      </c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23"/>
      <c r="CS59" s="23"/>
      <c r="CT59" s="23"/>
      <c r="CU59" s="23"/>
    </row>
    <row r="60" spans="2:99" s="1" customFormat="1" ht="6" customHeight="1">
      <c r="B60" s="43" t="s">
        <v>99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17"/>
      <c r="R60" s="17"/>
      <c r="S60" s="17"/>
      <c r="T60" s="17"/>
      <c r="U60" s="17"/>
      <c r="V60" s="17"/>
      <c r="W60" s="17"/>
      <c r="X60" s="17"/>
      <c r="Y60" s="17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25"/>
      <c r="BE60" s="17"/>
      <c r="BF60" s="17"/>
      <c r="BG60" s="17"/>
      <c r="BH60" s="17"/>
      <c r="BI60" s="17"/>
      <c r="BJ60" s="17"/>
      <c r="BK60" s="17"/>
      <c r="BL60" s="17"/>
      <c r="BM60" s="1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23"/>
      <c r="CS60" s="23"/>
      <c r="CT60" s="23"/>
      <c r="CU60" s="23"/>
    </row>
    <row r="61" spans="2:99" s="1" customFormat="1" ht="6" customHeight="1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17"/>
      <c r="R61" s="17"/>
      <c r="S61" s="17"/>
      <c r="T61" s="17"/>
      <c r="U61" s="17"/>
      <c r="V61" s="17"/>
      <c r="W61" s="17"/>
      <c r="X61" s="17"/>
      <c r="Y61" s="17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25"/>
      <c r="BE61" s="17"/>
      <c r="BF61" s="17"/>
      <c r="BG61" s="17"/>
      <c r="BH61" s="17"/>
      <c r="BI61" s="17"/>
      <c r="BJ61" s="17"/>
      <c r="BK61" s="17"/>
      <c r="BL61" s="17"/>
      <c r="BM61" s="1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23"/>
      <c r="CS61" s="23"/>
      <c r="CT61" s="23"/>
      <c r="CU61" s="23"/>
    </row>
    <row r="62" spans="2:99" s="1" customFormat="1" ht="6" customHeight="1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17"/>
      <c r="R62" s="17"/>
      <c r="S62" s="17"/>
      <c r="T62" s="17"/>
      <c r="U62" s="17"/>
      <c r="V62" s="17"/>
      <c r="W62" s="17"/>
      <c r="X62" s="17"/>
      <c r="Y62" s="17"/>
      <c r="Z62" s="39" t="s">
        <v>100</v>
      </c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26"/>
      <c r="BE62" s="17"/>
      <c r="BF62" s="17"/>
      <c r="BG62" s="17"/>
      <c r="BH62" s="17"/>
      <c r="BI62" s="17"/>
      <c r="BJ62" s="17"/>
      <c r="BK62" s="17"/>
      <c r="BL62" s="17"/>
      <c r="BM62" s="17"/>
      <c r="BN62" s="38" t="s">
        <v>101</v>
      </c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24"/>
      <c r="CS62" s="24"/>
      <c r="CT62" s="24"/>
      <c r="CU62" s="24"/>
    </row>
    <row r="63" spans="2:99" s="1" customFormat="1" ht="6" customHeight="1">
      <c r="B63" s="44" t="s">
        <v>102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17"/>
      <c r="R63" s="17"/>
      <c r="S63" s="17"/>
      <c r="T63" s="17"/>
      <c r="U63" s="17"/>
      <c r="V63" s="17"/>
      <c r="W63" s="17"/>
      <c r="X63" s="17"/>
      <c r="Y63" s="17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26"/>
      <c r="BE63" s="17"/>
      <c r="BF63" s="17"/>
      <c r="BG63" s="17"/>
      <c r="BH63" s="17"/>
      <c r="BI63" s="17"/>
      <c r="BJ63" s="17"/>
      <c r="BK63" s="17"/>
      <c r="BL63" s="17"/>
      <c r="BM63" s="17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24"/>
      <c r="CS63" s="24"/>
      <c r="CT63" s="24"/>
      <c r="CU63" s="24"/>
    </row>
    <row r="64" spans="2:99" s="1" customFormat="1" ht="6" customHeight="1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</row>
    <row r="65" spans="18:99" s="1" customFormat="1" ht="6" customHeight="1">
      <c r="R65" s="21"/>
      <c r="S65" s="21"/>
      <c r="T65" s="21"/>
      <c r="U65" s="21"/>
      <c r="V65" s="21"/>
      <c r="W65" s="21"/>
      <c r="X65" s="21"/>
      <c r="Y65" s="21"/>
      <c r="Z65" s="35" t="s">
        <v>103</v>
      </c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0"/>
      <c r="BE65" s="17"/>
      <c r="BF65" s="17"/>
      <c r="BG65" s="17"/>
      <c r="BH65" s="17"/>
      <c r="BI65" s="17"/>
      <c r="BJ65" s="17"/>
      <c r="BK65" s="17"/>
      <c r="BL65" s="17"/>
      <c r="BM65" s="17"/>
      <c r="BN65" s="37" t="s">
        <v>89</v>
      </c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23"/>
      <c r="CS65" s="23"/>
      <c r="CT65" s="23"/>
      <c r="CU65" s="23"/>
    </row>
    <row r="66" spans="18:99" s="1" customFormat="1" ht="6" customHeight="1">
      <c r="R66" s="17"/>
      <c r="S66" s="17"/>
      <c r="T66" s="17"/>
      <c r="U66" s="17"/>
      <c r="V66" s="17"/>
      <c r="W66" s="17"/>
      <c r="X66" s="17"/>
      <c r="Y66" s="17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0"/>
      <c r="BE66" s="17"/>
      <c r="BF66" s="17"/>
      <c r="BG66" s="17"/>
      <c r="BH66" s="17"/>
      <c r="BI66" s="17"/>
      <c r="BJ66" s="17"/>
      <c r="BK66" s="17"/>
      <c r="BL66" s="17"/>
      <c r="BM66" s="1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23"/>
      <c r="CS66" s="23"/>
      <c r="CT66" s="23"/>
      <c r="CU66" s="23"/>
    </row>
    <row r="67" spans="18:99" s="1" customFormat="1" ht="6" customHeight="1">
      <c r="R67" s="17"/>
      <c r="S67" s="17"/>
      <c r="T67" s="17"/>
      <c r="U67" s="17"/>
      <c r="V67" s="17"/>
      <c r="W67" s="17"/>
      <c r="X67" s="17"/>
      <c r="Y67" s="17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0"/>
      <c r="BE67" s="17"/>
      <c r="BF67" s="17"/>
      <c r="BG67" s="17"/>
      <c r="BH67" s="17"/>
      <c r="BI67" s="17"/>
      <c r="BJ67" s="17"/>
      <c r="BK67" s="17"/>
      <c r="BL67" s="17"/>
      <c r="BM67" s="1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23"/>
      <c r="CS67" s="23"/>
      <c r="CT67" s="23"/>
      <c r="CU67" s="23"/>
    </row>
    <row r="68" spans="18:99" s="1" customFormat="1" ht="6" customHeight="1">
      <c r="R68" s="17"/>
      <c r="S68" s="17"/>
      <c r="T68" s="17"/>
      <c r="U68" s="17"/>
      <c r="V68" s="17"/>
      <c r="W68" s="17"/>
      <c r="X68" s="17"/>
      <c r="Y68" s="17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0"/>
      <c r="BE68" s="17"/>
      <c r="BF68" s="17"/>
      <c r="BG68" s="17"/>
      <c r="BH68" s="17"/>
      <c r="BI68" s="17"/>
      <c r="BJ68" s="17"/>
      <c r="BK68" s="17"/>
      <c r="BL68" s="17"/>
      <c r="BM68" s="17"/>
      <c r="BN68" s="38" t="s">
        <v>104</v>
      </c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24"/>
      <c r="CS68" s="24"/>
      <c r="CT68" s="24"/>
      <c r="CU68" s="24"/>
    </row>
    <row r="69" spans="18:99" s="1" customFormat="1" ht="6" customHeight="1">
      <c r="R69" s="17"/>
      <c r="S69" s="17"/>
      <c r="T69" s="17"/>
      <c r="U69" s="17"/>
      <c r="V69" s="17"/>
      <c r="W69" s="17"/>
      <c r="X69" s="17"/>
      <c r="Y69" s="17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0"/>
      <c r="BE69" s="17"/>
      <c r="BF69" s="17"/>
      <c r="BG69" s="17"/>
      <c r="BH69" s="17"/>
      <c r="BI69" s="17"/>
      <c r="BJ69" s="17"/>
      <c r="BK69" s="17"/>
      <c r="BL69" s="17"/>
      <c r="BM69" s="17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24"/>
      <c r="CS69" s="24"/>
      <c r="CT69" s="24"/>
      <c r="CU69" s="24"/>
    </row>
    <row r="70" spans="18:99" s="1" customFormat="1" ht="6" customHeight="1"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</row>
    <row r="71" spans="18:99" s="1" customFormat="1" ht="6" customHeight="1">
      <c r="R71" s="17"/>
      <c r="S71" s="17"/>
      <c r="T71" s="17"/>
      <c r="U71" s="17"/>
      <c r="V71" s="17"/>
      <c r="W71" s="17"/>
      <c r="X71" s="17"/>
      <c r="Y71" s="17"/>
      <c r="Z71" s="39" t="s">
        <v>105</v>
      </c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29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</row>
    <row r="72" spans="18:99" s="1" customFormat="1" ht="6" customHeight="1">
      <c r="R72" s="17"/>
      <c r="S72" s="17"/>
      <c r="T72" s="17"/>
      <c r="U72" s="17"/>
      <c r="V72" s="17"/>
      <c r="W72" s="17"/>
      <c r="X72" s="17"/>
      <c r="Y72" s="17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29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</row>
    <row r="73" spans="18:99" s="1" customFormat="1" ht="6" customHeight="1"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</row>
    <row r="74" spans="18:99" s="1" customFormat="1" ht="6" customHeight="1">
      <c r="R74" s="17"/>
      <c r="S74" s="17"/>
      <c r="T74" s="17"/>
      <c r="U74" s="17"/>
      <c r="V74" s="17"/>
      <c r="W74" s="17"/>
      <c r="X74" s="17"/>
      <c r="Y74" s="17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</row>
    <row r="75" spans="18:99" s="1" customFormat="1" ht="6" customHeight="1">
      <c r="R75" s="17"/>
      <c r="S75" s="17"/>
      <c r="T75" s="17"/>
      <c r="U75" s="17"/>
      <c r="V75" s="17"/>
      <c r="W75" s="17"/>
      <c r="X75" s="17"/>
      <c r="Y75" s="17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</row>
    <row r="76" spans="18:99" s="1" customFormat="1" ht="6" customHeight="1">
      <c r="R76" s="17"/>
      <c r="S76" s="17"/>
      <c r="T76" s="17"/>
      <c r="U76" s="17"/>
      <c r="V76" s="17"/>
      <c r="W76" s="17"/>
      <c r="X76" s="17"/>
      <c r="Y76" s="17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</row>
    <row r="77" spans="18:99" s="1" customFormat="1" ht="6" customHeight="1">
      <c r="R77" s="17"/>
      <c r="S77" s="17"/>
      <c r="T77" s="17"/>
      <c r="U77" s="17"/>
      <c r="V77" s="17"/>
      <c r="W77" s="17"/>
      <c r="X77" s="17"/>
      <c r="Y77" s="17"/>
      <c r="Z77" s="40" t="s">
        <v>106</v>
      </c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31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</row>
    <row r="78" spans="18:99" s="1" customFormat="1" ht="6" customHeight="1">
      <c r="R78" s="17"/>
      <c r="S78" s="17"/>
      <c r="T78" s="17"/>
      <c r="U78" s="17"/>
      <c r="V78" s="17"/>
      <c r="W78" s="17"/>
      <c r="X78" s="17"/>
      <c r="Y78" s="17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31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</row>
    <row r="79" spans="18:99" s="1" customFormat="1" ht="6" customHeight="1">
      <c r="R79" s="17"/>
      <c r="S79" s="17"/>
      <c r="T79" s="17"/>
      <c r="U79" s="17"/>
      <c r="V79" s="17"/>
      <c r="W79" s="17"/>
      <c r="X79" s="17"/>
      <c r="Y79" s="17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31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</row>
    <row r="80" spans="18:99" s="1" customFormat="1" ht="6" customHeight="1">
      <c r="R80" s="17"/>
      <c r="S80" s="17"/>
      <c r="T80" s="17"/>
      <c r="U80" s="17"/>
      <c r="V80" s="17"/>
      <c r="W80" s="17"/>
      <c r="X80" s="17"/>
      <c r="Y80" s="17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31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</row>
    <row r="81" spans="26:56" ht="6" customHeight="1"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31"/>
    </row>
    <row r="82" spans="26:56" ht="6" customHeight="1">
      <c r="Z82" s="40" t="s">
        <v>107</v>
      </c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31"/>
    </row>
    <row r="83" spans="26:56" ht="6" customHeight="1"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31"/>
    </row>
    <row r="84" spans="26:56" ht="6" customHeight="1"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31"/>
    </row>
    <row r="85" spans="26:56" ht="6" customHeight="1"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31"/>
    </row>
    <row r="86" spans="26:56" ht="6" customHeight="1"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31"/>
    </row>
    <row r="87" spans="26:56" ht="6" customHeight="1"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31"/>
    </row>
    <row r="88" spans="26:56" ht="6" customHeight="1"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31"/>
    </row>
    <row r="89" spans="26:56" ht="6" customHeight="1"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31"/>
    </row>
    <row r="90" spans="26:56" ht="6" customHeight="1">
      <c r="Z90" s="34" t="s">
        <v>108</v>
      </c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2"/>
    </row>
    <row r="91" spans="26:56" ht="6" customHeight="1"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2"/>
    </row>
    <row r="92" spans="26:56" ht="6" customHeight="1"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</row>
    <row r="93" spans="26:56" ht="6" customHeight="1"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</row>
    <row r="94" spans="26:56" ht="6" customHeight="1"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</row>
    <row r="95" spans="26:56" ht="6" customHeight="1"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</row>
  </sheetData>
  <mergeCells count="39">
    <mergeCell ref="BN9:CQ11"/>
    <mergeCell ref="BN12:CQ13"/>
    <mergeCell ref="Z2:BC3"/>
    <mergeCell ref="Z4:BC6"/>
    <mergeCell ref="R5:W7"/>
    <mergeCell ref="BF5:BK7"/>
    <mergeCell ref="Z9:BC13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07A61897-7B01-41F2-AC80-0B9F5654840F}"/>
    <hyperlink ref="B51" r:id="rId2" xr:uid="{6AEB1B23-0C56-4F74-971D-D0116CDB920E}"/>
    <hyperlink ref="B57" r:id="rId3" xr:uid="{EDFC7175-572C-453B-A9E1-28A55D803F4F}"/>
    <hyperlink ref="Z4" r:id="rId4" xr:uid="{89638068-59B0-4888-88DD-F07F748B5ED8}"/>
    <hyperlink ref="Z17" r:id="rId5" display="https://www.udemy.com/excel-mistrz-formul/?couponCode=STANDARDOWY" xr:uid="{46B38CF9-817E-4380-9425-5558A0576C02}"/>
    <hyperlink ref="Z26" r:id="rId6" xr:uid="{B9A96753-F58B-40F1-9AD7-F6C52044D42C}"/>
    <hyperlink ref="Z40" r:id="rId7" display="https://www.udemy.com/excel-mistrz-formul/?couponCode=STANDARDOWY" xr:uid="{5B29F167-A706-49BE-9FBB-741146DE4850}"/>
    <hyperlink ref="Z51" r:id="rId8" display="https://www.udemy.com/excel-mistrz-formul/?couponCode=STANDARDOWY" xr:uid="{9EFF577E-43BC-4FA4-A5E9-CBCC66CA8844}"/>
    <hyperlink ref="Z62" r:id="rId9" display="https://www.udemy.com/excel-mistrz-formul/?couponCode=STANDARDOWY" xr:uid="{1B980E70-1853-4D06-A334-FF36F972F816}"/>
    <hyperlink ref="Z71" r:id="rId10" display="https://www.udemy.com/excel-mistrz-formul/?couponCode=STANDARDOWY" xr:uid="{52C0EA5C-67FB-4873-80B9-E685ED12C2DE}"/>
    <hyperlink ref="BN12" r:id="rId11" location="mistrz-excela-w-20-dni" xr:uid="{C2404CC6-B60A-4293-B5B9-CE3E9CDA1406}"/>
    <hyperlink ref="BN37" r:id="rId12" location="mistrz-excela-w-20-dni" display="http://ksplus.komputerswiat.pl/sklep#mistrz-excela-w-20-dni" xr:uid="{5670D76E-DB7A-4191-A79F-CCC62D929633}"/>
    <hyperlink ref="BN43" r:id="rId13" location="mistrz-excela-w-20-dni" display="http://ksplus.komputerswiat.pl/sklep#mistrz-excela-w-20-dni" xr:uid="{CD882126-E96E-48B4-898B-99C7A8411B02}"/>
    <hyperlink ref="BN62" r:id="rId14" location="mistrz-excela-w-20-dni" display="http://ksplus.komputerswiat.pl/sklep#mistrz-excela-w-20-dni" xr:uid="{99104365-7CF3-4AF4-B1D0-046637D8BAE4}"/>
    <hyperlink ref="BN68" r:id="rId15" location="mistrz-excela-w-20-dni" display="http://ksplus.komputerswiat.pl/sklep#mistrz-excela-w-20-dni" xr:uid="{02E9AC9C-BC84-45DC-ACB0-12E70E89AC33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73BE"/>
  </sheetPr>
  <dimension ref="A1:F9"/>
  <sheetViews>
    <sheetView zoomScale="160" zoomScaleNormal="160" workbookViewId="0">
      <selection activeCell="B1" sqref="B1:F9"/>
    </sheetView>
  </sheetViews>
  <sheetFormatPr defaultColWidth="9.140625" defaultRowHeight="14.25"/>
  <cols>
    <col min="1" max="1" width="17" style="3" customWidth="1"/>
    <col min="2" max="2" width="6.28515625" style="3" bestFit="1" customWidth="1"/>
    <col min="3" max="3" width="6.42578125" style="3" bestFit="1" customWidth="1"/>
    <col min="4" max="4" width="8.140625" style="3" bestFit="1" customWidth="1"/>
    <col min="5" max="5" width="7.7109375" style="3" bestFit="1" customWidth="1"/>
    <col min="6" max="6" width="7.85546875" style="3" bestFit="1" customWidth="1"/>
    <col min="7" max="16384" width="9.140625" style="3"/>
  </cols>
  <sheetData>
    <row r="1" spans="1: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>
      <c r="A2" s="4">
        <v>21475</v>
      </c>
      <c r="B2" s="4">
        <v>52</v>
      </c>
      <c r="C2" s="4">
        <v>10</v>
      </c>
      <c r="D2" s="4">
        <v>82</v>
      </c>
      <c r="E2" s="4">
        <v>79</v>
      </c>
      <c r="F2" s="4">
        <v>56</v>
      </c>
    </row>
    <row r="3" spans="1:6">
      <c r="A3" s="4">
        <v>21486</v>
      </c>
      <c r="B3" s="4">
        <v>74</v>
      </c>
      <c r="C3" s="4">
        <v>79</v>
      </c>
      <c r="D3" s="4">
        <v>54</v>
      </c>
      <c r="E3" s="4">
        <v>82</v>
      </c>
      <c r="F3" s="4">
        <v>91</v>
      </c>
    </row>
    <row r="4" spans="1:6">
      <c r="A4" s="4">
        <v>21497</v>
      </c>
      <c r="B4" s="4">
        <v>41</v>
      </c>
      <c r="C4" s="4">
        <v>102</v>
      </c>
      <c r="D4" s="4">
        <v>23</v>
      </c>
      <c r="E4" s="4">
        <v>47</v>
      </c>
      <c r="F4" s="4">
        <v>41</v>
      </c>
    </row>
    <row r="5" spans="1:6">
      <c r="A5" s="4">
        <v>21505</v>
      </c>
      <c r="B5" s="4">
        <v>67</v>
      </c>
      <c r="C5" s="4">
        <v>80</v>
      </c>
      <c r="D5" s="4">
        <v>27</v>
      </c>
      <c r="E5" s="4">
        <v>66</v>
      </c>
      <c r="F5" s="4">
        <v>68</v>
      </c>
    </row>
    <row r="6" spans="1:6">
      <c r="A6" s="4">
        <v>21516</v>
      </c>
      <c r="B6" s="4">
        <v>37</v>
      </c>
      <c r="C6" s="4">
        <v>22</v>
      </c>
      <c r="D6" s="4">
        <v>36</v>
      </c>
      <c r="E6" s="4">
        <v>84</v>
      </c>
      <c r="F6" s="4">
        <v>79</v>
      </c>
    </row>
    <row r="7" spans="1:6">
      <c r="A7" s="4">
        <v>21527</v>
      </c>
      <c r="B7" s="4">
        <v>42</v>
      </c>
      <c r="C7" s="4">
        <v>58</v>
      </c>
      <c r="D7" s="4">
        <v>55</v>
      </c>
      <c r="E7" s="4">
        <v>70</v>
      </c>
      <c r="F7" s="4">
        <v>12</v>
      </c>
    </row>
    <row r="8" spans="1:6">
      <c r="A8" s="4">
        <v>21538</v>
      </c>
      <c r="B8" s="4">
        <v>62</v>
      </c>
      <c r="C8" s="4">
        <v>100</v>
      </c>
      <c r="D8" s="4">
        <v>200</v>
      </c>
      <c r="E8" s="4">
        <v>57</v>
      </c>
      <c r="F8" s="4">
        <v>63</v>
      </c>
    </row>
    <row r="9" spans="1:6">
      <c r="A9" s="4">
        <v>21549</v>
      </c>
      <c r="B9" s="4">
        <v>47</v>
      </c>
      <c r="C9" s="4">
        <v>51</v>
      </c>
      <c r="D9" s="4">
        <v>17</v>
      </c>
      <c r="E9" s="4">
        <v>9.9</v>
      </c>
      <c r="F9" s="4">
        <v>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3BE"/>
  </sheetPr>
  <dimension ref="A1:G31"/>
  <sheetViews>
    <sheetView zoomScale="160" zoomScaleNormal="160" workbookViewId="0">
      <selection activeCell="B19" sqref="B19"/>
    </sheetView>
  </sheetViews>
  <sheetFormatPr defaultColWidth="9.140625" defaultRowHeight="14.25"/>
  <cols>
    <col min="1" max="1" width="10.140625" style="3" bestFit="1" customWidth="1"/>
    <col min="2" max="2" width="10.7109375" style="3" bestFit="1" customWidth="1"/>
    <col min="3" max="3" width="11.85546875" style="3" customWidth="1"/>
    <col min="4" max="4" width="11.28515625" style="3" customWidth="1"/>
    <col min="5" max="5" width="2.85546875" style="3" customWidth="1"/>
    <col min="6" max="7" width="10.7109375" style="3" bestFit="1" customWidth="1"/>
    <col min="8" max="16384" width="9.140625" style="3"/>
  </cols>
  <sheetData>
    <row r="1" spans="1:7">
      <c r="A1" s="14" t="s">
        <v>61</v>
      </c>
      <c r="B1" s="14"/>
      <c r="C1" s="14"/>
      <c r="D1" s="14"/>
    </row>
    <row r="2" spans="1:7">
      <c r="A2" s="12" t="s">
        <v>6</v>
      </c>
      <c r="B2" s="12" t="s">
        <v>7</v>
      </c>
      <c r="C2" s="12" t="s">
        <v>8</v>
      </c>
      <c r="D2" s="12" t="s">
        <v>9</v>
      </c>
      <c r="F2" s="12" t="s">
        <v>10</v>
      </c>
      <c r="G2" s="12" t="s">
        <v>11</v>
      </c>
    </row>
    <row r="3" spans="1:7">
      <c r="A3" s="4" t="s">
        <v>57</v>
      </c>
      <c r="B3" s="15"/>
      <c r="C3" s="4" t="s">
        <v>13</v>
      </c>
      <c r="D3" s="4">
        <v>7.5</v>
      </c>
      <c r="F3" s="15">
        <v>42309</v>
      </c>
      <c r="G3" s="16">
        <f>EOMONTH(F3,0)</f>
        <v>42338</v>
      </c>
    </row>
    <row r="4" spans="1:7">
      <c r="A4" s="4" t="s">
        <v>60</v>
      </c>
      <c r="B4" s="15"/>
      <c r="C4" s="4" t="s">
        <v>15</v>
      </c>
      <c r="D4" s="4">
        <v>8.5</v>
      </c>
    </row>
    <row r="5" spans="1:7">
      <c r="A5" s="4" t="s">
        <v>57</v>
      </c>
      <c r="B5" s="15"/>
      <c r="C5" s="4" t="s">
        <v>16</v>
      </c>
      <c r="D5" s="4">
        <v>10</v>
      </c>
    </row>
    <row r="6" spans="1:7">
      <c r="A6" s="4" t="s">
        <v>57</v>
      </c>
      <c r="B6" s="15"/>
      <c r="C6" s="4" t="s">
        <v>17</v>
      </c>
      <c r="D6" s="4">
        <v>7</v>
      </c>
    </row>
    <row r="7" spans="1:7">
      <c r="A7" s="4" t="s">
        <v>60</v>
      </c>
      <c r="B7" s="15"/>
      <c r="C7" s="4" t="s">
        <v>13</v>
      </c>
      <c r="D7" s="4">
        <v>8.5</v>
      </c>
    </row>
    <row r="8" spans="1:7">
      <c r="A8" s="4" t="s">
        <v>60</v>
      </c>
      <c r="B8" s="15"/>
      <c r="C8" s="4" t="s">
        <v>17</v>
      </c>
      <c r="D8" s="4">
        <v>10</v>
      </c>
    </row>
    <row r="9" spans="1:7">
      <c r="A9" s="4" t="s">
        <v>59</v>
      </c>
      <c r="B9" s="15"/>
      <c r="C9" s="4" t="s">
        <v>15</v>
      </c>
      <c r="D9" s="4">
        <v>8.5</v>
      </c>
    </row>
    <row r="10" spans="1:7">
      <c r="A10" s="4" t="s">
        <v>59</v>
      </c>
      <c r="B10" s="15"/>
      <c r="C10" s="4" t="s">
        <v>17</v>
      </c>
      <c r="D10" s="4">
        <v>7</v>
      </c>
    </row>
    <row r="11" spans="1:7">
      <c r="A11" s="4" t="s">
        <v>60</v>
      </c>
      <c r="B11" s="15"/>
      <c r="C11" s="4" t="s">
        <v>15</v>
      </c>
      <c r="D11" s="4">
        <v>8.5</v>
      </c>
    </row>
    <row r="12" spans="1:7">
      <c r="A12" s="4" t="s">
        <v>59</v>
      </c>
      <c r="B12" s="15"/>
      <c r="C12" s="4" t="s">
        <v>15</v>
      </c>
      <c r="D12" s="4">
        <v>8</v>
      </c>
    </row>
    <row r="13" spans="1:7">
      <c r="A13" s="4" t="s">
        <v>60</v>
      </c>
      <c r="B13" s="15"/>
      <c r="C13" s="4" t="s">
        <v>16</v>
      </c>
      <c r="D13" s="4">
        <v>9</v>
      </c>
    </row>
    <row r="14" spans="1:7">
      <c r="A14" s="4" t="s">
        <v>58</v>
      </c>
      <c r="B14" s="15"/>
      <c r="C14" s="4" t="s">
        <v>13</v>
      </c>
      <c r="D14" s="4">
        <v>8.5</v>
      </c>
    </row>
    <row r="15" spans="1:7">
      <c r="A15" s="4" t="s">
        <v>58</v>
      </c>
      <c r="B15" s="15"/>
      <c r="C15" s="4" t="s">
        <v>16</v>
      </c>
      <c r="D15" s="4">
        <v>7</v>
      </c>
    </row>
    <row r="16" spans="1:7">
      <c r="A16" s="4" t="s">
        <v>60</v>
      </c>
      <c r="B16" s="15"/>
      <c r="C16" s="4" t="s">
        <v>13</v>
      </c>
      <c r="D16" s="4">
        <v>8.5</v>
      </c>
    </row>
    <row r="17" spans="1:4">
      <c r="A17" s="4" t="s">
        <v>60</v>
      </c>
      <c r="B17" s="15"/>
      <c r="C17" s="4" t="s">
        <v>16</v>
      </c>
      <c r="D17" s="4">
        <v>8</v>
      </c>
    </row>
    <row r="18" spans="1:4">
      <c r="A18" s="4" t="s">
        <v>58</v>
      </c>
      <c r="B18" s="15"/>
      <c r="C18" s="4" t="s">
        <v>15</v>
      </c>
      <c r="D18" s="4">
        <v>8</v>
      </c>
    </row>
    <row r="19" spans="1:4">
      <c r="A19" s="4" t="s">
        <v>59</v>
      </c>
      <c r="B19" s="15"/>
      <c r="C19" s="4" t="s">
        <v>17</v>
      </c>
      <c r="D19" s="4">
        <v>9</v>
      </c>
    </row>
    <row r="20" spans="1:4">
      <c r="A20" s="4" t="s">
        <v>58</v>
      </c>
      <c r="B20" s="15"/>
      <c r="C20" s="4" t="s">
        <v>13</v>
      </c>
      <c r="D20" s="4">
        <v>9.5</v>
      </c>
    </row>
    <row r="21" spans="1:4">
      <c r="A21" s="4" t="s">
        <v>57</v>
      </c>
      <c r="B21" s="15"/>
      <c r="C21" s="4" t="s">
        <v>16</v>
      </c>
      <c r="D21" s="4">
        <v>9.5</v>
      </c>
    </row>
    <row r="22" spans="1:4">
      <c r="A22" s="4" t="s">
        <v>58</v>
      </c>
      <c r="B22" s="15"/>
      <c r="C22" s="4" t="s">
        <v>17</v>
      </c>
      <c r="D22" s="4">
        <v>9</v>
      </c>
    </row>
    <row r="23" spans="1:4">
      <c r="A23" s="4" t="s">
        <v>57</v>
      </c>
      <c r="B23" s="15"/>
      <c r="C23" s="4" t="s">
        <v>16</v>
      </c>
      <c r="D23" s="4">
        <v>7</v>
      </c>
    </row>
    <row r="24" spans="1:4">
      <c r="A24" s="4" t="s">
        <v>58</v>
      </c>
      <c r="B24" s="15"/>
      <c r="C24" s="4" t="s">
        <v>13</v>
      </c>
      <c r="D24" s="4">
        <v>7</v>
      </c>
    </row>
    <row r="25" spans="1:4">
      <c r="A25" s="4" t="s">
        <v>57</v>
      </c>
      <c r="B25" s="15"/>
      <c r="C25" s="4" t="s">
        <v>17</v>
      </c>
      <c r="D25" s="4">
        <v>7.5</v>
      </c>
    </row>
    <row r="26" spans="1:4">
      <c r="A26" s="4" t="s">
        <v>58</v>
      </c>
      <c r="B26" s="15"/>
      <c r="C26" s="4" t="s">
        <v>17</v>
      </c>
      <c r="D26" s="4">
        <v>9.5</v>
      </c>
    </row>
    <row r="27" spans="1:4">
      <c r="A27" s="4" t="s">
        <v>58</v>
      </c>
      <c r="B27" s="15"/>
      <c r="C27" s="4" t="s">
        <v>15</v>
      </c>
      <c r="D27" s="4">
        <v>8.5</v>
      </c>
    </row>
    <row r="28" spans="1:4">
      <c r="A28" s="4" t="s">
        <v>57</v>
      </c>
      <c r="B28" s="15"/>
      <c r="C28" s="4" t="s">
        <v>16</v>
      </c>
      <c r="D28" s="4">
        <v>9</v>
      </c>
    </row>
    <row r="29" spans="1:4">
      <c r="A29" s="4" t="s">
        <v>59</v>
      </c>
      <c r="B29" s="15"/>
      <c r="C29" s="4" t="s">
        <v>16</v>
      </c>
      <c r="D29" s="4">
        <v>7.5</v>
      </c>
    </row>
    <row r="30" spans="1:4">
      <c r="A30" s="4" t="s">
        <v>60</v>
      </c>
      <c r="B30" s="15"/>
      <c r="C30" s="4" t="s">
        <v>17</v>
      </c>
      <c r="D30" s="4">
        <v>9</v>
      </c>
    </row>
    <row r="31" spans="1:4">
      <c r="A31" s="4" t="s">
        <v>57</v>
      </c>
      <c r="B31" s="15"/>
      <c r="C31" s="4" t="s">
        <v>13</v>
      </c>
      <c r="D31" s="4">
        <v>8</v>
      </c>
    </row>
  </sheetData>
  <dataValidations count="1">
    <dataValidation type="date" allowBlank="1" showInputMessage="1" showErrorMessage="1" sqref="B3:B31" xr:uid="{C28FBC79-7C2A-45AB-88EC-39EE738F3693}">
      <formula1>$F$3</formula1>
      <formula2>$G$3</formula2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3BE"/>
  </sheetPr>
  <dimension ref="A1:C6"/>
  <sheetViews>
    <sheetView zoomScale="160" zoomScaleNormal="160" workbookViewId="0">
      <selection activeCell="C1" sqref="C1:C6"/>
    </sheetView>
  </sheetViews>
  <sheetFormatPr defaultColWidth="9.140625" defaultRowHeight="14.25"/>
  <cols>
    <col min="1" max="1" width="10.140625" style="3" bestFit="1" customWidth="1"/>
    <col min="2" max="2" width="3.5703125" style="3" customWidth="1"/>
    <col min="3" max="3" width="11.7109375" style="3" customWidth="1"/>
    <col min="4" max="16384" width="9.140625" style="3"/>
  </cols>
  <sheetData>
    <row r="1" spans="1:3">
      <c r="A1" s="12" t="s">
        <v>6</v>
      </c>
      <c r="C1" s="54" t="s">
        <v>20</v>
      </c>
    </row>
    <row r="2" spans="1:3">
      <c r="A2" s="4" t="s">
        <v>18</v>
      </c>
      <c r="C2" s="13" t="s">
        <v>12</v>
      </c>
    </row>
    <row r="3" spans="1:3">
      <c r="C3" s="13" t="s">
        <v>14</v>
      </c>
    </row>
    <row r="4" spans="1:3">
      <c r="C4" s="13" t="s">
        <v>21</v>
      </c>
    </row>
    <row r="5" spans="1:3">
      <c r="C5" s="13" t="s">
        <v>18</v>
      </c>
    </row>
    <row r="6" spans="1:3">
      <c r="C6" s="13" t="s">
        <v>19</v>
      </c>
    </row>
  </sheetData>
  <dataValidations count="1">
    <dataValidation type="list" allowBlank="1" showInputMessage="1" showErrorMessage="1" sqref="A2" xr:uid="{CD994E3B-9FC0-4AC7-8576-141DE78E2F5F}">
      <formula1>$C$2:$C$6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3BE"/>
  </sheetPr>
  <dimension ref="A1:F8"/>
  <sheetViews>
    <sheetView zoomScale="160" zoomScaleNormal="160" workbookViewId="0">
      <selection activeCell="D4" sqref="D4"/>
    </sheetView>
  </sheetViews>
  <sheetFormatPr defaultColWidth="9.140625" defaultRowHeight="14.25"/>
  <cols>
    <col min="1" max="1" width="10.140625" style="3" bestFit="1" customWidth="1"/>
    <col min="2" max="2" width="3.7109375" style="3" customWidth="1"/>
    <col min="3" max="4" width="9.140625" style="3"/>
    <col min="5" max="5" width="3.85546875" style="3" customWidth="1"/>
    <col min="6" max="16384" width="9.140625" style="3"/>
  </cols>
  <sheetData>
    <row r="1" spans="1:6" ht="28.5">
      <c r="A1" s="5" t="s">
        <v>22</v>
      </c>
      <c r="C1" s="6" t="s">
        <v>23</v>
      </c>
      <c r="D1" s="6"/>
    </row>
    <row r="2" spans="1:6">
      <c r="A2" s="7">
        <v>400</v>
      </c>
      <c r="C2" s="4" t="s">
        <v>24</v>
      </c>
      <c r="D2" s="7">
        <v>180</v>
      </c>
    </row>
    <row r="3" spans="1:6">
      <c r="C3" s="4" t="s">
        <v>25</v>
      </c>
      <c r="D3" s="7">
        <v>1</v>
      </c>
    </row>
    <row r="4" spans="1:6">
      <c r="C4" s="4" t="s">
        <v>62</v>
      </c>
      <c r="D4" s="7">
        <v>77</v>
      </c>
    </row>
    <row r="5" spans="1:6">
      <c r="C5" s="4" t="s">
        <v>26</v>
      </c>
      <c r="D5" s="7">
        <v>50</v>
      </c>
    </row>
    <row r="6" spans="1:6" ht="15" thickBot="1">
      <c r="C6" s="8" t="s">
        <v>27</v>
      </c>
      <c r="D6" s="9">
        <v>40</v>
      </c>
    </row>
    <row r="7" spans="1:6" ht="15.75" thickTop="1" thickBot="1">
      <c r="C7" s="10" t="s">
        <v>28</v>
      </c>
      <c r="D7" s="11">
        <f>SUM(D2:D6)</f>
        <v>348</v>
      </c>
      <c r="F7" s="3" t="b">
        <f>SUM(D2:D6)&lt;=A2</f>
        <v>1</v>
      </c>
    </row>
    <row r="8" spans="1:6" ht="15" thickTop="1"/>
  </sheetData>
  <dataValidations count="2">
    <dataValidation type="custom" allowBlank="1" showInputMessage="1" showErrorMessage="1" sqref="D7" xr:uid="{1428A530-E928-43F6-8F1D-245016A2EDB9}">
      <formula1>D7&lt;A2</formula1>
    </dataValidation>
    <dataValidation type="custom" allowBlank="1" showInputMessage="1" showErrorMessage="1" sqref="D2:D6" xr:uid="{6F5281A5-F16E-4ECE-97AD-5FA34F06C199}">
      <formula1>SUM(D2:D6)&lt;=$A$2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73BE"/>
  </sheetPr>
  <dimension ref="A1:F16"/>
  <sheetViews>
    <sheetView tabSelected="1" zoomScale="130" zoomScaleNormal="130" workbookViewId="0">
      <selection activeCell="F2" sqref="F2"/>
    </sheetView>
  </sheetViews>
  <sheetFormatPr defaultColWidth="9.140625" defaultRowHeight="14.25"/>
  <cols>
    <col min="1" max="1" width="11.28515625" style="3" bestFit="1" customWidth="1"/>
    <col min="2" max="2" width="11.85546875" style="3" bestFit="1" customWidth="1"/>
    <col min="3" max="3" width="11.5703125" style="3" bestFit="1" customWidth="1"/>
    <col min="4" max="4" width="9.140625" style="3"/>
    <col min="5" max="5" width="10.85546875" style="3" customWidth="1"/>
    <col min="6" max="6" width="11.42578125" style="3" customWidth="1"/>
    <col min="7" max="16384" width="9.140625" style="3"/>
  </cols>
  <sheetData>
    <row r="1" spans="1:6">
      <c r="A1" s="2" t="s">
        <v>29</v>
      </c>
      <c r="B1" s="2" t="s">
        <v>27</v>
      </c>
      <c r="C1" s="2" t="s">
        <v>30</v>
      </c>
      <c r="E1" s="2" t="s">
        <v>31</v>
      </c>
      <c r="F1" s="2" t="s">
        <v>32</v>
      </c>
    </row>
    <row r="2" spans="1:6">
      <c r="A2" s="4" t="s">
        <v>33</v>
      </c>
      <c r="B2" s="4" t="s">
        <v>34</v>
      </c>
      <c r="C2" s="4" t="s">
        <v>63</v>
      </c>
      <c r="E2" s="4" t="s">
        <v>30</v>
      </c>
      <c r="F2" s="4" t="s">
        <v>67</v>
      </c>
    </row>
    <row r="3" spans="1:6">
      <c r="A3" s="4" t="s">
        <v>35</v>
      </c>
      <c r="B3" s="4" t="s">
        <v>36</v>
      </c>
      <c r="C3" s="4" t="s">
        <v>64</v>
      </c>
    </row>
    <row r="4" spans="1:6">
      <c r="A4" s="4" t="s">
        <v>38</v>
      </c>
      <c r="B4" s="4" t="s">
        <v>37</v>
      </c>
      <c r="C4" s="4" t="s">
        <v>65</v>
      </c>
      <c r="F4" s="3" t="str" cm="1">
        <f t="array" aca="1" ref="F4:F11" ca="1">INDIRECT(E2)</f>
        <v>Mozzarella</v>
      </c>
    </row>
    <row r="5" spans="1:6">
      <c r="A5" s="4" t="s">
        <v>40</v>
      </c>
      <c r="B5" s="4" t="s">
        <v>39</v>
      </c>
      <c r="C5" s="4" t="s">
        <v>66</v>
      </c>
      <c r="F5" s="3" t="str">
        <f ca="1"/>
        <v xml:space="preserve">Camembert </v>
      </c>
    </row>
    <row r="6" spans="1:6">
      <c r="A6" s="4" t="s">
        <v>42</v>
      </c>
      <c r="B6" s="4" t="s">
        <v>41</v>
      </c>
      <c r="C6" s="4" t="s">
        <v>67</v>
      </c>
      <c r="F6" s="3" t="str">
        <f ca="1"/>
        <v>Gouda</v>
      </c>
    </row>
    <row r="7" spans="1:6">
      <c r="A7" s="4" t="s">
        <v>44</v>
      </c>
      <c r="B7" s="4" t="s">
        <v>43</v>
      </c>
      <c r="C7" s="4" t="s">
        <v>68</v>
      </c>
      <c r="F7" s="3" t="str">
        <f ca="1"/>
        <v>Brie</v>
      </c>
    </row>
    <row r="8" spans="1:6">
      <c r="A8" s="4" t="s">
        <v>47</v>
      </c>
      <c r="B8" s="4" t="s">
        <v>45</v>
      </c>
      <c r="C8" s="4" t="s">
        <v>69</v>
      </c>
      <c r="F8" s="3" t="str">
        <f ca="1"/>
        <v>Munster</v>
      </c>
    </row>
    <row r="9" spans="1:6">
      <c r="A9" s="4" t="s">
        <v>49</v>
      </c>
      <c r="B9" s="4" t="s">
        <v>46</v>
      </c>
      <c r="C9" s="4" t="s">
        <v>70</v>
      </c>
      <c r="F9" s="3" t="str">
        <f ca="1"/>
        <v>Roquefort</v>
      </c>
    </row>
    <row r="10" spans="1:6">
      <c r="A10" s="4" t="s">
        <v>51</v>
      </c>
      <c r="B10" s="4" t="s">
        <v>48</v>
      </c>
      <c r="C10" s="3" t="s">
        <v>71</v>
      </c>
      <c r="F10" s="3" t="str">
        <f ca="1"/>
        <v>Kozi</v>
      </c>
    </row>
    <row r="11" spans="1:6">
      <c r="A11" s="4" t="s">
        <v>53</v>
      </c>
      <c r="B11" s="4" t="s">
        <v>50</v>
      </c>
      <c r="C11" s="3" t="s">
        <v>71</v>
      </c>
      <c r="F11" s="3" t="str">
        <f ca="1"/>
        <v>Edam</v>
      </c>
    </row>
    <row r="12" spans="1:6">
      <c r="A12" s="4" t="s">
        <v>54</v>
      </c>
      <c r="B12" s="4" t="s">
        <v>52</v>
      </c>
      <c r="C12" s="3" t="s">
        <v>71</v>
      </c>
    </row>
    <row r="13" spans="1:6">
      <c r="A13" s="4" t="s">
        <v>55</v>
      </c>
      <c r="C13" s="3" t="s">
        <v>71</v>
      </c>
    </row>
    <row r="14" spans="1:6">
      <c r="A14" s="4" t="s">
        <v>56</v>
      </c>
      <c r="C14" s="3" t="s">
        <v>71</v>
      </c>
    </row>
    <row r="15" spans="1:6">
      <c r="C15" s="3" t="s">
        <v>71</v>
      </c>
    </row>
    <row r="16" spans="1:6">
      <c r="C16" s="3" t="s">
        <v>71</v>
      </c>
    </row>
  </sheetData>
  <dataConsolidate/>
  <dataValidations count="2">
    <dataValidation type="list" allowBlank="1" showInputMessage="1" showErrorMessage="1" sqref="E2" xr:uid="{9E03AC3E-A4AE-4D74-AA9A-68C0E461F7C6}">
      <formula1>$A$1:$C$1</formula1>
    </dataValidation>
    <dataValidation type="list" allowBlank="1" showInputMessage="1" showErrorMessage="1" sqref="F2" xr:uid="{E02D0CE0-25A3-48F1-9A6B-3AB9C9C86D8E}">
      <formula1>INDIRECT($E$2)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3</vt:i4>
      </vt:variant>
    </vt:vector>
  </HeadingPairs>
  <TitlesOfParts>
    <vt:vector size="9" baseType="lpstr">
      <vt:lpstr>ExceliAdam</vt:lpstr>
      <vt:lpstr>Punkty</vt:lpstr>
      <vt:lpstr>Data</vt:lpstr>
      <vt:lpstr>Lista</vt:lpstr>
      <vt:lpstr>Budżet</vt:lpstr>
      <vt:lpstr>ListaZależna</vt:lpstr>
      <vt:lpstr>Owoce</vt:lpstr>
      <vt:lpstr>Sery</vt:lpstr>
      <vt:lpstr>Warzywa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Hubert Wiedeński</cp:lastModifiedBy>
  <dcterms:created xsi:type="dcterms:W3CDTF">2015-10-21T03:19:12Z</dcterms:created>
  <dcterms:modified xsi:type="dcterms:W3CDTF">2026-10-30T20:30:33Z</dcterms:modified>
</cp:coreProperties>
</file>