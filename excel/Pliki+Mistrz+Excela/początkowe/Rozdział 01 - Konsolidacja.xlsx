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en_skoroszyt"/>
  <mc:AlternateContent xmlns:mc="http://schemas.openxmlformats.org/markup-compatibility/2006">
    <mc:Choice Requires="x15">
      <x15ac:absPath xmlns:x15ac="http://schemas.microsoft.com/office/spreadsheetml/2010/11/ac" url="C:\Users\huber\Desktop\portf\kursy\learning-practice-path\excel\Pliki+Mistrz+Excela\początkowe\"/>
    </mc:Choice>
  </mc:AlternateContent>
  <xr:revisionPtr revIDLastSave="0" documentId="13_ncr:1_{B01EAF7C-9DAE-4C30-ABEF-B7B81ADEA729}" xr6:coauthVersionLast="47" xr6:coauthVersionMax="47" xr10:uidLastSave="{00000000-0000-0000-0000-000000000000}"/>
  <bookViews>
    <workbookView xWindow="-120" yWindow="-120" windowWidth="38640" windowHeight="21120" tabRatio="825" activeTab="1" xr2:uid="{00000000-000D-0000-FFFF-FFFF00000000}"/>
  </bookViews>
  <sheets>
    <sheet name="ExceliAdam" sheetId="228" r:id="rId1"/>
    <sheet name="Suma" sheetId="227" r:id="rId2"/>
    <sheet name="Dolnośląskie" sheetId="224" r:id="rId3"/>
    <sheet name="Świętokrzyskie" sheetId="223" r:id="rId4"/>
    <sheet name="Lubelskie" sheetId="222" r:id="rId5"/>
  </sheets>
  <definedNames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91029" iterate="1" iterateCount="1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27" l="1"/>
  <c r="E3" i="227"/>
  <c r="H3" i="227"/>
  <c r="F4" i="227"/>
  <c r="G4" i="227"/>
  <c r="H4" i="227"/>
  <c r="C5" i="227"/>
  <c r="D5" i="227"/>
  <c r="E5" i="227"/>
  <c r="C6" i="227"/>
  <c r="D6" i="227"/>
  <c r="E6" i="227"/>
  <c r="F6" i="227"/>
  <c r="G6" i="227"/>
  <c r="H6" i="227"/>
  <c r="C7" i="227"/>
  <c r="D7" i="227"/>
  <c r="E7" i="227"/>
  <c r="H7" i="227"/>
  <c r="F8" i="227"/>
  <c r="G8" i="227"/>
  <c r="H8" i="227"/>
  <c r="C9" i="227"/>
  <c r="D9" i="227"/>
  <c r="E9" i="227"/>
  <c r="G9" i="227"/>
  <c r="C10" i="227"/>
  <c r="D10" i="227"/>
  <c r="E10" i="227"/>
  <c r="F10" i="227"/>
  <c r="G10" i="227"/>
  <c r="H10" i="227"/>
  <c r="C11" i="227"/>
  <c r="D11" i="227"/>
  <c r="D14" i="227" s="1"/>
  <c r="E11" i="227"/>
  <c r="F12" i="227"/>
  <c r="G12" i="227"/>
  <c r="H12" i="227"/>
  <c r="C13" i="227"/>
  <c r="D13" i="227"/>
  <c r="E13" i="227"/>
  <c r="G13" i="227"/>
  <c r="C14" i="227"/>
  <c r="E14" i="227"/>
  <c r="F14" i="227"/>
  <c r="G14" i="227"/>
  <c r="H14" i="227"/>
  <c r="C15" i="227"/>
  <c r="C16" i="227" s="1"/>
  <c r="D15" i="227"/>
  <c r="E15" i="227"/>
  <c r="H15" i="227"/>
  <c r="D16" i="227"/>
  <c r="E16" i="227"/>
  <c r="H16" i="227"/>
  <c r="C17" i="227"/>
  <c r="D17" i="227"/>
  <c r="E17" i="227"/>
  <c r="H17" i="227"/>
  <c r="C18" i="227"/>
  <c r="D18" i="227"/>
  <c r="E18" i="227"/>
  <c r="H18" i="227"/>
  <c r="C19" i="227"/>
  <c r="D19" i="227"/>
  <c r="E19" i="227"/>
  <c r="H19" i="227"/>
  <c r="C20" i="227"/>
  <c r="D20" i="227"/>
  <c r="E20" i="227"/>
  <c r="H20" i="227"/>
  <c r="F21" i="227"/>
  <c r="G21" i="227"/>
  <c r="H21" i="227"/>
  <c r="F22" i="227"/>
  <c r="G22" i="227"/>
  <c r="H22" i="227"/>
  <c r="G23" i="227"/>
  <c r="H23" i="227"/>
  <c r="H24" i="227" s="1"/>
  <c r="G24" i="227"/>
  <c r="C25" i="227"/>
  <c r="D25" i="227"/>
  <c r="D26" i="227" s="1"/>
  <c r="E25" i="227"/>
  <c r="G25" i="227"/>
  <c r="C26" i="227"/>
  <c r="E26" i="227"/>
  <c r="G26" i="227"/>
</calcChain>
</file>

<file path=xl/sharedStrings.xml><?xml version="1.0" encoding="utf-8"?>
<sst xmlns="http://schemas.openxmlformats.org/spreadsheetml/2006/main" count="111" uniqueCount="60">
  <si>
    <t>Produkt</t>
  </si>
  <si>
    <t>Sprzedawca</t>
  </si>
  <si>
    <t>Województwo</t>
  </si>
  <si>
    <t>Lubelskie</t>
  </si>
  <si>
    <t>Dolnośląskie</t>
  </si>
  <si>
    <t>Burza</t>
  </si>
  <si>
    <t>Chmura</t>
  </si>
  <si>
    <t>Dory</t>
  </si>
  <si>
    <t>Deszcz</t>
  </si>
  <si>
    <t>Alex</t>
  </si>
  <si>
    <t>Atylla</t>
  </si>
  <si>
    <t>Grad</t>
  </si>
  <si>
    <t>Julian</t>
  </si>
  <si>
    <t>Idol</t>
  </si>
  <si>
    <t>Marlena</t>
  </si>
  <si>
    <t>Gloria</t>
  </si>
  <si>
    <t>Suma z Sprzedaż</t>
  </si>
  <si>
    <t>Tęcza</t>
  </si>
  <si>
    <t>Słońce</t>
  </si>
  <si>
    <t>Marlin</t>
  </si>
  <si>
    <t>Nemo</t>
  </si>
  <si>
    <t>Świętokrzyskie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</si>
  <si>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</si>
  <si>
    <t>Czyli wejść przez podany przeze mnie link do kursu (żeby sprzadaż kursu została zaliczona dla mnie, a nie dla Udemy, wtedy mam większą prowizję, ze sprzedaży mojego kursu),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</si>
  <si>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</si>
  <si>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https://www.udemy.com/power-bi-microsoft/?couponCode=STANDARDOWY</t>
  </si>
  <si>
    <t>http://ksplus.komputerswiat.pl/sklep#biblioteczka-2-2019</t>
  </si>
  <si>
    <t>Książka w wersji elektronicznej: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</si>
  <si>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</si>
  <si>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https://web.facebook.com/ExceliAdam/</t>
  </si>
  <si>
    <t>https://literia.pl/excel-50-najwazniejszych-funkcji</t>
  </si>
  <si>
    <t>https://www.udemy.com/excel-vba-makra/?couponCode=STANDARDOWY</t>
  </si>
  <si>
    <t>Polub moją stronę na facebooku ;)</t>
  </si>
  <si>
    <t>Standardowa księgarnia</t>
  </si>
  <si>
    <t>uruchamiać makra, a tym samym zautomatyzować wiele czynności w Excelu</t>
  </si>
  <si>
    <t>https://www.youtube.com/ExceliAdam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</si>
  <si>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</si>
  <si>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Więcej wiedzy na YouTubie</t>
  </si>
  <si>
    <t>https://www.udemy.com/excel-dashboardy/?couponCode=STANDARDOWY</t>
  </si>
  <si>
    <t>http://www.ExceliAdam.pl</t>
  </si>
  <si>
    <t>oraz będziesz mógł wprowadzić w prezentacji dynamiczne elementy.</t>
  </si>
  <si>
    <t>http://ksplus.komputerswiat.pl/sklep#biblioteczka-1-2016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</si>
  <si>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</si>
  <si>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https://www.udemy.com/mistrz-power-query/?couponCode=STANDARDOWY</t>
  </si>
  <si>
    <t>https://literia.pl/excel-w-przykladach-zaawansowane-funkcje-krok-po-kroku</t>
  </si>
  <si>
    <t>oraz tworzenia własnych funkcji w dodatku do Excela Power Query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</si>
  <si>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</si>
  <si>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https://www.udemy.com/excel-mistrz-formul/?couponCode=STANDARDOWY</t>
  </si>
  <si>
    <t>i stań się mistrzem formuł</t>
  </si>
  <si>
    <r>
      <t xml:space="preserve">Excel Mistrz Formuł </t>
    </r>
    <r>
      <rPr>
        <sz val="11"/>
        <color theme="1"/>
        <rFont val="Calibri"/>
        <family val="2"/>
        <scheme val="minor"/>
      </rPr>
      <t>- poznaj najczęściej wykorzystywane funkcje w Excelu</t>
    </r>
  </si>
  <si>
    <t>https://www.udemy.com/mistrz-excela/?couponCode=STANDARDOWY</t>
  </si>
  <si>
    <t>aż po wstęp do programowania VBA (rejestrowanie makr).</t>
  </si>
  <si>
    <t>http://ksplus.komputerswiat.pl/sklep#mistrz-excela-w-20-dni</t>
  </si>
  <si>
    <t>Nakład wyczerpany - książka dostępna w wersji elektornicznej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</si>
  <si>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</si>
  <si>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KSIĄŻKI</t>
  </si>
  <si>
    <t>KURSY WIDEO</t>
  </si>
  <si>
    <t>http://exceliadam.getleads.pl/newsletter/</t>
  </si>
  <si>
    <t>Newsletter (info o webinarach, pliki końcowe po webinarach itp.)</t>
  </si>
  <si>
    <t>Rozdział 01 - Konsolidacja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</si>
</sst>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&quot;$&quot;#,##0,"/>
    <numFmt numFmtId="165" formatCode="d\-mmm\-yyyy"/>
    <numFmt numFmtId="166" formatCode="#,##0.00\ &quot;zł&quot;"/>
    <numFmt numFmtId="167" formatCode="#,##0\ &quot;zł&quot;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indexed="9"/>
      <name val="Arial"/>
      <family val="2"/>
    </font>
    <font>
      <b/>
      <sz val="14"/>
      <color theme="0"/>
      <name val="Calibri"/>
      <family val="2"/>
      <scheme val="minor"/>
    </font>
    <font>
      <sz val="12"/>
      <name val="Bookman Old Style"/>
      <family val="1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Calibri"/>
      <family val="2"/>
      <charset val="238"/>
      <scheme val="minor"/>
    </font>
    <font>
      <b/>
      <sz val="10.5"/>
      <color theme="0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5">
    <xf numFmtId="0" fontId="0" fillId="0" borderId="0"/>
    <xf numFmtId="0" fontId="3" fillId="3" borderId="1">
      <alignment wrapText="1"/>
    </xf>
    <xf numFmtId="0" fontId="4" fillId="2" borderId="2" applyBorder="0">
      <alignment horizontal="centerContinuous" wrapText="1"/>
    </xf>
    <xf numFmtId="164" fontId="5" fillId="0" borderId="0"/>
    <xf numFmtId="165" fontId="6" fillId="0" borderId="0" applyFont="0" applyFill="0" applyBorder="0" applyProtection="0">
      <alignment horizontal="center"/>
    </xf>
    <xf numFmtId="0" fontId="7" fillId="0" borderId="0"/>
    <xf numFmtId="0" fontId="7" fillId="0" borderId="0">
      <alignment wrapText="1"/>
    </xf>
    <xf numFmtId="43" fontId="7" fillId="0" borderId="0" applyFont="0" applyFill="0" applyBorder="0" applyAlignment="0" applyProtection="0"/>
    <xf numFmtId="0" fontId="8" fillId="4" borderId="0" applyNumberFormat="0" applyBorder="0" applyAlignment="0" applyProtection="0"/>
    <xf numFmtId="0" fontId="2" fillId="0" borderId="0"/>
    <xf numFmtId="0" fontId="1" fillId="0" borderId="0"/>
    <xf numFmtId="0" fontId="12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" fillId="0" borderId="0"/>
  </cellStyleXfs>
  <cellXfs count="49">
    <xf numFmtId="0" fontId="0" fillId="0" borderId="0" xfId="0"/>
    <xf numFmtId="0" fontId="10" fillId="0" borderId="1" xfId="0" applyFont="1" applyBorder="1"/>
    <xf numFmtId="0" fontId="10" fillId="0" borderId="0" xfId="0" applyFont="1"/>
    <xf numFmtId="167" fontId="10" fillId="0" borderId="1" xfId="0" applyNumberFormat="1" applyFont="1" applyBorder="1"/>
    <xf numFmtId="166" fontId="10" fillId="0" borderId="0" xfId="0" applyNumberFormat="1" applyFont="1"/>
    <xf numFmtId="0" fontId="10" fillId="0" borderId="3" xfId="0" applyFont="1" applyBorder="1"/>
    <xf numFmtId="0" fontId="9" fillId="5" borderId="1" xfId="8" applyFont="1" applyFill="1" applyBorder="1" applyAlignment="1">
      <alignment horizontal="center" vertical="center" wrapText="1"/>
    </xf>
    <xf numFmtId="0" fontId="9" fillId="5" borderId="1" xfId="8" applyFont="1" applyFill="1" applyBorder="1" applyAlignment="1">
      <alignment horizontal="centerContinuous" vertical="center" wrapText="1"/>
    </xf>
    <xf numFmtId="0" fontId="1" fillId="0" borderId="0" xfId="10"/>
    <xf numFmtId="0" fontId="1" fillId="0" borderId="0" xfId="10" applyAlignment="1">
      <alignment vertical="top" wrapText="1"/>
    </xf>
    <xf numFmtId="0" fontId="1" fillId="6" borderId="0" xfId="10" applyFill="1" applyAlignment="1">
      <alignment wrapText="1"/>
    </xf>
    <xf numFmtId="0" fontId="1" fillId="6" borderId="0" xfId="10" applyFill="1" applyAlignment="1">
      <alignment vertical="top" wrapText="1"/>
    </xf>
    <xf numFmtId="0" fontId="1" fillId="0" borderId="0" xfId="10" applyAlignment="1">
      <alignment vertical="top"/>
    </xf>
    <xf numFmtId="0" fontId="12" fillId="0" borderId="0" xfId="11" applyAlignment="1"/>
    <xf numFmtId="0" fontId="13" fillId="0" borderId="0" xfId="11" applyFont="1" applyAlignment="1"/>
    <xf numFmtId="0" fontId="14" fillId="0" borderId="0" xfId="12" applyAlignment="1"/>
    <xf numFmtId="0" fontId="11" fillId="0" borderId="0" xfId="10" applyFont="1" applyAlignment="1">
      <alignment vertical="top" wrapText="1"/>
    </xf>
    <xf numFmtId="0" fontId="0" fillId="0" borderId="0" xfId="10" applyFont="1" applyAlignment="1">
      <alignment vertical="top"/>
    </xf>
    <xf numFmtId="0" fontId="1" fillId="0" borderId="4" xfId="10" applyBorder="1"/>
    <xf numFmtId="0" fontId="14" fillId="0" borderId="0" xfId="12" applyAlignment="1">
      <alignment vertical="center"/>
    </xf>
    <xf numFmtId="0" fontId="1" fillId="0" borderId="0" xfId="10" applyAlignment="1">
      <alignment vertical="center"/>
    </xf>
    <xf numFmtId="0" fontId="11" fillId="0" borderId="0" xfId="10" applyFont="1" applyAlignment="1">
      <alignment vertical="center"/>
    </xf>
    <xf numFmtId="0" fontId="11" fillId="0" borderId="0" xfId="10" applyFont="1" applyAlignment="1">
      <alignment wrapText="1"/>
    </xf>
    <xf numFmtId="0" fontId="15" fillId="0" borderId="0" xfId="10" applyFont="1" applyAlignment="1">
      <alignment vertical="center"/>
    </xf>
    <xf numFmtId="0" fontId="11" fillId="0" borderId="0" xfId="14" applyFont="1" applyAlignment="1">
      <alignment vertical="center"/>
    </xf>
    <xf numFmtId="0" fontId="11" fillId="0" borderId="0" xfId="14" applyFont="1" applyAlignment="1">
      <alignment vertical="center"/>
    </xf>
    <xf numFmtId="0" fontId="13" fillId="0" borderId="0" xfId="12" applyFont="1" applyAlignment="1">
      <alignment vertical="center"/>
    </xf>
    <xf numFmtId="0" fontId="15" fillId="0" borderId="0" xfId="10" applyFont="1" applyAlignment="1">
      <alignment vertical="center"/>
    </xf>
    <xf numFmtId="0" fontId="11" fillId="0" borderId="4" xfId="10" applyFont="1" applyBorder="1" applyAlignment="1">
      <alignment wrapText="1"/>
    </xf>
    <xf numFmtId="0" fontId="11" fillId="0" borderId="0" xfId="10" applyFont="1" applyAlignment="1">
      <alignment wrapText="1"/>
    </xf>
    <xf numFmtId="0" fontId="0" fillId="0" borderId="4" xfId="10" applyFont="1" applyBorder="1" applyAlignment="1">
      <alignment vertical="top"/>
    </xf>
    <xf numFmtId="0" fontId="0" fillId="0" borderId="0" xfId="10" applyFont="1" applyAlignment="1">
      <alignment vertical="top"/>
    </xf>
    <xf numFmtId="0" fontId="13" fillId="0" borderId="0" xfId="12" applyFont="1" applyAlignment="1"/>
    <xf numFmtId="0" fontId="1" fillId="0" borderId="0" xfId="10" applyAlignment="1">
      <alignment vertical="top"/>
    </xf>
    <xf numFmtId="0" fontId="13" fillId="0" borderId="0" xfId="11" applyFont="1" applyAlignment="1"/>
    <xf numFmtId="0" fontId="11" fillId="0" borderId="4" xfId="10" applyFont="1" applyBorder="1" applyAlignment="1">
      <alignment vertical="center"/>
    </xf>
    <xf numFmtId="0" fontId="11" fillId="0" borderId="0" xfId="10" applyFont="1" applyAlignment="1">
      <alignment vertical="center"/>
    </xf>
    <xf numFmtId="0" fontId="1" fillId="0" borderId="0" xfId="10" applyAlignment="1">
      <alignment vertical="center"/>
    </xf>
    <xf numFmtId="0" fontId="11" fillId="0" borderId="4" xfId="10" applyFont="1" applyBorder="1" applyAlignment="1">
      <alignment vertical="top" wrapText="1"/>
    </xf>
    <xf numFmtId="0" fontId="11" fillId="0" borderId="0" xfId="10" applyFont="1" applyAlignment="1">
      <alignment vertical="top" wrapText="1"/>
    </xf>
    <xf numFmtId="0" fontId="11" fillId="0" borderId="0" xfId="10" applyFont="1"/>
    <xf numFmtId="0" fontId="14" fillId="0" borderId="0" xfId="12" applyAlignment="1">
      <alignment vertical="center"/>
    </xf>
    <xf numFmtId="0" fontId="12" fillId="0" borderId="0" xfId="13" applyAlignment="1">
      <alignment vertical="center"/>
    </xf>
    <xf numFmtId="0" fontId="1" fillId="6" borderId="0" xfId="10" applyFill="1" applyAlignment="1">
      <alignment wrapText="1"/>
    </xf>
    <xf numFmtId="0" fontId="1" fillId="6" borderId="0" xfId="10" applyFill="1" applyAlignment="1">
      <alignment vertical="top" wrapText="1"/>
    </xf>
    <xf numFmtId="0" fontId="9" fillId="5" borderId="0" xfId="8" applyFont="1" applyFill="1" applyBorder="1" applyAlignment="1">
      <alignment horizontal="center" vertical="center" wrapText="1"/>
    </xf>
    <xf numFmtId="0" fontId="10" fillId="0" borderId="0" xfId="0" applyFont="1" applyBorder="1"/>
    <xf numFmtId="167" fontId="10" fillId="0" borderId="0" xfId="0" applyNumberFormat="1" applyFont="1"/>
    <xf numFmtId="167" fontId="10" fillId="0" borderId="0" xfId="0" applyNumberFormat="1" applyFont="1" applyBorder="1"/>
  </cellXfs>
  <cellStyles count="15">
    <cellStyle name="Akcent 1" xfId="8" builtinId="29"/>
    <cellStyle name="blue" xfId="1" xr:uid="{00000000-0005-0000-0000-000001000000}"/>
    <cellStyle name="BlueTitle" xfId="2" xr:uid="{00000000-0005-0000-0000-000002000000}"/>
    <cellStyle name="Comma 2" xfId="7" xr:uid="{00000000-0005-0000-0000-000003000000}"/>
    <cellStyle name="Currency Round to thousands" xfId="3" xr:uid="{00000000-0005-0000-0000-000004000000}"/>
    <cellStyle name="Four-Digit Year" xfId="4" xr:uid="{00000000-0005-0000-0000-000005000000}"/>
    <cellStyle name="Hiperłącze" xfId="11" builtinId="8"/>
    <cellStyle name="Hiperłącze 2" xfId="12" xr:uid="{842800B5-0AA9-40F3-922C-C49F1D2ABC5A}"/>
    <cellStyle name="Hiperłącze 2 3" xfId="13" xr:uid="{F97C4E0A-3630-4227-8D42-297C58FAF281}"/>
    <cellStyle name="Normal 2" xfId="5" xr:uid="{00000000-0005-0000-0000-000006000000}"/>
    <cellStyle name="Normalny" xfId="0" builtinId="0"/>
    <cellStyle name="Normalny 2" xfId="9" xr:uid="{00000000-0005-0000-0000-000008000000}"/>
    <cellStyle name="Normalny 2 3 2 2" xfId="10" xr:uid="{598B993B-C3FE-4F09-BE47-1498EAD3828F}"/>
    <cellStyle name="Normalny 4 2" xfId="14" xr:uid="{35121659-C7A0-47FE-802A-D680D3BE797B}"/>
    <cellStyle name="Wrap Text" xfId="6" xr:uid="{00000000-0005-0000-0000-000009000000}"/>
  </cellStyles>
  <dxfs count="4">
    <dxf>
      <font>
        <color theme="0"/>
      </font>
      <fill>
        <patternFill>
          <bgColor rgb="FF00206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medium">
          <color auto="1"/>
        </top>
        <bottom style="double">
          <color auto="1"/>
        </bottom>
      </border>
    </dxf>
    <dxf>
      <font>
        <color theme="0"/>
      </font>
      <fill>
        <patternFill>
          <bgColor rgb="FF002060"/>
        </patternFill>
      </fill>
    </dxf>
  </dxfs>
  <tableStyles count="2" defaultTableStyle="TableStyleMedium2" defaultPivotStyle="PivotStyleLight16">
    <tableStyle name="MójStyl" table="0" count="2" xr9:uid="{00000000-0011-0000-FFFF-FFFF00000000}">
      <tableStyleElement type="headerRow" dxfId="3"/>
      <tableStyleElement type="totalRow" dxfId="2"/>
    </tableStyle>
    <tableStyle name="Table Style 1" pivot="0" count="2" xr9:uid="{00000000-0011-0000-FFFF-FFFF01000000}">
      <tableStyleElement type="wholeTable" dxfId="1"/>
      <tableStyleElement type="headerRow" dxfId="0"/>
    </tableStyle>
  </tableStyles>
  <colors>
    <mruColors>
      <color rgb="FFEEEE22"/>
      <color rgb="FF2EA3F2"/>
      <color rgb="FF0000FF"/>
      <color rgb="FFCCFFCC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FA27135C-2DFB-4864-8A05-BFA42ECECF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24840" y="18288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84B76240-35D5-4B5E-97CA-55620C1C1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4840" y="621792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524E5C64-3244-41B3-8A00-51C74575D0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60644" y="719753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B98834E3-9A1D-4283-B294-FB296982EE6D}"/>
            </a:ext>
          </a:extLst>
        </xdr:cNvPr>
        <xdr:cNvSpPr txBox="1"/>
      </xdr:nvSpPr>
      <xdr:spPr>
        <a:xfrm>
          <a:off x="624840" y="7205588"/>
          <a:ext cx="3910232" cy="17555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C3543B3-9404-4087-9E3D-11563220B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2281" y="36576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7C1E57CB-4289-472F-A347-B9691AA54F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2280" y="146304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A6BF39E3-7BDA-4DE4-898D-C3700CE46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2280" y="566928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13070A11-7B00-4061-AE84-9AF679AA5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2280" y="768096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2AD2C79-03E7-4708-97EB-7F6F27A99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2280" y="969264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D14F938-D78A-4534-AE16-39FEF3FC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2280" y="1170432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F19789D8-9CF7-4A8C-BEA2-C6F7DF8E71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15880" y="146304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CAF10C52-4291-43ED-9835-221DFFFFBC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15880" y="603504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93955995-842B-45D5-9C8A-A087F57B7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5615880" y="10607040"/>
          <a:ext cx="1159565" cy="17145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67385-43E3-4AF5-BBAB-CBE178CA77F4}">
  <sheetPr>
    <tabColor theme="9" tint="0.39997558519241921"/>
  </sheetPr>
  <dimension ref="B1:CW95"/>
  <sheetViews>
    <sheetView showGridLines="0" showRowColHeaders="0" zoomScaleNormal="100" workbookViewId="0">
      <selection activeCell="BS24" sqref="BS24"/>
    </sheetView>
  </sheetViews>
  <sheetFormatPr defaultColWidth="9.140625" defaultRowHeight="15" x14ac:dyDescent="0.25"/>
  <cols>
    <col min="1" max="99" width="2.42578125" style="8" customWidth="1"/>
    <col min="100" max="101" width="2.42578125" customWidth="1"/>
    <col min="102" max="105" width="9.140625" style="8"/>
    <col min="106" max="106" width="10.7109375" style="8" customWidth="1"/>
    <col min="107" max="107" width="73.7109375" style="8" customWidth="1"/>
    <col min="108" max="108" width="6.28515625" style="8" customWidth="1"/>
    <col min="109" max="16384" width="9.140625" style="8"/>
  </cols>
  <sheetData>
    <row r="1" spans="18:99" customFormat="1" ht="6" customHeight="1" x14ac:dyDescent="0.25"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</row>
    <row r="2" spans="18:99" customFormat="1" ht="6" customHeight="1" x14ac:dyDescent="0.25">
      <c r="R2" s="8"/>
      <c r="S2" s="8"/>
      <c r="T2" s="8"/>
      <c r="U2" s="8"/>
      <c r="V2" s="8"/>
      <c r="W2" s="8"/>
      <c r="X2" s="8"/>
      <c r="Y2" s="8"/>
      <c r="Z2" s="25" t="s">
        <v>58</v>
      </c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4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</row>
    <row r="3" spans="18:99" customFormat="1" ht="6" customHeight="1" x14ac:dyDescent="0.25">
      <c r="R3" s="8"/>
      <c r="S3" s="8"/>
      <c r="T3" s="8"/>
      <c r="U3" s="8"/>
      <c r="V3" s="8"/>
      <c r="W3" s="8"/>
      <c r="X3" s="8"/>
      <c r="Y3" s="8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4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</row>
    <row r="4" spans="18:99" customFormat="1" ht="6" customHeight="1" x14ac:dyDescent="0.25">
      <c r="R4" s="8"/>
      <c r="S4" s="8"/>
      <c r="T4" s="8"/>
      <c r="U4" s="8"/>
      <c r="V4" s="8"/>
      <c r="W4" s="8"/>
      <c r="X4" s="8"/>
      <c r="Y4" s="8"/>
      <c r="Z4" s="26" t="s">
        <v>57</v>
      </c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19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</row>
    <row r="5" spans="18:99" customFormat="1" ht="6" customHeight="1" x14ac:dyDescent="0.25">
      <c r="R5" s="27" t="s">
        <v>56</v>
      </c>
      <c r="S5" s="27"/>
      <c r="T5" s="27"/>
      <c r="U5" s="27"/>
      <c r="V5" s="27"/>
      <c r="W5" s="27"/>
      <c r="X5" s="8"/>
      <c r="Y5" s="8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19"/>
      <c r="BE5" s="8"/>
      <c r="BF5" s="27" t="s">
        <v>55</v>
      </c>
      <c r="BG5" s="27"/>
      <c r="BH5" s="27"/>
      <c r="BI5" s="27"/>
      <c r="BJ5" s="27"/>
      <c r="BK5" s="27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</row>
    <row r="6" spans="18:99" customFormat="1" ht="6" customHeight="1" x14ac:dyDescent="0.25">
      <c r="R6" s="27"/>
      <c r="S6" s="27"/>
      <c r="T6" s="27"/>
      <c r="U6" s="27"/>
      <c r="V6" s="27"/>
      <c r="W6" s="27"/>
      <c r="X6" s="8"/>
      <c r="Y6" s="8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19"/>
      <c r="BE6" s="8"/>
      <c r="BF6" s="27"/>
      <c r="BG6" s="27"/>
      <c r="BH6" s="27"/>
      <c r="BI6" s="27"/>
      <c r="BJ6" s="27"/>
      <c r="BK6" s="27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</row>
    <row r="7" spans="18:99" customFormat="1" ht="6" customHeight="1" x14ac:dyDescent="0.25">
      <c r="R7" s="27"/>
      <c r="S7" s="27"/>
      <c r="T7" s="27"/>
      <c r="U7" s="27"/>
      <c r="V7" s="27"/>
      <c r="W7" s="27"/>
      <c r="X7" s="23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27"/>
      <c r="BG7" s="27"/>
      <c r="BH7" s="27"/>
      <c r="BI7" s="27"/>
      <c r="BJ7" s="27"/>
      <c r="BK7" s="27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</row>
    <row r="8" spans="18:99" customFormat="1" ht="6" customHeight="1" x14ac:dyDescent="0.25"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</row>
    <row r="9" spans="18:99" customFormat="1" ht="6" customHeight="1" x14ac:dyDescent="0.25">
      <c r="R9" s="18"/>
      <c r="S9" s="18"/>
      <c r="T9" s="18"/>
      <c r="U9" s="18"/>
      <c r="V9" s="18"/>
      <c r="W9" s="18"/>
      <c r="X9" s="18"/>
      <c r="Y9" s="18"/>
      <c r="Z9" s="28" t="s">
        <v>54</v>
      </c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2"/>
      <c r="BE9" s="8"/>
      <c r="BF9" s="18"/>
      <c r="BG9" s="18"/>
      <c r="BH9" s="18"/>
      <c r="BI9" s="18"/>
      <c r="BJ9" s="18"/>
      <c r="BK9" s="18"/>
      <c r="BL9" s="18"/>
      <c r="BM9" s="18"/>
      <c r="BN9" s="30" t="s">
        <v>53</v>
      </c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17"/>
      <c r="CS9" s="17"/>
      <c r="CT9" s="17"/>
      <c r="CU9" s="17"/>
    </row>
    <row r="10" spans="18:99" customFormat="1" ht="6" customHeight="1" x14ac:dyDescent="0.25">
      <c r="R10" s="8"/>
      <c r="S10" s="8"/>
      <c r="T10" s="8"/>
      <c r="U10" s="8"/>
      <c r="V10" s="8"/>
      <c r="W10" s="8"/>
      <c r="X10" s="8"/>
      <c r="Y10" s="8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2"/>
      <c r="BE10" s="8"/>
      <c r="BF10" s="8"/>
      <c r="BG10" s="8"/>
      <c r="BH10" s="8"/>
      <c r="BI10" s="8"/>
      <c r="BJ10" s="8"/>
      <c r="BK10" s="8"/>
      <c r="BL10" s="8"/>
      <c r="BM10" s="8"/>
      <c r="BN10" s="31"/>
      <c r="BO10" s="31"/>
      <c r="BP10" s="31"/>
      <c r="BQ10" s="31"/>
      <c r="BR10" s="31"/>
      <c r="BS10" s="31"/>
      <c r="BT10" s="31"/>
      <c r="BU10" s="31"/>
      <c r="BV10" s="31"/>
      <c r="BW10" s="31"/>
      <c r="BX10" s="31"/>
      <c r="BY10" s="31"/>
      <c r="BZ10" s="31"/>
      <c r="CA10" s="31"/>
      <c r="CB10" s="31"/>
      <c r="CC10" s="31"/>
      <c r="CD10" s="31"/>
      <c r="CE10" s="31"/>
      <c r="CF10" s="31"/>
      <c r="CG10" s="31"/>
      <c r="CH10" s="31"/>
      <c r="CI10" s="31"/>
      <c r="CJ10" s="31"/>
      <c r="CK10" s="31"/>
      <c r="CL10" s="31"/>
      <c r="CM10" s="31"/>
      <c r="CN10" s="31"/>
      <c r="CO10" s="31"/>
      <c r="CP10" s="31"/>
      <c r="CQ10" s="31"/>
      <c r="CR10" s="17"/>
      <c r="CS10" s="17"/>
      <c r="CT10" s="17"/>
      <c r="CU10" s="17"/>
    </row>
    <row r="11" spans="18:99" customFormat="1" ht="6" customHeight="1" x14ac:dyDescent="0.25">
      <c r="R11" s="8"/>
      <c r="S11" s="8"/>
      <c r="T11" s="8"/>
      <c r="U11" s="8"/>
      <c r="V11" s="8"/>
      <c r="W11" s="8"/>
      <c r="X11" s="8"/>
      <c r="Y11" s="8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2"/>
      <c r="BE11" s="8"/>
      <c r="BF11" s="8"/>
      <c r="BG11" s="8"/>
      <c r="BH11" s="8"/>
      <c r="BI11" s="8"/>
      <c r="BJ11" s="8"/>
      <c r="BK11" s="8"/>
      <c r="BL11" s="8"/>
      <c r="BM11" s="8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  <c r="CC11" s="31"/>
      <c r="CD11" s="31"/>
      <c r="CE11" s="31"/>
      <c r="CF11" s="31"/>
      <c r="CG11" s="31"/>
      <c r="CH11" s="31"/>
      <c r="CI11" s="31"/>
      <c r="CJ11" s="31"/>
      <c r="CK11" s="31"/>
      <c r="CL11" s="31"/>
      <c r="CM11" s="31"/>
      <c r="CN11" s="31"/>
      <c r="CO11" s="31"/>
      <c r="CP11" s="31"/>
      <c r="CQ11" s="31"/>
      <c r="CR11" s="17"/>
      <c r="CS11" s="17"/>
      <c r="CT11" s="17"/>
      <c r="CU11" s="17"/>
    </row>
    <row r="12" spans="18:99" customFormat="1" ht="6" customHeight="1" x14ac:dyDescent="0.25">
      <c r="R12" s="8"/>
      <c r="S12" s="8"/>
      <c r="T12" s="8"/>
      <c r="U12" s="8"/>
      <c r="V12" s="8"/>
      <c r="W12" s="8"/>
      <c r="X12" s="8"/>
      <c r="Y12" s="8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2"/>
      <c r="BE12" s="8"/>
      <c r="BF12" s="8"/>
      <c r="BG12" s="8"/>
      <c r="BH12" s="8"/>
      <c r="BI12" s="8"/>
      <c r="BJ12" s="8"/>
      <c r="BK12" s="8"/>
      <c r="BL12" s="8"/>
      <c r="BM12" s="8"/>
      <c r="BN12" s="32" t="s">
        <v>52</v>
      </c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15"/>
      <c r="CS12" s="15"/>
      <c r="CT12" s="15"/>
      <c r="CU12" s="15"/>
    </row>
    <row r="13" spans="18:99" customFormat="1" ht="6" customHeight="1" x14ac:dyDescent="0.25">
      <c r="R13" s="8"/>
      <c r="S13" s="8"/>
      <c r="T13" s="8"/>
      <c r="U13" s="8"/>
      <c r="V13" s="8"/>
      <c r="W13" s="8"/>
      <c r="X13" s="8"/>
      <c r="Y13" s="8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2"/>
      <c r="BE13" s="8"/>
      <c r="BF13" s="8"/>
      <c r="BG13" s="8"/>
      <c r="BH13" s="8"/>
      <c r="BI13" s="8"/>
      <c r="BJ13" s="8"/>
      <c r="BK13" s="8"/>
      <c r="BL13" s="8"/>
      <c r="BM13" s="8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15"/>
      <c r="CS13" s="15"/>
      <c r="CT13" s="15"/>
      <c r="CU13" s="15"/>
    </row>
    <row r="14" spans="18:99" customFormat="1" ht="6" customHeight="1" x14ac:dyDescent="0.25">
      <c r="R14" s="8"/>
      <c r="S14" s="8"/>
      <c r="T14" s="8"/>
      <c r="U14" s="8"/>
      <c r="V14" s="8"/>
      <c r="W14" s="8"/>
      <c r="X14" s="8"/>
      <c r="Y14" s="8"/>
      <c r="Z14" s="33" t="s">
        <v>51</v>
      </c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12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</row>
    <row r="15" spans="18:99" customFormat="1" ht="6" customHeight="1" x14ac:dyDescent="0.25">
      <c r="R15" s="8"/>
      <c r="S15" s="8"/>
      <c r="T15" s="8"/>
      <c r="U15" s="8"/>
      <c r="V15" s="8"/>
      <c r="W15" s="8"/>
      <c r="X15" s="8"/>
      <c r="Y15" s="8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12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</row>
    <row r="16" spans="18:99" customFormat="1" ht="6" customHeight="1" x14ac:dyDescent="0.25">
      <c r="R16" s="8"/>
      <c r="S16" s="8"/>
      <c r="T16" s="8"/>
      <c r="U16" s="8"/>
      <c r="V16" s="8"/>
      <c r="W16" s="8"/>
      <c r="X16" s="8"/>
      <c r="Y16" s="8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12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</row>
    <row r="17" spans="18:56" ht="6" customHeight="1" x14ac:dyDescent="0.25">
      <c r="Z17" s="34" t="s">
        <v>50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14"/>
    </row>
    <row r="18" spans="18:56" ht="6" customHeight="1" x14ac:dyDescent="0.25"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14"/>
    </row>
    <row r="19" spans="18:56" ht="6" customHeight="1" x14ac:dyDescent="0.25"/>
    <row r="20" spans="18:56" ht="6" customHeight="1" x14ac:dyDescent="0.25"/>
    <row r="21" spans="18:56" ht="6" customHeight="1" x14ac:dyDescent="0.25">
      <c r="R21" s="18"/>
      <c r="S21" s="18"/>
      <c r="T21" s="18"/>
      <c r="U21" s="18"/>
      <c r="V21" s="18"/>
      <c r="W21" s="18"/>
      <c r="X21" s="18"/>
      <c r="Y21" s="18"/>
      <c r="Z21" s="35" t="s">
        <v>49</v>
      </c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21"/>
    </row>
    <row r="22" spans="18:56" ht="6" customHeight="1" x14ac:dyDescent="0.25"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21"/>
    </row>
    <row r="23" spans="18:56" ht="6" customHeight="1" x14ac:dyDescent="0.25">
      <c r="Z23" s="37" t="s">
        <v>48</v>
      </c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20"/>
    </row>
    <row r="24" spans="18:56" ht="6" customHeight="1" x14ac:dyDescent="0.25"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20"/>
    </row>
    <row r="25" spans="18:56" ht="6" customHeight="1" x14ac:dyDescent="0.25"/>
    <row r="26" spans="18:56" ht="6" customHeight="1" x14ac:dyDescent="0.25">
      <c r="Z26" s="34" t="s">
        <v>47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14"/>
    </row>
    <row r="27" spans="18:56" ht="6" customHeight="1" x14ac:dyDescent="0.25"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14"/>
    </row>
    <row r="28" spans="18:56" ht="6" customHeight="1" x14ac:dyDescent="0.25"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</row>
    <row r="29" spans="18:56" ht="6" customHeight="1" x14ac:dyDescent="0.25"/>
    <row r="30" spans="18:56" ht="6" customHeight="1" x14ac:dyDescent="0.25"/>
    <row r="31" spans="18:56" ht="6" customHeight="1" x14ac:dyDescent="0.25"/>
    <row r="32" spans="18:56" ht="6" customHeight="1" x14ac:dyDescent="0.25">
      <c r="R32" s="18"/>
      <c r="S32" s="18"/>
      <c r="T32" s="18"/>
      <c r="U32" s="18"/>
      <c r="V32" s="18"/>
      <c r="W32" s="18"/>
      <c r="X32" s="18"/>
      <c r="Y32" s="18"/>
      <c r="Z32" s="38" t="s">
        <v>46</v>
      </c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16"/>
    </row>
    <row r="33" spans="18:99" customFormat="1" ht="6" customHeight="1" x14ac:dyDescent="0.25">
      <c r="R33" s="8"/>
      <c r="S33" s="8"/>
      <c r="T33" s="8"/>
      <c r="U33" s="8"/>
      <c r="V33" s="8"/>
      <c r="W33" s="8"/>
      <c r="X33" s="8"/>
      <c r="Y33" s="8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16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</row>
    <row r="34" spans="18:99" customFormat="1" ht="6" customHeight="1" x14ac:dyDescent="0.25">
      <c r="R34" s="8"/>
      <c r="S34" s="8"/>
      <c r="T34" s="8"/>
      <c r="U34" s="8"/>
      <c r="V34" s="8"/>
      <c r="W34" s="8"/>
      <c r="X34" s="8"/>
      <c r="Y34" s="8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16"/>
      <c r="BE34" s="8"/>
      <c r="BF34" s="18"/>
      <c r="BG34" s="18"/>
      <c r="BH34" s="18"/>
      <c r="BI34" s="18"/>
      <c r="BJ34" s="18"/>
      <c r="BK34" s="18"/>
      <c r="BL34" s="18"/>
      <c r="BM34" s="18"/>
      <c r="BN34" s="30" t="s">
        <v>33</v>
      </c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  <c r="CD34" s="30"/>
      <c r="CE34" s="30"/>
      <c r="CF34" s="30"/>
      <c r="CG34" s="30"/>
      <c r="CH34" s="30"/>
      <c r="CI34" s="30"/>
      <c r="CJ34" s="30"/>
      <c r="CK34" s="30"/>
      <c r="CL34" s="30"/>
      <c r="CM34" s="30"/>
      <c r="CN34" s="30"/>
      <c r="CO34" s="30"/>
      <c r="CP34" s="30"/>
      <c r="CQ34" s="30"/>
      <c r="CR34" s="17"/>
      <c r="CS34" s="17"/>
      <c r="CT34" s="17"/>
      <c r="CU34" s="17"/>
    </row>
    <row r="35" spans="18:99" customFormat="1" ht="6" customHeight="1" x14ac:dyDescent="0.25">
      <c r="R35" s="8"/>
      <c r="S35" s="8"/>
      <c r="T35" s="8"/>
      <c r="U35" s="8"/>
      <c r="V35" s="8"/>
      <c r="W35" s="8"/>
      <c r="X35" s="8"/>
      <c r="Y35" s="8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16"/>
      <c r="BE35" s="8"/>
      <c r="BF35" s="8"/>
      <c r="BG35" s="8"/>
      <c r="BH35" s="8"/>
      <c r="BI35" s="8"/>
      <c r="BJ35" s="8"/>
      <c r="BK35" s="8"/>
      <c r="BL35" s="8"/>
      <c r="BM35" s="8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  <c r="CK35" s="31"/>
      <c r="CL35" s="31"/>
      <c r="CM35" s="31"/>
      <c r="CN35" s="31"/>
      <c r="CO35" s="31"/>
      <c r="CP35" s="31"/>
      <c r="CQ35" s="31"/>
      <c r="CR35" s="17"/>
      <c r="CS35" s="17"/>
      <c r="CT35" s="17"/>
      <c r="CU35" s="17"/>
    </row>
    <row r="36" spans="18:99" customFormat="1" ht="6" customHeight="1" x14ac:dyDescent="0.25">
      <c r="R36" s="8"/>
      <c r="S36" s="8"/>
      <c r="T36" s="8"/>
      <c r="U36" s="8"/>
      <c r="V36" s="8"/>
      <c r="W36" s="8"/>
      <c r="X36" s="8"/>
      <c r="Y36" s="8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16"/>
      <c r="BE36" s="8"/>
      <c r="BF36" s="8"/>
      <c r="BG36" s="8"/>
      <c r="BH36" s="8"/>
      <c r="BI36" s="8"/>
      <c r="BJ36" s="8"/>
      <c r="BK36" s="8"/>
      <c r="BL36" s="8"/>
      <c r="BM36" s="8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  <c r="CK36" s="31"/>
      <c r="CL36" s="31"/>
      <c r="CM36" s="31"/>
      <c r="CN36" s="31"/>
      <c r="CO36" s="31"/>
      <c r="CP36" s="31"/>
      <c r="CQ36" s="31"/>
      <c r="CR36" s="17"/>
      <c r="CS36" s="17"/>
      <c r="CT36" s="17"/>
      <c r="CU36" s="17"/>
    </row>
    <row r="37" spans="18:99" customFormat="1" ht="6" customHeight="1" x14ac:dyDescent="0.25">
      <c r="R37" s="8"/>
      <c r="S37" s="8"/>
      <c r="T37" s="8"/>
      <c r="U37" s="8"/>
      <c r="V37" s="8"/>
      <c r="W37" s="8"/>
      <c r="X37" s="8"/>
      <c r="Y37" s="8"/>
      <c r="Z37" s="33" t="s">
        <v>45</v>
      </c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12"/>
      <c r="BE37" s="8"/>
      <c r="BF37" s="8"/>
      <c r="BG37" s="8"/>
      <c r="BH37" s="8"/>
      <c r="BI37" s="8"/>
      <c r="BJ37" s="8"/>
      <c r="BK37" s="8"/>
      <c r="BL37" s="8"/>
      <c r="BM37" s="8"/>
      <c r="BN37" s="32" t="s">
        <v>44</v>
      </c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15"/>
      <c r="CS37" s="15"/>
      <c r="CT37" s="15"/>
      <c r="CU37" s="15"/>
    </row>
    <row r="38" spans="18:99" customFormat="1" ht="6" customHeight="1" x14ac:dyDescent="0.25">
      <c r="R38" s="8"/>
      <c r="S38" s="8"/>
      <c r="T38" s="8"/>
      <c r="U38" s="8"/>
      <c r="V38" s="8"/>
      <c r="W38" s="8"/>
      <c r="X38" s="8"/>
      <c r="Y38" s="8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12"/>
      <c r="BE38" s="8"/>
      <c r="BF38" s="8"/>
      <c r="BG38" s="8"/>
      <c r="BH38" s="8"/>
      <c r="BI38" s="8"/>
      <c r="BJ38" s="8"/>
      <c r="BK38" s="8"/>
      <c r="BL38" s="8"/>
      <c r="BM38" s="8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15"/>
      <c r="CS38" s="15"/>
      <c r="CT38" s="15"/>
      <c r="CU38" s="15"/>
    </row>
    <row r="39" spans="18:99" customFormat="1" ht="6" customHeight="1" x14ac:dyDescent="0.25">
      <c r="R39" s="8"/>
      <c r="S39" s="8"/>
      <c r="T39" s="8"/>
      <c r="U39" s="8"/>
      <c r="V39" s="8"/>
      <c r="W39" s="8"/>
      <c r="X39" s="8"/>
      <c r="Y39" s="8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12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  <c r="CL39" s="8"/>
      <c r="CM39" s="8"/>
      <c r="CN39" s="8"/>
      <c r="CO39" s="8"/>
      <c r="CP39" s="8"/>
      <c r="CQ39" s="8"/>
      <c r="CR39" s="8"/>
      <c r="CS39" s="8"/>
      <c r="CT39" s="8"/>
      <c r="CU39" s="8"/>
    </row>
    <row r="40" spans="18:99" customFormat="1" ht="6" customHeight="1" x14ac:dyDescent="0.25">
      <c r="R40" s="8"/>
      <c r="S40" s="8"/>
      <c r="T40" s="8"/>
      <c r="U40" s="8"/>
      <c r="V40" s="8"/>
      <c r="W40" s="8"/>
      <c r="X40" s="8"/>
      <c r="Y40" s="8"/>
      <c r="Z40" s="34" t="s">
        <v>43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34"/>
      <c r="AP40" s="34"/>
      <c r="AQ40" s="34"/>
      <c r="AR40" s="34"/>
      <c r="AS40" s="34"/>
      <c r="AT40" s="34"/>
      <c r="AU40" s="34"/>
      <c r="AV40" s="34"/>
      <c r="AW40" s="34"/>
      <c r="AX40" s="34"/>
      <c r="AY40" s="34"/>
      <c r="AZ40" s="34"/>
      <c r="BA40" s="34"/>
      <c r="BB40" s="34"/>
      <c r="BC40" s="34"/>
      <c r="BD40" s="14"/>
      <c r="BE40" s="8"/>
      <c r="BF40" s="8"/>
      <c r="BG40" s="8"/>
      <c r="BH40" s="8"/>
      <c r="BI40" s="8"/>
      <c r="BJ40" s="8"/>
      <c r="BK40" s="8"/>
      <c r="BL40" s="8"/>
      <c r="BM40" s="8"/>
      <c r="BN40" s="31" t="s">
        <v>27</v>
      </c>
      <c r="BO40" s="31"/>
      <c r="BP40" s="31"/>
      <c r="BQ40" s="31"/>
      <c r="BR40" s="31"/>
      <c r="BS40" s="31"/>
      <c r="BT40" s="31"/>
      <c r="BU40" s="31"/>
      <c r="BV40" s="31"/>
      <c r="BW40" s="31"/>
      <c r="BX40" s="31"/>
      <c r="BY40" s="31"/>
      <c r="BZ40" s="31"/>
      <c r="CA40" s="31"/>
      <c r="CB40" s="31"/>
      <c r="CC40" s="31"/>
      <c r="CD40" s="31"/>
      <c r="CE40" s="31"/>
      <c r="CF40" s="31"/>
      <c r="CG40" s="31"/>
      <c r="CH40" s="31"/>
      <c r="CI40" s="31"/>
      <c r="CJ40" s="31"/>
      <c r="CK40" s="31"/>
      <c r="CL40" s="31"/>
      <c r="CM40" s="31"/>
      <c r="CN40" s="31"/>
      <c r="CO40" s="31"/>
      <c r="CP40" s="31"/>
      <c r="CQ40" s="31"/>
      <c r="CR40" s="17"/>
      <c r="CS40" s="17"/>
      <c r="CT40" s="17"/>
      <c r="CU40" s="17"/>
    </row>
    <row r="41" spans="18:99" customFormat="1" ht="6" customHeight="1" x14ac:dyDescent="0.25">
      <c r="R41" s="8"/>
      <c r="S41" s="8"/>
      <c r="T41" s="8"/>
      <c r="U41" s="8"/>
      <c r="V41" s="8"/>
      <c r="W41" s="8"/>
      <c r="X41" s="8"/>
      <c r="Y41" s="8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  <c r="AO41" s="34"/>
      <c r="AP41" s="34"/>
      <c r="AQ41" s="34"/>
      <c r="AR41" s="34"/>
      <c r="AS41" s="34"/>
      <c r="AT41" s="34"/>
      <c r="AU41" s="34"/>
      <c r="AV41" s="34"/>
      <c r="AW41" s="34"/>
      <c r="AX41" s="34"/>
      <c r="AY41" s="34"/>
      <c r="AZ41" s="34"/>
      <c r="BA41" s="34"/>
      <c r="BB41" s="34"/>
      <c r="BC41" s="34"/>
      <c r="BD41" s="14"/>
      <c r="BE41" s="8"/>
      <c r="BF41" s="8"/>
      <c r="BG41" s="8"/>
      <c r="BH41" s="8"/>
      <c r="BI41" s="8"/>
      <c r="BJ41" s="8"/>
      <c r="BK41" s="8"/>
      <c r="BL41" s="8"/>
      <c r="BM41" s="8"/>
      <c r="BN41" s="31"/>
      <c r="BO41" s="31"/>
      <c r="BP41" s="31"/>
      <c r="BQ41" s="31"/>
      <c r="BR41" s="31"/>
      <c r="BS41" s="31"/>
      <c r="BT41" s="31"/>
      <c r="BU41" s="31"/>
      <c r="BV41" s="31"/>
      <c r="BW41" s="31"/>
      <c r="BX41" s="31"/>
      <c r="BY41" s="31"/>
      <c r="BZ41" s="31"/>
      <c r="CA41" s="31"/>
      <c r="CB41" s="31"/>
      <c r="CC41" s="31"/>
      <c r="CD41" s="31"/>
      <c r="CE41" s="31"/>
      <c r="CF41" s="31"/>
      <c r="CG41" s="31"/>
      <c r="CH41" s="31"/>
      <c r="CI41" s="31"/>
      <c r="CJ41" s="31"/>
      <c r="CK41" s="31"/>
      <c r="CL41" s="31"/>
      <c r="CM41" s="31"/>
      <c r="CN41" s="31"/>
      <c r="CO41" s="31"/>
      <c r="CP41" s="31"/>
      <c r="CQ41" s="31"/>
      <c r="CR41" s="17"/>
      <c r="CS41" s="17"/>
      <c r="CT41" s="17"/>
      <c r="CU41" s="17"/>
    </row>
    <row r="42" spans="18:99" customFormat="1" ht="6" customHeight="1" x14ac:dyDescent="0.25"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31"/>
      <c r="BO42" s="31"/>
      <c r="BP42" s="31"/>
      <c r="BQ42" s="31"/>
      <c r="BR42" s="31"/>
      <c r="BS42" s="31"/>
      <c r="BT42" s="31"/>
      <c r="BU42" s="31"/>
      <c r="BV42" s="31"/>
      <c r="BW42" s="31"/>
      <c r="BX42" s="31"/>
      <c r="BY42" s="31"/>
      <c r="BZ42" s="31"/>
      <c r="CA42" s="31"/>
      <c r="CB42" s="31"/>
      <c r="CC42" s="31"/>
      <c r="CD42" s="31"/>
      <c r="CE42" s="31"/>
      <c r="CF42" s="31"/>
      <c r="CG42" s="31"/>
      <c r="CH42" s="31"/>
      <c r="CI42" s="31"/>
      <c r="CJ42" s="31"/>
      <c r="CK42" s="31"/>
      <c r="CL42" s="31"/>
      <c r="CM42" s="31"/>
      <c r="CN42" s="31"/>
      <c r="CO42" s="31"/>
      <c r="CP42" s="31"/>
      <c r="CQ42" s="31"/>
      <c r="CR42" s="17"/>
      <c r="CS42" s="17"/>
      <c r="CT42" s="17"/>
      <c r="CU42" s="17"/>
    </row>
    <row r="43" spans="18:99" customFormat="1" ht="6" customHeight="1" x14ac:dyDescent="0.25">
      <c r="R43" s="18"/>
      <c r="S43" s="18"/>
      <c r="T43" s="18"/>
      <c r="U43" s="18"/>
      <c r="V43" s="18"/>
      <c r="W43" s="18"/>
      <c r="X43" s="18"/>
      <c r="Y43" s="18"/>
      <c r="Z43" s="38" t="s">
        <v>42</v>
      </c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38"/>
      <c r="AX43" s="38"/>
      <c r="AY43" s="38"/>
      <c r="AZ43" s="38"/>
      <c r="BA43" s="38"/>
      <c r="BB43" s="38"/>
      <c r="BC43" s="38"/>
      <c r="BD43" s="16"/>
      <c r="BE43" s="8"/>
      <c r="BF43" s="8"/>
      <c r="BG43" s="8"/>
      <c r="BH43" s="8"/>
      <c r="BI43" s="8"/>
      <c r="BJ43" s="8"/>
      <c r="BK43" s="8"/>
      <c r="BL43" s="8"/>
      <c r="BM43" s="8"/>
      <c r="BN43" s="32" t="s">
        <v>41</v>
      </c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15"/>
      <c r="CS43" s="15"/>
      <c r="CT43" s="15"/>
      <c r="CU43" s="15"/>
    </row>
    <row r="44" spans="18:99" customFormat="1" ht="6" customHeight="1" x14ac:dyDescent="0.25">
      <c r="R44" s="8"/>
      <c r="S44" s="8"/>
      <c r="T44" s="8"/>
      <c r="U44" s="8"/>
      <c r="V44" s="8"/>
      <c r="W44" s="8"/>
      <c r="X44" s="8"/>
      <c r="Y44" s="8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16"/>
      <c r="BE44" s="8"/>
      <c r="BF44" s="8"/>
      <c r="BG44" s="8"/>
      <c r="BH44" s="8"/>
      <c r="BI44" s="8"/>
      <c r="BJ44" s="8"/>
      <c r="BK44" s="8"/>
      <c r="BL44" s="8"/>
      <c r="BM44" s="8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15"/>
      <c r="CS44" s="15"/>
      <c r="CT44" s="15"/>
      <c r="CU44" s="15"/>
    </row>
    <row r="45" spans="18:99" customFormat="1" ht="6" customHeight="1" x14ac:dyDescent="0.25">
      <c r="R45" s="8"/>
      <c r="S45" s="8"/>
      <c r="T45" s="8"/>
      <c r="U45" s="8"/>
      <c r="V45" s="8"/>
      <c r="W45" s="8"/>
      <c r="X45" s="8"/>
      <c r="Y45" s="8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16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8"/>
      <c r="CL45" s="8"/>
      <c r="CM45" s="8"/>
      <c r="CN45" s="8"/>
      <c r="CO45" s="8"/>
      <c r="CP45" s="8"/>
      <c r="CQ45" s="8"/>
      <c r="CR45" s="8"/>
      <c r="CS45" s="8"/>
      <c r="CT45" s="8"/>
      <c r="CU45" s="8"/>
    </row>
    <row r="46" spans="18:99" customFormat="1" ht="6" customHeight="1" x14ac:dyDescent="0.25">
      <c r="R46" s="8"/>
      <c r="S46" s="8"/>
      <c r="T46" s="8"/>
      <c r="U46" s="8"/>
      <c r="V46" s="8"/>
      <c r="W46" s="8"/>
      <c r="X46" s="8"/>
      <c r="Y46" s="8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16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8"/>
      <c r="CL46" s="8"/>
      <c r="CM46" s="8"/>
      <c r="CN46" s="8"/>
      <c r="CO46" s="8"/>
      <c r="CP46" s="8"/>
      <c r="CQ46" s="8"/>
      <c r="CR46" s="8"/>
      <c r="CS46" s="8"/>
      <c r="CT46" s="8"/>
      <c r="CU46" s="8"/>
    </row>
    <row r="47" spans="18:99" customFormat="1" ht="6" customHeight="1" x14ac:dyDescent="0.25">
      <c r="R47" s="8"/>
      <c r="S47" s="8"/>
      <c r="T47" s="8"/>
      <c r="U47" s="8"/>
      <c r="V47" s="8"/>
      <c r="W47" s="8"/>
      <c r="X47" s="8"/>
      <c r="Y47" s="8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16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</row>
    <row r="48" spans="18:99" customFormat="1" ht="6" customHeight="1" x14ac:dyDescent="0.25">
      <c r="R48" s="8"/>
      <c r="S48" s="8"/>
      <c r="T48" s="8"/>
      <c r="U48" s="8"/>
      <c r="V48" s="8"/>
      <c r="W48" s="8"/>
      <c r="X48" s="8"/>
      <c r="Y48" s="8"/>
      <c r="Z48" s="33" t="s">
        <v>40</v>
      </c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12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</row>
    <row r="49" spans="2:99" customFormat="1" ht="6" customHeight="1" x14ac:dyDescent="0.25"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3"/>
      <c r="BA49" s="33"/>
      <c r="BB49" s="33"/>
      <c r="BC49" s="33"/>
      <c r="BD49" s="12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</row>
    <row r="50" spans="2:99" customFormat="1" ht="6" customHeight="1" x14ac:dyDescent="0.25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12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</row>
    <row r="51" spans="2:99" customFormat="1" ht="6" customHeight="1" x14ac:dyDescent="0.25">
      <c r="B51" s="26" t="s">
        <v>39</v>
      </c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8"/>
      <c r="R51" s="8"/>
      <c r="S51" s="8"/>
      <c r="T51" s="8"/>
      <c r="U51" s="8"/>
      <c r="V51" s="8"/>
      <c r="W51" s="8"/>
      <c r="X51" s="8"/>
      <c r="Y51" s="8"/>
      <c r="Z51" s="34" t="s">
        <v>38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14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8"/>
      <c r="CL51" s="8"/>
      <c r="CM51" s="8"/>
      <c r="CN51" s="8"/>
      <c r="CO51" s="8"/>
      <c r="CP51" s="8"/>
      <c r="CQ51" s="8"/>
      <c r="CR51" s="8"/>
      <c r="CS51" s="8"/>
      <c r="CT51" s="8"/>
      <c r="CU51" s="8"/>
    </row>
    <row r="52" spans="2:99" customFormat="1" ht="6" customHeight="1" x14ac:dyDescent="0.25"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8"/>
      <c r="R52" s="8"/>
      <c r="S52" s="8"/>
      <c r="T52" s="8"/>
      <c r="U52" s="8"/>
      <c r="V52" s="8"/>
      <c r="W52" s="8"/>
      <c r="X52" s="8"/>
      <c r="Y52" s="8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14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8"/>
      <c r="BU52" s="8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8"/>
      <c r="CL52" s="8"/>
      <c r="CM52" s="8"/>
      <c r="CN52" s="8"/>
      <c r="CO52" s="8"/>
      <c r="CP52" s="8"/>
      <c r="CQ52" s="8"/>
      <c r="CR52" s="8"/>
      <c r="CS52" s="8"/>
      <c r="CT52" s="8"/>
      <c r="CU52" s="8"/>
    </row>
    <row r="53" spans="2:99" customFormat="1" ht="6" customHeight="1" x14ac:dyDescent="0.25"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8"/>
      <c r="CL53" s="8"/>
      <c r="CM53" s="8"/>
      <c r="CN53" s="8"/>
      <c r="CO53" s="8"/>
      <c r="CP53" s="8"/>
      <c r="CQ53" s="8"/>
      <c r="CR53" s="8"/>
      <c r="CS53" s="8"/>
      <c r="CT53" s="8"/>
      <c r="CU53" s="8"/>
    </row>
    <row r="54" spans="2:99" customFormat="1" ht="6" customHeight="1" x14ac:dyDescent="0.25">
      <c r="B54" s="40" t="s">
        <v>37</v>
      </c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8"/>
      <c r="R54" s="18"/>
      <c r="S54" s="18"/>
      <c r="T54" s="18"/>
      <c r="U54" s="18"/>
      <c r="V54" s="18"/>
      <c r="W54" s="18"/>
      <c r="X54" s="18"/>
      <c r="Y54" s="18"/>
      <c r="Z54" s="38" t="s">
        <v>36</v>
      </c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  <c r="AO54" s="38"/>
      <c r="AP54" s="38"/>
      <c r="AQ54" s="38"/>
      <c r="AR54" s="38"/>
      <c r="AS54" s="38"/>
      <c r="AT54" s="38"/>
      <c r="AU54" s="38"/>
      <c r="AV54" s="38"/>
      <c r="AW54" s="38"/>
      <c r="AX54" s="38"/>
      <c r="AY54" s="38"/>
      <c r="AZ54" s="38"/>
      <c r="BA54" s="38"/>
      <c r="BB54" s="38"/>
      <c r="BC54" s="38"/>
      <c r="BD54" s="16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8"/>
      <c r="CL54" s="8"/>
      <c r="CM54" s="8"/>
      <c r="CN54" s="8"/>
      <c r="CO54" s="8"/>
      <c r="CP54" s="8"/>
      <c r="CQ54" s="8"/>
      <c r="CR54" s="8"/>
      <c r="CS54" s="8"/>
      <c r="CT54" s="8"/>
      <c r="CU54" s="8"/>
    </row>
    <row r="55" spans="2:99" customFormat="1" ht="6" customHeight="1" x14ac:dyDescent="0.25"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8"/>
      <c r="R55" s="8"/>
      <c r="S55" s="8"/>
      <c r="T55" s="8"/>
      <c r="U55" s="8"/>
      <c r="V55" s="8"/>
      <c r="W55" s="8"/>
      <c r="X55" s="8"/>
      <c r="Y55" s="8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16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8"/>
      <c r="CL55" s="8"/>
      <c r="CM55" s="8"/>
      <c r="CN55" s="8"/>
      <c r="CO55" s="8"/>
      <c r="CP55" s="8"/>
      <c r="CQ55" s="8"/>
      <c r="CR55" s="8"/>
      <c r="CS55" s="8"/>
      <c r="CT55" s="8"/>
      <c r="CU55" s="8"/>
    </row>
    <row r="56" spans="2:99" customFormat="1" ht="6" customHeight="1" x14ac:dyDescent="0.25"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8"/>
      <c r="R56" s="8"/>
      <c r="S56" s="8"/>
      <c r="T56" s="8"/>
      <c r="U56" s="8"/>
      <c r="V56" s="8"/>
      <c r="W56" s="8"/>
      <c r="X56" s="8"/>
      <c r="Y56" s="8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16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8"/>
      <c r="BU56" s="8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8"/>
      <c r="CL56" s="8"/>
      <c r="CM56" s="8"/>
      <c r="CN56" s="8"/>
      <c r="CO56" s="8"/>
      <c r="CP56" s="8"/>
      <c r="CQ56" s="8"/>
      <c r="CR56" s="8"/>
      <c r="CS56" s="8"/>
      <c r="CT56" s="8"/>
      <c r="CU56" s="8"/>
    </row>
    <row r="57" spans="2:99" customFormat="1" ht="6" customHeight="1" x14ac:dyDescent="0.25">
      <c r="B57" s="41" t="s">
        <v>35</v>
      </c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8"/>
      <c r="R57" s="8"/>
      <c r="S57" s="8"/>
      <c r="T57" s="8"/>
      <c r="U57" s="8"/>
      <c r="V57" s="8"/>
      <c r="W57" s="8"/>
      <c r="X57" s="8"/>
      <c r="Y57" s="8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16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  <c r="CN57" s="8"/>
      <c r="CO57" s="8"/>
      <c r="CP57" s="8"/>
      <c r="CQ57" s="8"/>
      <c r="CR57" s="8"/>
      <c r="CS57" s="8"/>
      <c r="CT57" s="8"/>
      <c r="CU57" s="8"/>
    </row>
    <row r="58" spans="2:99" customFormat="1" ht="6" customHeight="1" x14ac:dyDescent="0.25"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8"/>
      <c r="R58" s="8"/>
      <c r="S58" s="8"/>
      <c r="T58" s="8"/>
      <c r="U58" s="8"/>
      <c r="V58" s="8"/>
      <c r="W58" s="8"/>
      <c r="X58" s="8"/>
      <c r="Y58" s="8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16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  <c r="CN58" s="8"/>
      <c r="CO58" s="8"/>
      <c r="CP58" s="8"/>
      <c r="CQ58" s="8"/>
      <c r="CR58" s="8"/>
      <c r="CS58" s="8"/>
      <c r="CT58" s="8"/>
      <c r="CU58" s="8"/>
    </row>
    <row r="59" spans="2:99" customFormat="1" ht="6" customHeight="1" x14ac:dyDescent="0.25"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33" t="s">
        <v>34</v>
      </c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12"/>
      <c r="BE59" s="8"/>
      <c r="BF59" s="18"/>
      <c r="BG59" s="18"/>
      <c r="BH59" s="18"/>
      <c r="BI59" s="18"/>
      <c r="BJ59" s="18"/>
      <c r="BK59" s="18"/>
      <c r="BL59" s="18"/>
      <c r="BM59" s="18"/>
      <c r="BN59" s="30" t="s">
        <v>33</v>
      </c>
      <c r="BO59" s="30"/>
      <c r="BP59" s="30"/>
      <c r="BQ59" s="30"/>
      <c r="BR59" s="30"/>
      <c r="BS59" s="30"/>
      <c r="BT59" s="30"/>
      <c r="BU59" s="30"/>
      <c r="BV59" s="30"/>
      <c r="BW59" s="30"/>
      <c r="BX59" s="30"/>
      <c r="BY59" s="30"/>
      <c r="BZ59" s="30"/>
      <c r="CA59" s="30"/>
      <c r="CB59" s="30"/>
      <c r="CC59" s="30"/>
      <c r="CD59" s="30"/>
      <c r="CE59" s="30"/>
      <c r="CF59" s="30"/>
      <c r="CG59" s="30"/>
      <c r="CH59" s="30"/>
      <c r="CI59" s="30"/>
      <c r="CJ59" s="30"/>
      <c r="CK59" s="30"/>
      <c r="CL59" s="30"/>
      <c r="CM59" s="30"/>
      <c r="CN59" s="30"/>
      <c r="CO59" s="30"/>
      <c r="CP59" s="30"/>
      <c r="CQ59" s="30"/>
      <c r="CR59" s="17"/>
      <c r="CS59" s="17"/>
      <c r="CT59" s="17"/>
      <c r="CU59" s="17"/>
    </row>
    <row r="60" spans="2:99" customFormat="1" ht="6" customHeight="1" x14ac:dyDescent="0.25">
      <c r="B60" s="40" t="s">
        <v>32</v>
      </c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8"/>
      <c r="R60" s="8"/>
      <c r="S60" s="8"/>
      <c r="T60" s="8"/>
      <c r="U60" s="8"/>
      <c r="V60" s="8"/>
      <c r="W60" s="8"/>
      <c r="X60" s="8"/>
      <c r="Y60" s="8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12"/>
      <c r="BE60" s="8"/>
      <c r="BF60" s="8"/>
      <c r="BG60" s="8"/>
      <c r="BH60" s="8"/>
      <c r="BI60" s="8"/>
      <c r="BJ60" s="8"/>
      <c r="BK60" s="8"/>
      <c r="BL60" s="8"/>
      <c r="BM60" s="8"/>
      <c r="BN60" s="31"/>
      <c r="BO60" s="31"/>
      <c r="BP60" s="31"/>
      <c r="BQ60" s="31"/>
      <c r="BR60" s="31"/>
      <c r="BS60" s="31"/>
      <c r="BT60" s="31"/>
      <c r="BU60" s="31"/>
      <c r="BV60" s="31"/>
      <c r="BW60" s="31"/>
      <c r="BX60" s="31"/>
      <c r="BY60" s="31"/>
      <c r="BZ60" s="31"/>
      <c r="CA60" s="31"/>
      <c r="CB60" s="31"/>
      <c r="CC60" s="31"/>
      <c r="CD60" s="31"/>
      <c r="CE60" s="31"/>
      <c r="CF60" s="31"/>
      <c r="CG60" s="31"/>
      <c r="CH60" s="31"/>
      <c r="CI60" s="31"/>
      <c r="CJ60" s="31"/>
      <c r="CK60" s="31"/>
      <c r="CL60" s="31"/>
      <c r="CM60" s="31"/>
      <c r="CN60" s="31"/>
      <c r="CO60" s="31"/>
      <c r="CP60" s="31"/>
      <c r="CQ60" s="31"/>
      <c r="CR60" s="17"/>
      <c r="CS60" s="17"/>
      <c r="CT60" s="17"/>
      <c r="CU60" s="17"/>
    </row>
    <row r="61" spans="2:99" customFormat="1" ht="6" customHeight="1" x14ac:dyDescent="0.25"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8"/>
      <c r="R61" s="8"/>
      <c r="S61" s="8"/>
      <c r="T61" s="8"/>
      <c r="U61" s="8"/>
      <c r="V61" s="8"/>
      <c r="W61" s="8"/>
      <c r="X61" s="8"/>
      <c r="Y61" s="8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12"/>
      <c r="BE61" s="8"/>
      <c r="BF61" s="8"/>
      <c r="BG61" s="8"/>
      <c r="BH61" s="8"/>
      <c r="BI61" s="8"/>
      <c r="BJ61" s="8"/>
      <c r="BK61" s="8"/>
      <c r="BL61" s="8"/>
      <c r="BM61" s="8"/>
      <c r="BN61" s="31"/>
      <c r="BO61" s="31"/>
      <c r="BP61" s="31"/>
      <c r="BQ61" s="31"/>
      <c r="BR61" s="31"/>
      <c r="BS61" s="31"/>
      <c r="BT61" s="31"/>
      <c r="BU61" s="31"/>
      <c r="BV61" s="31"/>
      <c r="BW61" s="31"/>
      <c r="BX61" s="31"/>
      <c r="BY61" s="31"/>
      <c r="BZ61" s="31"/>
      <c r="CA61" s="31"/>
      <c r="CB61" s="31"/>
      <c r="CC61" s="31"/>
      <c r="CD61" s="31"/>
      <c r="CE61" s="31"/>
      <c r="CF61" s="31"/>
      <c r="CG61" s="31"/>
      <c r="CH61" s="31"/>
      <c r="CI61" s="31"/>
      <c r="CJ61" s="31"/>
      <c r="CK61" s="31"/>
      <c r="CL61" s="31"/>
      <c r="CM61" s="31"/>
      <c r="CN61" s="31"/>
      <c r="CO61" s="31"/>
      <c r="CP61" s="31"/>
      <c r="CQ61" s="31"/>
      <c r="CR61" s="17"/>
      <c r="CS61" s="17"/>
      <c r="CT61" s="17"/>
      <c r="CU61" s="17"/>
    </row>
    <row r="62" spans="2:99" customFormat="1" ht="6" customHeight="1" x14ac:dyDescent="0.25"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8"/>
      <c r="R62" s="8"/>
      <c r="S62" s="8"/>
      <c r="T62" s="8"/>
      <c r="U62" s="8"/>
      <c r="V62" s="8"/>
      <c r="W62" s="8"/>
      <c r="X62" s="8"/>
      <c r="Y62" s="8"/>
      <c r="Z62" s="34" t="s">
        <v>31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14"/>
      <c r="BE62" s="8"/>
      <c r="BF62" s="8"/>
      <c r="BG62" s="8"/>
      <c r="BH62" s="8"/>
      <c r="BI62" s="8"/>
      <c r="BJ62" s="8"/>
      <c r="BK62" s="8"/>
      <c r="BL62" s="8"/>
      <c r="BM62" s="8"/>
      <c r="BN62" s="32" t="s">
        <v>30</v>
      </c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G62" s="32"/>
      <c r="CH62" s="32"/>
      <c r="CI62" s="32"/>
      <c r="CJ62" s="32"/>
      <c r="CK62" s="32"/>
      <c r="CL62" s="32"/>
      <c r="CM62" s="32"/>
      <c r="CN62" s="32"/>
      <c r="CO62" s="32"/>
      <c r="CP62" s="32"/>
      <c r="CQ62" s="32"/>
      <c r="CR62" s="15"/>
      <c r="CS62" s="15"/>
      <c r="CT62" s="15"/>
      <c r="CU62" s="15"/>
    </row>
    <row r="63" spans="2:99" customFormat="1" ht="6" customHeight="1" x14ac:dyDescent="0.25">
      <c r="B63" s="42" t="s">
        <v>29</v>
      </c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8"/>
      <c r="R63" s="8"/>
      <c r="S63" s="8"/>
      <c r="T63" s="8"/>
      <c r="U63" s="8"/>
      <c r="V63" s="8"/>
      <c r="W63" s="8"/>
      <c r="X63" s="8"/>
      <c r="Y63" s="8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14"/>
      <c r="BE63" s="8"/>
      <c r="BF63" s="8"/>
      <c r="BG63" s="8"/>
      <c r="BH63" s="8"/>
      <c r="BI63" s="8"/>
      <c r="BJ63" s="8"/>
      <c r="BK63" s="8"/>
      <c r="BL63" s="8"/>
      <c r="BM63" s="8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CG63" s="32"/>
      <c r="CH63" s="32"/>
      <c r="CI63" s="32"/>
      <c r="CJ63" s="32"/>
      <c r="CK63" s="32"/>
      <c r="CL63" s="32"/>
      <c r="CM63" s="32"/>
      <c r="CN63" s="32"/>
      <c r="CO63" s="32"/>
      <c r="CP63" s="32"/>
      <c r="CQ63" s="32"/>
      <c r="CR63" s="15"/>
      <c r="CS63" s="15"/>
      <c r="CT63" s="15"/>
      <c r="CU63" s="15"/>
    </row>
    <row r="64" spans="2:99" customFormat="1" ht="6" customHeight="1" x14ac:dyDescent="0.25">
      <c r="B64" s="42"/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</row>
    <row r="65" spans="18:99" customFormat="1" ht="6" customHeight="1" x14ac:dyDescent="0.25">
      <c r="R65" s="18"/>
      <c r="S65" s="18"/>
      <c r="T65" s="18"/>
      <c r="U65" s="18"/>
      <c r="V65" s="18"/>
      <c r="W65" s="18"/>
      <c r="X65" s="18"/>
      <c r="Y65" s="18"/>
      <c r="Z65" s="38" t="s">
        <v>28</v>
      </c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  <c r="AU65" s="38"/>
      <c r="AV65" s="38"/>
      <c r="AW65" s="38"/>
      <c r="AX65" s="38"/>
      <c r="AY65" s="38"/>
      <c r="AZ65" s="38"/>
      <c r="BA65" s="38"/>
      <c r="BB65" s="38"/>
      <c r="BC65" s="38"/>
      <c r="BD65" s="16"/>
      <c r="BE65" s="8"/>
      <c r="BF65" s="8"/>
      <c r="BG65" s="8"/>
      <c r="BH65" s="8"/>
      <c r="BI65" s="8"/>
      <c r="BJ65" s="8"/>
      <c r="BK65" s="8"/>
      <c r="BL65" s="8"/>
      <c r="BM65" s="8"/>
      <c r="BN65" s="31" t="s">
        <v>27</v>
      </c>
      <c r="BO65" s="31"/>
      <c r="BP65" s="31"/>
      <c r="BQ65" s="31"/>
      <c r="BR65" s="31"/>
      <c r="BS65" s="31"/>
      <c r="BT65" s="31"/>
      <c r="BU65" s="31"/>
      <c r="BV65" s="31"/>
      <c r="BW65" s="31"/>
      <c r="BX65" s="31"/>
      <c r="BY65" s="31"/>
      <c r="BZ65" s="31"/>
      <c r="CA65" s="31"/>
      <c r="CB65" s="31"/>
      <c r="CC65" s="31"/>
      <c r="CD65" s="31"/>
      <c r="CE65" s="31"/>
      <c r="CF65" s="31"/>
      <c r="CG65" s="31"/>
      <c r="CH65" s="31"/>
      <c r="CI65" s="31"/>
      <c r="CJ65" s="31"/>
      <c r="CK65" s="31"/>
      <c r="CL65" s="31"/>
      <c r="CM65" s="31"/>
      <c r="CN65" s="31"/>
      <c r="CO65" s="31"/>
      <c r="CP65" s="31"/>
      <c r="CQ65" s="31"/>
      <c r="CR65" s="17"/>
      <c r="CS65" s="17"/>
      <c r="CT65" s="17"/>
      <c r="CU65" s="17"/>
    </row>
    <row r="66" spans="18:99" customFormat="1" ht="6" customHeight="1" x14ac:dyDescent="0.25">
      <c r="R66" s="8"/>
      <c r="S66" s="8"/>
      <c r="T66" s="8"/>
      <c r="U66" s="8"/>
      <c r="V66" s="8"/>
      <c r="W66" s="8"/>
      <c r="X66" s="8"/>
      <c r="Y66" s="8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16"/>
      <c r="BE66" s="8"/>
      <c r="BF66" s="8"/>
      <c r="BG66" s="8"/>
      <c r="BH66" s="8"/>
      <c r="BI66" s="8"/>
      <c r="BJ66" s="8"/>
      <c r="BK66" s="8"/>
      <c r="BL66" s="8"/>
      <c r="BM66" s="8"/>
      <c r="BN66" s="31"/>
      <c r="BO66" s="31"/>
      <c r="BP66" s="31"/>
      <c r="BQ66" s="31"/>
      <c r="BR66" s="31"/>
      <c r="BS66" s="31"/>
      <c r="BT66" s="31"/>
      <c r="BU66" s="31"/>
      <c r="BV66" s="31"/>
      <c r="BW66" s="31"/>
      <c r="BX66" s="31"/>
      <c r="BY66" s="31"/>
      <c r="BZ66" s="31"/>
      <c r="CA66" s="31"/>
      <c r="CB66" s="31"/>
      <c r="CC66" s="31"/>
      <c r="CD66" s="31"/>
      <c r="CE66" s="31"/>
      <c r="CF66" s="31"/>
      <c r="CG66" s="31"/>
      <c r="CH66" s="31"/>
      <c r="CI66" s="31"/>
      <c r="CJ66" s="31"/>
      <c r="CK66" s="31"/>
      <c r="CL66" s="31"/>
      <c r="CM66" s="31"/>
      <c r="CN66" s="31"/>
      <c r="CO66" s="31"/>
      <c r="CP66" s="31"/>
      <c r="CQ66" s="31"/>
      <c r="CR66" s="17"/>
      <c r="CS66" s="17"/>
      <c r="CT66" s="17"/>
      <c r="CU66" s="17"/>
    </row>
    <row r="67" spans="18:99" customFormat="1" ht="6" customHeight="1" x14ac:dyDescent="0.25">
      <c r="R67" s="8"/>
      <c r="S67" s="8"/>
      <c r="T67" s="8"/>
      <c r="U67" s="8"/>
      <c r="V67" s="8"/>
      <c r="W67" s="8"/>
      <c r="X67" s="8"/>
      <c r="Y67" s="8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16"/>
      <c r="BE67" s="8"/>
      <c r="BF67" s="8"/>
      <c r="BG67" s="8"/>
      <c r="BH67" s="8"/>
      <c r="BI67" s="8"/>
      <c r="BJ67" s="8"/>
      <c r="BK67" s="8"/>
      <c r="BL67" s="8"/>
      <c r="BM67" s="8"/>
      <c r="BN67" s="31"/>
      <c r="BO67" s="31"/>
      <c r="BP67" s="31"/>
      <c r="BQ67" s="31"/>
      <c r="BR67" s="31"/>
      <c r="BS67" s="31"/>
      <c r="BT67" s="31"/>
      <c r="BU67" s="31"/>
      <c r="BV67" s="31"/>
      <c r="BW67" s="31"/>
      <c r="BX67" s="31"/>
      <c r="BY67" s="31"/>
      <c r="BZ67" s="31"/>
      <c r="CA67" s="31"/>
      <c r="CB67" s="31"/>
      <c r="CC67" s="31"/>
      <c r="CD67" s="31"/>
      <c r="CE67" s="31"/>
      <c r="CF67" s="31"/>
      <c r="CG67" s="31"/>
      <c r="CH67" s="31"/>
      <c r="CI67" s="31"/>
      <c r="CJ67" s="31"/>
      <c r="CK67" s="31"/>
      <c r="CL67" s="31"/>
      <c r="CM67" s="31"/>
      <c r="CN67" s="31"/>
      <c r="CO67" s="31"/>
      <c r="CP67" s="31"/>
      <c r="CQ67" s="31"/>
      <c r="CR67" s="17"/>
      <c r="CS67" s="17"/>
      <c r="CT67" s="17"/>
      <c r="CU67" s="17"/>
    </row>
    <row r="68" spans="18:99" customFormat="1" ht="6" customHeight="1" x14ac:dyDescent="0.25">
      <c r="R68" s="8"/>
      <c r="S68" s="8"/>
      <c r="T68" s="8"/>
      <c r="U68" s="8"/>
      <c r="V68" s="8"/>
      <c r="W68" s="8"/>
      <c r="X68" s="8"/>
      <c r="Y68" s="8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16"/>
      <c r="BE68" s="8"/>
      <c r="BF68" s="8"/>
      <c r="BG68" s="8"/>
      <c r="BH68" s="8"/>
      <c r="BI68" s="8"/>
      <c r="BJ68" s="8"/>
      <c r="BK68" s="8"/>
      <c r="BL68" s="8"/>
      <c r="BM68" s="8"/>
      <c r="BN68" s="32" t="s">
        <v>26</v>
      </c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  <c r="CF68" s="32"/>
      <c r="CG68" s="32"/>
      <c r="CH68" s="32"/>
      <c r="CI68" s="32"/>
      <c r="CJ68" s="32"/>
      <c r="CK68" s="32"/>
      <c r="CL68" s="32"/>
      <c r="CM68" s="32"/>
      <c r="CN68" s="32"/>
      <c r="CO68" s="32"/>
      <c r="CP68" s="32"/>
      <c r="CQ68" s="32"/>
      <c r="CR68" s="15"/>
      <c r="CS68" s="15"/>
      <c r="CT68" s="15"/>
      <c r="CU68" s="15"/>
    </row>
    <row r="69" spans="18:99" customFormat="1" ht="6" customHeight="1" x14ac:dyDescent="0.25">
      <c r="R69" s="8"/>
      <c r="S69" s="8"/>
      <c r="T69" s="8"/>
      <c r="U69" s="8"/>
      <c r="V69" s="8"/>
      <c r="W69" s="8"/>
      <c r="X69" s="8"/>
      <c r="Y69" s="8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16"/>
      <c r="BE69" s="8"/>
      <c r="BF69" s="8"/>
      <c r="BG69" s="8"/>
      <c r="BH69" s="8"/>
      <c r="BI69" s="8"/>
      <c r="BJ69" s="8"/>
      <c r="BK69" s="8"/>
      <c r="BL69" s="8"/>
      <c r="BM69" s="8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  <c r="CF69" s="32"/>
      <c r="CG69" s="32"/>
      <c r="CH69" s="32"/>
      <c r="CI69" s="32"/>
      <c r="CJ69" s="32"/>
      <c r="CK69" s="32"/>
      <c r="CL69" s="32"/>
      <c r="CM69" s="32"/>
      <c r="CN69" s="32"/>
      <c r="CO69" s="32"/>
      <c r="CP69" s="32"/>
      <c r="CQ69" s="32"/>
      <c r="CR69" s="15"/>
      <c r="CS69" s="15"/>
      <c r="CT69" s="15"/>
      <c r="CU69" s="15"/>
    </row>
    <row r="70" spans="18:99" customFormat="1" ht="6" customHeight="1" x14ac:dyDescent="0.25"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</row>
    <row r="71" spans="18:99" customFormat="1" ht="6" customHeight="1" x14ac:dyDescent="0.25">
      <c r="R71" s="8"/>
      <c r="S71" s="8"/>
      <c r="T71" s="8"/>
      <c r="U71" s="8"/>
      <c r="V71" s="8"/>
      <c r="W71" s="8"/>
      <c r="X71" s="8"/>
      <c r="Y71" s="8"/>
      <c r="Z71" s="34" t="s">
        <v>25</v>
      </c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13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</row>
    <row r="72" spans="18:99" customFormat="1" ht="6" customHeight="1" x14ac:dyDescent="0.25">
      <c r="R72" s="8"/>
      <c r="S72" s="8"/>
      <c r="T72" s="8"/>
      <c r="U72" s="8"/>
      <c r="V72" s="8"/>
      <c r="W72" s="8"/>
      <c r="X72" s="8"/>
      <c r="Y72" s="8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13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</row>
    <row r="73" spans="18:99" customFormat="1" ht="6" customHeight="1" x14ac:dyDescent="0.25"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</row>
    <row r="74" spans="18:99" customFormat="1" ht="6" customHeight="1" x14ac:dyDescent="0.25">
      <c r="R74" s="8"/>
      <c r="S74" s="8"/>
      <c r="T74" s="8"/>
      <c r="U74" s="8"/>
      <c r="V74" s="8"/>
      <c r="W74" s="8"/>
      <c r="X74" s="8"/>
      <c r="Y74" s="8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</row>
    <row r="75" spans="18:99" customFormat="1" ht="6" customHeight="1" x14ac:dyDescent="0.25">
      <c r="R75" s="8"/>
      <c r="S75" s="8"/>
      <c r="T75" s="8"/>
      <c r="U75" s="8"/>
      <c r="V75" s="8"/>
      <c r="W75" s="8"/>
      <c r="X75" s="8"/>
      <c r="Y75" s="8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</row>
    <row r="76" spans="18:99" customFormat="1" ht="6" customHeight="1" x14ac:dyDescent="0.25">
      <c r="R76" s="8"/>
      <c r="S76" s="8"/>
      <c r="T76" s="8"/>
      <c r="U76" s="8"/>
      <c r="V76" s="8"/>
      <c r="W76" s="8"/>
      <c r="X76" s="8"/>
      <c r="Y76" s="8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</row>
    <row r="77" spans="18:99" customFormat="1" ht="6" customHeight="1" x14ac:dyDescent="0.25">
      <c r="R77" s="8"/>
      <c r="S77" s="8"/>
      <c r="T77" s="8"/>
      <c r="U77" s="8"/>
      <c r="V77" s="8"/>
      <c r="W77" s="8"/>
      <c r="X77" s="8"/>
      <c r="Y77" s="8"/>
      <c r="Z77" s="44" t="s">
        <v>24</v>
      </c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11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</row>
    <row r="78" spans="18:99" customFormat="1" ht="6" customHeight="1" x14ac:dyDescent="0.25">
      <c r="R78" s="8"/>
      <c r="S78" s="8"/>
      <c r="T78" s="8"/>
      <c r="U78" s="8"/>
      <c r="V78" s="8"/>
      <c r="W78" s="8"/>
      <c r="X78" s="8"/>
      <c r="Y78" s="8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11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</row>
    <row r="79" spans="18:99" customFormat="1" ht="6" customHeight="1" x14ac:dyDescent="0.25">
      <c r="R79" s="8"/>
      <c r="S79" s="8"/>
      <c r="T79" s="8"/>
      <c r="U79" s="8"/>
      <c r="V79" s="8"/>
      <c r="W79" s="8"/>
      <c r="X79" s="8"/>
      <c r="Y79" s="8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11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</row>
    <row r="80" spans="18:99" customFormat="1" ht="6" customHeight="1" x14ac:dyDescent="0.25">
      <c r="R80" s="8"/>
      <c r="S80" s="8"/>
      <c r="T80" s="8"/>
      <c r="U80" s="8"/>
      <c r="V80" s="8"/>
      <c r="W80" s="8"/>
      <c r="X80" s="8"/>
      <c r="Y80" s="8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44"/>
      <c r="BC80" s="44"/>
      <c r="BD80" s="11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</row>
    <row r="81" spans="26:56" ht="6" customHeight="1" x14ac:dyDescent="0.25"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44"/>
      <c r="BD81" s="11"/>
    </row>
    <row r="82" spans="26:56" ht="6" customHeight="1" x14ac:dyDescent="0.25">
      <c r="Z82" s="44" t="s">
        <v>23</v>
      </c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11"/>
    </row>
    <row r="83" spans="26:56" ht="6" customHeight="1" x14ac:dyDescent="0.25"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11"/>
    </row>
    <row r="84" spans="26:56" ht="6" customHeight="1" x14ac:dyDescent="0.25"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44"/>
      <c r="BC84" s="44"/>
      <c r="BD84" s="11"/>
    </row>
    <row r="85" spans="26:56" ht="6" customHeight="1" x14ac:dyDescent="0.25"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44"/>
      <c r="BA85" s="44"/>
      <c r="BB85" s="44"/>
      <c r="BC85" s="44"/>
      <c r="BD85" s="11"/>
    </row>
    <row r="86" spans="26:56" ht="6" customHeight="1" x14ac:dyDescent="0.25"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44"/>
      <c r="BD86" s="11"/>
    </row>
    <row r="87" spans="26:56" ht="6" customHeight="1" x14ac:dyDescent="0.25"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11"/>
    </row>
    <row r="88" spans="26:56" ht="6" customHeight="1" x14ac:dyDescent="0.25"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  <c r="BC88" s="44"/>
      <c r="BD88" s="11"/>
    </row>
    <row r="89" spans="26:56" ht="6" customHeight="1" x14ac:dyDescent="0.25"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  <c r="BC89" s="44"/>
      <c r="BD89" s="11"/>
    </row>
    <row r="90" spans="26:56" ht="6" customHeight="1" x14ac:dyDescent="0.25">
      <c r="Z90" s="43" t="s">
        <v>22</v>
      </c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  <c r="AL90" s="43"/>
      <c r="AM90" s="43"/>
      <c r="AN90" s="43"/>
      <c r="AO90" s="43"/>
      <c r="AP90" s="43"/>
      <c r="AQ90" s="43"/>
      <c r="AR90" s="43"/>
      <c r="AS90" s="43"/>
      <c r="AT90" s="43"/>
      <c r="AU90" s="43"/>
      <c r="AV90" s="43"/>
      <c r="AW90" s="43"/>
      <c r="AX90" s="43"/>
      <c r="AY90" s="43"/>
      <c r="AZ90" s="43"/>
      <c r="BA90" s="43"/>
      <c r="BB90" s="43"/>
      <c r="BC90" s="43"/>
      <c r="BD90" s="10"/>
    </row>
    <row r="91" spans="26:56" ht="6" customHeight="1" x14ac:dyDescent="0.25"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  <c r="AO91" s="43"/>
      <c r="AP91" s="43"/>
      <c r="AQ91" s="43"/>
      <c r="AR91" s="43"/>
      <c r="AS91" s="43"/>
      <c r="AT91" s="43"/>
      <c r="AU91" s="43"/>
      <c r="AV91" s="43"/>
      <c r="AW91" s="43"/>
      <c r="AX91" s="43"/>
      <c r="AY91" s="43"/>
      <c r="AZ91" s="43"/>
      <c r="BA91" s="43"/>
      <c r="BB91" s="43"/>
      <c r="BC91" s="43"/>
      <c r="BD91" s="10"/>
    </row>
    <row r="92" spans="26:56" ht="6" customHeight="1" x14ac:dyDescent="0.25"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</row>
    <row r="93" spans="26:56" ht="6" customHeight="1" x14ac:dyDescent="0.25"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</row>
    <row r="94" spans="26:56" ht="6" customHeight="1" x14ac:dyDescent="0.25"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</row>
    <row r="95" spans="26:56" ht="6" customHeight="1" x14ac:dyDescent="0.25"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</row>
  </sheetData>
  <mergeCells count="39">
    <mergeCell ref="Z90:BC91"/>
    <mergeCell ref="Z65:BC69"/>
    <mergeCell ref="BN65:CQ67"/>
    <mergeCell ref="BN68:CQ69"/>
    <mergeCell ref="Z71:BC72"/>
    <mergeCell ref="Z77:BC81"/>
    <mergeCell ref="Z82:BC89"/>
    <mergeCell ref="Z59:BC61"/>
    <mergeCell ref="BN59:CQ61"/>
    <mergeCell ref="B60:P62"/>
    <mergeCell ref="Z62:BC63"/>
    <mergeCell ref="BN62:CQ63"/>
    <mergeCell ref="B63:P64"/>
    <mergeCell ref="B51:P52"/>
    <mergeCell ref="Z51:BC52"/>
    <mergeCell ref="B54:P56"/>
    <mergeCell ref="Z54:BC58"/>
    <mergeCell ref="B57:P58"/>
    <mergeCell ref="Z40:BC41"/>
    <mergeCell ref="BN40:CQ42"/>
    <mergeCell ref="Z43:BC47"/>
    <mergeCell ref="BN43:CQ44"/>
    <mergeCell ref="Z48:BC50"/>
    <mergeCell ref="Z23:BC24"/>
    <mergeCell ref="Z26:BC27"/>
    <mergeCell ref="Z32:BC36"/>
    <mergeCell ref="BN34:CQ36"/>
    <mergeCell ref="Z37:BC39"/>
    <mergeCell ref="BN37:CQ38"/>
    <mergeCell ref="BN9:CQ11"/>
    <mergeCell ref="BN12:CQ13"/>
    <mergeCell ref="Z14:BC16"/>
    <mergeCell ref="Z17:BC18"/>
    <mergeCell ref="Z21:BC22"/>
    <mergeCell ref="Z2:BC3"/>
    <mergeCell ref="Z4:BC6"/>
    <mergeCell ref="R5:W7"/>
    <mergeCell ref="BF5:BK7"/>
    <mergeCell ref="Z9:BC13"/>
  </mergeCells>
  <hyperlinks>
    <hyperlink ref="B63" r:id="rId1" xr:uid="{E94F4EDE-1E77-43A3-A953-3FB4805E383B}"/>
    <hyperlink ref="B51" r:id="rId2" xr:uid="{405AFD8B-66D4-4BE8-89C4-4DD74B55C104}"/>
    <hyperlink ref="B57" r:id="rId3" xr:uid="{8597A93B-7E6B-4ECA-85B6-806800A03FC6}"/>
    <hyperlink ref="Z4" r:id="rId4" xr:uid="{F89FF77B-1B43-44D5-8260-71F0A83C383C}"/>
    <hyperlink ref="Z17" r:id="rId5" display="https://www.udemy.com/excel-mistrz-formul/?couponCode=STANDARDOWY" xr:uid="{E4F05E74-6549-4508-9569-235B2213A37F}"/>
    <hyperlink ref="Z26" r:id="rId6" xr:uid="{6532F0B1-AEDD-4097-9C4A-6CCCE24D8510}"/>
    <hyperlink ref="Z40" r:id="rId7" display="https://www.udemy.com/excel-mistrz-formul/?couponCode=STANDARDOWY" xr:uid="{19949356-8BE3-4B13-A7E5-4D369297F7FE}"/>
    <hyperlink ref="Z51" r:id="rId8" display="https://www.udemy.com/excel-mistrz-formul/?couponCode=STANDARDOWY" xr:uid="{75E5E7FC-8910-4088-A573-F5C004A8EDB8}"/>
    <hyperlink ref="Z62" r:id="rId9" display="https://www.udemy.com/excel-mistrz-formul/?couponCode=STANDARDOWY" xr:uid="{B0B008E5-0D3E-4080-BB35-B0E568ABB0FD}"/>
    <hyperlink ref="Z71" r:id="rId10" display="https://www.udemy.com/excel-mistrz-formul/?couponCode=STANDARDOWY" xr:uid="{062E4497-D506-4CE9-8D9E-7A24004DD1A0}"/>
    <hyperlink ref="BN12" r:id="rId11" location="mistrz-excela-w-20-dni" xr:uid="{5B2DBCAB-B15B-4707-8889-D4600A315B21}"/>
    <hyperlink ref="BN37" r:id="rId12" location="mistrz-excela-w-20-dni" display="http://ksplus.komputerswiat.pl/sklep#mistrz-excela-w-20-dni" xr:uid="{5E12C41B-A813-44BA-9DE2-B5C593426368}"/>
    <hyperlink ref="BN43" r:id="rId13" location="mistrz-excela-w-20-dni" display="http://ksplus.komputerswiat.pl/sklep#mistrz-excela-w-20-dni" xr:uid="{B8782A38-631F-4144-A17E-47E56ABC4204}"/>
    <hyperlink ref="BN62" r:id="rId14" location="mistrz-excela-w-20-dni" display="http://ksplus.komputerswiat.pl/sklep#mistrz-excela-w-20-dni" xr:uid="{2A279E4C-B6CC-4765-810C-4535383C4523}"/>
    <hyperlink ref="BN68" r:id="rId15" location="mistrz-excela-w-20-dni" display="http://ksplus.komputerswiat.pl/sklep#mistrz-excela-w-20-dni" xr:uid="{C84B475A-17D2-4653-BDBB-7E29DE06ED67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>
    <tabColor rgb="FFEEEE22"/>
  </sheetPr>
  <dimension ref="A2:H26"/>
  <sheetViews>
    <sheetView tabSelected="1" zoomScale="130" zoomScaleNormal="130" workbookViewId="0">
      <selection activeCell="C28" sqref="C28"/>
    </sheetView>
  </sheetViews>
  <sheetFormatPr defaultColWidth="8.85546875" defaultRowHeight="14.25" outlineLevelRow="1" x14ac:dyDescent="0.25"/>
  <cols>
    <col min="1" max="1" width="2.85546875" style="2" customWidth="1"/>
    <col min="2" max="2" width="11.28515625" style="2" customWidth="1"/>
    <col min="3" max="3" width="15" style="2" customWidth="1"/>
    <col min="4" max="16384" width="8.85546875" style="2"/>
  </cols>
  <sheetData>
    <row r="2" spans="1:8" ht="128.25" hidden="1" outlineLevel="1" x14ac:dyDescent="0.25">
      <c r="A2" s="6" t="s">
        <v>2</v>
      </c>
      <c r="B2" s="6"/>
      <c r="C2" s="1" t="s">
        <v>5</v>
      </c>
      <c r="D2" s="2" t="s">
        <v>6</v>
      </c>
      <c r="E2" s="2" t="s">
        <v>17</v>
      </c>
      <c r="F2" s="2" t="s">
        <v>18</v>
      </c>
      <c r="G2" s="2" t="s">
        <v>8</v>
      </c>
      <c r="H2" s="2" t="s">
        <v>11</v>
      </c>
    </row>
    <row r="3" spans="1:8" ht="42.75" hidden="1" outlineLevel="1" collapsed="1" x14ac:dyDescent="0.25">
      <c r="A3" s="45"/>
      <c r="B3" s="45" t="s">
        <v>59</v>
      </c>
      <c r="C3" s="46"/>
      <c r="D3" s="47">
        <f>Dolnośląskie!$C$5</f>
        <v>6962</v>
      </c>
      <c r="E3" s="47">
        <f>Dolnośląskie!$D$5</f>
        <v>4756</v>
      </c>
      <c r="H3" s="47">
        <f>Dolnośląskie!$E$5</f>
        <v>1118</v>
      </c>
    </row>
    <row r="4" spans="1:8" ht="42.75" hidden="1" outlineLevel="1" collapsed="1" x14ac:dyDescent="0.25">
      <c r="A4" s="45"/>
      <c r="B4" s="45" t="s">
        <v>59</v>
      </c>
      <c r="C4" s="46"/>
      <c r="F4" s="47">
        <f>Lubelskie!$B$5</f>
        <v>7491</v>
      </c>
      <c r="G4" s="47">
        <f>Lubelskie!$C$5</f>
        <v>1583</v>
      </c>
      <c r="H4" s="47">
        <f>Lubelskie!$D$5</f>
        <v>3679</v>
      </c>
    </row>
    <row r="5" spans="1:8" ht="42.75" collapsed="1" x14ac:dyDescent="0.25">
      <c r="A5" s="45"/>
      <c r="B5" s="45" t="s">
        <v>59</v>
      </c>
      <c r="C5" s="48">
        <f>Świętokrzyskie!$B$5</f>
        <v>4500</v>
      </c>
      <c r="D5" s="47">
        <f>Świętokrzyskie!$C$5</f>
        <v>6031</v>
      </c>
      <c r="E5" s="47">
        <f>Świętokrzyskie!$E$5</f>
        <v>7271</v>
      </c>
    </row>
    <row r="6" spans="1:8" outlineLevel="1" x14ac:dyDescent="0.25">
      <c r="A6" s="2" t="s">
        <v>9</v>
      </c>
      <c r="C6" s="47">
        <f>SUM(C3:C5)</f>
        <v>4500</v>
      </c>
      <c r="D6" s="47">
        <f>SUM(D3:D5)</f>
        <v>12993</v>
      </c>
      <c r="E6" s="47">
        <f>SUM(E3:E5)</f>
        <v>12027</v>
      </c>
      <c r="F6" s="47">
        <f>SUM(F3:F5)</f>
        <v>7491</v>
      </c>
      <c r="G6" s="47">
        <f>SUM(G3:G5)</f>
        <v>1583</v>
      </c>
      <c r="H6" s="47">
        <f>SUM(H3:H5)</f>
        <v>4797</v>
      </c>
    </row>
    <row r="7" spans="1:8" outlineLevel="1" collapsed="1" x14ac:dyDescent="0.25">
      <c r="B7" s="2" t="s">
        <v>59</v>
      </c>
      <c r="C7" s="47">
        <f>Dolnośląskie!$B$6</f>
        <v>969</v>
      </c>
      <c r="D7" s="47">
        <f>Dolnośląskie!$C$6</f>
        <v>8052</v>
      </c>
      <c r="E7" s="47">
        <f>Dolnośląskie!$D$6</f>
        <v>6161</v>
      </c>
      <c r="H7" s="47">
        <f>Dolnośląskie!$E$6</f>
        <v>6589</v>
      </c>
    </row>
    <row r="8" spans="1:8" outlineLevel="1" collapsed="1" x14ac:dyDescent="0.25">
      <c r="B8" s="2" t="s">
        <v>59</v>
      </c>
      <c r="F8" s="47">
        <f>Lubelskie!$B$6</f>
        <v>3303</v>
      </c>
      <c r="G8" s="47">
        <f>Lubelskie!$C$6</f>
        <v>6088</v>
      </c>
      <c r="H8" s="47">
        <f>Lubelskie!$D$6</f>
        <v>4338</v>
      </c>
    </row>
    <row r="9" spans="1:8" x14ac:dyDescent="0.25">
      <c r="B9" s="2" t="s">
        <v>59</v>
      </c>
      <c r="C9" s="47">
        <f>Świętokrzyskie!$B$6</f>
        <v>4470</v>
      </c>
      <c r="D9" s="47">
        <f>Świętokrzyskie!$C$6</f>
        <v>4154</v>
      </c>
      <c r="E9" s="47">
        <f>Świętokrzyskie!$E$6</f>
        <v>2527</v>
      </c>
      <c r="G9" s="47">
        <f>Świętokrzyskie!$D$6</f>
        <v>2121</v>
      </c>
    </row>
    <row r="10" spans="1:8" hidden="1" outlineLevel="1" x14ac:dyDescent="0.25">
      <c r="A10" s="2" t="s">
        <v>10</v>
      </c>
      <c r="C10" s="47">
        <f>SUM(C7:C9)</f>
        <v>5439</v>
      </c>
      <c r="D10" s="47">
        <f>SUM(D7:D9)</f>
        <v>12206</v>
      </c>
      <c r="E10" s="47">
        <f>SUM(E7:E9)</f>
        <v>8688</v>
      </c>
      <c r="F10" s="47">
        <f>SUM(F7:F9)</f>
        <v>3303</v>
      </c>
      <c r="G10" s="47">
        <f>SUM(G7:G9)</f>
        <v>8209</v>
      </c>
      <c r="H10" s="47">
        <f>SUM(H7:H9)</f>
        <v>10927</v>
      </c>
    </row>
    <row r="11" spans="1:8" hidden="1" outlineLevel="1" collapsed="1" x14ac:dyDescent="0.25">
      <c r="B11" s="2" t="s">
        <v>59</v>
      </c>
      <c r="C11" s="47">
        <f>Dolnośląskie!$B$7</f>
        <v>4694</v>
      </c>
      <c r="D11" s="47">
        <f>Dolnośląskie!$C$7</f>
        <v>1924</v>
      </c>
      <c r="E11" s="47">
        <f>Dolnośląskie!$D$7</f>
        <v>4633</v>
      </c>
    </row>
    <row r="12" spans="1:8" hidden="1" outlineLevel="1" collapsed="1" x14ac:dyDescent="0.25">
      <c r="B12" s="2" t="s">
        <v>59</v>
      </c>
      <c r="F12" s="47">
        <f>Lubelskie!$B$7</f>
        <v>1856</v>
      </c>
      <c r="G12" s="47">
        <f>Lubelskie!$C$7</f>
        <v>4346</v>
      </c>
      <c r="H12" s="47">
        <f>Lubelskie!$D$7</f>
        <v>3553</v>
      </c>
    </row>
    <row r="13" spans="1:8" collapsed="1" x14ac:dyDescent="0.25">
      <c r="B13" s="2" t="s">
        <v>59</v>
      </c>
      <c r="C13" s="47">
        <f>Świętokrzyskie!$B$7</f>
        <v>1873</v>
      </c>
      <c r="D13" s="47">
        <f>Świętokrzyskie!$C$7</f>
        <v>6388</v>
      </c>
      <c r="E13" s="47">
        <f>Świętokrzyskie!$E$7</f>
        <v>3125</v>
      </c>
      <c r="G13" s="47">
        <f>Świętokrzyskie!$D$7</f>
        <v>1557</v>
      </c>
    </row>
    <row r="14" spans="1:8" hidden="1" outlineLevel="1" x14ac:dyDescent="0.25">
      <c r="A14" s="2" t="s">
        <v>7</v>
      </c>
      <c r="C14" s="47">
        <f>SUM(C11:C13)</f>
        <v>6567</v>
      </c>
      <c r="D14" s="47">
        <f>SUM(D11:D13)</f>
        <v>8312</v>
      </c>
      <c r="E14" s="47">
        <f>SUM(E11:E13)</f>
        <v>7758</v>
      </c>
      <c r="F14" s="47">
        <f>SUM(F11:F13)</f>
        <v>1856</v>
      </c>
      <c r="G14" s="47">
        <f>SUM(G11:G13)</f>
        <v>5903</v>
      </c>
      <c r="H14" s="47">
        <f>SUM(H11:H13)</f>
        <v>3553</v>
      </c>
    </row>
    <row r="15" spans="1:8" collapsed="1" x14ac:dyDescent="0.25">
      <c r="B15" s="2" t="s">
        <v>59</v>
      </c>
      <c r="C15" s="47">
        <f>Dolnośląskie!$B$8</f>
        <v>3807</v>
      </c>
      <c r="D15" s="47">
        <f>Dolnośląskie!$C$8</f>
        <v>2261</v>
      </c>
      <c r="E15" s="47">
        <f>Dolnośląskie!$D$8</f>
        <v>4252</v>
      </c>
      <c r="H15" s="47">
        <f>Dolnośląskie!$E$8</f>
        <v>7094</v>
      </c>
    </row>
    <row r="16" spans="1:8" hidden="1" outlineLevel="1" x14ac:dyDescent="0.25">
      <c r="A16" s="2" t="s">
        <v>15</v>
      </c>
      <c r="C16" s="47">
        <f>SUM(C15)</f>
        <v>3807</v>
      </c>
      <c r="D16" s="47">
        <f>SUM(D15)</f>
        <v>2261</v>
      </c>
      <c r="E16" s="47">
        <f>SUM(E15)</f>
        <v>4252</v>
      </c>
      <c r="H16" s="47">
        <f>SUM(H15)</f>
        <v>7094</v>
      </c>
    </row>
    <row r="17" spans="1:8" collapsed="1" x14ac:dyDescent="0.25">
      <c r="B17" s="2" t="s">
        <v>59</v>
      </c>
      <c r="C17" s="47">
        <f>Dolnośląskie!$B$9</f>
        <v>1952</v>
      </c>
      <c r="D17" s="47">
        <f>Dolnośląskie!$C$9</f>
        <v>3740</v>
      </c>
      <c r="E17" s="47">
        <f>Dolnośląskie!$D$9</f>
        <v>5982</v>
      </c>
      <c r="H17" s="47">
        <f>Dolnośląskie!$E$9</f>
        <v>6530</v>
      </c>
    </row>
    <row r="18" spans="1:8" hidden="1" outlineLevel="1" x14ac:dyDescent="0.25">
      <c r="A18" s="2" t="s">
        <v>13</v>
      </c>
      <c r="C18" s="47">
        <f>SUM(C17)</f>
        <v>1952</v>
      </c>
      <c r="D18" s="47">
        <f>SUM(D17)</f>
        <v>3740</v>
      </c>
      <c r="E18" s="47">
        <f>SUM(E17)</f>
        <v>5982</v>
      </c>
      <c r="H18" s="47">
        <f>SUM(H17)</f>
        <v>6530</v>
      </c>
    </row>
    <row r="19" spans="1:8" collapsed="1" x14ac:dyDescent="0.25">
      <c r="B19" s="2" t="s">
        <v>59</v>
      </c>
      <c r="C19" s="47">
        <f>Dolnośląskie!$B$10</f>
        <v>1191</v>
      </c>
      <c r="D19" s="47">
        <f>Dolnośląskie!$C$10</f>
        <v>8177</v>
      </c>
      <c r="E19" s="47">
        <f>Dolnośląskie!$D$10</f>
        <v>4159</v>
      </c>
      <c r="H19" s="47">
        <f>Dolnośląskie!$E$10</f>
        <v>2610</v>
      </c>
    </row>
    <row r="20" spans="1:8" hidden="1" outlineLevel="1" x14ac:dyDescent="0.25">
      <c r="A20" s="2" t="s">
        <v>12</v>
      </c>
      <c r="C20" s="47">
        <f>SUM(C19)</f>
        <v>1191</v>
      </c>
      <c r="D20" s="47">
        <f>SUM(D19)</f>
        <v>8177</v>
      </c>
      <c r="E20" s="47">
        <f>SUM(E19)</f>
        <v>4159</v>
      </c>
      <c r="H20" s="47">
        <f>SUM(H19)</f>
        <v>2610</v>
      </c>
    </row>
    <row r="21" spans="1:8" collapsed="1" x14ac:dyDescent="0.25">
      <c r="B21" s="2" t="s">
        <v>59</v>
      </c>
      <c r="F21" s="47">
        <f>Lubelskie!$B$8</f>
        <v>7679</v>
      </c>
      <c r="G21" s="47">
        <f>Lubelskie!$C$8</f>
        <v>5473</v>
      </c>
      <c r="H21" s="47">
        <f>Lubelskie!$D$8</f>
        <v>4667</v>
      </c>
    </row>
    <row r="22" spans="1:8" hidden="1" outlineLevel="1" x14ac:dyDescent="0.25">
      <c r="A22" s="2" t="s">
        <v>19</v>
      </c>
      <c r="F22" s="47">
        <f>SUM(F21)</f>
        <v>7679</v>
      </c>
      <c r="G22" s="47">
        <f>SUM(G21)</f>
        <v>5473</v>
      </c>
      <c r="H22" s="47">
        <f>SUM(H21)</f>
        <v>4667</v>
      </c>
    </row>
    <row r="23" spans="1:8" collapsed="1" x14ac:dyDescent="0.25">
      <c r="B23" s="2" t="s">
        <v>59</v>
      </c>
      <c r="G23" s="47">
        <f>Lubelskie!$C$9</f>
        <v>8148</v>
      </c>
      <c r="H23" s="47">
        <f>Lubelskie!$D$9</f>
        <v>3385</v>
      </c>
    </row>
    <row r="24" spans="1:8" hidden="1" outlineLevel="1" x14ac:dyDescent="0.25">
      <c r="A24" s="2" t="s">
        <v>20</v>
      </c>
      <c r="G24" s="47">
        <f>SUM(G23)</f>
        <v>8148</v>
      </c>
      <c r="H24" s="47">
        <f>SUM(H23)</f>
        <v>3385</v>
      </c>
    </row>
    <row r="25" spans="1:8" collapsed="1" x14ac:dyDescent="0.25">
      <c r="B25" s="2" t="s">
        <v>59</v>
      </c>
      <c r="C25" s="47">
        <f>Świętokrzyskie!$B$8</f>
        <v>7808</v>
      </c>
      <c r="D25" s="47">
        <f>Świętokrzyskie!$C$8</f>
        <v>1386</v>
      </c>
      <c r="E25" s="47">
        <f>Świętokrzyskie!$E$8</f>
        <v>5155</v>
      </c>
      <c r="G25" s="47">
        <f>Świętokrzyskie!$D$8</f>
        <v>8229</v>
      </c>
    </row>
    <row r="26" spans="1:8" x14ac:dyDescent="0.25">
      <c r="A26" s="2" t="s">
        <v>14</v>
      </c>
      <c r="C26" s="47">
        <f>SUM(C25)</f>
        <v>7808</v>
      </c>
      <c r="D26" s="47">
        <f>SUM(D25)</f>
        <v>1386</v>
      </c>
      <c r="E26" s="47">
        <f>SUM(E25)</f>
        <v>5155</v>
      </c>
      <c r="G26" s="47">
        <f>SUM(G25)</f>
        <v>8229</v>
      </c>
    </row>
  </sheetData>
  <dataConsolidate leftLabels="1" topLabels="1" link="1">
    <dataRefs count="3">
      <dataRef ref="A4:E10" sheet="Dolnośląskie"/>
      <dataRef ref="A4:D9" sheet="Lubelskie"/>
      <dataRef ref="A4:E8" sheet="Świętokrzyskie"/>
    </dataRefs>
  </dataConsolid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3">
    <tabColor rgb="FF2EA3F2"/>
  </sheetPr>
  <dimension ref="A1:G12"/>
  <sheetViews>
    <sheetView zoomScale="130" zoomScaleNormal="130" workbookViewId="0"/>
  </sheetViews>
  <sheetFormatPr defaultColWidth="8.85546875" defaultRowHeight="14.25" x14ac:dyDescent="0.25"/>
  <cols>
    <col min="1" max="1" width="15.5703125" style="2" bestFit="1" customWidth="1"/>
    <col min="2" max="5" width="11.42578125" style="2" customWidth="1"/>
    <col min="6" max="16384" width="8.85546875" style="2"/>
  </cols>
  <sheetData>
    <row r="1" spans="1:7" x14ac:dyDescent="0.25">
      <c r="A1" s="6" t="s">
        <v>2</v>
      </c>
      <c r="B1" s="1" t="s">
        <v>4</v>
      </c>
      <c r="C1" s="5"/>
    </row>
    <row r="3" spans="1:7" x14ac:dyDescent="0.25">
      <c r="A3" s="6" t="s">
        <v>16</v>
      </c>
      <c r="B3" s="7" t="s">
        <v>0</v>
      </c>
      <c r="C3" s="7"/>
      <c r="D3" s="7"/>
      <c r="E3" s="7"/>
    </row>
    <row r="4" spans="1:7" x14ac:dyDescent="0.25">
      <c r="A4" s="6" t="s">
        <v>1</v>
      </c>
      <c r="B4" s="6" t="s">
        <v>5</v>
      </c>
      <c r="C4" s="6" t="s">
        <v>6</v>
      </c>
      <c r="D4" s="6" t="s">
        <v>17</v>
      </c>
      <c r="E4" s="6" t="s">
        <v>11</v>
      </c>
    </row>
    <row r="5" spans="1:7" x14ac:dyDescent="0.25">
      <c r="A5" s="6" t="s">
        <v>9</v>
      </c>
      <c r="B5" s="3"/>
      <c r="C5" s="3">
        <v>6962</v>
      </c>
      <c r="D5" s="3">
        <v>4756</v>
      </c>
      <c r="E5" s="3">
        <v>1118</v>
      </c>
      <c r="G5" s="4"/>
    </row>
    <row r="6" spans="1:7" x14ac:dyDescent="0.25">
      <c r="A6" s="6" t="s">
        <v>10</v>
      </c>
      <c r="B6" s="3">
        <v>969</v>
      </c>
      <c r="C6" s="3">
        <v>8052</v>
      </c>
      <c r="D6" s="3">
        <v>6161</v>
      </c>
      <c r="E6" s="3">
        <v>6589</v>
      </c>
      <c r="G6" s="4"/>
    </row>
    <row r="7" spans="1:7" x14ac:dyDescent="0.25">
      <c r="A7" s="6" t="s">
        <v>7</v>
      </c>
      <c r="B7" s="3">
        <v>4694</v>
      </c>
      <c r="C7" s="3">
        <v>1924</v>
      </c>
      <c r="D7" s="3">
        <v>4633</v>
      </c>
      <c r="E7" s="3"/>
      <c r="G7" s="4"/>
    </row>
    <row r="8" spans="1:7" x14ac:dyDescent="0.25">
      <c r="A8" s="6" t="s">
        <v>15</v>
      </c>
      <c r="B8" s="3">
        <v>3807</v>
      </c>
      <c r="C8" s="3">
        <v>2261</v>
      </c>
      <c r="D8" s="3">
        <v>4252</v>
      </c>
      <c r="E8" s="3">
        <v>7094</v>
      </c>
      <c r="G8" s="4"/>
    </row>
    <row r="9" spans="1:7" x14ac:dyDescent="0.25">
      <c r="A9" s="6" t="s">
        <v>13</v>
      </c>
      <c r="B9" s="3">
        <v>1952</v>
      </c>
      <c r="C9" s="3">
        <v>3740</v>
      </c>
      <c r="D9" s="3">
        <v>5982</v>
      </c>
      <c r="E9" s="3">
        <v>6530</v>
      </c>
      <c r="G9" s="4"/>
    </row>
    <row r="10" spans="1:7" x14ac:dyDescent="0.25">
      <c r="A10" s="6" t="s">
        <v>12</v>
      </c>
      <c r="B10" s="3">
        <v>1191</v>
      </c>
      <c r="C10" s="3">
        <v>8177</v>
      </c>
      <c r="D10" s="3">
        <v>4159</v>
      </c>
      <c r="E10" s="3">
        <v>2610</v>
      </c>
      <c r="G10" s="4"/>
    </row>
    <row r="11" spans="1:7" x14ac:dyDescent="0.25">
      <c r="B11" s="4"/>
    </row>
    <row r="12" spans="1:7" x14ac:dyDescent="0.25">
      <c r="G12" s="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4">
    <tabColor rgb="FF2EA3F2"/>
  </sheetPr>
  <dimension ref="A1:J8"/>
  <sheetViews>
    <sheetView zoomScale="130" zoomScaleNormal="130" workbookViewId="0"/>
  </sheetViews>
  <sheetFormatPr defaultColWidth="8.85546875" defaultRowHeight="14.25" x14ac:dyDescent="0.25"/>
  <cols>
    <col min="1" max="1" width="15.5703125" style="2" bestFit="1" customWidth="1"/>
    <col min="2" max="4" width="11.42578125" style="2" customWidth="1"/>
    <col min="5" max="5" width="10.28515625" style="2" customWidth="1"/>
    <col min="6" max="6" width="8.85546875" style="2"/>
    <col min="7" max="7" width="9.85546875" style="2" bestFit="1" customWidth="1"/>
    <col min="8" max="16384" width="8.85546875" style="2"/>
  </cols>
  <sheetData>
    <row r="1" spans="1:10" x14ac:dyDescent="0.25">
      <c r="A1" s="6" t="s">
        <v>2</v>
      </c>
      <c r="B1" s="1" t="s">
        <v>21</v>
      </c>
      <c r="C1" s="1"/>
    </row>
    <row r="3" spans="1:10" x14ac:dyDescent="0.25">
      <c r="A3" s="6" t="s">
        <v>16</v>
      </c>
      <c r="B3" s="7" t="s">
        <v>0</v>
      </c>
      <c r="C3" s="7"/>
      <c r="D3" s="7"/>
      <c r="E3" s="7"/>
    </row>
    <row r="4" spans="1:10" x14ac:dyDescent="0.25">
      <c r="A4" s="6" t="s">
        <v>1</v>
      </c>
      <c r="B4" s="6" t="s">
        <v>5</v>
      </c>
      <c r="C4" s="6" t="s">
        <v>6</v>
      </c>
      <c r="D4" s="6" t="s">
        <v>8</v>
      </c>
      <c r="E4" s="6" t="s">
        <v>17</v>
      </c>
    </row>
    <row r="5" spans="1:10" x14ac:dyDescent="0.25">
      <c r="A5" s="6" t="s">
        <v>9</v>
      </c>
      <c r="B5" s="3">
        <v>4500</v>
      </c>
      <c r="C5" s="3">
        <v>6031</v>
      </c>
      <c r="D5" s="3"/>
      <c r="E5" s="3">
        <v>7271</v>
      </c>
      <c r="G5" s="4"/>
      <c r="H5" s="4"/>
      <c r="I5" s="4"/>
      <c r="J5" s="4"/>
    </row>
    <row r="6" spans="1:10" x14ac:dyDescent="0.25">
      <c r="A6" s="6" t="s">
        <v>10</v>
      </c>
      <c r="B6" s="3">
        <v>4470</v>
      </c>
      <c r="C6" s="3">
        <v>4154</v>
      </c>
      <c r="D6" s="3">
        <v>2121</v>
      </c>
      <c r="E6" s="3">
        <v>2527</v>
      </c>
      <c r="G6" s="4"/>
      <c r="H6" s="4"/>
      <c r="I6" s="4"/>
      <c r="J6" s="4"/>
    </row>
    <row r="7" spans="1:10" x14ac:dyDescent="0.25">
      <c r="A7" s="6" t="s">
        <v>7</v>
      </c>
      <c r="B7" s="3">
        <v>1873</v>
      </c>
      <c r="C7" s="3">
        <v>6388</v>
      </c>
      <c r="D7" s="3">
        <v>1557</v>
      </c>
      <c r="E7" s="3">
        <v>3125</v>
      </c>
      <c r="G7" s="4"/>
      <c r="H7" s="4"/>
      <c r="I7" s="4"/>
      <c r="J7" s="4"/>
    </row>
    <row r="8" spans="1:10" x14ac:dyDescent="0.25">
      <c r="A8" s="6" t="s">
        <v>14</v>
      </c>
      <c r="B8" s="3">
        <v>7808</v>
      </c>
      <c r="C8" s="3">
        <v>1386</v>
      </c>
      <c r="D8" s="3">
        <v>8229</v>
      </c>
      <c r="E8" s="3">
        <v>5155</v>
      </c>
      <c r="G8" s="4"/>
      <c r="H8" s="4"/>
      <c r="I8" s="4"/>
      <c r="J8" s="4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5">
    <tabColor rgb="FF2EA3F2"/>
  </sheetPr>
  <dimension ref="A1:J9"/>
  <sheetViews>
    <sheetView zoomScale="130" zoomScaleNormal="130" workbookViewId="0"/>
  </sheetViews>
  <sheetFormatPr defaultColWidth="8.85546875" defaultRowHeight="14.25" x14ac:dyDescent="0.25"/>
  <cols>
    <col min="1" max="1" width="15.5703125" style="2" bestFit="1" customWidth="1"/>
    <col min="2" max="4" width="11.42578125" style="2" customWidth="1"/>
    <col min="5" max="5" width="8.85546875" style="2"/>
    <col min="6" max="6" width="9.85546875" style="2" bestFit="1" customWidth="1"/>
    <col min="7" max="16384" width="8.85546875" style="2"/>
  </cols>
  <sheetData>
    <row r="1" spans="1:10" x14ac:dyDescent="0.25">
      <c r="A1" s="6" t="s">
        <v>2</v>
      </c>
      <c r="B1" s="1" t="s">
        <v>3</v>
      </c>
    </row>
    <row r="3" spans="1:10" x14ac:dyDescent="0.25">
      <c r="A3" s="6" t="s">
        <v>16</v>
      </c>
      <c r="B3" s="7" t="s">
        <v>0</v>
      </c>
      <c r="C3" s="7"/>
      <c r="D3" s="7"/>
    </row>
    <row r="4" spans="1:10" x14ac:dyDescent="0.25">
      <c r="A4" s="6" t="s">
        <v>1</v>
      </c>
      <c r="B4" s="6" t="s">
        <v>18</v>
      </c>
      <c r="C4" s="6" t="s">
        <v>8</v>
      </c>
      <c r="D4" s="6" t="s">
        <v>11</v>
      </c>
    </row>
    <row r="5" spans="1:10" x14ac:dyDescent="0.25">
      <c r="A5" s="6" t="s">
        <v>9</v>
      </c>
      <c r="B5" s="3">
        <v>7491</v>
      </c>
      <c r="C5" s="3">
        <v>1583</v>
      </c>
      <c r="D5" s="3">
        <v>3679</v>
      </c>
      <c r="F5" s="4"/>
      <c r="G5" s="4"/>
      <c r="H5" s="4"/>
      <c r="I5" s="4"/>
      <c r="J5" s="4"/>
    </row>
    <row r="6" spans="1:10" x14ac:dyDescent="0.25">
      <c r="A6" s="6" t="s">
        <v>10</v>
      </c>
      <c r="B6" s="3">
        <v>3303</v>
      </c>
      <c r="C6" s="3">
        <v>6088</v>
      </c>
      <c r="D6" s="3">
        <v>4338</v>
      </c>
      <c r="F6" s="4"/>
      <c r="G6" s="4"/>
      <c r="H6" s="4"/>
      <c r="I6" s="4"/>
      <c r="J6" s="4"/>
    </row>
    <row r="7" spans="1:10" x14ac:dyDescent="0.25">
      <c r="A7" s="6" t="s">
        <v>7</v>
      </c>
      <c r="B7" s="3">
        <v>1856</v>
      </c>
      <c r="C7" s="3">
        <v>4346</v>
      </c>
      <c r="D7" s="3">
        <v>3553</v>
      </c>
      <c r="F7" s="4"/>
      <c r="G7" s="4"/>
      <c r="H7" s="4"/>
      <c r="I7" s="4"/>
      <c r="J7" s="4"/>
    </row>
    <row r="8" spans="1:10" x14ac:dyDescent="0.25">
      <c r="A8" s="6" t="s">
        <v>19</v>
      </c>
      <c r="B8" s="3">
        <v>7679</v>
      </c>
      <c r="C8" s="3">
        <v>5473</v>
      </c>
      <c r="D8" s="3">
        <v>4667</v>
      </c>
      <c r="F8" s="4"/>
      <c r="G8" s="4"/>
      <c r="H8" s="4"/>
      <c r="I8" s="4"/>
      <c r="J8" s="4"/>
    </row>
    <row r="9" spans="1:10" x14ac:dyDescent="0.25">
      <c r="A9" s="6" t="s">
        <v>20</v>
      </c>
      <c r="B9" s="3"/>
      <c r="C9" s="3">
        <v>8148</v>
      </c>
      <c r="D9" s="3">
        <v>3385</v>
      </c>
      <c r="F9" s="4"/>
      <c r="G9" s="4"/>
      <c r="H9" s="4"/>
      <c r="I9" s="4"/>
      <c r="J9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ExceliAdam</vt:lpstr>
      <vt:lpstr>Suma</vt:lpstr>
      <vt:lpstr>Dolnośląskie</vt:lpstr>
      <vt:lpstr>Świętokrzyskie</vt:lpstr>
      <vt:lpstr>Lubelskie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Kopeć</dc:creator>
  <cp:lastModifiedBy>Hubert Wiedeński</cp:lastModifiedBy>
  <dcterms:created xsi:type="dcterms:W3CDTF">2019-04-12T10:56:44Z</dcterms:created>
  <dcterms:modified xsi:type="dcterms:W3CDTF">2026-10-04T21:43:28Z</dcterms:modified>
</cp:coreProperties>
</file>