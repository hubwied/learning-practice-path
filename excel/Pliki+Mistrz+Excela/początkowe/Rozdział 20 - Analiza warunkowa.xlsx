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Pliki Mistrz Excela\początkowe - ten otwieramy\"/>
    </mc:Choice>
  </mc:AlternateContent>
  <xr:revisionPtr revIDLastSave="0" documentId="13_ncr:1_{79979279-DCFF-47F2-B204-F4992857E6C9}" xr6:coauthVersionLast="43" xr6:coauthVersionMax="43" xr10:uidLastSave="{00000000-0000-0000-0000-000000000000}"/>
  <bookViews>
    <workbookView xWindow="-108" yWindow="-108" windowWidth="23256" windowHeight="12576" tabRatio="750" xr2:uid="{00000000-000D-0000-FFFF-FFFF00000000}"/>
  </bookViews>
  <sheets>
    <sheet name="ExceliAdam" sheetId="249" r:id="rId1"/>
    <sheet name="MenadżerScenariuszy" sheetId="246" r:id="rId2"/>
    <sheet name="SzukajWyniku" sheetId="247" r:id="rId3"/>
    <sheet name="TabelaDanych" sheetId="248" r:id="rId4"/>
  </sheets>
  <externalReferences>
    <externalReference r:id="rId5"/>
  </externalReferences>
  <definedNames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4" i="248" l="1"/>
  <c r="H14" i="248"/>
  <c r="I14" i="248"/>
  <c r="J14" i="248"/>
  <c r="G15" i="248"/>
  <c r="H15" i="248"/>
  <c r="I15" i="248"/>
  <c r="J15" i="248"/>
  <c r="G16" i="248"/>
  <c r="H16" i="248"/>
  <c r="I16" i="248"/>
  <c r="J16" i="248"/>
  <c r="G17" i="248"/>
  <c r="H17" i="248"/>
  <c r="I17" i="248"/>
  <c r="J17" i="248"/>
  <c r="G18" i="248"/>
  <c r="H18" i="248"/>
  <c r="I18" i="248"/>
  <c r="J18" i="248"/>
  <c r="H13" i="248"/>
  <c r="I13" i="248"/>
  <c r="J13" i="248"/>
  <c r="G13" i="248"/>
  <c r="F4" i="248" l="1"/>
  <c r="H4" i="247"/>
  <c r="G4" i="247"/>
  <c r="F4" i="247"/>
  <c r="B6" i="246"/>
  <c r="F5" i="246"/>
  <c r="E5" i="246"/>
  <c r="D5" i="246"/>
  <c r="C5" i="246"/>
  <c r="F4" i="246"/>
  <c r="E4" i="246"/>
  <c r="D4" i="246"/>
  <c r="C4" i="246"/>
  <c r="F3" i="246"/>
  <c r="E3" i="246"/>
  <c r="D3" i="246"/>
  <c r="C3" i="246"/>
  <c r="F2" i="246"/>
  <c r="E2" i="246"/>
  <c r="D2" i="246"/>
  <c r="C2" i="246"/>
  <c r="D6" i="246" l="1"/>
  <c r="E6" i="246"/>
  <c r="F6" i="246"/>
  <c r="G3" i="246"/>
  <c r="H3" i="246" s="1"/>
  <c r="G4" i="246"/>
  <c r="H4" i="246" s="1"/>
  <c r="G5" i="246"/>
  <c r="H5" i="246" s="1"/>
  <c r="C6" i="246"/>
  <c r="H6" i="246" l="1"/>
  <c r="G6" i="246"/>
</calcChain>
</file>

<file path=xl/sharedStrings.xml><?xml version="1.0" encoding="utf-8"?>
<sst xmlns="http://schemas.openxmlformats.org/spreadsheetml/2006/main" count="65" uniqueCount="59">
  <si>
    <t>Cena</t>
  </si>
  <si>
    <t>Alladyn</t>
  </si>
  <si>
    <t>Jasmina</t>
  </si>
  <si>
    <t>Jago</t>
  </si>
  <si>
    <t>Obliczanie składek pracownika Scenariusze</t>
  </si>
  <si>
    <t>Imię</t>
  </si>
  <si>
    <t>Pensja brutto</t>
  </si>
  <si>
    <t>Suma odliczeń</t>
  </si>
  <si>
    <t>Pensja netto</t>
  </si>
  <si>
    <t>Sumy:</t>
  </si>
  <si>
    <t>Tabela założeń</t>
  </si>
  <si>
    <t>Ubezpieczenie emerytalne</t>
  </si>
  <si>
    <t>Ubezpieczenie rentowe</t>
  </si>
  <si>
    <t>Fundusz Pracy</t>
  </si>
  <si>
    <t>Ubezpieczenie chorobowe</t>
  </si>
  <si>
    <t>Liczba rat</t>
  </si>
  <si>
    <t>Stopa</t>
  </si>
  <si>
    <t>Spłata</t>
  </si>
  <si>
    <t>Alt; N; J</t>
  </si>
  <si>
    <t>PMT</t>
  </si>
  <si>
    <t>Skrót klawiszowy z Excel 2003</t>
  </si>
  <si>
    <r>
      <t>↙=PMT(</t>
    </r>
    <r>
      <rPr>
        <sz val="10.5"/>
        <color rgb="FF0070C0"/>
        <rFont val="Calibri"/>
        <family val="2"/>
        <charset val="238"/>
      </rPr>
      <t>F3</t>
    </r>
    <r>
      <rPr>
        <sz val="10.5"/>
        <color theme="1"/>
        <rFont val="Calibri"/>
        <family val="2"/>
        <charset val="238"/>
      </rPr>
      <t>;</t>
    </r>
    <r>
      <rPr>
        <sz val="10.5"/>
        <color rgb="FFFF0000"/>
        <rFont val="Calibri"/>
        <family val="2"/>
        <charset val="238"/>
      </rPr>
      <t>F2</t>
    </r>
    <r>
      <rPr>
        <sz val="10.5"/>
        <color theme="1"/>
        <rFont val="Calibri"/>
        <family val="2"/>
        <charset val="238"/>
      </rPr>
      <t>;</t>
    </r>
    <r>
      <rPr>
        <sz val="10.5"/>
        <color rgb="FF7030A0"/>
        <rFont val="Calibri"/>
        <family val="2"/>
        <charset val="238"/>
      </rPr>
      <t>F1</t>
    </r>
    <r>
      <rPr>
        <sz val="10.5"/>
        <color theme="1"/>
        <rFont val="Calibri"/>
        <family val="2"/>
        <charset val="238"/>
      </rPr>
      <t>)</t>
    </r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</si>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</sst>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#,##0\ &quot;zł&quot;;[Red]\-#,##0\ &quot;zł&quot;"/>
    <numFmt numFmtId="8" formatCode="#,##0.00\ &quot;zł&quot;;[Red]\-#,##0.00\ &quot;zł&quot;"/>
    <numFmt numFmtId="164" formatCode="_(* #,##0.00_);_(* \(#,##0.00\);_(* &quot;-&quot;??_);_(@_)"/>
    <numFmt numFmtId="165" formatCode="&quot;$&quot;#,##0,"/>
    <numFmt numFmtId="166" formatCode="d\-mmm\-yyyy"/>
    <numFmt numFmtId="167" formatCode="&quot;$&quot;#,##0"/>
    <numFmt numFmtId="168" formatCode="[$-F400]h:mm:ss\ AM/PM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.5"/>
      <color theme="1"/>
      <name val="Calibri"/>
      <family val="2"/>
      <scheme val="minor"/>
    </font>
    <font>
      <b/>
      <sz val="10.5"/>
      <color theme="0"/>
      <name val="Calibri"/>
      <family val="2"/>
      <charset val="238"/>
      <scheme val="minor"/>
    </font>
    <font>
      <sz val="10.5"/>
      <color theme="1"/>
      <name val="Calibri"/>
      <family val="2"/>
      <charset val="238"/>
    </font>
    <font>
      <sz val="10.5"/>
      <color rgb="FF0070C0"/>
      <name val="Calibri"/>
      <family val="2"/>
      <charset val="238"/>
    </font>
    <font>
      <sz val="10.5"/>
      <color rgb="FFFF0000"/>
      <name val="Calibri"/>
      <family val="2"/>
      <charset val="238"/>
    </font>
    <font>
      <sz val="10.5"/>
      <color rgb="FF7030A0"/>
      <name val="Calibri"/>
      <family val="2"/>
      <charset val="238"/>
    </font>
    <font>
      <sz val="10.5"/>
      <color theme="0"/>
      <name val="Arial"/>
      <family val="2"/>
      <charset val="238"/>
    </font>
    <font>
      <sz val="10.5"/>
      <color theme="0"/>
      <name val="Kristen ITC"/>
      <family val="4"/>
    </font>
    <font>
      <sz val="10.5"/>
      <name val="Calibri"/>
      <family val="2"/>
      <charset val="238"/>
      <scheme val="minor"/>
    </font>
    <font>
      <b/>
      <sz val="10.5"/>
      <color indexed="9"/>
      <name val="Arial"/>
      <family val="2"/>
    </font>
    <font>
      <sz val="10.5"/>
      <color rgb="FF000000"/>
      <name val="Calibri"/>
      <family val="2"/>
      <scheme val="minor"/>
    </font>
    <font>
      <sz val="10.5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rgb="FF2EA3F2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21">
    <xf numFmtId="0" fontId="0" fillId="0" borderId="0"/>
    <xf numFmtId="0" fontId="4" fillId="3" borderId="1">
      <alignment wrapText="1"/>
    </xf>
    <xf numFmtId="0" fontId="5" fillId="2" borderId="2" applyBorder="0">
      <alignment horizontal="centerContinuous" wrapText="1"/>
    </xf>
    <xf numFmtId="165" fontId="6" fillId="0" borderId="0"/>
    <xf numFmtId="166" fontId="7" fillId="0" borderId="0" applyFont="0" applyFill="0" applyBorder="0" applyProtection="0">
      <alignment horizontal="center"/>
    </xf>
    <xf numFmtId="0" fontId="8" fillId="0" borderId="0"/>
    <xf numFmtId="0" fontId="8" fillId="0" borderId="0">
      <alignment wrapText="1"/>
    </xf>
    <xf numFmtId="164" fontId="8" fillId="0" borderId="0" applyFont="0" applyFill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3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2" fillId="0" borderId="0"/>
    <xf numFmtId="0" fontId="9" fillId="6" borderId="1">
      <alignment horizontal="center" vertical="center"/>
    </xf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65">
    <xf numFmtId="0" fontId="0" fillId="0" borderId="0" xfId="0"/>
    <xf numFmtId="0" fontId="13" fillId="0" borderId="0" xfId="13" applyFont="1"/>
    <xf numFmtId="0" fontId="14" fillId="6" borderId="1" xfId="15" applyFont="1">
      <alignment horizontal="center" vertical="center"/>
    </xf>
    <xf numFmtId="0" fontId="13" fillId="0" borderId="1" xfId="13" applyFont="1" applyBorder="1"/>
    <xf numFmtId="9" fontId="13" fillId="0" borderId="4" xfId="13" applyNumberFormat="1" applyFont="1" applyBorder="1"/>
    <xf numFmtId="0" fontId="15" fillId="0" borderId="0" xfId="13" applyFont="1"/>
    <xf numFmtId="8" fontId="13" fillId="0" borderId="1" xfId="13" applyNumberFormat="1" applyFont="1" applyBorder="1"/>
    <xf numFmtId="0" fontId="13" fillId="0" borderId="0" xfId="13" applyNumberFormat="1" applyFont="1"/>
    <xf numFmtId="168" fontId="13" fillId="0" borderId="0" xfId="13" applyNumberFormat="1" applyFont="1"/>
    <xf numFmtId="0" fontId="13" fillId="0" borderId="0" xfId="13" applyFont="1" applyAlignment="1">
      <alignment wrapText="1"/>
    </xf>
    <xf numFmtId="0" fontId="14" fillId="6" borderId="1" xfId="8" applyFont="1" applyFill="1" applyBorder="1" applyAlignment="1">
      <alignment horizontal="center" vertical="center" wrapText="1"/>
    </xf>
    <xf numFmtId="6" fontId="13" fillId="0" borderId="1" xfId="13" applyNumberFormat="1" applyFont="1" applyBorder="1"/>
    <xf numFmtId="10" fontId="13" fillId="0" borderId="4" xfId="13" applyNumberFormat="1" applyFont="1" applyBorder="1"/>
    <xf numFmtId="0" fontId="14" fillId="6" borderId="2" xfId="8" applyFont="1" applyFill="1" applyBorder="1" applyAlignment="1">
      <alignment horizontal="center" vertical="center" wrapText="1"/>
    </xf>
    <xf numFmtId="0" fontId="13" fillId="0" borderId="0" xfId="13" applyFont="1" applyAlignment="1"/>
    <xf numFmtId="0" fontId="19" fillId="8" borderId="2" xfId="13" applyFont="1" applyFill="1" applyBorder="1" applyAlignment="1">
      <alignment horizontal="centerContinuous"/>
    </xf>
    <xf numFmtId="0" fontId="20" fillId="8" borderId="2" xfId="13" applyFont="1" applyFill="1" applyBorder="1" applyAlignment="1">
      <alignment horizontal="centerContinuous"/>
    </xf>
    <xf numFmtId="8" fontId="13" fillId="0" borderId="1" xfId="13" applyNumberFormat="1" applyFont="1" applyFill="1" applyBorder="1"/>
    <xf numFmtId="8" fontId="21" fillId="9" borderId="1" xfId="9" applyNumberFormat="1" applyFont="1" applyFill="1" applyBorder="1"/>
    <xf numFmtId="8" fontId="13" fillId="0" borderId="5" xfId="13" applyNumberFormat="1" applyFont="1" applyBorder="1"/>
    <xf numFmtId="0" fontId="22" fillId="7" borderId="1" xfId="13" applyFont="1" applyFill="1" applyBorder="1" applyAlignment="1">
      <alignment horizontal="centerContinuous" vertical="center"/>
    </xf>
    <xf numFmtId="0" fontId="22" fillId="7" borderId="1" xfId="13" applyFont="1" applyFill="1" applyBorder="1" applyAlignment="1">
      <alignment horizontal="center" vertical="center" wrapText="1"/>
    </xf>
    <xf numFmtId="10" fontId="23" fillId="0" borderId="1" xfId="14" applyNumberFormat="1" applyFont="1" applyBorder="1"/>
    <xf numFmtId="10" fontId="23" fillId="0" borderId="3" xfId="14" applyNumberFormat="1" applyFont="1" applyBorder="1"/>
    <xf numFmtId="0" fontId="24" fillId="0" borderId="0" xfId="14" applyFont="1"/>
    <xf numFmtId="10" fontId="13" fillId="0" borderId="1" xfId="12" applyNumberFormat="1" applyFont="1" applyBorder="1"/>
    <xf numFmtId="167" fontId="13" fillId="0" borderId="0" xfId="13" applyNumberFormat="1" applyFont="1" applyAlignment="1">
      <alignment wrapText="1"/>
    </xf>
    <xf numFmtId="0" fontId="1" fillId="0" borderId="0" xfId="17"/>
    <xf numFmtId="0" fontId="12" fillId="0" borderId="0" xfId="18" applyFont="1" applyAlignment="1">
      <alignment vertical="center"/>
    </xf>
    <xf numFmtId="0" fontId="12" fillId="0" borderId="0" xfId="18" applyFont="1" applyAlignment="1">
      <alignment vertical="center"/>
    </xf>
    <xf numFmtId="0" fontId="27" fillId="0" borderId="0" xfId="19" applyFont="1" applyAlignment="1">
      <alignment vertical="center"/>
    </xf>
    <xf numFmtId="0" fontId="26" fillId="0" borderId="0" xfId="19" applyFont="1" applyAlignment="1">
      <alignment vertical="center"/>
    </xf>
    <xf numFmtId="0" fontId="28" fillId="0" borderId="0" xfId="17" applyFont="1" applyAlignment="1">
      <alignment vertical="center"/>
    </xf>
    <xf numFmtId="0" fontId="28" fillId="0" borderId="0" xfId="17" applyFont="1" applyAlignment="1">
      <alignment vertical="center"/>
    </xf>
    <xf numFmtId="0" fontId="1" fillId="0" borderId="6" xfId="17" applyBorder="1"/>
    <xf numFmtId="0" fontId="12" fillId="0" borderId="6" xfId="17" applyFont="1" applyBorder="1" applyAlignment="1">
      <alignment wrapText="1"/>
    </xf>
    <xf numFmtId="0" fontId="12" fillId="0" borderId="0" xfId="17" applyFont="1" applyBorder="1" applyAlignment="1">
      <alignment wrapText="1"/>
    </xf>
    <xf numFmtId="0" fontId="0" fillId="0" borderId="6" xfId="17" applyFont="1" applyBorder="1" applyAlignment="1">
      <alignment vertical="top"/>
    </xf>
    <xf numFmtId="0" fontId="0" fillId="0" borderId="0" xfId="17" applyFont="1" applyBorder="1" applyAlignment="1">
      <alignment vertical="top"/>
    </xf>
    <xf numFmtId="0" fontId="12" fillId="0" borderId="0" xfId="17" applyFont="1" applyBorder="1" applyAlignment="1">
      <alignment wrapText="1"/>
    </xf>
    <xf numFmtId="0" fontId="0" fillId="0" borderId="0" xfId="17" applyFont="1" applyBorder="1" applyAlignment="1">
      <alignment vertical="top"/>
    </xf>
    <xf numFmtId="0" fontId="27" fillId="0" borderId="0" xfId="19" applyFont="1" applyAlignment="1"/>
    <xf numFmtId="0" fontId="26" fillId="0" borderId="0" xfId="19" applyAlignment="1"/>
    <xf numFmtId="0" fontId="1" fillId="0" borderId="0" xfId="17" applyFont="1" applyAlignment="1">
      <alignment vertical="top"/>
    </xf>
    <xf numFmtId="0" fontId="1" fillId="0" borderId="0" xfId="17" applyFont="1" applyAlignment="1">
      <alignment vertical="top"/>
    </xf>
    <xf numFmtId="0" fontId="27" fillId="0" borderId="0" xfId="16" applyFont="1" applyAlignment="1"/>
    <xf numFmtId="0" fontId="27" fillId="0" borderId="0" xfId="16" applyFont="1" applyAlignment="1"/>
    <xf numFmtId="0" fontId="12" fillId="0" borderId="6" xfId="17" applyFont="1" applyBorder="1" applyAlignment="1">
      <alignment vertical="center"/>
    </xf>
    <xf numFmtId="0" fontId="12" fillId="0" borderId="0" xfId="17" applyFont="1" applyBorder="1" applyAlignment="1">
      <alignment vertical="center"/>
    </xf>
    <xf numFmtId="0" fontId="12" fillId="0" borderId="0" xfId="17" applyFont="1" applyBorder="1" applyAlignment="1">
      <alignment vertical="center"/>
    </xf>
    <xf numFmtId="0" fontId="1" fillId="0" borderId="0" xfId="17" applyFont="1" applyAlignment="1">
      <alignment vertical="center"/>
    </xf>
    <xf numFmtId="0" fontId="1" fillId="0" borderId="0" xfId="17" applyFont="1" applyAlignment="1">
      <alignment vertical="center"/>
    </xf>
    <xf numFmtId="0" fontId="25" fillId="0" borderId="0" xfId="16" applyAlignment="1"/>
    <xf numFmtId="0" fontId="12" fillId="0" borderId="6" xfId="17" applyFont="1" applyBorder="1" applyAlignment="1">
      <alignment vertical="top" wrapText="1"/>
    </xf>
    <xf numFmtId="0" fontId="12" fillId="0" borderId="0" xfId="17" applyFont="1" applyBorder="1" applyAlignment="1">
      <alignment vertical="top" wrapText="1"/>
    </xf>
    <xf numFmtId="0" fontId="12" fillId="0" borderId="0" xfId="17" applyFont="1" applyBorder="1" applyAlignment="1">
      <alignment vertical="top" wrapText="1"/>
    </xf>
    <xf numFmtId="0" fontId="26" fillId="0" borderId="0" xfId="19" applyAlignment="1">
      <alignment vertical="center"/>
    </xf>
    <xf numFmtId="0" fontId="12" fillId="0" borderId="0" xfId="17" applyFont="1" applyAlignment="1"/>
    <xf numFmtId="0" fontId="26" fillId="0" borderId="0" xfId="19" applyAlignment="1">
      <alignment vertical="center"/>
    </xf>
    <xf numFmtId="0" fontId="25" fillId="0" borderId="0" xfId="20" applyAlignment="1">
      <alignment vertical="center"/>
    </xf>
    <xf numFmtId="0" fontId="1" fillId="10" borderId="0" xfId="17" applyFont="1" applyFill="1" applyAlignment="1">
      <alignment vertical="top" wrapText="1"/>
    </xf>
    <xf numFmtId="0" fontId="1" fillId="10" borderId="0" xfId="17" applyFont="1" applyFill="1" applyAlignment="1">
      <alignment vertical="top" wrapText="1"/>
    </xf>
    <xf numFmtId="0" fontId="1" fillId="10" borderId="0" xfId="17" applyFont="1" applyFill="1" applyAlignment="1">
      <alignment wrapText="1"/>
    </xf>
    <xf numFmtId="0" fontId="1" fillId="10" borderId="0" xfId="17" applyFont="1" applyFill="1" applyAlignment="1">
      <alignment wrapText="1"/>
    </xf>
    <xf numFmtId="0" fontId="1" fillId="0" borderId="0" xfId="17" applyFont="1" applyAlignment="1">
      <alignment vertical="top" wrapText="1"/>
    </xf>
  </cellXfs>
  <cellStyles count="21">
    <cellStyle name="Akcent 1" xfId="8" builtinId="29"/>
    <cellStyle name="Akcent 6" xfId="9" builtinId="49"/>
    <cellStyle name="blue" xfId="1" xr:uid="{00000000-0005-0000-0000-000002000000}"/>
    <cellStyle name="BlueTitle" xfId="2" xr:uid="{00000000-0005-0000-0000-000003000000}"/>
    <cellStyle name="Comma 2" xfId="7" xr:uid="{00000000-0005-0000-0000-000004000000}"/>
    <cellStyle name="Currency Round to thousands" xfId="3" xr:uid="{00000000-0005-0000-0000-000005000000}"/>
    <cellStyle name="Dziesiętny 2" xfId="11" xr:uid="{00000000-0005-0000-0000-000006000000}"/>
    <cellStyle name="Excel - Etykiety light" xfId="15" xr:uid="{00000000-0005-0000-0000-000007000000}"/>
    <cellStyle name="Four-Digit Year" xfId="4" xr:uid="{00000000-0005-0000-0000-000008000000}"/>
    <cellStyle name="Hiperłącze" xfId="16" builtinId="8"/>
    <cellStyle name="Hiperłącze 2" xfId="19" xr:uid="{693563AE-1B06-41EC-8124-97146DAD9002}"/>
    <cellStyle name="Hiperłącze 2 3" xfId="20" xr:uid="{BF728216-76D8-4BA0-B528-7C089207D907}"/>
    <cellStyle name="Normal 2" xfId="5" xr:uid="{00000000-0005-0000-0000-000009000000}"/>
    <cellStyle name="Normalny" xfId="0" builtinId="0"/>
    <cellStyle name="Normalny 2" xfId="10" xr:uid="{00000000-0005-0000-0000-00000B000000}"/>
    <cellStyle name="Normalny 2 2" xfId="13" xr:uid="{00000000-0005-0000-0000-00000C000000}"/>
    <cellStyle name="Normalny 2 3 2 2" xfId="17" xr:uid="{C5FC8F53-00A8-4ACB-8CF6-D9E91A1F20CA}"/>
    <cellStyle name="Normalny 3" xfId="14" xr:uid="{00000000-0005-0000-0000-00000D000000}"/>
    <cellStyle name="Normalny 4 2" xfId="18" xr:uid="{BF8B198B-88F4-4418-9440-26589AC41F45}"/>
    <cellStyle name="Procentowy" xfId="12" builtinId="5"/>
    <cellStyle name="Wrap Text" xfId="6" xr:uid="{00000000-0005-0000-0000-00000F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CFF1D6"/>
      <color rgb="FFEEEE22"/>
      <color rgb="FFA6E4B3"/>
      <color rgb="FFB3A3C9"/>
      <color rgb="FF9B86B8"/>
      <color rgb="FF2EA3F2"/>
      <color rgb="FFDD3333"/>
      <color rgb="FFEA7E7E"/>
      <color rgb="FF5FCE77"/>
      <color rgb="FFDD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35A40288-B281-4472-B372-4E4C1A9E2A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CA81E1D0-674C-4EA4-B11A-C335EAC39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E7B472CD-3921-4085-9E01-C942327D4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810011B7-BF79-44D0-A286-8F166D56EB77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3695BBA-BBC0-42D6-B099-EBA7DC080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D3353BD-85B5-4C22-B51D-1C4766F68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CF8AA73-7184-4906-9ED6-9935F1847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B5EAD37-974C-4F0E-8BD2-DE4A1157F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B4754A3-707F-4B70-A805-B0E710514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A4E412E-47A2-47D0-91B1-49305F7AD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5D5902AE-2D48-481E-8B8B-02F777C3E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522EBAEF-CA65-4E63-A665-D83229902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DC3728C8-6A1A-4035-9A06-260B29E2D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6</xdr:row>
      <xdr:rowOff>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0058" cy="1143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6</xdr:row>
      <xdr:rowOff>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0058" cy="1143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ozdzia&#322;%2001%20-%20Konsolidac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liAdam"/>
      <sheetName val="Suma"/>
      <sheetName val="Dolnośląskie"/>
      <sheetName val="Świętokrzyskie"/>
      <sheetName val="Lubelsk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8053-A0D3-46EC-8B00-8DFDF29AD59C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27" customWidth="1"/>
    <col min="100" max="101" width="2.44140625" customWidth="1"/>
    <col min="102" max="105" width="9.109375" style="27"/>
    <col min="106" max="106" width="10.6640625" style="27" customWidth="1"/>
    <col min="107" max="107" width="73.6640625" style="27" customWidth="1"/>
    <col min="108" max="108" width="6.33203125" style="27" customWidth="1"/>
    <col min="109" max="16384" width="9.109375" style="27"/>
  </cols>
  <sheetData>
    <row r="1" spans="18:99" customFormat="1" ht="6" customHeight="1" x14ac:dyDescent="0.3"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</row>
    <row r="2" spans="18:99" customFormat="1" ht="6" customHeight="1" x14ac:dyDescent="0.3">
      <c r="R2" s="27"/>
      <c r="S2" s="27"/>
      <c r="T2" s="27"/>
      <c r="U2" s="27"/>
      <c r="V2" s="27"/>
      <c r="W2" s="27"/>
      <c r="X2" s="27"/>
      <c r="Y2" s="27"/>
      <c r="Z2" s="28" t="s">
        <v>22</v>
      </c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9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</row>
    <row r="3" spans="18:99" customFormat="1" ht="6" customHeight="1" x14ac:dyDescent="0.3">
      <c r="R3" s="27"/>
      <c r="S3" s="27"/>
      <c r="T3" s="27"/>
      <c r="U3" s="27"/>
      <c r="V3" s="27"/>
      <c r="W3" s="27"/>
      <c r="X3" s="27"/>
      <c r="Y3" s="27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9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</row>
    <row r="4" spans="18:99" customFormat="1" ht="6" customHeight="1" x14ac:dyDescent="0.3">
      <c r="R4" s="27"/>
      <c r="S4" s="27"/>
      <c r="T4" s="27"/>
      <c r="U4" s="27"/>
      <c r="V4" s="27"/>
      <c r="W4" s="27"/>
      <c r="X4" s="27"/>
      <c r="Y4" s="27"/>
      <c r="Z4" s="30" t="s">
        <v>23</v>
      </c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1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</row>
    <row r="5" spans="18:99" customFormat="1" ht="6" customHeight="1" x14ac:dyDescent="0.3">
      <c r="R5" s="32" t="s">
        <v>24</v>
      </c>
      <c r="S5" s="32"/>
      <c r="T5" s="32"/>
      <c r="U5" s="32"/>
      <c r="V5" s="32"/>
      <c r="W5" s="32"/>
      <c r="X5" s="27"/>
      <c r="Y5" s="27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1"/>
      <c r="BE5" s="27"/>
      <c r="BF5" s="32" t="s">
        <v>25</v>
      </c>
      <c r="BG5" s="32"/>
      <c r="BH5" s="32"/>
      <c r="BI5" s="32"/>
      <c r="BJ5" s="32"/>
      <c r="BK5" s="32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</row>
    <row r="6" spans="18:99" customFormat="1" ht="6" customHeight="1" x14ac:dyDescent="0.3">
      <c r="R6" s="32"/>
      <c r="S6" s="32"/>
      <c r="T6" s="32"/>
      <c r="U6" s="32"/>
      <c r="V6" s="32"/>
      <c r="W6" s="32"/>
      <c r="X6" s="27"/>
      <c r="Y6" s="27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1"/>
      <c r="BE6" s="27"/>
      <c r="BF6" s="32"/>
      <c r="BG6" s="32"/>
      <c r="BH6" s="32"/>
      <c r="BI6" s="32"/>
      <c r="BJ6" s="32"/>
      <c r="BK6" s="32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</row>
    <row r="7" spans="18:99" customFormat="1" ht="6" customHeight="1" x14ac:dyDescent="0.3">
      <c r="R7" s="32"/>
      <c r="S7" s="32"/>
      <c r="T7" s="32"/>
      <c r="U7" s="32"/>
      <c r="V7" s="32"/>
      <c r="W7" s="32"/>
      <c r="X7" s="33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32"/>
      <c r="BG7" s="32"/>
      <c r="BH7" s="32"/>
      <c r="BI7" s="32"/>
      <c r="BJ7" s="32"/>
      <c r="BK7" s="32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</row>
    <row r="8" spans="18:99" customFormat="1" ht="6" customHeight="1" x14ac:dyDescent="0.3"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</row>
    <row r="9" spans="18:99" customFormat="1" ht="6" customHeight="1" x14ac:dyDescent="0.3">
      <c r="R9" s="34"/>
      <c r="S9" s="34"/>
      <c r="T9" s="34"/>
      <c r="U9" s="34"/>
      <c r="V9" s="34"/>
      <c r="W9" s="34"/>
      <c r="X9" s="34"/>
      <c r="Y9" s="34"/>
      <c r="Z9" s="35" t="s">
        <v>26</v>
      </c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  <c r="BE9" s="27"/>
      <c r="BF9" s="34"/>
      <c r="BG9" s="34"/>
      <c r="BH9" s="34"/>
      <c r="BI9" s="34"/>
      <c r="BJ9" s="34"/>
      <c r="BK9" s="34"/>
      <c r="BL9" s="34"/>
      <c r="BM9" s="34"/>
      <c r="BN9" s="37" t="s">
        <v>27</v>
      </c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8"/>
      <c r="CS9" s="38"/>
      <c r="CT9" s="38"/>
      <c r="CU9" s="38"/>
    </row>
    <row r="10" spans="18:99" customFormat="1" ht="6" customHeight="1" x14ac:dyDescent="0.3">
      <c r="R10" s="27"/>
      <c r="S10" s="27"/>
      <c r="T10" s="27"/>
      <c r="U10" s="27"/>
      <c r="V10" s="27"/>
      <c r="W10" s="27"/>
      <c r="X10" s="27"/>
      <c r="Y10" s="27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6"/>
      <c r="BE10" s="27"/>
      <c r="BF10" s="27"/>
      <c r="BG10" s="27"/>
      <c r="BH10" s="27"/>
      <c r="BI10" s="27"/>
      <c r="BJ10" s="27"/>
      <c r="BK10" s="27"/>
      <c r="BL10" s="27"/>
      <c r="BM10" s="27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38"/>
      <c r="CS10" s="38"/>
      <c r="CT10" s="38"/>
      <c r="CU10" s="38"/>
    </row>
    <row r="11" spans="18:99" customFormat="1" ht="6" customHeight="1" x14ac:dyDescent="0.3">
      <c r="R11" s="27"/>
      <c r="S11" s="27"/>
      <c r="T11" s="27"/>
      <c r="U11" s="27"/>
      <c r="V11" s="27"/>
      <c r="W11" s="27"/>
      <c r="X11" s="27"/>
      <c r="Y11" s="27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6"/>
      <c r="BE11" s="27"/>
      <c r="BF11" s="27"/>
      <c r="BG11" s="27"/>
      <c r="BH11" s="27"/>
      <c r="BI11" s="27"/>
      <c r="BJ11" s="27"/>
      <c r="BK11" s="27"/>
      <c r="BL11" s="27"/>
      <c r="BM11" s="27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38"/>
      <c r="CS11" s="38"/>
      <c r="CT11" s="38"/>
      <c r="CU11" s="38"/>
    </row>
    <row r="12" spans="18:99" customFormat="1" ht="6" customHeight="1" x14ac:dyDescent="0.3">
      <c r="R12" s="27"/>
      <c r="S12" s="27"/>
      <c r="T12" s="27"/>
      <c r="U12" s="27"/>
      <c r="V12" s="27"/>
      <c r="W12" s="27"/>
      <c r="X12" s="27"/>
      <c r="Y12" s="27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6"/>
      <c r="BE12" s="27"/>
      <c r="BF12" s="27"/>
      <c r="BG12" s="27"/>
      <c r="BH12" s="27"/>
      <c r="BI12" s="27"/>
      <c r="BJ12" s="27"/>
      <c r="BK12" s="27"/>
      <c r="BL12" s="27"/>
      <c r="BM12" s="27"/>
      <c r="BN12" s="41" t="s">
        <v>28</v>
      </c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2"/>
      <c r="CS12" s="42"/>
      <c r="CT12" s="42"/>
      <c r="CU12" s="42"/>
    </row>
    <row r="13" spans="18:99" customFormat="1" ht="6" customHeight="1" x14ac:dyDescent="0.3">
      <c r="R13" s="27"/>
      <c r="S13" s="27"/>
      <c r="T13" s="27"/>
      <c r="U13" s="27"/>
      <c r="V13" s="27"/>
      <c r="W13" s="27"/>
      <c r="X13" s="27"/>
      <c r="Y13" s="27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6"/>
      <c r="BE13" s="27"/>
      <c r="BF13" s="27"/>
      <c r="BG13" s="27"/>
      <c r="BH13" s="27"/>
      <c r="BI13" s="27"/>
      <c r="BJ13" s="27"/>
      <c r="BK13" s="27"/>
      <c r="BL13" s="27"/>
      <c r="BM13" s="27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2"/>
      <c r="CS13" s="42"/>
      <c r="CT13" s="42"/>
      <c r="CU13" s="42"/>
    </row>
    <row r="14" spans="18:99" customFormat="1" ht="6" customHeight="1" x14ac:dyDescent="0.3">
      <c r="R14" s="27"/>
      <c r="S14" s="27"/>
      <c r="T14" s="27"/>
      <c r="U14" s="27"/>
      <c r="V14" s="27"/>
      <c r="W14" s="27"/>
      <c r="X14" s="27"/>
      <c r="Y14" s="27"/>
      <c r="Z14" s="43" t="s">
        <v>29</v>
      </c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4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</row>
    <row r="15" spans="18:99" customFormat="1" ht="6" customHeight="1" x14ac:dyDescent="0.3">
      <c r="R15" s="27"/>
      <c r="S15" s="27"/>
      <c r="T15" s="27"/>
      <c r="U15" s="27"/>
      <c r="V15" s="27"/>
      <c r="W15" s="27"/>
      <c r="X15" s="27"/>
      <c r="Y15" s="27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4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</row>
    <row r="16" spans="18:99" customFormat="1" ht="6" customHeight="1" x14ac:dyDescent="0.3">
      <c r="R16" s="27"/>
      <c r="S16" s="27"/>
      <c r="T16" s="27"/>
      <c r="U16" s="27"/>
      <c r="V16" s="27"/>
      <c r="W16" s="27"/>
      <c r="X16" s="27"/>
      <c r="Y16" s="27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4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</row>
    <row r="17" spans="18:101" s="27" customFormat="1" ht="6" customHeight="1" x14ac:dyDescent="0.3">
      <c r="Z17" s="45" t="s">
        <v>30</v>
      </c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6"/>
      <c r="CV17"/>
      <c r="CW17"/>
    </row>
    <row r="18" spans="18:101" s="27" customFormat="1" ht="6" customHeight="1" x14ac:dyDescent="0.3"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6"/>
      <c r="CV18"/>
      <c r="CW18"/>
    </row>
    <row r="19" spans="18:101" s="27" customFormat="1" ht="6" customHeight="1" x14ac:dyDescent="0.3">
      <c r="CV19"/>
      <c r="CW19"/>
    </row>
    <row r="20" spans="18:101" s="27" customFormat="1" ht="6" customHeight="1" x14ac:dyDescent="0.3">
      <c r="CV20"/>
      <c r="CW20"/>
    </row>
    <row r="21" spans="18:101" s="27" customFormat="1" ht="6" customHeight="1" x14ac:dyDescent="0.3">
      <c r="R21" s="34"/>
      <c r="S21" s="34"/>
      <c r="T21" s="34"/>
      <c r="U21" s="34"/>
      <c r="V21" s="34"/>
      <c r="W21" s="34"/>
      <c r="X21" s="34"/>
      <c r="Y21" s="34"/>
      <c r="Z21" s="47" t="s">
        <v>31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8"/>
      <c r="CV21"/>
      <c r="CW21"/>
    </row>
    <row r="22" spans="18:101" s="27" customFormat="1" ht="6" customHeight="1" x14ac:dyDescent="0.3"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8"/>
      <c r="CV22"/>
      <c r="CW22"/>
    </row>
    <row r="23" spans="18:101" s="27" customFormat="1" ht="6" customHeight="1" x14ac:dyDescent="0.3">
      <c r="Z23" s="50" t="s">
        <v>32</v>
      </c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1"/>
      <c r="CV23"/>
      <c r="CW23"/>
    </row>
    <row r="24" spans="18:101" s="27" customFormat="1" ht="6" customHeight="1" x14ac:dyDescent="0.3"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1"/>
      <c r="CV24"/>
      <c r="CW24"/>
    </row>
    <row r="25" spans="18:101" s="27" customFormat="1" ht="6" customHeight="1" x14ac:dyDescent="0.3">
      <c r="CV25"/>
      <c r="CW25"/>
    </row>
    <row r="26" spans="18:101" s="27" customFormat="1" ht="6" customHeight="1" x14ac:dyDescent="0.3">
      <c r="Z26" s="45" t="s">
        <v>33</v>
      </c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6"/>
      <c r="CV26"/>
      <c r="CW26"/>
    </row>
    <row r="27" spans="18:101" s="27" customFormat="1" ht="6" customHeight="1" x14ac:dyDescent="0.3"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6"/>
      <c r="CV27"/>
      <c r="CW27"/>
    </row>
    <row r="28" spans="18:101" s="27" customFormat="1" ht="6" customHeight="1" x14ac:dyDescent="0.3"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CV28"/>
      <c r="CW28"/>
    </row>
    <row r="29" spans="18:101" s="27" customFormat="1" ht="6" customHeight="1" x14ac:dyDescent="0.3">
      <c r="CV29"/>
      <c r="CW29"/>
    </row>
    <row r="30" spans="18:101" s="27" customFormat="1" ht="6" customHeight="1" x14ac:dyDescent="0.3">
      <c r="CV30"/>
      <c r="CW30"/>
    </row>
    <row r="31" spans="18:101" s="27" customFormat="1" ht="6" customHeight="1" x14ac:dyDescent="0.3">
      <c r="CV31"/>
      <c r="CW31"/>
    </row>
    <row r="32" spans="18:101" s="27" customFormat="1" ht="6" customHeight="1" x14ac:dyDescent="0.3">
      <c r="R32" s="34"/>
      <c r="S32" s="34"/>
      <c r="T32" s="34"/>
      <c r="U32" s="34"/>
      <c r="V32" s="34"/>
      <c r="W32" s="34"/>
      <c r="X32" s="34"/>
      <c r="Y32" s="34"/>
      <c r="Z32" s="53" t="s">
        <v>34</v>
      </c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4"/>
      <c r="CV32"/>
      <c r="CW32"/>
    </row>
    <row r="33" spans="18:99" customFormat="1" ht="6" customHeight="1" x14ac:dyDescent="0.3">
      <c r="R33" s="27"/>
      <c r="S33" s="27"/>
      <c r="T33" s="27"/>
      <c r="U33" s="27"/>
      <c r="V33" s="27"/>
      <c r="W33" s="27"/>
      <c r="X33" s="27"/>
      <c r="Y33" s="27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4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</row>
    <row r="34" spans="18:99" customFormat="1" ht="6" customHeight="1" x14ac:dyDescent="0.3">
      <c r="R34" s="27"/>
      <c r="S34" s="27"/>
      <c r="T34" s="27"/>
      <c r="U34" s="27"/>
      <c r="V34" s="27"/>
      <c r="W34" s="27"/>
      <c r="X34" s="27"/>
      <c r="Y34" s="27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4"/>
      <c r="BE34" s="27"/>
      <c r="BF34" s="34"/>
      <c r="BG34" s="34"/>
      <c r="BH34" s="34"/>
      <c r="BI34" s="34"/>
      <c r="BJ34" s="34"/>
      <c r="BK34" s="34"/>
      <c r="BL34" s="34"/>
      <c r="BM34" s="34"/>
      <c r="BN34" s="37" t="s">
        <v>35</v>
      </c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8"/>
      <c r="CS34" s="38"/>
      <c r="CT34" s="38"/>
      <c r="CU34" s="38"/>
    </row>
    <row r="35" spans="18:99" customFormat="1" ht="6" customHeight="1" x14ac:dyDescent="0.3">
      <c r="R35" s="27"/>
      <c r="S35" s="27"/>
      <c r="T35" s="27"/>
      <c r="U35" s="27"/>
      <c r="V35" s="27"/>
      <c r="W35" s="27"/>
      <c r="X35" s="27"/>
      <c r="Y35" s="27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4"/>
      <c r="BE35" s="27"/>
      <c r="BF35" s="27"/>
      <c r="BG35" s="27"/>
      <c r="BH35" s="27"/>
      <c r="BI35" s="27"/>
      <c r="BJ35" s="27"/>
      <c r="BK35" s="27"/>
      <c r="BL35" s="27"/>
      <c r="BM35" s="27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38"/>
      <c r="CS35" s="38"/>
      <c r="CT35" s="38"/>
      <c r="CU35" s="38"/>
    </row>
    <row r="36" spans="18:99" customFormat="1" ht="6" customHeight="1" x14ac:dyDescent="0.3">
      <c r="R36" s="27"/>
      <c r="S36" s="27"/>
      <c r="T36" s="27"/>
      <c r="U36" s="27"/>
      <c r="V36" s="27"/>
      <c r="W36" s="27"/>
      <c r="X36" s="27"/>
      <c r="Y36" s="27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4"/>
      <c r="BE36" s="27"/>
      <c r="BF36" s="27"/>
      <c r="BG36" s="27"/>
      <c r="BH36" s="27"/>
      <c r="BI36" s="27"/>
      <c r="BJ36" s="27"/>
      <c r="BK36" s="27"/>
      <c r="BL36" s="27"/>
      <c r="BM36" s="27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38"/>
      <c r="CS36" s="38"/>
      <c r="CT36" s="38"/>
      <c r="CU36" s="38"/>
    </row>
    <row r="37" spans="18:99" customFormat="1" ht="6" customHeight="1" x14ac:dyDescent="0.3">
      <c r="R37" s="27"/>
      <c r="S37" s="27"/>
      <c r="T37" s="27"/>
      <c r="U37" s="27"/>
      <c r="V37" s="27"/>
      <c r="W37" s="27"/>
      <c r="X37" s="27"/>
      <c r="Y37" s="27"/>
      <c r="Z37" s="43" t="s">
        <v>36</v>
      </c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4"/>
      <c r="BE37" s="27"/>
      <c r="BF37" s="27"/>
      <c r="BG37" s="27"/>
      <c r="BH37" s="27"/>
      <c r="BI37" s="27"/>
      <c r="BJ37" s="27"/>
      <c r="BK37" s="27"/>
      <c r="BL37" s="27"/>
      <c r="BM37" s="27"/>
      <c r="BN37" s="41" t="s">
        <v>37</v>
      </c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2"/>
      <c r="CS37" s="42"/>
      <c r="CT37" s="42"/>
      <c r="CU37" s="42"/>
    </row>
    <row r="38" spans="18:99" customFormat="1" ht="6" customHeight="1" x14ac:dyDescent="0.3">
      <c r="R38" s="27"/>
      <c r="S38" s="27"/>
      <c r="T38" s="27"/>
      <c r="U38" s="27"/>
      <c r="V38" s="27"/>
      <c r="W38" s="27"/>
      <c r="X38" s="27"/>
      <c r="Y38" s="27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4"/>
      <c r="BE38" s="27"/>
      <c r="BF38" s="27"/>
      <c r="BG38" s="27"/>
      <c r="BH38" s="27"/>
      <c r="BI38" s="27"/>
      <c r="BJ38" s="27"/>
      <c r="BK38" s="27"/>
      <c r="BL38" s="27"/>
      <c r="BM38" s="27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2"/>
      <c r="CS38" s="42"/>
      <c r="CT38" s="42"/>
      <c r="CU38" s="42"/>
    </row>
    <row r="39" spans="18:99" customFormat="1" ht="6" customHeight="1" x14ac:dyDescent="0.3">
      <c r="R39" s="27"/>
      <c r="S39" s="27"/>
      <c r="T39" s="27"/>
      <c r="U39" s="27"/>
      <c r="V39" s="27"/>
      <c r="W39" s="27"/>
      <c r="X39" s="27"/>
      <c r="Y39" s="27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4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</row>
    <row r="40" spans="18:99" customFormat="1" ht="6" customHeight="1" x14ac:dyDescent="0.3">
      <c r="R40" s="27"/>
      <c r="S40" s="27"/>
      <c r="T40" s="27"/>
      <c r="U40" s="27"/>
      <c r="V40" s="27"/>
      <c r="W40" s="27"/>
      <c r="X40" s="27"/>
      <c r="Y40" s="27"/>
      <c r="Z40" s="45" t="s">
        <v>38</v>
      </c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6"/>
      <c r="BE40" s="27"/>
      <c r="BF40" s="27"/>
      <c r="BG40" s="27"/>
      <c r="BH40" s="27"/>
      <c r="BI40" s="27"/>
      <c r="BJ40" s="27"/>
      <c r="BK40" s="27"/>
      <c r="BL40" s="27"/>
      <c r="BM40" s="27"/>
      <c r="BN40" s="40" t="s">
        <v>39</v>
      </c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38"/>
      <c r="CS40" s="38"/>
      <c r="CT40" s="38"/>
      <c r="CU40" s="38"/>
    </row>
    <row r="41" spans="18:99" customFormat="1" ht="6" customHeight="1" x14ac:dyDescent="0.3">
      <c r="R41" s="27"/>
      <c r="S41" s="27"/>
      <c r="T41" s="27"/>
      <c r="U41" s="27"/>
      <c r="V41" s="27"/>
      <c r="W41" s="27"/>
      <c r="X41" s="27"/>
      <c r="Y41" s="27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6"/>
      <c r="BE41" s="27"/>
      <c r="BF41" s="27"/>
      <c r="BG41" s="27"/>
      <c r="BH41" s="27"/>
      <c r="BI41" s="27"/>
      <c r="BJ41" s="27"/>
      <c r="BK41" s="27"/>
      <c r="BL41" s="27"/>
      <c r="BM41" s="27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38"/>
      <c r="CS41" s="38"/>
      <c r="CT41" s="38"/>
      <c r="CU41" s="38"/>
    </row>
    <row r="42" spans="18:99" customFormat="1" ht="6" customHeight="1" x14ac:dyDescent="0.3"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38"/>
      <c r="CS42" s="38"/>
      <c r="CT42" s="38"/>
      <c r="CU42" s="38"/>
    </row>
    <row r="43" spans="18:99" customFormat="1" ht="6" customHeight="1" x14ac:dyDescent="0.3">
      <c r="R43" s="34"/>
      <c r="S43" s="34"/>
      <c r="T43" s="34"/>
      <c r="U43" s="34"/>
      <c r="V43" s="34"/>
      <c r="W43" s="34"/>
      <c r="X43" s="34"/>
      <c r="Y43" s="34"/>
      <c r="Z43" s="53" t="s">
        <v>40</v>
      </c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4"/>
      <c r="BE43" s="27"/>
      <c r="BF43" s="27"/>
      <c r="BG43" s="27"/>
      <c r="BH43" s="27"/>
      <c r="BI43" s="27"/>
      <c r="BJ43" s="27"/>
      <c r="BK43" s="27"/>
      <c r="BL43" s="27"/>
      <c r="BM43" s="27"/>
      <c r="BN43" s="41" t="s">
        <v>41</v>
      </c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2"/>
      <c r="CS43" s="42"/>
      <c r="CT43" s="42"/>
      <c r="CU43" s="42"/>
    </row>
    <row r="44" spans="18:99" customFormat="1" ht="6" customHeight="1" x14ac:dyDescent="0.3">
      <c r="R44" s="27"/>
      <c r="S44" s="27"/>
      <c r="T44" s="27"/>
      <c r="U44" s="27"/>
      <c r="V44" s="27"/>
      <c r="W44" s="27"/>
      <c r="X44" s="27"/>
      <c r="Y44" s="27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4"/>
      <c r="BE44" s="27"/>
      <c r="BF44" s="27"/>
      <c r="BG44" s="27"/>
      <c r="BH44" s="27"/>
      <c r="BI44" s="27"/>
      <c r="BJ44" s="27"/>
      <c r="BK44" s="27"/>
      <c r="BL44" s="27"/>
      <c r="BM44" s="27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2"/>
      <c r="CS44" s="42"/>
      <c r="CT44" s="42"/>
      <c r="CU44" s="42"/>
    </row>
    <row r="45" spans="18:99" customFormat="1" ht="6" customHeight="1" x14ac:dyDescent="0.3">
      <c r="R45" s="27"/>
      <c r="S45" s="27"/>
      <c r="T45" s="27"/>
      <c r="U45" s="27"/>
      <c r="V45" s="27"/>
      <c r="W45" s="27"/>
      <c r="X45" s="27"/>
      <c r="Y45" s="27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4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</row>
    <row r="46" spans="18:99" customFormat="1" ht="6" customHeight="1" x14ac:dyDescent="0.3">
      <c r="R46" s="27"/>
      <c r="S46" s="27"/>
      <c r="T46" s="27"/>
      <c r="U46" s="27"/>
      <c r="V46" s="27"/>
      <c r="W46" s="27"/>
      <c r="X46" s="27"/>
      <c r="Y46" s="27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4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</row>
    <row r="47" spans="18:99" customFormat="1" ht="6" customHeight="1" x14ac:dyDescent="0.3">
      <c r="R47" s="27"/>
      <c r="S47" s="27"/>
      <c r="T47" s="27"/>
      <c r="U47" s="27"/>
      <c r="V47" s="27"/>
      <c r="W47" s="27"/>
      <c r="X47" s="27"/>
      <c r="Y47" s="27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4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</row>
    <row r="48" spans="18:99" customFormat="1" ht="6" customHeight="1" x14ac:dyDescent="0.3">
      <c r="R48" s="27"/>
      <c r="S48" s="27"/>
      <c r="T48" s="27"/>
      <c r="U48" s="27"/>
      <c r="V48" s="27"/>
      <c r="W48" s="27"/>
      <c r="X48" s="27"/>
      <c r="Y48" s="27"/>
      <c r="Z48" s="43" t="s">
        <v>42</v>
      </c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4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</row>
    <row r="49" spans="2:99" customFormat="1" ht="6" customHeight="1" x14ac:dyDescent="0.3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4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</row>
    <row r="50" spans="2:99" customFormat="1" ht="6" customHeight="1" x14ac:dyDescent="0.3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4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</row>
    <row r="51" spans="2:99" customFormat="1" ht="6" customHeight="1" x14ac:dyDescent="0.3">
      <c r="B51" s="30" t="s">
        <v>43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27"/>
      <c r="R51" s="27"/>
      <c r="S51" s="27"/>
      <c r="T51" s="27"/>
      <c r="U51" s="27"/>
      <c r="V51" s="27"/>
      <c r="W51" s="27"/>
      <c r="X51" s="27"/>
      <c r="Y51" s="27"/>
      <c r="Z51" s="45" t="s">
        <v>44</v>
      </c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6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</row>
    <row r="52" spans="2:99" customFormat="1" ht="6" customHeight="1" x14ac:dyDescent="0.3"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27"/>
      <c r="R52" s="27"/>
      <c r="S52" s="27"/>
      <c r="T52" s="27"/>
      <c r="U52" s="27"/>
      <c r="V52" s="27"/>
      <c r="W52" s="27"/>
      <c r="X52" s="27"/>
      <c r="Y52" s="27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6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</row>
    <row r="53" spans="2:99" customFormat="1" ht="6" customHeight="1" x14ac:dyDescent="0.3"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</row>
    <row r="54" spans="2:99" customFormat="1" ht="6" customHeight="1" x14ac:dyDescent="0.3">
      <c r="B54" s="57" t="s">
        <v>45</v>
      </c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27"/>
      <c r="R54" s="34"/>
      <c r="S54" s="34"/>
      <c r="T54" s="34"/>
      <c r="U54" s="34"/>
      <c r="V54" s="34"/>
      <c r="W54" s="34"/>
      <c r="X54" s="34"/>
      <c r="Y54" s="34"/>
      <c r="Z54" s="53" t="s">
        <v>46</v>
      </c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4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</row>
    <row r="55" spans="2:99" customFormat="1" ht="6" customHeight="1" x14ac:dyDescent="0.3"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27"/>
      <c r="R55" s="27"/>
      <c r="S55" s="27"/>
      <c r="T55" s="27"/>
      <c r="U55" s="27"/>
      <c r="V55" s="27"/>
      <c r="W55" s="27"/>
      <c r="X55" s="27"/>
      <c r="Y55" s="27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4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</row>
    <row r="56" spans="2:99" customFormat="1" ht="6" customHeight="1" x14ac:dyDescent="0.3"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27"/>
      <c r="R56" s="27"/>
      <c r="S56" s="27"/>
      <c r="T56" s="27"/>
      <c r="U56" s="27"/>
      <c r="V56" s="27"/>
      <c r="W56" s="27"/>
      <c r="X56" s="27"/>
      <c r="Y56" s="27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4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</row>
    <row r="57" spans="2:99" customFormat="1" ht="6" customHeight="1" x14ac:dyDescent="0.3">
      <c r="B57" s="58" t="s">
        <v>47</v>
      </c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27"/>
      <c r="R57" s="27"/>
      <c r="S57" s="27"/>
      <c r="T57" s="27"/>
      <c r="U57" s="27"/>
      <c r="V57" s="27"/>
      <c r="W57" s="27"/>
      <c r="X57" s="27"/>
      <c r="Y57" s="27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4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</row>
    <row r="58" spans="2:99" customFormat="1" ht="6" customHeight="1" x14ac:dyDescent="0.3"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27"/>
      <c r="R58" s="27"/>
      <c r="S58" s="27"/>
      <c r="T58" s="27"/>
      <c r="U58" s="27"/>
      <c r="V58" s="27"/>
      <c r="W58" s="27"/>
      <c r="X58" s="27"/>
      <c r="Y58" s="27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4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</row>
    <row r="59" spans="2:99" customFormat="1" ht="6" customHeight="1" x14ac:dyDescent="0.3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43" t="s">
        <v>48</v>
      </c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4"/>
      <c r="BE59" s="27"/>
      <c r="BF59" s="34"/>
      <c r="BG59" s="34"/>
      <c r="BH59" s="34"/>
      <c r="BI59" s="34"/>
      <c r="BJ59" s="34"/>
      <c r="BK59" s="34"/>
      <c r="BL59" s="34"/>
      <c r="BM59" s="34"/>
      <c r="BN59" s="37" t="s">
        <v>35</v>
      </c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8"/>
      <c r="CS59" s="38"/>
      <c r="CT59" s="38"/>
      <c r="CU59" s="38"/>
    </row>
    <row r="60" spans="2:99" customFormat="1" ht="6" customHeight="1" x14ac:dyDescent="0.3">
      <c r="B60" s="57" t="s">
        <v>49</v>
      </c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27"/>
      <c r="R60" s="27"/>
      <c r="S60" s="27"/>
      <c r="T60" s="27"/>
      <c r="U60" s="27"/>
      <c r="V60" s="27"/>
      <c r="W60" s="27"/>
      <c r="X60" s="27"/>
      <c r="Y60" s="27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4"/>
      <c r="BE60" s="27"/>
      <c r="BF60" s="27"/>
      <c r="BG60" s="27"/>
      <c r="BH60" s="27"/>
      <c r="BI60" s="27"/>
      <c r="BJ60" s="27"/>
      <c r="BK60" s="27"/>
      <c r="BL60" s="27"/>
      <c r="BM60" s="27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38"/>
      <c r="CS60" s="38"/>
      <c r="CT60" s="38"/>
      <c r="CU60" s="38"/>
    </row>
    <row r="61" spans="2:99" customFormat="1" ht="6" customHeight="1" x14ac:dyDescent="0.3"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27"/>
      <c r="R61" s="27"/>
      <c r="S61" s="27"/>
      <c r="T61" s="27"/>
      <c r="U61" s="27"/>
      <c r="V61" s="27"/>
      <c r="W61" s="27"/>
      <c r="X61" s="27"/>
      <c r="Y61" s="27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4"/>
      <c r="BE61" s="27"/>
      <c r="BF61" s="27"/>
      <c r="BG61" s="27"/>
      <c r="BH61" s="27"/>
      <c r="BI61" s="27"/>
      <c r="BJ61" s="27"/>
      <c r="BK61" s="27"/>
      <c r="BL61" s="27"/>
      <c r="BM61" s="27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38"/>
      <c r="CS61" s="38"/>
      <c r="CT61" s="38"/>
      <c r="CU61" s="38"/>
    </row>
    <row r="62" spans="2:99" customFormat="1" ht="6" customHeight="1" x14ac:dyDescent="0.3"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27"/>
      <c r="R62" s="27"/>
      <c r="S62" s="27"/>
      <c r="T62" s="27"/>
      <c r="U62" s="27"/>
      <c r="V62" s="27"/>
      <c r="W62" s="27"/>
      <c r="X62" s="27"/>
      <c r="Y62" s="27"/>
      <c r="Z62" s="45" t="s">
        <v>50</v>
      </c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6"/>
      <c r="BE62" s="27"/>
      <c r="BF62" s="27"/>
      <c r="BG62" s="27"/>
      <c r="BH62" s="27"/>
      <c r="BI62" s="27"/>
      <c r="BJ62" s="27"/>
      <c r="BK62" s="27"/>
      <c r="BL62" s="27"/>
      <c r="BM62" s="27"/>
      <c r="BN62" s="41" t="s">
        <v>51</v>
      </c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2"/>
      <c r="CS62" s="42"/>
      <c r="CT62" s="42"/>
      <c r="CU62" s="42"/>
    </row>
    <row r="63" spans="2:99" customFormat="1" ht="6" customHeight="1" x14ac:dyDescent="0.3">
      <c r="B63" s="59" t="s">
        <v>52</v>
      </c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27"/>
      <c r="R63" s="27"/>
      <c r="S63" s="27"/>
      <c r="T63" s="27"/>
      <c r="U63" s="27"/>
      <c r="V63" s="27"/>
      <c r="W63" s="27"/>
      <c r="X63" s="27"/>
      <c r="Y63" s="27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6"/>
      <c r="BE63" s="27"/>
      <c r="BF63" s="27"/>
      <c r="BG63" s="27"/>
      <c r="BH63" s="27"/>
      <c r="BI63" s="27"/>
      <c r="BJ63" s="27"/>
      <c r="BK63" s="27"/>
      <c r="BL63" s="27"/>
      <c r="BM63" s="27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2"/>
      <c r="CS63" s="42"/>
      <c r="CT63" s="42"/>
      <c r="CU63" s="42"/>
    </row>
    <row r="64" spans="2:99" customFormat="1" ht="6" customHeight="1" x14ac:dyDescent="0.3"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</row>
    <row r="65" spans="18:99" customFormat="1" ht="6" customHeight="1" x14ac:dyDescent="0.3">
      <c r="R65" s="34"/>
      <c r="S65" s="34"/>
      <c r="T65" s="34"/>
      <c r="U65" s="34"/>
      <c r="V65" s="34"/>
      <c r="W65" s="34"/>
      <c r="X65" s="34"/>
      <c r="Y65" s="34"/>
      <c r="Z65" s="53" t="s">
        <v>53</v>
      </c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4"/>
      <c r="BE65" s="27"/>
      <c r="BF65" s="27"/>
      <c r="BG65" s="27"/>
      <c r="BH65" s="27"/>
      <c r="BI65" s="27"/>
      <c r="BJ65" s="27"/>
      <c r="BK65" s="27"/>
      <c r="BL65" s="27"/>
      <c r="BM65" s="27"/>
      <c r="BN65" s="40" t="s">
        <v>39</v>
      </c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38"/>
      <c r="CS65" s="38"/>
      <c r="CT65" s="38"/>
      <c r="CU65" s="38"/>
    </row>
    <row r="66" spans="18:99" customFormat="1" ht="6" customHeight="1" x14ac:dyDescent="0.3">
      <c r="R66" s="27"/>
      <c r="S66" s="27"/>
      <c r="T66" s="27"/>
      <c r="U66" s="27"/>
      <c r="V66" s="27"/>
      <c r="W66" s="27"/>
      <c r="X66" s="27"/>
      <c r="Y66" s="27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4"/>
      <c r="BE66" s="27"/>
      <c r="BF66" s="27"/>
      <c r="BG66" s="27"/>
      <c r="BH66" s="27"/>
      <c r="BI66" s="27"/>
      <c r="BJ66" s="27"/>
      <c r="BK66" s="27"/>
      <c r="BL66" s="27"/>
      <c r="BM66" s="27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38"/>
      <c r="CS66" s="38"/>
      <c r="CT66" s="38"/>
      <c r="CU66" s="38"/>
    </row>
    <row r="67" spans="18:99" customFormat="1" ht="6" customHeight="1" x14ac:dyDescent="0.3">
      <c r="R67" s="27"/>
      <c r="S67" s="27"/>
      <c r="T67" s="27"/>
      <c r="U67" s="27"/>
      <c r="V67" s="27"/>
      <c r="W67" s="27"/>
      <c r="X67" s="27"/>
      <c r="Y67" s="27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4"/>
      <c r="BE67" s="27"/>
      <c r="BF67" s="27"/>
      <c r="BG67" s="27"/>
      <c r="BH67" s="27"/>
      <c r="BI67" s="27"/>
      <c r="BJ67" s="27"/>
      <c r="BK67" s="27"/>
      <c r="BL67" s="27"/>
      <c r="BM67" s="27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38"/>
      <c r="CS67" s="38"/>
      <c r="CT67" s="38"/>
      <c r="CU67" s="38"/>
    </row>
    <row r="68" spans="18:99" customFormat="1" ht="6" customHeight="1" x14ac:dyDescent="0.3">
      <c r="R68" s="27"/>
      <c r="S68" s="27"/>
      <c r="T68" s="27"/>
      <c r="U68" s="27"/>
      <c r="V68" s="27"/>
      <c r="W68" s="27"/>
      <c r="X68" s="27"/>
      <c r="Y68" s="27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4"/>
      <c r="BE68" s="27"/>
      <c r="BF68" s="27"/>
      <c r="BG68" s="27"/>
      <c r="BH68" s="27"/>
      <c r="BI68" s="27"/>
      <c r="BJ68" s="27"/>
      <c r="BK68" s="27"/>
      <c r="BL68" s="27"/>
      <c r="BM68" s="27"/>
      <c r="BN68" s="41" t="s">
        <v>54</v>
      </c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2"/>
      <c r="CS68" s="42"/>
      <c r="CT68" s="42"/>
      <c r="CU68" s="42"/>
    </row>
    <row r="69" spans="18:99" customFormat="1" ht="6" customHeight="1" x14ac:dyDescent="0.3">
      <c r="R69" s="27"/>
      <c r="S69" s="27"/>
      <c r="T69" s="27"/>
      <c r="U69" s="27"/>
      <c r="V69" s="27"/>
      <c r="W69" s="27"/>
      <c r="X69" s="27"/>
      <c r="Y69" s="27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4"/>
      <c r="BE69" s="27"/>
      <c r="BF69" s="27"/>
      <c r="BG69" s="27"/>
      <c r="BH69" s="27"/>
      <c r="BI69" s="27"/>
      <c r="BJ69" s="27"/>
      <c r="BK69" s="27"/>
      <c r="BL69" s="27"/>
      <c r="BM69" s="27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2"/>
      <c r="CS69" s="42"/>
      <c r="CT69" s="42"/>
      <c r="CU69" s="42"/>
    </row>
    <row r="70" spans="18:99" customFormat="1" ht="6" customHeight="1" x14ac:dyDescent="0.3"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</row>
    <row r="71" spans="18:99" customFormat="1" ht="6" customHeight="1" x14ac:dyDescent="0.3">
      <c r="R71" s="27"/>
      <c r="S71" s="27"/>
      <c r="T71" s="27"/>
      <c r="U71" s="27"/>
      <c r="V71" s="27"/>
      <c r="W71" s="27"/>
      <c r="X71" s="27"/>
      <c r="Y71" s="27"/>
      <c r="Z71" s="45" t="s">
        <v>55</v>
      </c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52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</row>
    <row r="72" spans="18:99" customFormat="1" ht="6" customHeight="1" x14ac:dyDescent="0.3">
      <c r="R72" s="27"/>
      <c r="S72" s="27"/>
      <c r="T72" s="27"/>
      <c r="U72" s="27"/>
      <c r="V72" s="27"/>
      <c r="W72" s="27"/>
      <c r="X72" s="27"/>
      <c r="Y72" s="27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52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</row>
    <row r="73" spans="18:99" customFormat="1" ht="6" customHeight="1" x14ac:dyDescent="0.3"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</row>
    <row r="74" spans="18:99" customFormat="1" ht="6" customHeight="1" x14ac:dyDescent="0.3">
      <c r="R74" s="27"/>
      <c r="S74" s="27"/>
      <c r="T74" s="27"/>
      <c r="U74" s="27"/>
      <c r="V74" s="27"/>
      <c r="W74" s="27"/>
      <c r="X74" s="27"/>
      <c r="Y74" s="27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</row>
    <row r="75" spans="18:99" customFormat="1" ht="6" customHeight="1" x14ac:dyDescent="0.3">
      <c r="R75" s="27"/>
      <c r="S75" s="27"/>
      <c r="T75" s="27"/>
      <c r="U75" s="27"/>
      <c r="V75" s="27"/>
      <c r="W75" s="27"/>
      <c r="X75" s="27"/>
      <c r="Y75" s="27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</row>
    <row r="76" spans="18:99" customFormat="1" ht="6" customHeight="1" x14ac:dyDescent="0.3">
      <c r="R76" s="27"/>
      <c r="S76" s="27"/>
      <c r="T76" s="27"/>
      <c r="U76" s="27"/>
      <c r="V76" s="27"/>
      <c r="W76" s="27"/>
      <c r="X76" s="27"/>
      <c r="Y76" s="27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</row>
    <row r="77" spans="18:99" customFormat="1" ht="6" customHeight="1" x14ac:dyDescent="0.3">
      <c r="R77" s="27"/>
      <c r="S77" s="27"/>
      <c r="T77" s="27"/>
      <c r="U77" s="27"/>
      <c r="V77" s="27"/>
      <c r="W77" s="27"/>
      <c r="X77" s="27"/>
      <c r="Y77" s="27"/>
      <c r="Z77" s="60" t="s">
        <v>56</v>
      </c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1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</row>
    <row r="78" spans="18:99" customFormat="1" ht="6" customHeight="1" x14ac:dyDescent="0.3">
      <c r="R78" s="27"/>
      <c r="S78" s="27"/>
      <c r="T78" s="27"/>
      <c r="U78" s="27"/>
      <c r="V78" s="27"/>
      <c r="W78" s="27"/>
      <c r="X78" s="27"/>
      <c r="Y78" s="27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1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</row>
    <row r="79" spans="18:99" customFormat="1" ht="6" customHeight="1" x14ac:dyDescent="0.3">
      <c r="R79" s="27"/>
      <c r="S79" s="27"/>
      <c r="T79" s="27"/>
      <c r="U79" s="27"/>
      <c r="V79" s="27"/>
      <c r="W79" s="27"/>
      <c r="X79" s="27"/>
      <c r="Y79" s="27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1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</row>
    <row r="80" spans="18:99" customFormat="1" ht="6" customHeight="1" x14ac:dyDescent="0.3">
      <c r="R80" s="27"/>
      <c r="S80" s="27"/>
      <c r="T80" s="27"/>
      <c r="U80" s="27"/>
      <c r="V80" s="27"/>
      <c r="W80" s="27"/>
      <c r="X80" s="27"/>
      <c r="Y80" s="27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1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</row>
    <row r="81" spans="26:101" s="27" customFormat="1" ht="6" customHeight="1" x14ac:dyDescent="0.3"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1"/>
      <c r="CV81"/>
      <c r="CW81"/>
    </row>
    <row r="82" spans="26:101" s="27" customFormat="1" ht="6" customHeight="1" x14ac:dyDescent="0.3">
      <c r="Z82" s="60" t="s">
        <v>57</v>
      </c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1"/>
      <c r="CV82"/>
      <c r="CW82"/>
    </row>
    <row r="83" spans="26:101" s="27" customFormat="1" ht="6" customHeight="1" x14ac:dyDescent="0.3"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1"/>
      <c r="CV83"/>
      <c r="CW83"/>
    </row>
    <row r="84" spans="26:101" s="27" customFormat="1" ht="6" customHeight="1" x14ac:dyDescent="0.3"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1"/>
      <c r="CV84"/>
      <c r="CW84"/>
    </row>
    <row r="85" spans="26:101" s="27" customFormat="1" ht="6" customHeight="1" x14ac:dyDescent="0.3"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1"/>
      <c r="CV85"/>
      <c r="CW85"/>
    </row>
    <row r="86" spans="26:101" s="27" customFormat="1" ht="6" customHeight="1" x14ac:dyDescent="0.3"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1"/>
      <c r="CV86"/>
      <c r="CW86"/>
    </row>
    <row r="87" spans="26:101" s="27" customFormat="1" ht="6" customHeight="1" x14ac:dyDescent="0.3"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1"/>
      <c r="CV87"/>
      <c r="CW87"/>
    </row>
    <row r="88" spans="26:101" s="27" customFormat="1" ht="6" customHeight="1" x14ac:dyDescent="0.3"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1"/>
      <c r="CV88"/>
      <c r="CW88"/>
    </row>
    <row r="89" spans="26:101" s="27" customFormat="1" ht="6" customHeight="1" x14ac:dyDescent="0.3"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1"/>
      <c r="CV89"/>
      <c r="CW89"/>
    </row>
    <row r="90" spans="26:101" s="27" customFormat="1" ht="6" customHeight="1" x14ac:dyDescent="0.3">
      <c r="Z90" s="62" t="s">
        <v>58</v>
      </c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3"/>
      <c r="CV90"/>
      <c r="CW90"/>
    </row>
    <row r="91" spans="26:101" s="27" customFormat="1" ht="6" customHeight="1" x14ac:dyDescent="0.3"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3"/>
      <c r="CV91"/>
      <c r="CW91"/>
    </row>
    <row r="92" spans="26:101" s="27" customFormat="1" ht="6" customHeight="1" x14ac:dyDescent="0.3"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CV92"/>
      <c r="CW92"/>
    </row>
    <row r="93" spans="26:101" s="27" customFormat="1" ht="6" customHeight="1" x14ac:dyDescent="0.3"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CV93"/>
      <c r="CW93"/>
    </row>
    <row r="94" spans="26:101" s="27" customFormat="1" ht="6" customHeight="1" x14ac:dyDescent="0.3"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CV94"/>
      <c r="CW94"/>
    </row>
    <row r="95" spans="26:101" s="27" customFormat="1" ht="6" customHeight="1" x14ac:dyDescent="0.3"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CV95"/>
      <c r="CW95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754FC316-5010-4327-9B91-E7A24AB0BFF5}"/>
    <hyperlink ref="B51" r:id="rId2" xr:uid="{682F2075-D192-4B7A-9DEE-A67F87ECEB81}"/>
    <hyperlink ref="B57" r:id="rId3" xr:uid="{4460A0BC-A04A-4E1B-82D9-87B40FF46F47}"/>
    <hyperlink ref="Z4" r:id="rId4" xr:uid="{3A5BE03D-13BF-4835-9DFF-43EE1F38037A}"/>
    <hyperlink ref="Z17" r:id="rId5" display="https://www.udemy.com/excel-mistrz-formul/?couponCode=STANDARDOWY" xr:uid="{1962FA38-1681-4E71-A2DE-52B05C6BBFC8}"/>
    <hyperlink ref="Z26" r:id="rId6" xr:uid="{DE0496C9-18D6-44A2-8290-20B301888387}"/>
    <hyperlink ref="Z40" r:id="rId7" display="https://www.udemy.com/excel-mistrz-formul/?couponCode=STANDARDOWY" xr:uid="{1E320646-E754-42B4-87C3-EB658D2F9473}"/>
    <hyperlink ref="Z51" r:id="rId8" display="https://www.udemy.com/excel-mistrz-formul/?couponCode=STANDARDOWY" xr:uid="{1F165C11-FBCD-4690-AB89-FDBC4D812244}"/>
    <hyperlink ref="Z62" r:id="rId9" display="https://www.udemy.com/excel-mistrz-formul/?couponCode=STANDARDOWY" xr:uid="{358C66C4-9C5C-44F4-9B72-76A39F0EFA88}"/>
    <hyperlink ref="Z71" r:id="rId10" display="https://www.udemy.com/excel-mistrz-formul/?couponCode=STANDARDOWY" xr:uid="{230349D5-EBF3-4074-B995-551F9ACE1847}"/>
    <hyperlink ref="BN12" r:id="rId11" location="mistrz-excela-w-20-dni" xr:uid="{B7380EE3-8D6E-4264-8EFD-D527E2B8CED5}"/>
    <hyperlink ref="BN37" r:id="rId12" location="mistrz-excela-w-20-dni" display="http://ksplus.komputerswiat.pl/sklep#mistrz-excela-w-20-dni" xr:uid="{EEDB1F84-7E31-49DA-AF47-CF393D5C5ED0}"/>
    <hyperlink ref="BN43" r:id="rId13" location="mistrz-excela-w-20-dni" display="http://ksplus.komputerswiat.pl/sklep#mistrz-excela-w-20-dni" xr:uid="{169C3877-2F98-477B-A140-1BCF5FA5EDB3}"/>
    <hyperlink ref="BN62" r:id="rId14" location="mistrz-excela-w-20-dni" display="http://ksplus.komputerswiat.pl/sklep#mistrz-excela-w-20-dni" xr:uid="{1F1A787B-218D-4603-8325-F4FFE76F59C0}"/>
    <hyperlink ref="BN68" r:id="rId15" location="mistrz-excela-w-20-dni" display="http://ksplus.komputerswiat.pl/sklep#mistrz-excela-w-20-dni" xr:uid="{18851D0B-C4B3-4FFB-B871-9BE177D9B5CB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73BE"/>
  </sheetPr>
  <dimension ref="A1:H16"/>
  <sheetViews>
    <sheetView zoomScale="115" zoomScaleNormal="115" workbookViewId="0">
      <selection activeCell="A2" sqref="A2"/>
    </sheetView>
  </sheetViews>
  <sheetFormatPr defaultColWidth="9.109375" defaultRowHeight="14.4" x14ac:dyDescent="0.3"/>
  <cols>
    <col min="1" max="1" width="8" style="1" bestFit="1" customWidth="1"/>
    <col min="2" max="2" width="12.88671875" style="1" bestFit="1" customWidth="1"/>
    <col min="3" max="3" width="14.5546875" style="1" customWidth="1"/>
    <col min="4" max="4" width="13.88671875" style="1" customWidth="1"/>
    <col min="5" max="5" width="9.5546875" style="1" customWidth="1"/>
    <col min="6" max="6" width="14" style="1" customWidth="1"/>
    <col min="7" max="8" width="10.6640625" style="1" bestFit="1" customWidth="1"/>
    <col min="9" max="16384" width="9.109375" style="1"/>
  </cols>
  <sheetData>
    <row r="1" spans="1:8" ht="15" x14ac:dyDescent="0.35">
      <c r="A1" s="15" t="s">
        <v>4</v>
      </c>
      <c r="B1" s="16"/>
      <c r="C1" s="16"/>
      <c r="D1" s="16"/>
      <c r="E1" s="16"/>
      <c r="F1" s="16"/>
      <c r="G1" s="16"/>
      <c r="H1" s="16"/>
    </row>
    <row r="2" spans="1:8" ht="28.8" x14ac:dyDescent="0.3">
      <c r="A2" s="10" t="s">
        <v>5</v>
      </c>
      <c r="B2" s="10" t="s">
        <v>6</v>
      </c>
      <c r="C2" s="10" t="str">
        <f>C9</f>
        <v>Ubezpieczenie emerytalne</v>
      </c>
      <c r="D2" s="10" t="str">
        <f>D9</f>
        <v>Ubezpieczenie rentowe</v>
      </c>
      <c r="E2" s="10" t="str">
        <f>E9</f>
        <v>Fundusz Pracy</v>
      </c>
      <c r="F2" s="10" t="str">
        <f>F9</f>
        <v>Ubezpieczenie chorobowe</v>
      </c>
      <c r="G2" s="10" t="s">
        <v>7</v>
      </c>
      <c r="H2" s="10" t="s">
        <v>8</v>
      </c>
    </row>
    <row r="3" spans="1:8" x14ac:dyDescent="0.3">
      <c r="A3" s="3" t="s">
        <v>1</v>
      </c>
      <c r="B3" s="17">
        <v>3200</v>
      </c>
      <c r="C3" s="18">
        <f t="shared" ref="C3:F5" si="0">$B3*C$10</f>
        <v>336</v>
      </c>
      <c r="D3" s="18">
        <f t="shared" si="0"/>
        <v>231.99999999999997</v>
      </c>
      <c r="E3" s="18">
        <f t="shared" si="0"/>
        <v>102.4</v>
      </c>
      <c r="F3" s="18">
        <f t="shared" si="0"/>
        <v>64</v>
      </c>
      <c r="G3" s="18">
        <f>SUM(C3:F3)</f>
        <v>734.4</v>
      </c>
      <c r="H3" s="18">
        <f>B3-G3</f>
        <v>2465.6</v>
      </c>
    </row>
    <row r="4" spans="1:8" x14ac:dyDescent="0.3">
      <c r="A4" s="3" t="s">
        <v>2</v>
      </c>
      <c r="B4" s="17">
        <v>5000</v>
      </c>
      <c r="C4" s="18">
        <f t="shared" si="0"/>
        <v>525</v>
      </c>
      <c r="D4" s="18">
        <f t="shared" si="0"/>
        <v>362.5</v>
      </c>
      <c r="E4" s="18">
        <f t="shared" si="0"/>
        <v>160</v>
      </c>
      <c r="F4" s="18">
        <f t="shared" si="0"/>
        <v>100</v>
      </c>
      <c r="G4" s="18">
        <f t="shared" ref="G4:G5" si="1">SUM(C4:F4)</f>
        <v>1147.5</v>
      </c>
      <c r="H4" s="18">
        <f t="shared" ref="H4:H5" si="2">B4-G4</f>
        <v>3852.5</v>
      </c>
    </row>
    <row r="5" spans="1:8" ht="15" thickBot="1" x14ac:dyDescent="0.35">
      <c r="A5" s="3" t="s">
        <v>3</v>
      </c>
      <c r="B5" s="17">
        <v>2000</v>
      </c>
      <c r="C5" s="18">
        <f t="shared" si="0"/>
        <v>210</v>
      </c>
      <c r="D5" s="18">
        <f t="shared" si="0"/>
        <v>145</v>
      </c>
      <c r="E5" s="18">
        <f t="shared" si="0"/>
        <v>64</v>
      </c>
      <c r="F5" s="18">
        <f t="shared" si="0"/>
        <v>40</v>
      </c>
      <c r="G5" s="18">
        <f t="shared" si="1"/>
        <v>459</v>
      </c>
      <c r="H5" s="18">
        <f t="shared" si="2"/>
        <v>1541</v>
      </c>
    </row>
    <row r="6" spans="1:8" ht="15" thickBot="1" x14ac:dyDescent="0.35">
      <c r="A6" s="19" t="s">
        <v>9</v>
      </c>
      <c r="B6" s="19">
        <f t="shared" ref="B6:H6" si="3">SUM(B3:B5)</f>
        <v>10200</v>
      </c>
      <c r="C6" s="19">
        <f t="shared" si="3"/>
        <v>1071</v>
      </c>
      <c r="D6" s="19">
        <f t="shared" si="3"/>
        <v>739.5</v>
      </c>
      <c r="E6" s="19">
        <f t="shared" si="3"/>
        <v>326.39999999999998</v>
      </c>
      <c r="F6" s="19">
        <f t="shared" si="3"/>
        <v>204</v>
      </c>
      <c r="G6" s="19">
        <f t="shared" si="3"/>
        <v>2340.9</v>
      </c>
      <c r="H6" s="19">
        <f t="shared" si="3"/>
        <v>7859.1</v>
      </c>
    </row>
    <row r="7" spans="1:8" ht="8.25" customHeight="1" thickTop="1" x14ac:dyDescent="0.3"/>
    <row r="8" spans="1:8" x14ac:dyDescent="0.3">
      <c r="C8" s="20" t="s">
        <v>10</v>
      </c>
      <c r="D8" s="20"/>
      <c r="E8" s="20"/>
      <c r="F8" s="20"/>
    </row>
    <row r="9" spans="1:8" ht="27.6" x14ac:dyDescent="0.3">
      <c r="A9" s="9"/>
      <c r="C9" s="21" t="s">
        <v>11</v>
      </c>
      <c r="D9" s="21" t="s">
        <v>12</v>
      </c>
      <c r="E9" s="21" t="s">
        <v>13</v>
      </c>
      <c r="F9" s="21" t="s">
        <v>14</v>
      </c>
    </row>
    <row r="10" spans="1:8" x14ac:dyDescent="0.3">
      <c r="C10" s="22">
        <v>0.105</v>
      </c>
      <c r="D10" s="23">
        <v>7.2499999999999995E-2</v>
      </c>
      <c r="E10" s="23">
        <v>3.2000000000000001E-2</v>
      </c>
      <c r="F10" s="23">
        <v>0.02</v>
      </c>
    </row>
    <row r="11" spans="1:8" s="24" customFormat="1" ht="8.25" customHeight="1" x14ac:dyDescent="0.3"/>
    <row r="12" spans="1:8" x14ac:dyDescent="0.3">
      <c r="C12" s="25">
        <v>0.105</v>
      </c>
      <c r="D12" s="25">
        <v>7.2499999999999995E-2</v>
      </c>
      <c r="E12" s="25">
        <v>3.2000000000000001E-2</v>
      </c>
      <c r="F12" s="25">
        <v>0.02</v>
      </c>
    </row>
    <row r="13" spans="1:8" x14ac:dyDescent="0.3">
      <c r="C13" s="22">
        <v>9.7600000000000006E-2</v>
      </c>
      <c r="D13" s="23">
        <v>6.5000000000000002E-2</v>
      </c>
      <c r="E13" s="23">
        <v>2.4500000000000001E-2</v>
      </c>
      <c r="F13" s="23">
        <v>2.4500000000000001E-2</v>
      </c>
    </row>
    <row r="14" spans="1:8" x14ac:dyDescent="0.3">
      <c r="A14" s="9"/>
      <c r="B14" s="9"/>
      <c r="C14" s="22">
        <v>9.1999999999999998E-2</v>
      </c>
      <c r="D14" s="23">
        <v>6.3200000000000006E-2</v>
      </c>
      <c r="E14" s="23">
        <v>0.05</v>
      </c>
      <c r="F14" s="23">
        <v>3.4500000000000003E-2</v>
      </c>
    </row>
    <row r="15" spans="1:8" x14ac:dyDescent="0.3">
      <c r="A15" s="9"/>
      <c r="B15" s="9"/>
      <c r="C15" s="9"/>
      <c r="D15" s="9"/>
      <c r="E15" s="9"/>
      <c r="F15" s="9"/>
    </row>
    <row r="16" spans="1:8" x14ac:dyDescent="0.3">
      <c r="A16" s="9"/>
      <c r="B16" s="9"/>
      <c r="C16" s="9"/>
      <c r="E16" s="9"/>
      <c r="F16" s="2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73BE"/>
  </sheetPr>
  <dimension ref="A1:H10"/>
  <sheetViews>
    <sheetView zoomScale="130" zoomScaleNormal="130" workbookViewId="0">
      <selection activeCell="E1" sqref="E1"/>
    </sheetView>
  </sheetViews>
  <sheetFormatPr defaultColWidth="9.109375" defaultRowHeight="14.4" x14ac:dyDescent="0.3"/>
  <cols>
    <col min="1" max="3" width="11.109375" style="1" customWidth="1"/>
    <col min="4" max="4" width="1.6640625" style="1" customWidth="1"/>
    <col min="5" max="8" width="11.109375" style="1" bestFit="1" customWidth="1"/>
    <col min="9" max="10" width="11.109375" style="1" customWidth="1"/>
    <col min="11" max="12" width="11.109375" style="1" bestFit="1" customWidth="1"/>
    <col min="13" max="16384" width="9.109375" style="1"/>
  </cols>
  <sheetData>
    <row r="1" spans="1:8" x14ac:dyDescent="0.3">
      <c r="E1" s="10" t="s">
        <v>0</v>
      </c>
      <c r="F1" s="11">
        <v>35000</v>
      </c>
      <c r="G1" s="11">
        <v>35000</v>
      </c>
      <c r="H1" s="11">
        <v>35000</v>
      </c>
    </row>
    <row r="2" spans="1:8" x14ac:dyDescent="0.3">
      <c r="E2" s="10" t="s">
        <v>15</v>
      </c>
      <c r="F2" s="3">
        <v>24</v>
      </c>
      <c r="G2" s="3">
        <v>24</v>
      </c>
      <c r="H2" s="3">
        <v>24</v>
      </c>
    </row>
    <row r="3" spans="1:8" x14ac:dyDescent="0.3">
      <c r="E3" s="10" t="s">
        <v>16</v>
      </c>
      <c r="F3" s="12">
        <v>1.2E-2</v>
      </c>
      <c r="G3" s="12">
        <v>1.2E-2</v>
      </c>
      <c r="H3" s="12">
        <v>1.2E-2</v>
      </c>
    </row>
    <row r="4" spans="1:8" x14ac:dyDescent="0.3">
      <c r="E4" s="13" t="s">
        <v>17</v>
      </c>
      <c r="F4" s="6">
        <f>PMT(F3,F2,F1)</f>
        <v>-1687.0722764875281</v>
      </c>
      <c r="G4" s="6">
        <f t="shared" ref="G4:H4" si="0">PMT(G3,G2,G1)</f>
        <v>-1687.0722764875281</v>
      </c>
      <c r="H4" s="6">
        <f t="shared" si="0"/>
        <v>-1687.0722764875281</v>
      </c>
    </row>
    <row r="9" spans="1:8" x14ac:dyDescent="0.3">
      <c r="A9" s="14" t="s">
        <v>20</v>
      </c>
      <c r="B9" s="14"/>
    </row>
    <row r="10" spans="1:8" x14ac:dyDescent="0.3">
      <c r="A10" s="9" t="s">
        <v>18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73BE"/>
  </sheetPr>
  <dimension ref="A1:M18"/>
  <sheetViews>
    <sheetView topLeftCell="C1" zoomScale="130" zoomScaleNormal="130" workbookViewId="0">
      <selection activeCell="E1" sqref="E1"/>
    </sheetView>
  </sheetViews>
  <sheetFormatPr defaultColWidth="9.109375" defaultRowHeight="14.4" x14ac:dyDescent="0.3"/>
  <cols>
    <col min="1" max="3" width="11.109375" style="1" customWidth="1"/>
    <col min="4" max="4" width="1.6640625" style="1" customWidth="1"/>
    <col min="5" max="10" width="11.109375" style="1" bestFit="1" customWidth="1"/>
    <col min="11" max="12" width="9.109375" style="1"/>
    <col min="13" max="14" width="11.6640625" style="1" customWidth="1"/>
    <col min="15" max="16384" width="9.109375" style="1"/>
  </cols>
  <sheetData>
    <row r="1" spans="1:13" x14ac:dyDescent="0.3">
      <c r="E1" s="2" t="s">
        <v>0</v>
      </c>
      <c r="F1" s="3">
        <v>33000</v>
      </c>
    </row>
    <row r="2" spans="1:13" x14ac:dyDescent="0.3">
      <c r="E2" s="2" t="s">
        <v>15</v>
      </c>
      <c r="F2" s="3">
        <v>24</v>
      </c>
    </row>
    <row r="3" spans="1:13" x14ac:dyDescent="0.3">
      <c r="E3" s="2" t="s">
        <v>16</v>
      </c>
      <c r="F3" s="4">
        <v>0.05</v>
      </c>
      <c r="G3" s="5" t="s">
        <v>21</v>
      </c>
    </row>
    <row r="4" spans="1:13" x14ac:dyDescent="0.3">
      <c r="E4" s="2" t="s">
        <v>17</v>
      </c>
      <c r="F4" s="6">
        <f>PMT(F3,F2,F1)</f>
        <v>-2391.5397248386712</v>
      </c>
      <c r="G4" s="2">
        <v>24</v>
      </c>
      <c r="H4" s="2">
        <v>30</v>
      </c>
      <c r="I4" s="2">
        <v>36</v>
      </c>
      <c r="J4" s="2">
        <v>42</v>
      </c>
    </row>
    <row r="5" spans="1:13" x14ac:dyDescent="0.3">
      <c r="F5" s="2">
        <v>30000</v>
      </c>
      <c r="G5" s="6">
        <f t="dataTable" ref="G5:J10" dt2D="1" dtr="1" r1="F2" r2="F1"/>
        <v>-2174.1270225806102</v>
      </c>
      <c r="H5" s="6">
        <v>-1951.5430524082976</v>
      </c>
      <c r="I5" s="6">
        <v>-1813.0337136142589</v>
      </c>
      <c r="J5" s="6">
        <v>-1721.8413926866542</v>
      </c>
    </row>
    <row r="6" spans="1:13" x14ac:dyDescent="0.3">
      <c r="F6" s="2">
        <v>32000</v>
      </c>
      <c r="G6" s="6">
        <v>-2319.068824085984</v>
      </c>
      <c r="H6" s="6">
        <v>-2081.6459225688504</v>
      </c>
      <c r="I6" s="6">
        <v>-1933.9026278552094</v>
      </c>
      <c r="J6" s="6">
        <v>-1836.6308188657645</v>
      </c>
      <c r="L6" s="7"/>
    </row>
    <row r="7" spans="1:13" x14ac:dyDescent="0.3">
      <c r="F7" s="2">
        <v>34000</v>
      </c>
      <c r="G7" s="6">
        <v>-2464.0106255913583</v>
      </c>
      <c r="H7" s="6">
        <v>-2211.7487927294037</v>
      </c>
      <c r="I7" s="6">
        <v>-2054.7715420961599</v>
      </c>
      <c r="J7" s="6">
        <v>-1951.4202450448749</v>
      </c>
      <c r="M7" s="8"/>
    </row>
    <row r="8" spans="1:13" x14ac:dyDescent="0.3">
      <c r="F8" s="2">
        <v>36000</v>
      </c>
      <c r="G8" s="6">
        <v>-2608.9524270967322</v>
      </c>
      <c r="H8" s="6">
        <v>-2341.851662889957</v>
      </c>
      <c r="I8" s="6">
        <v>-2175.6404563371102</v>
      </c>
      <c r="J8" s="6">
        <v>-2066.209671223985</v>
      </c>
    </row>
    <row r="9" spans="1:13" x14ac:dyDescent="0.3">
      <c r="A9" s="9"/>
      <c r="B9" s="9"/>
      <c r="F9" s="2">
        <v>38000</v>
      </c>
      <c r="G9" s="6">
        <v>-2753.8942286021065</v>
      </c>
      <c r="H9" s="6">
        <v>-2471.9545330505102</v>
      </c>
      <c r="I9" s="6">
        <v>-2296.5093705780614</v>
      </c>
      <c r="J9" s="6">
        <v>-2180.9990974030952</v>
      </c>
    </row>
    <row r="10" spans="1:13" x14ac:dyDescent="0.3">
      <c r="B10" s="9"/>
      <c r="F10" s="2">
        <v>40000</v>
      </c>
      <c r="G10" s="6">
        <v>-2898.8360301074804</v>
      </c>
      <c r="H10" s="6">
        <v>-2602.0574032110635</v>
      </c>
      <c r="I10" s="6">
        <v>-2417.3782848190117</v>
      </c>
      <c r="J10" s="6">
        <v>-2295.7885235822059</v>
      </c>
    </row>
    <row r="12" spans="1:13" x14ac:dyDescent="0.3">
      <c r="F12" s="6" t="s">
        <v>19</v>
      </c>
      <c r="G12" s="2">
        <v>24</v>
      </c>
      <c r="H12" s="2">
        <v>30</v>
      </c>
      <c r="I12" s="2">
        <v>36</v>
      </c>
      <c r="J12" s="2">
        <v>42</v>
      </c>
    </row>
    <row r="13" spans="1:13" x14ac:dyDescent="0.3">
      <c r="F13" s="2">
        <v>30000</v>
      </c>
      <c r="G13" s="6">
        <f>PMT($F$3,G$12,$F13)</f>
        <v>-2174.1270225806102</v>
      </c>
      <c r="H13" s="6">
        <f t="shared" ref="H13:J18" si="0">PMT($F$3,H$12,$F13)</f>
        <v>-1951.5430524082976</v>
      </c>
      <c r="I13" s="6">
        <f t="shared" si="0"/>
        <v>-1813.0337136142589</v>
      </c>
      <c r="J13" s="6">
        <f t="shared" si="0"/>
        <v>-1721.8413926866542</v>
      </c>
    </row>
    <row r="14" spans="1:13" x14ac:dyDescent="0.3">
      <c r="F14" s="2">
        <v>32000</v>
      </c>
      <c r="G14" s="6">
        <f t="shared" ref="G14:G18" si="1">PMT($F$3,G$12,$F14)</f>
        <v>-2319.068824085984</v>
      </c>
      <c r="H14" s="6">
        <f t="shared" si="0"/>
        <v>-2081.6459225688504</v>
      </c>
      <c r="I14" s="6">
        <f t="shared" si="0"/>
        <v>-1933.9026278552094</v>
      </c>
      <c r="J14" s="6">
        <f t="shared" si="0"/>
        <v>-1836.6308188657645</v>
      </c>
    </row>
    <row r="15" spans="1:13" x14ac:dyDescent="0.3">
      <c r="F15" s="2">
        <v>34000</v>
      </c>
      <c r="G15" s="6">
        <f t="shared" si="1"/>
        <v>-2464.0106255913583</v>
      </c>
      <c r="H15" s="6">
        <f t="shared" si="0"/>
        <v>-2211.7487927294037</v>
      </c>
      <c r="I15" s="6">
        <f t="shared" si="0"/>
        <v>-2054.7715420961599</v>
      </c>
      <c r="J15" s="6">
        <f t="shared" si="0"/>
        <v>-1951.4202450448749</v>
      </c>
    </row>
    <row r="16" spans="1:13" x14ac:dyDescent="0.3">
      <c r="F16" s="2">
        <v>36000</v>
      </c>
      <c r="G16" s="6">
        <f t="shared" si="1"/>
        <v>-2608.9524270967322</v>
      </c>
      <c r="H16" s="6">
        <f t="shared" si="0"/>
        <v>-2341.851662889957</v>
      </c>
      <c r="I16" s="6">
        <f t="shared" si="0"/>
        <v>-2175.6404563371102</v>
      </c>
      <c r="J16" s="6">
        <f t="shared" si="0"/>
        <v>-2066.209671223985</v>
      </c>
    </row>
    <row r="17" spans="6:10" x14ac:dyDescent="0.3">
      <c r="F17" s="2">
        <v>38000</v>
      </c>
      <c r="G17" s="6">
        <f t="shared" si="1"/>
        <v>-2753.8942286021065</v>
      </c>
      <c r="H17" s="6">
        <f t="shared" si="0"/>
        <v>-2471.9545330505102</v>
      </c>
      <c r="I17" s="6">
        <f t="shared" si="0"/>
        <v>-2296.5093705780614</v>
      </c>
      <c r="J17" s="6">
        <f t="shared" si="0"/>
        <v>-2180.9990974030952</v>
      </c>
    </row>
    <row r="18" spans="6:10" x14ac:dyDescent="0.3">
      <c r="F18" s="2">
        <v>40000</v>
      </c>
      <c r="G18" s="6">
        <f t="shared" si="1"/>
        <v>-2898.8360301074804</v>
      </c>
      <c r="H18" s="6">
        <f t="shared" si="0"/>
        <v>-2602.0574032110635</v>
      </c>
      <c r="I18" s="6">
        <f t="shared" si="0"/>
        <v>-2417.3782848190117</v>
      </c>
      <c r="J18" s="6">
        <f t="shared" si="0"/>
        <v>-2295.7885235822059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ExceliAdam</vt:lpstr>
      <vt:lpstr>MenadżerScenariuszy</vt:lpstr>
      <vt:lpstr>SzukajWyniku</vt:lpstr>
      <vt:lpstr>TabelaDanych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LENOVO</cp:lastModifiedBy>
  <cp:lastPrinted>2013-08-28T23:00:25Z</cp:lastPrinted>
  <dcterms:created xsi:type="dcterms:W3CDTF">2013-08-21T20:08:04Z</dcterms:created>
  <dcterms:modified xsi:type="dcterms:W3CDTF">2019-05-13T09:18:04Z</dcterms:modified>
</cp:coreProperties>
</file>