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Pliki Mistrz Excela\końcowe\"/>
    </mc:Choice>
  </mc:AlternateContent>
  <xr:revisionPtr revIDLastSave="0" documentId="13_ncr:1_{988BDDFD-AD8F-4C86-B741-62FDF6E1FD58}" xr6:coauthVersionLast="43" xr6:coauthVersionMax="43" xr10:uidLastSave="{00000000-0000-0000-0000-000000000000}"/>
  <bookViews>
    <workbookView xWindow="-108" yWindow="-108" windowWidth="23256" windowHeight="12576" tabRatio="750" xr2:uid="{00000000-000D-0000-FFFF-FFFF00000000}"/>
  </bookViews>
  <sheets>
    <sheet name="ExceliAdam" sheetId="253" r:id="rId1"/>
    <sheet name="Podsumowanie scenariuszy" sheetId="252" r:id="rId2"/>
    <sheet name="MenadżerScenariuszy" sheetId="246" r:id="rId3"/>
    <sheet name="SzukajWyniku" sheetId="247" r:id="rId4"/>
    <sheet name="TabelaDanych" sheetId="248" r:id="rId5"/>
  </sheet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3" i="248" l="1"/>
  <c r="K14" i="248"/>
  <c r="K15" i="248"/>
  <c r="K16" i="248"/>
  <c r="K17" i="248"/>
  <c r="K18" i="248"/>
  <c r="J13" i="248"/>
  <c r="J14" i="248"/>
  <c r="J15" i="248"/>
  <c r="J16" i="248"/>
  <c r="J17" i="248"/>
  <c r="J18" i="248"/>
  <c r="G14" i="248"/>
  <c r="H14" i="248"/>
  <c r="I14" i="248"/>
  <c r="G15" i="248"/>
  <c r="H15" i="248"/>
  <c r="I15" i="248"/>
  <c r="G16" i="248"/>
  <c r="H16" i="248"/>
  <c r="I16" i="248"/>
  <c r="G17" i="248"/>
  <c r="H17" i="248"/>
  <c r="I17" i="248"/>
  <c r="G18" i="248"/>
  <c r="H18" i="248"/>
  <c r="I18" i="248"/>
  <c r="H13" i="248"/>
  <c r="I13" i="248"/>
  <c r="G13" i="248"/>
  <c r="F4" i="248" l="1"/>
  <c r="H4" i="247"/>
  <c r="G4" i="247"/>
  <c r="F4" i="247"/>
  <c r="B6" i="246"/>
  <c r="F5" i="246"/>
  <c r="E5" i="246"/>
  <c r="D5" i="246"/>
  <c r="C5" i="246"/>
  <c r="F4" i="246"/>
  <c r="E4" i="246"/>
  <c r="D4" i="246"/>
  <c r="C4" i="246"/>
  <c r="F3" i="246"/>
  <c r="E3" i="246"/>
  <c r="D3" i="246"/>
  <c r="C3" i="246"/>
  <c r="F2" i="246"/>
  <c r="E2" i="246"/>
  <c r="D2" i="246"/>
  <c r="C2" i="246"/>
  <c r="D6" i="246" l="1"/>
  <c r="E6" i="246"/>
  <c r="F6" i="246"/>
  <c r="G3" i="246"/>
  <c r="H3" i="246" s="1"/>
  <c r="G4" i="246"/>
  <c r="H4" i="246" s="1"/>
  <c r="G5" i="246"/>
  <c r="H5" i="246" s="1"/>
  <c r="C6" i="246"/>
  <c r="H6" i="246" l="1"/>
  <c r="G6" i="246"/>
</calcChain>
</file>

<file path=xl/sharedStrings.xml><?xml version="1.0" encoding="utf-8"?>
<sst xmlns="http://schemas.openxmlformats.org/spreadsheetml/2006/main" count="86" uniqueCount="78">
  <si>
    <t>Cena</t>
  </si>
  <si>
    <t>Alladyn</t>
  </si>
  <si>
    <t>Jasmina</t>
  </si>
  <si>
    <t>Jago</t>
  </si>
  <si>
    <t>Obliczanie składek pracownika Scenariusze</t>
  </si>
  <si>
    <t>Imię</t>
  </si>
  <si>
    <t>Pensja brutto</t>
  </si>
  <si>
    <t>Suma odliczeń</t>
  </si>
  <si>
    <t>Pensja netto</t>
  </si>
  <si>
    <t>Sumy:</t>
  </si>
  <si>
    <t>Tabela założeń</t>
  </si>
  <si>
    <t>Ubezpieczenie emerytalne</t>
  </si>
  <si>
    <t>Ubezpieczenie rentowe</t>
  </si>
  <si>
    <t>Fundusz Pracy</t>
  </si>
  <si>
    <t>Ubezpieczenie chorobowe</t>
  </si>
  <si>
    <t>Liczba rat</t>
  </si>
  <si>
    <t>Stopa</t>
  </si>
  <si>
    <t>Spłata</t>
  </si>
  <si>
    <t>Alt; N; J</t>
  </si>
  <si>
    <t>PMT</t>
  </si>
  <si>
    <t>Skrót klawiszowy z Excel 2003</t>
  </si>
  <si>
    <t>$C$10</t>
  </si>
  <si>
    <t>$D$10</t>
  </si>
  <si>
    <t>$E$10</t>
  </si>
  <si>
    <t>$F$10</t>
  </si>
  <si>
    <t>Scenariusz1</t>
  </si>
  <si>
    <t>Autor: Adam dn. 2016-07-01</t>
  </si>
  <si>
    <t>Scenariusz2</t>
  </si>
  <si>
    <t>Scenariusz3</t>
  </si>
  <si>
    <t>Podsumowanie scenariuszy</t>
  </si>
  <si>
    <t>Kom. zmieniane:</t>
  </si>
  <si>
    <t>Bieżące wartości:</t>
  </si>
  <si>
    <t>Kom. wynikowe:</t>
  </si>
  <si>
    <t>Notatki: Kolumna bieżących wartości reprezentuje wartości zmienianych komórek w</t>
  </si>
  <si>
    <t>momencie utworzenia raportu Podsumowanie scenariuszy. Zmieniane komórki dla każdego</t>
  </si>
  <si>
    <t>scenariusza są wyróżnione kolorem szarym.</t>
  </si>
  <si>
    <t>$H$3</t>
  </si>
  <si>
    <t>$H$4</t>
  </si>
  <si>
    <t>$H$5</t>
  </si>
  <si>
    <t>$H$6</t>
  </si>
  <si>
    <r>
      <t>↙=PMT(</t>
    </r>
    <r>
      <rPr>
        <sz val="10.5"/>
        <color rgb="FF0070C0"/>
        <rFont val="Calibri"/>
        <family val="2"/>
        <charset val="238"/>
      </rPr>
      <t>F3</t>
    </r>
    <r>
      <rPr>
        <sz val="10.5"/>
        <color theme="1"/>
        <rFont val="Calibri"/>
        <family val="2"/>
        <charset val="238"/>
      </rPr>
      <t>;</t>
    </r>
    <r>
      <rPr>
        <sz val="10.5"/>
        <color rgb="FFFF0000"/>
        <rFont val="Calibri"/>
        <family val="2"/>
        <charset val="238"/>
      </rPr>
      <t>F2</t>
    </r>
    <r>
      <rPr>
        <sz val="10.5"/>
        <color theme="1"/>
        <rFont val="Calibri"/>
        <family val="2"/>
        <charset val="238"/>
      </rPr>
      <t>;</t>
    </r>
    <r>
      <rPr>
        <sz val="10.5"/>
        <color rgb="FF7030A0"/>
        <rFont val="Calibri"/>
        <family val="2"/>
        <charset val="238"/>
      </rPr>
      <t>F1</t>
    </r>
    <r>
      <rPr>
        <sz val="10.5"/>
        <color theme="1"/>
        <rFont val="Calibri"/>
        <family val="2"/>
        <charset val="238"/>
      </rPr>
      <t>)</t>
    </r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</si>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</sst>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6" formatCode="#,##0\ &quot;zł&quot;;[Red]\-#,##0\ &quot;zł&quot;"/>
    <numFmt numFmtId="8" formatCode="#,##0.00\ &quot;zł&quot;;[Red]\-#,##0.00\ &quot;zł&quot;"/>
    <numFmt numFmtId="164" formatCode="_(* #,##0.00_);_(* \(#,##0.00\);_(* &quot;-&quot;??_);_(@_)"/>
    <numFmt numFmtId="165" formatCode="&quot;$&quot;#,##0,"/>
    <numFmt numFmtId="166" formatCode="d\-mmm\-yyyy"/>
    <numFmt numFmtId="167" formatCode="&quot;$&quot;#,##0"/>
    <numFmt numFmtId="168" formatCode="[$-F400]h:mm:ss\ AM/PM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0.5"/>
      <color theme="1"/>
      <name val="Calibri"/>
      <family val="2"/>
      <scheme val="minor"/>
    </font>
    <font>
      <b/>
      <sz val="10.5"/>
      <color indexed="9"/>
      <name val="Calibri"/>
      <family val="2"/>
      <scheme val="minor"/>
    </font>
    <font>
      <sz val="10.5"/>
      <color indexed="9"/>
      <name val="Calibri"/>
      <family val="2"/>
      <scheme val="minor"/>
    </font>
    <font>
      <b/>
      <sz val="10.5"/>
      <color indexed="8"/>
      <name val="Calibri"/>
      <family val="2"/>
      <scheme val="minor"/>
    </font>
    <font>
      <sz val="10.5"/>
      <color theme="1"/>
      <name val="Calibri"/>
      <family val="2"/>
      <charset val="238"/>
      <scheme val="minor"/>
    </font>
    <font>
      <b/>
      <sz val="10.5"/>
      <color indexed="18"/>
      <name val="Calibri"/>
      <family val="2"/>
      <scheme val="minor"/>
    </font>
    <font>
      <b/>
      <sz val="10.5"/>
      <color theme="0"/>
      <name val="Calibri"/>
      <family val="2"/>
      <charset val="238"/>
      <scheme val="minor"/>
    </font>
    <font>
      <sz val="10.5"/>
      <color theme="1"/>
      <name val="Calibri"/>
      <family val="2"/>
      <charset val="238"/>
    </font>
    <font>
      <sz val="10.5"/>
      <color rgb="FF0070C0"/>
      <name val="Calibri"/>
      <family val="2"/>
      <charset val="238"/>
    </font>
    <font>
      <sz val="10.5"/>
      <color rgb="FFFF0000"/>
      <name val="Calibri"/>
      <family val="2"/>
      <charset val="238"/>
    </font>
    <font>
      <sz val="10.5"/>
      <color rgb="FF7030A0"/>
      <name val="Calibri"/>
      <family val="2"/>
      <charset val="238"/>
    </font>
    <font>
      <sz val="10.5"/>
      <color theme="0"/>
      <name val="Arial"/>
      <family val="2"/>
      <charset val="238"/>
    </font>
    <font>
      <sz val="10.5"/>
      <color theme="0"/>
      <name val="Kristen ITC"/>
      <family val="4"/>
    </font>
    <font>
      <sz val="10.5"/>
      <name val="Calibri"/>
      <family val="2"/>
      <charset val="238"/>
      <scheme val="minor"/>
    </font>
    <font>
      <b/>
      <sz val="10.5"/>
      <color indexed="9"/>
      <name val="Arial"/>
      <family val="2"/>
    </font>
    <font>
      <sz val="10.5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rgb="FF2EA3F2"/>
        <bgColor indexed="64"/>
      </patternFill>
    </fill>
    <fill>
      <patternFill patternType="solid">
        <fgColor rgb="FFDD333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FF1D6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">
    <xf numFmtId="0" fontId="0" fillId="0" borderId="0"/>
    <xf numFmtId="0" fontId="4" fillId="3" borderId="1">
      <alignment wrapText="1"/>
    </xf>
    <xf numFmtId="0" fontId="5" fillId="2" borderId="2" applyBorder="0">
      <alignment horizontal="centerContinuous" wrapText="1"/>
    </xf>
    <xf numFmtId="165" fontId="6" fillId="0" borderId="0"/>
    <xf numFmtId="166" fontId="7" fillId="0" borderId="0" applyFont="0" applyFill="0" applyBorder="0" applyProtection="0">
      <alignment horizontal="center"/>
    </xf>
    <xf numFmtId="0" fontId="8" fillId="0" borderId="0"/>
    <xf numFmtId="0" fontId="8" fillId="0" borderId="0">
      <alignment wrapText="1"/>
    </xf>
    <xf numFmtId="164" fontId="8" fillId="0" borderId="0" applyFont="0" applyFill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3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2" fillId="0" borderId="0"/>
    <xf numFmtId="0" fontId="9" fillId="6" borderId="1">
      <alignment horizontal="center" vertical="center"/>
    </xf>
    <xf numFmtId="0" fontId="29" fillId="0" borderId="0" applyNumberFormat="0" applyFill="0" applyBorder="0" applyAlignment="0" applyProtection="0"/>
    <xf numFmtId="0" fontId="1" fillId="0" borderId="0"/>
    <xf numFmtId="0" fontId="1" fillId="0" borderId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</cellStyleXfs>
  <cellXfs count="79">
    <xf numFmtId="0" fontId="0" fillId="0" borderId="0" xfId="0"/>
    <xf numFmtId="0" fontId="13" fillId="0" borderId="0" xfId="0" applyFont="1"/>
    <xf numFmtId="0" fontId="14" fillId="10" borderId="6" xfId="0" applyFont="1" applyFill="1" applyBorder="1" applyAlignment="1">
      <alignment horizontal="left"/>
    </xf>
    <xf numFmtId="0" fontId="15" fillId="10" borderId="6" xfId="0" applyFont="1" applyFill="1" applyBorder="1" applyAlignment="1">
      <alignment horizontal="right"/>
    </xf>
    <xf numFmtId="0" fontId="14" fillId="10" borderId="8" xfId="0" applyFont="1" applyFill="1" applyBorder="1" applyAlignment="1">
      <alignment horizontal="left"/>
    </xf>
    <xf numFmtId="0" fontId="15" fillId="10" borderId="8" xfId="0" applyFont="1" applyFill="1" applyBorder="1" applyAlignment="1">
      <alignment horizontal="right"/>
    </xf>
    <xf numFmtId="0" fontId="16" fillId="11" borderId="0" xfId="0" applyFont="1" applyFill="1" applyBorder="1" applyAlignment="1">
      <alignment horizontal="left"/>
    </xf>
    <xf numFmtId="0" fontId="13" fillId="0" borderId="0" xfId="0" applyFont="1" applyFill="1" applyBorder="1" applyAlignment="1"/>
    <xf numFmtId="0" fontId="17" fillId="0" borderId="0" xfId="0" applyFont="1" applyFill="1" applyBorder="1" applyAlignment="1">
      <alignment vertical="top" wrapText="1"/>
    </xf>
    <xf numFmtId="0" fontId="18" fillId="11" borderId="9" xfId="0" applyFont="1" applyFill="1" applyBorder="1" applyAlignment="1">
      <alignment horizontal="left"/>
    </xf>
    <xf numFmtId="0" fontId="13" fillId="0" borderId="9" xfId="0" applyFont="1" applyFill="1" applyBorder="1" applyAlignment="1"/>
    <xf numFmtId="10" fontId="13" fillId="0" borderId="0" xfId="0" applyNumberFormat="1" applyFont="1" applyFill="1" applyBorder="1" applyAlignment="1"/>
    <xf numFmtId="10" fontId="13" fillId="12" borderId="0" xfId="0" applyNumberFormat="1" applyFont="1" applyFill="1" applyBorder="1" applyAlignment="1"/>
    <xf numFmtId="8" fontId="13" fillId="0" borderId="0" xfId="0" applyNumberFormat="1" applyFont="1" applyFill="1" applyBorder="1" applyAlignment="1"/>
    <xf numFmtId="0" fontId="16" fillId="11" borderId="7" xfId="0" applyFont="1" applyFill="1" applyBorder="1" applyAlignment="1">
      <alignment horizontal="left"/>
    </xf>
    <xf numFmtId="8" fontId="13" fillId="0" borderId="7" xfId="0" applyNumberFormat="1" applyFont="1" applyFill="1" applyBorder="1" applyAlignment="1"/>
    <xf numFmtId="0" fontId="13" fillId="0" borderId="0" xfId="13" applyFont="1"/>
    <xf numFmtId="0" fontId="19" fillId="6" borderId="1" xfId="15" applyFont="1">
      <alignment horizontal="center" vertical="center"/>
    </xf>
    <xf numFmtId="0" fontId="13" fillId="0" borderId="1" xfId="13" applyFont="1" applyBorder="1"/>
    <xf numFmtId="9" fontId="13" fillId="0" borderId="4" xfId="13" applyNumberFormat="1" applyFont="1" applyBorder="1"/>
    <xf numFmtId="0" fontId="20" fillId="0" borderId="0" xfId="13" applyFont="1"/>
    <xf numFmtId="8" fontId="13" fillId="0" borderId="1" xfId="13" applyNumberFormat="1" applyFont="1" applyBorder="1"/>
    <xf numFmtId="168" fontId="13" fillId="0" borderId="0" xfId="13" applyNumberFormat="1" applyFont="1"/>
    <xf numFmtId="0" fontId="13" fillId="0" borderId="0" xfId="13" applyFont="1" applyAlignment="1">
      <alignment wrapText="1"/>
    </xf>
    <xf numFmtId="0" fontId="19" fillId="6" borderId="1" xfId="8" applyFont="1" applyFill="1" applyBorder="1" applyAlignment="1">
      <alignment horizontal="center" vertical="center" wrapText="1"/>
    </xf>
    <xf numFmtId="6" fontId="13" fillId="0" borderId="1" xfId="13" applyNumberFormat="1" applyFont="1" applyBorder="1"/>
    <xf numFmtId="10" fontId="13" fillId="0" borderId="4" xfId="13" applyNumberFormat="1" applyFont="1" applyBorder="1"/>
    <xf numFmtId="0" fontId="19" fillId="6" borderId="2" xfId="8" applyFont="1" applyFill="1" applyBorder="1" applyAlignment="1">
      <alignment horizontal="center" vertical="center" wrapText="1"/>
    </xf>
    <xf numFmtId="0" fontId="13" fillId="0" borderId="0" xfId="13" applyFont="1" applyAlignment="1"/>
    <xf numFmtId="0" fontId="24" fillId="8" borderId="2" xfId="13" applyFont="1" applyFill="1" applyBorder="1" applyAlignment="1">
      <alignment horizontal="centerContinuous"/>
    </xf>
    <xf numFmtId="0" fontId="25" fillId="8" borderId="2" xfId="13" applyFont="1" applyFill="1" applyBorder="1" applyAlignment="1">
      <alignment horizontal="centerContinuous"/>
    </xf>
    <xf numFmtId="8" fontId="13" fillId="0" borderId="1" xfId="13" applyNumberFormat="1" applyFont="1" applyFill="1" applyBorder="1"/>
    <xf numFmtId="8" fontId="26" fillId="9" borderId="1" xfId="9" applyNumberFormat="1" applyFont="1" applyFill="1" applyBorder="1"/>
    <xf numFmtId="8" fontId="13" fillId="0" borderId="5" xfId="13" applyNumberFormat="1" applyFont="1" applyBorder="1"/>
    <xf numFmtId="0" fontId="27" fillId="7" borderId="1" xfId="13" applyFont="1" applyFill="1" applyBorder="1" applyAlignment="1">
      <alignment horizontal="centerContinuous" vertical="center"/>
    </xf>
    <xf numFmtId="0" fontId="27" fillId="7" borderId="1" xfId="13" applyFont="1" applyFill="1" applyBorder="1" applyAlignment="1">
      <alignment horizontal="center" vertical="center" wrapText="1"/>
    </xf>
    <xf numFmtId="10" fontId="28" fillId="0" borderId="1" xfId="14" applyNumberFormat="1" applyFont="1" applyBorder="1"/>
    <xf numFmtId="10" fontId="28" fillId="0" borderId="3" xfId="14" applyNumberFormat="1" applyFont="1" applyBorder="1"/>
    <xf numFmtId="0" fontId="17" fillId="0" borderId="0" xfId="14" applyFont="1"/>
    <xf numFmtId="10" fontId="13" fillId="0" borderId="1" xfId="12" applyNumberFormat="1" applyFont="1" applyBorder="1"/>
    <xf numFmtId="167" fontId="13" fillId="0" borderId="0" xfId="13" applyNumberFormat="1" applyFont="1" applyAlignment="1">
      <alignment wrapText="1"/>
    </xf>
    <xf numFmtId="0" fontId="1" fillId="0" borderId="0" xfId="17"/>
    <xf numFmtId="0" fontId="12" fillId="0" borderId="0" xfId="18" applyFont="1" applyAlignment="1">
      <alignment vertical="center"/>
    </xf>
    <xf numFmtId="0" fontId="12" fillId="0" borderId="0" xfId="18" applyFont="1" applyAlignment="1">
      <alignment vertical="center"/>
    </xf>
    <xf numFmtId="0" fontId="31" fillId="0" borderId="0" xfId="19" applyFont="1" applyAlignment="1">
      <alignment vertical="center"/>
    </xf>
    <xf numFmtId="0" fontId="30" fillId="0" borderId="0" xfId="19" applyFont="1" applyAlignment="1">
      <alignment vertical="center"/>
    </xf>
    <xf numFmtId="0" fontId="32" fillId="0" borderId="0" xfId="17" applyFont="1" applyAlignment="1">
      <alignment vertical="center"/>
    </xf>
    <xf numFmtId="0" fontId="32" fillId="0" borderId="0" xfId="17" applyFont="1" applyAlignment="1">
      <alignment vertical="center"/>
    </xf>
    <xf numFmtId="0" fontId="1" fillId="0" borderId="10" xfId="17" applyBorder="1"/>
    <xf numFmtId="0" fontId="12" fillId="0" borderId="10" xfId="17" applyFont="1" applyBorder="1" applyAlignment="1">
      <alignment wrapText="1"/>
    </xf>
    <xf numFmtId="0" fontId="12" fillId="0" borderId="0" xfId="17" applyFont="1" applyBorder="1" applyAlignment="1">
      <alignment wrapText="1"/>
    </xf>
    <xf numFmtId="0" fontId="0" fillId="0" borderId="10" xfId="17" applyFont="1" applyBorder="1" applyAlignment="1">
      <alignment vertical="top"/>
    </xf>
    <xf numFmtId="0" fontId="0" fillId="0" borderId="0" xfId="17" applyFont="1" applyBorder="1" applyAlignment="1">
      <alignment vertical="top"/>
    </xf>
    <xf numFmtId="0" fontId="12" fillId="0" borderId="0" xfId="17" applyFont="1" applyBorder="1" applyAlignment="1">
      <alignment wrapText="1"/>
    </xf>
    <xf numFmtId="0" fontId="0" fillId="0" borderId="0" xfId="17" applyFont="1" applyBorder="1" applyAlignment="1">
      <alignment vertical="top"/>
    </xf>
    <xf numFmtId="0" fontId="31" fillId="0" borderId="0" xfId="19" applyFont="1" applyAlignment="1"/>
    <xf numFmtId="0" fontId="30" fillId="0" borderId="0" xfId="19" applyAlignment="1"/>
    <xf numFmtId="0" fontId="1" fillId="0" borderId="0" xfId="17" applyFont="1" applyAlignment="1">
      <alignment vertical="top"/>
    </xf>
    <xf numFmtId="0" fontId="1" fillId="0" borderId="0" xfId="17" applyFont="1" applyAlignment="1">
      <alignment vertical="top"/>
    </xf>
    <xf numFmtId="0" fontId="31" fillId="0" borderId="0" xfId="16" applyFont="1" applyAlignment="1"/>
    <xf numFmtId="0" fontId="31" fillId="0" borderId="0" xfId="16" applyFont="1" applyAlignment="1"/>
    <xf numFmtId="0" fontId="12" fillId="0" borderId="10" xfId="17" applyFont="1" applyBorder="1" applyAlignment="1">
      <alignment vertical="center"/>
    </xf>
    <xf numFmtId="0" fontId="12" fillId="0" borderId="0" xfId="17" applyFont="1" applyBorder="1" applyAlignment="1">
      <alignment vertical="center"/>
    </xf>
    <xf numFmtId="0" fontId="12" fillId="0" borderId="0" xfId="17" applyFont="1" applyBorder="1" applyAlignment="1">
      <alignment vertical="center"/>
    </xf>
    <xf numFmtId="0" fontId="1" fillId="0" borderId="0" xfId="17" applyFont="1" applyAlignment="1">
      <alignment vertical="center"/>
    </xf>
    <xf numFmtId="0" fontId="1" fillId="0" borderId="0" xfId="17" applyFont="1" applyAlignment="1">
      <alignment vertical="center"/>
    </xf>
    <xf numFmtId="0" fontId="29" fillId="0" borderId="0" xfId="16" applyAlignment="1"/>
    <xf numFmtId="0" fontId="12" fillId="0" borderId="10" xfId="17" applyFont="1" applyBorder="1" applyAlignment="1">
      <alignment vertical="top" wrapText="1"/>
    </xf>
    <xf numFmtId="0" fontId="12" fillId="0" borderId="0" xfId="17" applyFont="1" applyBorder="1" applyAlignment="1">
      <alignment vertical="top" wrapText="1"/>
    </xf>
    <xf numFmtId="0" fontId="12" fillId="0" borderId="0" xfId="17" applyFont="1" applyBorder="1" applyAlignment="1">
      <alignment vertical="top" wrapText="1"/>
    </xf>
    <xf numFmtId="0" fontId="30" fillId="0" borderId="0" xfId="19" applyAlignment="1">
      <alignment vertical="center"/>
    </xf>
    <xf numFmtId="0" fontId="12" fillId="0" borderId="0" xfId="17" applyFont="1" applyAlignment="1"/>
    <xf numFmtId="0" fontId="30" fillId="0" borderId="0" xfId="19" applyAlignment="1">
      <alignment vertical="center"/>
    </xf>
    <xf numFmtId="0" fontId="29" fillId="0" borderId="0" xfId="20" applyAlignment="1">
      <alignment vertical="center"/>
    </xf>
    <xf numFmtId="0" fontId="1" fillId="13" borderId="0" xfId="17" applyFont="1" applyFill="1" applyAlignment="1">
      <alignment vertical="top" wrapText="1"/>
    </xf>
    <xf numFmtId="0" fontId="1" fillId="13" borderId="0" xfId="17" applyFont="1" applyFill="1" applyAlignment="1">
      <alignment vertical="top" wrapText="1"/>
    </xf>
    <xf numFmtId="0" fontId="1" fillId="13" borderId="0" xfId="17" applyFont="1" applyFill="1" applyAlignment="1">
      <alignment wrapText="1"/>
    </xf>
    <xf numFmtId="0" fontId="1" fillId="13" borderId="0" xfId="17" applyFont="1" applyFill="1" applyAlignment="1">
      <alignment wrapText="1"/>
    </xf>
    <xf numFmtId="0" fontId="1" fillId="0" borderId="0" xfId="17" applyFont="1" applyAlignment="1">
      <alignment vertical="top" wrapText="1"/>
    </xf>
  </cellXfs>
  <cellStyles count="21">
    <cellStyle name="Akcent 1" xfId="8" builtinId="29"/>
    <cellStyle name="Akcent 6" xfId="9" builtinId="49"/>
    <cellStyle name="blue" xfId="1" xr:uid="{00000000-0005-0000-0000-000002000000}"/>
    <cellStyle name="BlueTitle" xfId="2" xr:uid="{00000000-0005-0000-0000-000003000000}"/>
    <cellStyle name="Comma 2" xfId="7" xr:uid="{00000000-0005-0000-0000-000004000000}"/>
    <cellStyle name="Currency Round to thousands" xfId="3" xr:uid="{00000000-0005-0000-0000-000005000000}"/>
    <cellStyle name="Dziesiętny 2" xfId="11" xr:uid="{00000000-0005-0000-0000-000006000000}"/>
    <cellStyle name="Excel - Etykiety light" xfId="15" xr:uid="{00000000-0005-0000-0000-000007000000}"/>
    <cellStyle name="Four-Digit Year" xfId="4" xr:uid="{00000000-0005-0000-0000-000008000000}"/>
    <cellStyle name="Hiperłącze" xfId="16" builtinId="8"/>
    <cellStyle name="Hiperłącze 2" xfId="19" xr:uid="{6CBD10AC-97A7-4F25-B9A0-5ACBA82C5CDD}"/>
    <cellStyle name="Hiperłącze 2 3" xfId="20" xr:uid="{47A0CB4E-75F1-4335-86F8-8879F4F88B77}"/>
    <cellStyle name="Normal 2" xfId="5" xr:uid="{00000000-0005-0000-0000-000009000000}"/>
    <cellStyle name="Normalny" xfId="0" builtinId="0"/>
    <cellStyle name="Normalny 2" xfId="10" xr:uid="{00000000-0005-0000-0000-00000B000000}"/>
    <cellStyle name="Normalny 2 2" xfId="13" xr:uid="{00000000-0005-0000-0000-00000C000000}"/>
    <cellStyle name="Normalny 2 3" xfId="17" xr:uid="{7610FFC0-5148-4A1F-97E7-2247FA968783}"/>
    <cellStyle name="Normalny 3" xfId="14" xr:uid="{00000000-0005-0000-0000-00000D000000}"/>
    <cellStyle name="Normalny 4" xfId="18" xr:uid="{CDC3FF69-E330-4BF6-963A-1AAADEBFE1E8}"/>
    <cellStyle name="Procentowy" xfId="12" builtinId="5"/>
    <cellStyle name="Wrap Text" xfId="6" xr:uid="{00000000-0005-0000-0000-00000F000000}"/>
  </cellStyles>
  <dxfs count="4"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3"/>
      <tableStyleElement type="totalRow" dxfId="2"/>
    </tableStyle>
    <tableStyle name="Table Style 1" pivot="0" count="2" xr9:uid="{00000000-0011-0000-FFFF-FFFF01000000}">
      <tableStyleElement type="wholeTable" dxfId="1"/>
      <tableStyleElement type="headerRow" dxfId="0"/>
    </tableStyle>
  </tableStyles>
  <colors>
    <mruColors>
      <color rgb="FFCFF1D6"/>
      <color rgb="FFEEEE22"/>
      <color rgb="FFA6E4B3"/>
      <color rgb="FFB3A3C9"/>
      <color rgb="FF9B86B8"/>
      <color rgb="FF2EA3F2"/>
      <color rgb="FFDD3333"/>
      <color rgb="FFEA7E7E"/>
      <color rgb="FF5FCE77"/>
      <color rgb="FFDD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CE9C334F-11EE-4491-BB53-1507506C27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ED970BC6-8B87-44A2-9A21-501B8F74F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67F0FA56-04C9-460A-9387-90D21DF8A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D70FB28F-B80F-481D-9255-B5B8BDC3FE2A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twoCellAnchor editAs="oneCell">
    <xdr:from>
      <xdr:col>17</xdr:col>
      <xdr:colOff>1</xdr:colOff>
      <xdr:row>20</xdr:row>
      <xdr:rowOff>0</xdr:rowOff>
    </xdr:from>
    <xdr:to>
      <xdr:col>24</xdr:col>
      <xdr:colOff>0</xdr:colOff>
      <xdr:row>29</xdr:row>
      <xdr:rowOff>0</xdr:rowOff>
    </xdr:to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FF693DE-7F21-4CB8-AC04-F71604BD5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4928146-4CFD-430A-9D9C-16A193E93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4494BDB-26F6-41CE-B861-514BDE168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FDAB323-AEEB-4898-9363-4524BB562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453CB5B-FBDB-4E0A-B6F0-B7266C2F4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60F26759-6C7D-4281-A922-002F7E8B2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CA9D8658-CD0A-4DB7-8294-74B512507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30EBBD95-93B8-4E02-B60B-732CD5CCA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CDDEB6EE-0C01-4BBC-86E9-B5ECE54C3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6</xdr:row>
      <xdr:rowOff>0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0058" cy="1143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6</xdr:row>
      <xdr:rowOff>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0058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95F8-8314-4A00-8FF2-63E2BE7EC18F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 x14ac:dyDescent="0.3"/>
  <cols>
    <col min="1" max="99" width="2.44140625" style="41" customWidth="1"/>
    <col min="100" max="101" width="2.44140625" customWidth="1"/>
    <col min="102" max="105" width="9.109375" style="41"/>
    <col min="106" max="106" width="10.6640625" style="41" customWidth="1"/>
    <col min="107" max="107" width="73.6640625" style="41" customWidth="1"/>
    <col min="108" max="108" width="6.33203125" style="41" customWidth="1"/>
    <col min="109" max="16384" width="9.109375" style="41"/>
  </cols>
  <sheetData>
    <row r="1" spans="18:99" ht="6" customHeight="1" x14ac:dyDescent="0.3"/>
    <row r="2" spans="18:99" ht="6" customHeight="1" x14ac:dyDescent="0.3">
      <c r="Z2" s="42" t="s">
        <v>41</v>
      </c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3"/>
    </row>
    <row r="3" spans="18:99" ht="6" customHeight="1" x14ac:dyDescent="0.3"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3"/>
    </row>
    <row r="4" spans="18:99" ht="6" customHeight="1" x14ac:dyDescent="0.3">
      <c r="Z4" s="44" t="s">
        <v>42</v>
      </c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5"/>
    </row>
    <row r="5" spans="18:99" ht="6" customHeight="1" x14ac:dyDescent="0.3">
      <c r="R5" s="46" t="s">
        <v>43</v>
      </c>
      <c r="S5" s="46"/>
      <c r="T5" s="46"/>
      <c r="U5" s="46"/>
      <c r="V5" s="46"/>
      <c r="W5" s="46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5"/>
      <c r="BF5" s="46" t="s">
        <v>44</v>
      </c>
      <c r="BG5" s="46"/>
      <c r="BH5" s="46"/>
      <c r="BI5" s="46"/>
      <c r="BJ5" s="46"/>
      <c r="BK5" s="46"/>
    </row>
    <row r="6" spans="18:99" ht="6" customHeight="1" x14ac:dyDescent="0.3">
      <c r="R6" s="46"/>
      <c r="S6" s="46"/>
      <c r="T6" s="46"/>
      <c r="U6" s="46"/>
      <c r="V6" s="46"/>
      <c r="W6" s="46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5"/>
      <c r="BF6" s="46"/>
      <c r="BG6" s="46"/>
      <c r="BH6" s="46"/>
      <c r="BI6" s="46"/>
      <c r="BJ6" s="46"/>
      <c r="BK6" s="46"/>
    </row>
    <row r="7" spans="18:99" ht="6" customHeight="1" x14ac:dyDescent="0.3">
      <c r="R7" s="46"/>
      <c r="S7" s="46"/>
      <c r="T7" s="46"/>
      <c r="U7" s="46"/>
      <c r="V7" s="46"/>
      <c r="W7" s="46"/>
      <c r="X7" s="47"/>
      <c r="BF7" s="46"/>
      <c r="BG7" s="46"/>
      <c r="BH7" s="46"/>
      <c r="BI7" s="46"/>
      <c r="BJ7" s="46"/>
      <c r="BK7" s="46"/>
    </row>
    <row r="8" spans="18:99" ht="6" customHeight="1" x14ac:dyDescent="0.3"/>
    <row r="9" spans="18:99" ht="6" customHeight="1" x14ac:dyDescent="0.3">
      <c r="R9" s="48"/>
      <c r="S9" s="48"/>
      <c r="T9" s="48"/>
      <c r="U9" s="48"/>
      <c r="V9" s="48"/>
      <c r="W9" s="48"/>
      <c r="X9" s="48"/>
      <c r="Y9" s="48"/>
      <c r="Z9" s="49" t="s">
        <v>45</v>
      </c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50"/>
      <c r="BF9" s="48"/>
      <c r="BG9" s="48"/>
      <c r="BH9" s="48"/>
      <c r="BI9" s="48"/>
      <c r="BJ9" s="48"/>
      <c r="BK9" s="48"/>
      <c r="BL9" s="48"/>
      <c r="BM9" s="48"/>
      <c r="BN9" s="51" t="s">
        <v>46</v>
      </c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  <c r="CQ9" s="51"/>
      <c r="CR9" s="52"/>
      <c r="CS9" s="52"/>
      <c r="CT9" s="52"/>
      <c r="CU9" s="52"/>
    </row>
    <row r="10" spans="18:99" ht="6" customHeight="1" x14ac:dyDescent="0.3"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0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2"/>
      <c r="CS10" s="52"/>
      <c r="CT10" s="52"/>
      <c r="CU10" s="52"/>
    </row>
    <row r="11" spans="18:99" ht="6" customHeight="1" x14ac:dyDescent="0.3"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0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2"/>
      <c r="CS11" s="52"/>
      <c r="CT11" s="52"/>
      <c r="CU11" s="52"/>
    </row>
    <row r="12" spans="18:99" ht="6" customHeight="1" x14ac:dyDescent="0.3"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0"/>
      <c r="BN12" s="55" t="s">
        <v>47</v>
      </c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  <c r="CR12" s="56"/>
      <c r="CS12" s="56"/>
      <c r="CT12" s="56"/>
      <c r="CU12" s="56"/>
    </row>
    <row r="13" spans="18:99" ht="6" customHeight="1" x14ac:dyDescent="0.3"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0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  <c r="CR13" s="56"/>
      <c r="CS13" s="56"/>
      <c r="CT13" s="56"/>
      <c r="CU13" s="56"/>
    </row>
    <row r="14" spans="18:99" ht="6" customHeight="1" x14ac:dyDescent="0.3">
      <c r="Z14" s="57" t="s">
        <v>48</v>
      </c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8"/>
    </row>
    <row r="15" spans="18:99" ht="6" customHeight="1" x14ac:dyDescent="0.3"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8"/>
    </row>
    <row r="16" spans="18:99" ht="6" customHeight="1" x14ac:dyDescent="0.3"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8"/>
    </row>
    <row r="17" spans="18:56" ht="6" customHeight="1" x14ac:dyDescent="0.3">
      <c r="Z17" s="59" t="s">
        <v>49</v>
      </c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60"/>
    </row>
    <row r="18" spans="18:56" ht="6" customHeight="1" x14ac:dyDescent="0.3"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60"/>
    </row>
    <row r="19" spans="18:56" ht="6" customHeight="1" x14ac:dyDescent="0.3"/>
    <row r="20" spans="18:56" ht="6" customHeight="1" x14ac:dyDescent="0.3"/>
    <row r="21" spans="18:56" ht="6" customHeight="1" x14ac:dyDescent="0.3">
      <c r="R21" s="48"/>
      <c r="S21" s="48"/>
      <c r="T21" s="48"/>
      <c r="U21" s="48"/>
      <c r="V21" s="48"/>
      <c r="W21" s="48"/>
      <c r="X21" s="48"/>
      <c r="Y21" s="48"/>
      <c r="Z21" s="61" t="s">
        <v>50</v>
      </c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2"/>
    </row>
    <row r="22" spans="18:56" ht="6" customHeight="1" x14ac:dyDescent="0.3"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2"/>
    </row>
    <row r="23" spans="18:56" ht="6" customHeight="1" x14ac:dyDescent="0.3">
      <c r="Z23" s="64" t="s">
        <v>51</v>
      </c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5"/>
    </row>
    <row r="24" spans="18:56" ht="6" customHeight="1" x14ac:dyDescent="0.3"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5"/>
    </row>
    <row r="25" spans="18:56" ht="6" customHeight="1" x14ac:dyDescent="0.3"/>
    <row r="26" spans="18:56" ht="6" customHeight="1" x14ac:dyDescent="0.3">
      <c r="Z26" s="59" t="s">
        <v>52</v>
      </c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60"/>
    </row>
    <row r="27" spans="18:56" ht="6" customHeight="1" x14ac:dyDescent="0.3"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60"/>
    </row>
    <row r="28" spans="18:56" ht="6" customHeight="1" x14ac:dyDescent="0.3"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</row>
    <row r="29" spans="18:56" ht="6" customHeight="1" x14ac:dyDescent="0.3"/>
    <row r="30" spans="18:56" ht="6" customHeight="1" x14ac:dyDescent="0.3"/>
    <row r="31" spans="18:56" ht="6" customHeight="1" x14ac:dyDescent="0.3"/>
    <row r="32" spans="18:56" ht="6" customHeight="1" x14ac:dyDescent="0.3">
      <c r="R32" s="48"/>
      <c r="S32" s="48"/>
      <c r="T32" s="48"/>
      <c r="U32" s="48"/>
      <c r="V32" s="48"/>
      <c r="W32" s="48"/>
      <c r="X32" s="48"/>
      <c r="Y32" s="48"/>
      <c r="Z32" s="67" t="s">
        <v>53</v>
      </c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8"/>
    </row>
    <row r="33" spans="18:99" ht="6" customHeight="1" x14ac:dyDescent="0.3"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8"/>
    </row>
    <row r="34" spans="18:99" ht="6" customHeight="1" x14ac:dyDescent="0.3"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8"/>
      <c r="BF34" s="48"/>
      <c r="BG34" s="48"/>
      <c r="BH34" s="48"/>
      <c r="BI34" s="48"/>
      <c r="BJ34" s="48"/>
      <c r="BK34" s="48"/>
      <c r="BL34" s="48"/>
      <c r="BM34" s="48"/>
      <c r="BN34" s="51" t="s">
        <v>54</v>
      </c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2"/>
      <c r="CS34" s="52"/>
      <c r="CT34" s="52"/>
      <c r="CU34" s="52"/>
    </row>
    <row r="35" spans="18:99" ht="6" customHeight="1" x14ac:dyDescent="0.3"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8"/>
      <c r="BN35" s="54"/>
      <c r="BO35" s="54"/>
      <c r="BP35" s="54"/>
      <c r="BQ35" s="54"/>
      <c r="BR35" s="54"/>
      <c r="BS35" s="54"/>
      <c r="BT35" s="54"/>
      <c r="BU35" s="54"/>
      <c r="BV35" s="54"/>
      <c r="BW35" s="54"/>
      <c r="BX35" s="54"/>
      <c r="BY35" s="54"/>
      <c r="BZ35" s="54"/>
      <c r="CA35" s="54"/>
      <c r="CB35" s="54"/>
      <c r="CC35" s="54"/>
      <c r="CD35" s="54"/>
      <c r="CE35" s="54"/>
      <c r="CF35" s="54"/>
      <c r="CG35" s="54"/>
      <c r="CH35" s="54"/>
      <c r="CI35" s="54"/>
      <c r="CJ35" s="54"/>
      <c r="CK35" s="54"/>
      <c r="CL35" s="54"/>
      <c r="CM35" s="54"/>
      <c r="CN35" s="54"/>
      <c r="CO35" s="54"/>
      <c r="CP35" s="54"/>
      <c r="CQ35" s="54"/>
      <c r="CR35" s="52"/>
      <c r="CS35" s="52"/>
      <c r="CT35" s="52"/>
      <c r="CU35" s="52"/>
    </row>
    <row r="36" spans="18:99" ht="6" customHeight="1" x14ac:dyDescent="0.3"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8"/>
      <c r="BN36" s="54"/>
      <c r="BO36" s="54"/>
      <c r="BP36" s="54"/>
      <c r="BQ36" s="54"/>
      <c r="BR36" s="54"/>
      <c r="BS36" s="54"/>
      <c r="BT36" s="54"/>
      <c r="BU36" s="54"/>
      <c r="BV36" s="54"/>
      <c r="BW36" s="54"/>
      <c r="BX36" s="54"/>
      <c r="BY36" s="54"/>
      <c r="BZ36" s="54"/>
      <c r="CA36" s="54"/>
      <c r="CB36" s="54"/>
      <c r="CC36" s="54"/>
      <c r="CD36" s="54"/>
      <c r="CE36" s="54"/>
      <c r="CF36" s="54"/>
      <c r="CG36" s="54"/>
      <c r="CH36" s="54"/>
      <c r="CI36" s="54"/>
      <c r="CJ36" s="54"/>
      <c r="CK36" s="54"/>
      <c r="CL36" s="54"/>
      <c r="CM36" s="54"/>
      <c r="CN36" s="54"/>
      <c r="CO36" s="54"/>
      <c r="CP36" s="54"/>
      <c r="CQ36" s="54"/>
      <c r="CR36" s="52"/>
      <c r="CS36" s="52"/>
      <c r="CT36" s="52"/>
      <c r="CU36" s="52"/>
    </row>
    <row r="37" spans="18:99" ht="6" customHeight="1" x14ac:dyDescent="0.3">
      <c r="Z37" s="57" t="s">
        <v>55</v>
      </c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8"/>
      <c r="BN37" s="55" t="s">
        <v>56</v>
      </c>
      <c r="BO37" s="55"/>
      <c r="BP37" s="55"/>
      <c r="BQ37" s="55"/>
      <c r="BR37" s="55"/>
      <c r="BS37" s="55"/>
      <c r="BT37" s="55"/>
      <c r="BU37" s="55"/>
      <c r="BV37" s="55"/>
      <c r="BW37" s="55"/>
      <c r="BX37" s="55"/>
      <c r="BY37" s="55"/>
      <c r="BZ37" s="55"/>
      <c r="CA37" s="55"/>
      <c r="CB37" s="55"/>
      <c r="CC37" s="55"/>
      <c r="CD37" s="55"/>
      <c r="CE37" s="55"/>
      <c r="CF37" s="55"/>
      <c r="CG37" s="55"/>
      <c r="CH37" s="55"/>
      <c r="CI37" s="55"/>
      <c r="CJ37" s="55"/>
      <c r="CK37" s="55"/>
      <c r="CL37" s="55"/>
      <c r="CM37" s="55"/>
      <c r="CN37" s="55"/>
      <c r="CO37" s="55"/>
      <c r="CP37" s="55"/>
      <c r="CQ37" s="55"/>
      <c r="CR37" s="56"/>
      <c r="CS37" s="56"/>
      <c r="CT37" s="56"/>
      <c r="CU37" s="56"/>
    </row>
    <row r="38" spans="18:99" ht="6" customHeight="1" x14ac:dyDescent="0.3"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8"/>
      <c r="BN38" s="55"/>
      <c r="BO38" s="55"/>
      <c r="BP38" s="55"/>
      <c r="BQ38" s="55"/>
      <c r="BR38" s="55"/>
      <c r="BS38" s="55"/>
      <c r="BT38" s="55"/>
      <c r="BU38" s="55"/>
      <c r="BV38" s="55"/>
      <c r="BW38" s="55"/>
      <c r="BX38" s="55"/>
      <c r="BY38" s="55"/>
      <c r="BZ38" s="55"/>
      <c r="CA38" s="55"/>
      <c r="CB38" s="55"/>
      <c r="CC38" s="55"/>
      <c r="CD38" s="55"/>
      <c r="CE38" s="55"/>
      <c r="CF38" s="55"/>
      <c r="CG38" s="55"/>
      <c r="CH38" s="55"/>
      <c r="CI38" s="55"/>
      <c r="CJ38" s="55"/>
      <c r="CK38" s="55"/>
      <c r="CL38" s="55"/>
      <c r="CM38" s="55"/>
      <c r="CN38" s="55"/>
      <c r="CO38" s="55"/>
      <c r="CP38" s="55"/>
      <c r="CQ38" s="55"/>
      <c r="CR38" s="56"/>
      <c r="CS38" s="56"/>
      <c r="CT38" s="56"/>
      <c r="CU38" s="56"/>
    </row>
    <row r="39" spans="18:99" ht="6" customHeight="1" x14ac:dyDescent="0.3"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8"/>
    </row>
    <row r="40" spans="18:99" ht="6" customHeight="1" x14ac:dyDescent="0.3">
      <c r="Z40" s="59" t="s">
        <v>57</v>
      </c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60"/>
      <c r="BN40" s="54" t="s">
        <v>58</v>
      </c>
      <c r="BO40" s="54"/>
      <c r="BP40" s="54"/>
      <c r="BQ40" s="54"/>
      <c r="BR40" s="54"/>
      <c r="BS40" s="54"/>
      <c r="BT40" s="54"/>
      <c r="BU40" s="54"/>
      <c r="BV40" s="54"/>
      <c r="BW40" s="54"/>
      <c r="BX40" s="54"/>
      <c r="BY40" s="54"/>
      <c r="BZ40" s="54"/>
      <c r="CA40" s="54"/>
      <c r="CB40" s="54"/>
      <c r="CC40" s="54"/>
      <c r="CD40" s="54"/>
      <c r="CE40" s="54"/>
      <c r="CF40" s="54"/>
      <c r="CG40" s="54"/>
      <c r="CH40" s="54"/>
      <c r="CI40" s="54"/>
      <c r="CJ40" s="54"/>
      <c r="CK40" s="54"/>
      <c r="CL40" s="54"/>
      <c r="CM40" s="54"/>
      <c r="CN40" s="54"/>
      <c r="CO40" s="54"/>
      <c r="CP40" s="54"/>
      <c r="CQ40" s="54"/>
      <c r="CR40" s="52"/>
      <c r="CS40" s="52"/>
      <c r="CT40" s="52"/>
      <c r="CU40" s="52"/>
    </row>
    <row r="41" spans="18:99" ht="6" customHeight="1" x14ac:dyDescent="0.3"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60"/>
      <c r="BN41" s="54"/>
      <c r="BO41" s="54"/>
      <c r="BP41" s="54"/>
      <c r="BQ41" s="54"/>
      <c r="BR41" s="54"/>
      <c r="BS41" s="54"/>
      <c r="BT41" s="54"/>
      <c r="BU41" s="54"/>
      <c r="BV41" s="54"/>
      <c r="BW41" s="54"/>
      <c r="BX41" s="54"/>
      <c r="BY41" s="54"/>
      <c r="BZ41" s="54"/>
      <c r="CA41" s="54"/>
      <c r="CB41" s="54"/>
      <c r="CC41" s="54"/>
      <c r="CD41" s="54"/>
      <c r="CE41" s="54"/>
      <c r="CF41" s="54"/>
      <c r="CG41" s="54"/>
      <c r="CH41" s="54"/>
      <c r="CI41" s="54"/>
      <c r="CJ41" s="54"/>
      <c r="CK41" s="54"/>
      <c r="CL41" s="54"/>
      <c r="CM41" s="54"/>
      <c r="CN41" s="54"/>
      <c r="CO41" s="54"/>
      <c r="CP41" s="54"/>
      <c r="CQ41" s="54"/>
      <c r="CR41" s="52"/>
      <c r="CS41" s="52"/>
      <c r="CT41" s="52"/>
      <c r="CU41" s="52"/>
    </row>
    <row r="42" spans="18:99" ht="6" customHeight="1" x14ac:dyDescent="0.3">
      <c r="BN42" s="54"/>
      <c r="BO42" s="54"/>
      <c r="BP42" s="54"/>
      <c r="BQ42" s="54"/>
      <c r="BR42" s="54"/>
      <c r="BS42" s="54"/>
      <c r="BT42" s="54"/>
      <c r="BU42" s="54"/>
      <c r="BV42" s="54"/>
      <c r="BW42" s="54"/>
      <c r="BX42" s="54"/>
      <c r="BY42" s="54"/>
      <c r="BZ42" s="54"/>
      <c r="CA42" s="54"/>
      <c r="CB42" s="54"/>
      <c r="CC42" s="54"/>
      <c r="CD42" s="54"/>
      <c r="CE42" s="54"/>
      <c r="CF42" s="54"/>
      <c r="CG42" s="54"/>
      <c r="CH42" s="54"/>
      <c r="CI42" s="54"/>
      <c r="CJ42" s="54"/>
      <c r="CK42" s="54"/>
      <c r="CL42" s="54"/>
      <c r="CM42" s="54"/>
      <c r="CN42" s="54"/>
      <c r="CO42" s="54"/>
      <c r="CP42" s="54"/>
      <c r="CQ42" s="54"/>
      <c r="CR42" s="52"/>
      <c r="CS42" s="52"/>
      <c r="CT42" s="52"/>
      <c r="CU42" s="52"/>
    </row>
    <row r="43" spans="18:99" ht="6" customHeight="1" x14ac:dyDescent="0.3">
      <c r="R43" s="48"/>
      <c r="S43" s="48"/>
      <c r="T43" s="48"/>
      <c r="U43" s="48"/>
      <c r="V43" s="48"/>
      <c r="W43" s="48"/>
      <c r="X43" s="48"/>
      <c r="Y43" s="48"/>
      <c r="Z43" s="67" t="s">
        <v>59</v>
      </c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8"/>
      <c r="BN43" s="55" t="s">
        <v>60</v>
      </c>
      <c r="BO43" s="55"/>
      <c r="BP43" s="55"/>
      <c r="BQ43" s="55"/>
      <c r="BR43" s="55"/>
      <c r="BS43" s="55"/>
      <c r="BT43" s="55"/>
      <c r="BU43" s="55"/>
      <c r="BV43" s="55"/>
      <c r="BW43" s="55"/>
      <c r="BX43" s="55"/>
      <c r="BY43" s="55"/>
      <c r="BZ43" s="55"/>
      <c r="CA43" s="55"/>
      <c r="CB43" s="55"/>
      <c r="CC43" s="55"/>
      <c r="CD43" s="55"/>
      <c r="CE43" s="55"/>
      <c r="CF43" s="55"/>
      <c r="CG43" s="55"/>
      <c r="CH43" s="55"/>
      <c r="CI43" s="55"/>
      <c r="CJ43" s="55"/>
      <c r="CK43" s="55"/>
      <c r="CL43" s="55"/>
      <c r="CM43" s="55"/>
      <c r="CN43" s="55"/>
      <c r="CO43" s="55"/>
      <c r="CP43" s="55"/>
      <c r="CQ43" s="55"/>
      <c r="CR43" s="56"/>
      <c r="CS43" s="56"/>
      <c r="CT43" s="56"/>
      <c r="CU43" s="56"/>
    </row>
    <row r="44" spans="18:99" ht="6" customHeight="1" x14ac:dyDescent="0.3"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8"/>
      <c r="BN44" s="55"/>
      <c r="BO44" s="55"/>
      <c r="BP44" s="55"/>
      <c r="BQ44" s="55"/>
      <c r="BR44" s="55"/>
      <c r="BS44" s="55"/>
      <c r="BT44" s="55"/>
      <c r="BU44" s="55"/>
      <c r="BV44" s="55"/>
      <c r="BW44" s="55"/>
      <c r="BX44" s="55"/>
      <c r="BY44" s="55"/>
      <c r="BZ44" s="55"/>
      <c r="CA44" s="55"/>
      <c r="CB44" s="55"/>
      <c r="CC44" s="55"/>
      <c r="CD44" s="55"/>
      <c r="CE44" s="55"/>
      <c r="CF44" s="55"/>
      <c r="CG44" s="55"/>
      <c r="CH44" s="55"/>
      <c r="CI44" s="55"/>
      <c r="CJ44" s="55"/>
      <c r="CK44" s="55"/>
      <c r="CL44" s="55"/>
      <c r="CM44" s="55"/>
      <c r="CN44" s="55"/>
      <c r="CO44" s="55"/>
      <c r="CP44" s="55"/>
      <c r="CQ44" s="55"/>
      <c r="CR44" s="56"/>
      <c r="CS44" s="56"/>
      <c r="CT44" s="56"/>
      <c r="CU44" s="56"/>
    </row>
    <row r="45" spans="18:99" ht="6" customHeight="1" x14ac:dyDescent="0.3"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8"/>
    </row>
    <row r="46" spans="18:99" ht="6" customHeight="1" x14ac:dyDescent="0.3"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8"/>
    </row>
    <row r="47" spans="18:99" ht="6" customHeight="1" x14ac:dyDescent="0.3"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8"/>
    </row>
    <row r="48" spans="18:99" ht="6" customHeight="1" x14ac:dyDescent="0.3">
      <c r="Z48" s="57" t="s">
        <v>61</v>
      </c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8"/>
    </row>
    <row r="49" spans="2:99" ht="6" customHeight="1" x14ac:dyDescent="0.3"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8"/>
    </row>
    <row r="50" spans="2:99" ht="6" customHeight="1" x14ac:dyDescent="0.3"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8"/>
    </row>
    <row r="51" spans="2:99" ht="6" customHeight="1" x14ac:dyDescent="0.3">
      <c r="B51" s="44" t="s">
        <v>62</v>
      </c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Z51" s="59" t="s">
        <v>63</v>
      </c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60"/>
    </row>
    <row r="52" spans="2:99" ht="6" customHeight="1" x14ac:dyDescent="0.3"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60"/>
    </row>
    <row r="53" spans="2:99" ht="6" customHeight="1" x14ac:dyDescent="0.3"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</row>
    <row r="54" spans="2:99" ht="6" customHeight="1" x14ac:dyDescent="0.3">
      <c r="B54" s="71" t="s">
        <v>64</v>
      </c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R54" s="48"/>
      <c r="S54" s="48"/>
      <c r="T54" s="48"/>
      <c r="U54" s="48"/>
      <c r="V54" s="48"/>
      <c r="W54" s="48"/>
      <c r="X54" s="48"/>
      <c r="Y54" s="48"/>
      <c r="Z54" s="67" t="s">
        <v>65</v>
      </c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8"/>
    </row>
    <row r="55" spans="2:99" ht="6" customHeight="1" x14ac:dyDescent="0.3"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8"/>
    </row>
    <row r="56" spans="2:99" ht="6" customHeight="1" x14ac:dyDescent="0.3"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8"/>
    </row>
    <row r="57" spans="2:99" ht="6" customHeight="1" x14ac:dyDescent="0.3">
      <c r="B57" s="72" t="s">
        <v>66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8"/>
    </row>
    <row r="58" spans="2:99" ht="6" customHeight="1" x14ac:dyDescent="0.3"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8"/>
    </row>
    <row r="59" spans="2:99" ht="6" customHeight="1" x14ac:dyDescent="0.3">
      <c r="Z59" s="57" t="s">
        <v>67</v>
      </c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8"/>
      <c r="BF59" s="48"/>
      <c r="BG59" s="48"/>
      <c r="BH59" s="48"/>
      <c r="BI59" s="48"/>
      <c r="BJ59" s="48"/>
      <c r="BK59" s="48"/>
      <c r="BL59" s="48"/>
      <c r="BM59" s="48"/>
      <c r="BN59" s="51" t="s">
        <v>54</v>
      </c>
      <c r="BO59" s="51"/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1"/>
      <c r="CA59" s="51"/>
      <c r="CB59" s="51"/>
      <c r="CC59" s="51"/>
      <c r="CD59" s="51"/>
      <c r="CE59" s="51"/>
      <c r="CF59" s="51"/>
      <c r="CG59" s="51"/>
      <c r="CH59" s="51"/>
      <c r="CI59" s="51"/>
      <c r="CJ59" s="51"/>
      <c r="CK59" s="51"/>
      <c r="CL59" s="51"/>
      <c r="CM59" s="51"/>
      <c r="CN59" s="51"/>
      <c r="CO59" s="51"/>
      <c r="CP59" s="51"/>
      <c r="CQ59" s="51"/>
      <c r="CR59" s="52"/>
      <c r="CS59" s="52"/>
      <c r="CT59" s="52"/>
      <c r="CU59" s="52"/>
    </row>
    <row r="60" spans="2:99" ht="6" customHeight="1" x14ac:dyDescent="0.3">
      <c r="B60" s="71" t="s">
        <v>68</v>
      </c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8"/>
      <c r="BN60" s="54"/>
      <c r="BO60" s="54"/>
      <c r="BP60" s="54"/>
      <c r="BQ60" s="54"/>
      <c r="BR60" s="54"/>
      <c r="BS60" s="54"/>
      <c r="BT60" s="54"/>
      <c r="BU60" s="54"/>
      <c r="BV60" s="54"/>
      <c r="BW60" s="54"/>
      <c r="BX60" s="54"/>
      <c r="BY60" s="54"/>
      <c r="BZ60" s="54"/>
      <c r="CA60" s="54"/>
      <c r="CB60" s="54"/>
      <c r="CC60" s="54"/>
      <c r="CD60" s="54"/>
      <c r="CE60" s="54"/>
      <c r="CF60" s="54"/>
      <c r="CG60" s="54"/>
      <c r="CH60" s="54"/>
      <c r="CI60" s="54"/>
      <c r="CJ60" s="54"/>
      <c r="CK60" s="54"/>
      <c r="CL60" s="54"/>
      <c r="CM60" s="54"/>
      <c r="CN60" s="54"/>
      <c r="CO60" s="54"/>
      <c r="CP60" s="54"/>
      <c r="CQ60" s="54"/>
      <c r="CR60" s="52"/>
      <c r="CS60" s="52"/>
      <c r="CT60" s="52"/>
      <c r="CU60" s="52"/>
    </row>
    <row r="61" spans="2:99" ht="6" customHeight="1" x14ac:dyDescent="0.3"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8"/>
      <c r="BN61" s="54"/>
      <c r="BO61" s="54"/>
      <c r="BP61" s="54"/>
      <c r="BQ61" s="54"/>
      <c r="BR61" s="54"/>
      <c r="BS61" s="54"/>
      <c r="BT61" s="54"/>
      <c r="BU61" s="54"/>
      <c r="BV61" s="54"/>
      <c r="BW61" s="54"/>
      <c r="BX61" s="54"/>
      <c r="BY61" s="54"/>
      <c r="BZ61" s="54"/>
      <c r="CA61" s="54"/>
      <c r="CB61" s="54"/>
      <c r="CC61" s="54"/>
      <c r="CD61" s="54"/>
      <c r="CE61" s="54"/>
      <c r="CF61" s="54"/>
      <c r="CG61" s="54"/>
      <c r="CH61" s="54"/>
      <c r="CI61" s="54"/>
      <c r="CJ61" s="54"/>
      <c r="CK61" s="54"/>
      <c r="CL61" s="54"/>
      <c r="CM61" s="54"/>
      <c r="CN61" s="54"/>
      <c r="CO61" s="54"/>
      <c r="CP61" s="54"/>
      <c r="CQ61" s="54"/>
      <c r="CR61" s="52"/>
      <c r="CS61" s="52"/>
      <c r="CT61" s="52"/>
      <c r="CU61" s="52"/>
    </row>
    <row r="62" spans="2:99" ht="6" customHeight="1" x14ac:dyDescent="0.3"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Z62" s="59" t="s">
        <v>69</v>
      </c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  <c r="BD62" s="60"/>
      <c r="BN62" s="55" t="s">
        <v>70</v>
      </c>
      <c r="BO62" s="55"/>
      <c r="BP62" s="55"/>
      <c r="BQ62" s="55"/>
      <c r="BR62" s="55"/>
      <c r="BS62" s="55"/>
      <c r="BT62" s="55"/>
      <c r="BU62" s="55"/>
      <c r="BV62" s="55"/>
      <c r="BW62" s="55"/>
      <c r="BX62" s="55"/>
      <c r="BY62" s="55"/>
      <c r="BZ62" s="55"/>
      <c r="CA62" s="55"/>
      <c r="CB62" s="55"/>
      <c r="CC62" s="55"/>
      <c r="CD62" s="55"/>
      <c r="CE62" s="55"/>
      <c r="CF62" s="55"/>
      <c r="CG62" s="55"/>
      <c r="CH62" s="55"/>
      <c r="CI62" s="55"/>
      <c r="CJ62" s="55"/>
      <c r="CK62" s="55"/>
      <c r="CL62" s="55"/>
      <c r="CM62" s="55"/>
      <c r="CN62" s="55"/>
      <c r="CO62" s="55"/>
      <c r="CP62" s="55"/>
      <c r="CQ62" s="55"/>
      <c r="CR62" s="56"/>
      <c r="CS62" s="56"/>
      <c r="CT62" s="56"/>
      <c r="CU62" s="56"/>
    </row>
    <row r="63" spans="2:99" ht="6" customHeight="1" x14ac:dyDescent="0.3">
      <c r="B63" s="73" t="s">
        <v>71</v>
      </c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60"/>
      <c r="BN63" s="55"/>
      <c r="BO63" s="55"/>
      <c r="BP63" s="55"/>
      <c r="BQ63" s="55"/>
      <c r="BR63" s="55"/>
      <c r="BS63" s="55"/>
      <c r="BT63" s="55"/>
      <c r="BU63" s="55"/>
      <c r="BV63" s="55"/>
      <c r="BW63" s="55"/>
      <c r="BX63" s="55"/>
      <c r="BY63" s="55"/>
      <c r="BZ63" s="55"/>
      <c r="CA63" s="55"/>
      <c r="CB63" s="55"/>
      <c r="CC63" s="55"/>
      <c r="CD63" s="55"/>
      <c r="CE63" s="55"/>
      <c r="CF63" s="55"/>
      <c r="CG63" s="55"/>
      <c r="CH63" s="55"/>
      <c r="CI63" s="55"/>
      <c r="CJ63" s="55"/>
      <c r="CK63" s="55"/>
      <c r="CL63" s="55"/>
      <c r="CM63" s="55"/>
      <c r="CN63" s="55"/>
      <c r="CO63" s="55"/>
      <c r="CP63" s="55"/>
      <c r="CQ63" s="55"/>
      <c r="CR63" s="56"/>
      <c r="CS63" s="56"/>
      <c r="CT63" s="56"/>
      <c r="CU63" s="56"/>
    </row>
    <row r="64" spans="2:99" ht="6" customHeight="1" x14ac:dyDescent="0.3"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</row>
    <row r="65" spans="18:99" ht="6" customHeight="1" x14ac:dyDescent="0.3">
      <c r="R65" s="48"/>
      <c r="S65" s="48"/>
      <c r="T65" s="48"/>
      <c r="U65" s="48"/>
      <c r="V65" s="48"/>
      <c r="W65" s="48"/>
      <c r="X65" s="48"/>
      <c r="Y65" s="48"/>
      <c r="Z65" s="67" t="s">
        <v>72</v>
      </c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7"/>
      <c r="AQ65" s="67"/>
      <c r="AR65" s="67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8"/>
      <c r="BN65" s="54" t="s">
        <v>58</v>
      </c>
      <c r="BO65" s="54"/>
      <c r="BP65" s="54"/>
      <c r="BQ65" s="54"/>
      <c r="BR65" s="54"/>
      <c r="BS65" s="54"/>
      <c r="BT65" s="54"/>
      <c r="BU65" s="54"/>
      <c r="BV65" s="54"/>
      <c r="BW65" s="54"/>
      <c r="BX65" s="54"/>
      <c r="BY65" s="54"/>
      <c r="BZ65" s="54"/>
      <c r="CA65" s="54"/>
      <c r="CB65" s="54"/>
      <c r="CC65" s="54"/>
      <c r="CD65" s="54"/>
      <c r="CE65" s="54"/>
      <c r="CF65" s="54"/>
      <c r="CG65" s="54"/>
      <c r="CH65" s="54"/>
      <c r="CI65" s="54"/>
      <c r="CJ65" s="54"/>
      <c r="CK65" s="54"/>
      <c r="CL65" s="54"/>
      <c r="CM65" s="54"/>
      <c r="CN65" s="54"/>
      <c r="CO65" s="54"/>
      <c r="CP65" s="54"/>
      <c r="CQ65" s="54"/>
      <c r="CR65" s="52"/>
      <c r="CS65" s="52"/>
      <c r="CT65" s="52"/>
      <c r="CU65" s="52"/>
    </row>
    <row r="66" spans="18:99" ht="6" customHeight="1" x14ac:dyDescent="0.3"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8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2"/>
      <c r="CS66" s="52"/>
      <c r="CT66" s="52"/>
      <c r="CU66" s="52"/>
    </row>
    <row r="67" spans="18:99" ht="6" customHeight="1" x14ac:dyDescent="0.3"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8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54"/>
      <c r="CR67" s="52"/>
      <c r="CS67" s="52"/>
      <c r="CT67" s="52"/>
      <c r="CU67" s="52"/>
    </row>
    <row r="68" spans="18:99" ht="6" customHeight="1" x14ac:dyDescent="0.3"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8"/>
      <c r="BN68" s="55" t="s">
        <v>73</v>
      </c>
      <c r="BO68" s="55"/>
      <c r="BP68" s="55"/>
      <c r="BQ68" s="55"/>
      <c r="BR68" s="55"/>
      <c r="BS68" s="55"/>
      <c r="BT68" s="55"/>
      <c r="BU68" s="55"/>
      <c r="BV68" s="55"/>
      <c r="BW68" s="55"/>
      <c r="BX68" s="55"/>
      <c r="BY68" s="55"/>
      <c r="BZ68" s="55"/>
      <c r="CA68" s="55"/>
      <c r="CB68" s="55"/>
      <c r="CC68" s="55"/>
      <c r="CD68" s="55"/>
      <c r="CE68" s="55"/>
      <c r="CF68" s="55"/>
      <c r="CG68" s="55"/>
      <c r="CH68" s="55"/>
      <c r="CI68" s="55"/>
      <c r="CJ68" s="55"/>
      <c r="CK68" s="55"/>
      <c r="CL68" s="55"/>
      <c r="CM68" s="55"/>
      <c r="CN68" s="55"/>
      <c r="CO68" s="55"/>
      <c r="CP68" s="55"/>
      <c r="CQ68" s="55"/>
      <c r="CR68" s="56"/>
      <c r="CS68" s="56"/>
      <c r="CT68" s="56"/>
      <c r="CU68" s="56"/>
    </row>
    <row r="69" spans="18:99" ht="6" customHeight="1" x14ac:dyDescent="0.3"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8"/>
      <c r="BN69" s="55"/>
      <c r="BO69" s="55"/>
      <c r="BP69" s="55"/>
      <c r="BQ69" s="55"/>
      <c r="BR69" s="55"/>
      <c r="BS69" s="55"/>
      <c r="BT69" s="55"/>
      <c r="BU69" s="55"/>
      <c r="BV69" s="55"/>
      <c r="BW69" s="55"/>
      <c r="BX69" s="55"/>
      <c r="BY69" s="55"/>
      <c r="BZ69" s="55"/>
      <c r="CA69" s="55"/>
      <c r="CB69" s="55"/>
      <c r="CC69" s="55"/>
      <c r="CD69" s="55"/>
      <c r="CE69" s="55"/>
      <c r="CF69" s="55"/>
      <c r="CG69" s="55"/>
      <c r="CH69" s="55"/>
      <c r="CI69" s="55"/>
      <c r="CJ69" s="55"/>
      <c r="CK69" s="55"/>
      <c r="CL69" s="55"/>
      <c r="CM69" s="55"/>
      <c r="CN69" s="55"/>
      <c r="CO69" s="55"/>
      <c r="CP69" s="55"/>
      <c r="CQ69" s="55"/>
      <c r="CR69" s="56"/>
      <c r="CS69" s="56"/>
      <c r="CT69" s="56"/>
      <c r="CU69" s="56"/>
    </row>
    <row r="70" spans="18:99" ht="6" customHeight="1" x14ac:dyDescent="0.3"/>
    <row r="71" spans="18:99" ht="6" customHeight="1" x14ac:dyDescent="0.3">
      <c r="Z71" s="59" t="s">
        <v>74</v>
      </c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66"/>
    </row>
    <row r="72" spans="18:99" ht="6" customHeight="1" x14ac:dyDescent="0.3"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66"/>
    </row>
    <row r="73" spans="18:99" ht="6" customHeight="1" x14ac:dyDescent="0.3"/>
    <row r="74" spans="18:99" ht="6" customHeight="1" x14ac:dyDescent="0.3"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</row>
    <row r="75" spans="18:99" ht="6" customHeight="1" x14ac:dyDescent="0.3"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</row>
    <row r="76" spans="18:99" ht="6" customHeight="1" x14ac:dyDescent="0.3"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</row>
    <row r="77" spans="18:99" ht="6" customHeight="1" x14ac:dyDescent="0.3">
      <c r="Z77" s="74" t="s">
        <v>75</v>
      </c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4"/>
      <c r="AO77" s="74"/>
      <c r="AP77" s="74"/>
      <c r="AQ77" s="74"/>
      <c r="AR77" s="74"/>
      <c r="AS77" s="74"/>
      <c r="AT77" s="74"/>
      <c r="AU77" s="74"/>
      <c r="AV77" s="74"/>
      <c r="AW77" s="74"/>
      <c r="AX77" s="74"/>
      <c r="AY77" s="74"/>
      <c r="AZ77" s="74"/>
      <c r="BA77" s="74"/>
      <c r="BB77" s="74"/>
      <c r="BC77" s="74"/>
      <c r="BD77" s="75"/>
    </row>
    <row r="78" spans="18:99" ht="6" customHeight="1" x14ac:dyDescent="0.3"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74"/>
      <c r="AP78" s="74"/>
      <c r="AQ78" s="74"/>
      <c r="AR78" s="74"/>
      <c r="AS78" s="74"/>
      <c r="AT78" s="74"/>
      <c r="AU78" s="74"/>
      <c r="AV78" s="74"/>
      <c r="AW78" s="74"/>
      <c r="AX78" s="74"/>
      <c r="AY78" s="74"/>
      <c r="AZ78" s="74"/>
      <c r="BA78" s="74"/>
      <c r="BB78" s="74"/>
      <c r="BC78" s="74"/>
      <c r="BD78" s="75"/>
    </row>
    <row r="79" spans="18:99" ht="6" customHeight="1" x14ac:dyDescent="0.3"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/>
      <c r="AR79" s="74"/>
      <c r="AS79" s="74"/>
      <c r="AT79" s="74"/>
      <c r="AU79" s="74"/>
      <c r="AV79" s="74"/>
      <c r="AW79" s="74"/>
      <c r="AX79" s="74"/>
      <c r="AY79" s="74"/>
      <c r="AZ79" s="74"/>
      <c r="BA79" s="74"/>
      <c r="BB79" s="74"/>
      <c r="BC79" s="74"/>
      <c r="BD79" s="75"/>
    </row>
    <row r="80" spans="18:99" ht="6" customHeight="1" x14ac:dyDescent="0.3"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/>
      <c r="AR80" s="74"/>
      <c r="AS80" s="74"/>
      <c r="AT80" s="74"/>
      <c r="AU80" s="74"/>
      <c r="AV80" s="74"/>
      <c r="AW80" s="74"/>
      <c r="AX80" s="74"/>
      <c r="AY80" s="74"/>
      <c r="AZ80" s="74"/>
      <c r="BA80" s="74"/>
      <c r="BB80" s="74"/>
      <c r="BC80" s="74"/>
      <c r="BD80" s="75"/>
    </row>
    <row r="81" spans="26:56" ht="6" customHeight="1" x14ac:dyDescent="0.3"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74"/>
      <c r="AR81" s="74"/>
      <c r="AS81" s="74"/>
      <c r="AT81" s="74"/>
      <c r="AU81" s="74"/>
      <c r="AV81" s="74"/>
      <c r="AW81" s="74"/>
      <c r="AX81" s="74"/>
      <c r="AY81" s="74"/>
      <c r="AZ81" s="74"/>
      <c r="BA81" s="74"/>
      <c r="BB81" s="74"/>
      <c r="BC81" s="74"/>
      <c r="BD81" s="75"/>
    </row>
    <row r="82" spans="26:56" ht="6" customHeight="1" x14ac:dyDescent="0.3">
      <c r="Z82" s="74" t="s">
        <v>76</v>
      </c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/>
      <c r="AR82" s="74"/>
      <c r="AS82" s="74"/>
      <c r="AT82" s="74"/>
      <c r="AU82" s="74"/>
      <c r="AV82" s="74"/>
      <c r="AW82" s="74"/>
      <c r="AX82" s="74"/>
      <c r="AY82" s="74"/>
      <c r="AZ82" s="74"/>
      <c r="BA82" s="74"/>
      <c r="BB82" s="74"/>
      <c r="BC82" s="74"/>
      <c r="BD82" s="75"/>
    </row>
    <row r="83" spans="26:56" ht="6" customHeight="1" x14ac:dyDescent="0.3"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  <c r="AS83" s="74"/>
      <c r="AT83" s="74"/>
      <c r="AU83" s="74"/>
      <c r="AV83" s="74"/>
      <c r="AW83" s="74"/>
      <c r="AX83" s="74"/>
      <c r="AY83" s="74"/>
      <c r="AZ83" s="74"/>
      <c r="BA83" s="74"/>
      <c r="BB83" s="74"/>
      <c r="BC83" s="74"/>
      <c r="BD83" s="75"/>
    </row>
    <row r="84" spans="26:56" ht="6" customHeight="1" x14ac:dyDescent="0.3"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  <c r="AR84" s="74"/>
      <c r="AS84" s="74"/>
      <c r="AT84" s="74"/>
      <c r="AU84" s="74"/>
      <c r="AV84" s="74"/>
      <c r="AW84" s="74"/>
      <c r="AX84" s="74"/>
      <c r="AY84" s="74"/>
      <c r="AZ84" s="74"/>
      <c r="BA84" s="74"/>
      <c r="BB84" s="74"/>
      <c r="BC84" s="74"/>
      <c r="BD84" s="75"/>
    </row>
    <row r="85" spans="26:56" ht="6" customHeight="1" x14ac:dyDescent="0.3"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  <c r="AS85" s="74"/>
      <c r="AT85" s="74"/>
      <c r="AU85" s="74"/>
      <c r="AV85" s="74"/>
      <c r="AW85" s="74"/>
      <c r="AX85" s="74"/>
      <c r="AY85" s="74"/>
      <c r="AZ85" s="74"/>
      <c r="BA85" s="74"/>
      <c r="BB85" s="74"/>
      <c r="BC85" s="74"/>
      <c r="BD85" s="75"/>
    </row>
    <row r="86" spans="26:56" ht="6" customHeight="1" x14ac:dyDescent="0.3"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/>
      <c r="AX86" s="74"/>
      <c r="AY86" s="74"/>
      <c r="AZ86" s="74"/>
      <c r="BA86" s="74"/>
      <c r="BB86" s="74"/>
      <c r="BC86" s="74"/>
      <c r="BD86" s="75"/>
    </row>
    <row r="87" spans="26:56" ht="6" customHeight="1" x14ac:dyDescent="0.3"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5"/>
    </row>
    <row r="88" spans="26:56" ht="6" customHeight="1" x14ac:dyDescent="0.3"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4"/>
      <c r="AO88" s="74"/>
      <c r="AP88" s="74"/>
      <c r="AQ88" s="74"/>
      <c r="AR88" s="74"/>
      <c r="AS88" s="74"/>
      <c r="AT88" s="74"/>
      <c r="AU88" s="74"/>
      <c r="AV88" s="74"/>
      <c r="AW88" s="74"/>
      <c r="AX88" s="74"/>
      <c r="AY88" s="74"/>
      <c r="AZ88" s="74"/>
      <c r="BA88" s="74"/>
      <c r="BB88" s="74"/>
      <c r="BC88" s="74"/>
      <c r="BD88" s="75"/>
    </row>
    <row r="89" spans="26:56" ht="6" customHeight="1" x14ac:dyDescent="0.3"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  <c r="AS89" s="74"/>
      <c r="AT89" s="74"/>
      <c r="AU89" s="74"/>
      <c r="AV89" s="74"/>
      <c r="AW89" s="74"/>
      <c r="AX89" s="74"/>
      <c r="AY89" s="74"/>
      <c r="AZ89" s="74"/>
      <c r="BA89" s="74"/>
      <c r="BB89" s="74"/>
      <c r="BC89" s="74"/>
      <c r="BD89" s="75"/>
    </row>
    <row r="90" spans="26:56" ht="6" customHeight="1" x14ac:dyDescent="0.3">
      <c r="Z90" s="76" t="s">
        <v>77</v>
      </c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76"/>
      <c r="BC90" s="76"/>
      <c r="BD90" s="77"/>
    </row>
    <row r="91" spans="26:56" ht="6" customHeight="1" x14ac:dyDescent="0.3"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76"/>
      <c r="BC91" s="76"/>
      <c r="BD91" s="77"/>
    </row>
    <row r="92" spans="26:56" ht="6" customHeight="1" x14ac:dyDescent="0.3"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  <c r="AN92" s="78"/>
      <c r="AO92" s="78"/>
      <c r="AP92" s="78"/>
      <c r="AQ92" s="78"/>
      <c r="AR92" s="78"/>
      <c r="AS92" s="78"/>
      <c r="AT92" s="78"/>
      <c r="AU92" s="78"/>
      <c r="AV92" s="78"/>
      <c r="AW92" s="78"/>
      <c r="AX92" s="78"/>
      <c r="AY92" s="78"/>
      <c r="AZ92" s="78"/>
      <c r="BA92" s="78"/>
      <c r="BB92" s="78"/>
      <c r="BC92" s="78"/>
      <c r="BD92" s="78"/>
    </row>
    <row r="93" spans="26:56" ht="6" customHeight="1" x14ac:dyDescent="0.3"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78"/>
      <c r="AK93" s="78"/>
      <c r="AL93" s="78"/>
      <c r="AM93" s="78"/>
      <c r="AN93" s="78"/>
      <c r="AO93" s="78"/>
      <c r="AP93" s="78"/>
      <c r="AQ93" s="78"/>
      <c r="AR93" s="78"/>
      <c r="AS93" s="78"/>
      <c r="AT93" s="78"/>
      <c r="AU93" s="78"/>
      <c r="AV93" s="78"/>
      <c r="AW93" s="78"/>
      <c r="AX93" s="78"/>
      <c r="AY93" s="78"/>
      <c r="AZ93" s="78"/>
      <c r="BA93" s="78"/>
      <c r="BB93" s="78"/>
      <c r="BC93" s="78"/>
      <c r="BD93" s="78"/>
    </row>
    <row r="94" spans="26:56" ht="6" customHeight="1" x14ac:dyDescent="0.3">
      <c r="Z94" s="78"/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  <c r="AN94" s="78"/>
      <c r="AO94" s="78"/>
      <c r="AP94" s="78"/>
      <c r="AQ94" s="78"/>
      <c r="AR94" s="78"/>
      <c r="AS94" s="78"/>
      <c r="AT94" s="78"/>
      <c r="AU94" s="78"/>
      <c r="AV94" s="78"/>
      <c r="AW94" s="78"/>
      <c r="AX94" s="78"/>
      <c r="AY94" s="78"/>
      <c r="AZ94" s="78"/>
      <c r="BA94" s="78"/>
      <c r="BB94" s="78"/>
      <c r="BC94" s="78"/>
      <c r="BD94" s="78"/>
    </row>
    <row r="95" spans="26:56" ht="6" customHeight="1" x14ac:dyDescent="0.3"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8"/>
      <c r="AN95" s="78"/>
      <c r="AO95" s="78"/>
      <c r="AP95" s="78"/>
      <c r="AQ95" s="78"/>
      <c r="AR95" s="78"/>
      <c r="AS95" s="78"/>
      <c r="AT95" s="78"/>
      <c r="AU95" s="78"/>
      <c r="AV95" s="78"/>
      <c r="AW95" s="78"/>
      <c r="AX95" s="78"/>
      <c r="AY95" s="78"/>
      <c r="AZ95" s="78"/>
      <c r="BA95" s="78"/>
      <c r="BB95" s="78"/>
      <c r="BC95" s="78"/>
      <c r="BD95" s="78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BN34:CQ36"/>
    <mergeCell ref="Z37:BC39"/>
    <mergeCell ref="BN37:CQ38"/>
    <mergeCell ref="Z40:BC41"/>
    <mergeCell ref="BN40:CQ42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Z2:BC3"/>
    <mergeCell ref="Z4:BC6"/>
    <mergeCell ref="R5:W7"/>
    <mergeCell ref="BF5:BK7"/>
    <mergeCell ref="Z9:BC13"/>
    <mergeCell ref="BN9:CQ11"/>
    <mergeCell ref="BN12:CQ13"/>
  </mergeCells>
  <hyperlinks>
    <hyperlink ref="B63" r:id="rId1" xr:uid="{C2E72DC4-D36C-4377-A79A-78076DD86EA9}"/>
    <hyperlink ref="B51" r:id="rId2" xr:uid="{750B0D38-8A90-4B08-A87F-3E56D5D74BAB}"/>
    <hyperlink ref="B57" r:id="rId3" xr:uid="{BDDDDD93-B9E1-448E-99CC-7AEFB7CD3F66}"/>
    <hyperlink ref="Z4" r:id="rId4" xr:uid="{85328CE1-D307-4B4A-B391-867DB1924F40}"/>
    <hyperlink ref="Z17" r:id="rId5" display="https://www.udemy.com/excel-mistrz-formul/?couponCode=STANDARDOWY" xr:uid="{018BA3F5-EA9C-4929-865B-889F984DC6E7}"/>
    <hyperlink ref="Z26" r:id="rId6" xr:uid="{3969C033-6ACB-4CA9-AA19-A1A4B3AB169A}"/>
    <hyperlink ref="Z40" r:id="rId7" display="https://www.udemy.com/excel-mistrz-formul/?couponCode=STANDARDOWY" xr:uid="{4ACAF519-1259-4A9D-88B1-3A7BC853C4BD}"/>
    <hyperlink ref="Z51" r:id="rId8" display="https://www.udemy.com/excel-mistrz-formul/?couponCode=STANDARDOWY" xr:uid="{A9B25C04-53F7-469D-AF99-E3CF10F1CFFC}"/>
    <hyperlink ref="Z62" r:id="rId9" display="https://www.udemy.com/excel-mistrz-formul/?couponCode=STANDARDOWY" xr:uid="{3FB5FF89-4EB1-4140-984B-182512AC915F}"/>
    <hyperlink ref="Z71" r:id="rId10" display="https://www.udemy.com/excel-mistrz-formul/?couponCode=STANDARDOWY" xr:uid="{F4718525-743B-4030-ACD8-F4A204BCE4E3}"/>
    <hyperlink ref="BN12" r:id="rId11" location="mistrz-excela-w-20-dni" xr:uid="{CE0642E4-4E8B-48F9-9D76-01FA0A4B9000}"/>
    <hyperlink ref="BN37" r:id="rId12" location="mistrz-excela-w-20-dni" display="http://ksplus.komputerswiat.pl/sklep#mistrz-excela-w-20-dni" xr:uid="{C3733481-C788-4371-BB08-DCD41D8D7C74}"/>
    <hyperlink ref="BN43" r:id="rId13" location="mistrz-excela-w-20-dni" display="http://ksplus.komputerswiat.pl/sklep#mistrz-excela-w-20-dni" xr:uid="{BD53A4CA-5D1F-4C94-9C62-739664610528}"/>
    <hyperlink ref="BN62" r:id="rId14" location="mistrz-excela-w-20-dni" display="http://ksplus.komputerswiat.pl/sklep#mistrz-excela-w-20-dni" xr:uid="{F669A262-D17F-4C25-BDA7-2ABAC93C81E5}"/>
    <hyperlink ref="BN68" r:id="rId15" location="mistrz-excela-w-20-dni" display="http://ksplus.komputerswiat.pl/sklep#mistrz-excela-w-20-dni" xr:uid="{B7C6C8C0-A3C5-4695-B189-D764D16D3989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G17"/>
  <sheetViews>
    <sheetView showGridLines="0" workbookViewId="0"/>
  </sheetViews>
  <sheetFormatPr defaultRowHeight="14.4" outlineLevelRow="1" outlineLevelCol="1" x14ac:dyDescent="0.3"/>
  <cols>
    <col min="1" max="2" width="8.88671875" style="1"/>
    <col min="3" max="3" width="6.33203125" style="1" customWidth="1"/>
    <col min="4" max="7" width="14.5546875" style="1" bestFit="1" customWidth="1" outlineLevel="1"/>
    <col min="8" max="16384" width="8.88671875" style="1"/>
  </cols>
  <sheetData>
    <row r="1" spans="2:7" ht="15" thickBot="1" x14ac:dyDescent="0.35"/>
    <row r="2" spans="2:7" x14ac:dyDescent="0.3">
      <c r="B2" s="2" t="s">
        <v>29</v>
      </c>
      <c r="C2" s="2"/>
      <c r="D2" s="3"/>
      <c r="E2" s="3"/>
      <c r="F2" s="3"/>
      <c r="G2" s="3"/>
    </row>
    <row r="3" spans="2:7" collapsed="1" x14ac:dyDescent="0.3">
      <c r="B3" s="4"/>
      <c r="C3" s="4"/>
      <c r="D3" s="5" t="s">
        <v>31</v>
      </c>
      <c r="E3" s="5" t="s">
        <v>25</v>
      </c>
      <c r="F3" s="5" t="s">
        <v>27</v>
      </c>
      <c r="G3" s="5" t="s">
        <v>28</v>
      </c>
    </row>
    <row r="4" spans="2:7" ht="28.8" hidden="1" outlineLevel="1" x14ac:dyDescent="0.3">
      <c r="B4" s="6"/>
      <c r="C4" s="6"/>
      <c r="D4" s="7"/>
      <c r="E4" s="8" t="s">
        <v>26</v>
      </c>
      <c r="F4" s="8" t="s">
        <v>26</v>
      </c>
      <c r="G4" s="8" t="s">
        <v>26</v>
      </c>
    </row>
    <row r="5" spans="2:7" x14ac:dyDescent="0.3">
      <c r="B5" s="9" t="s">
        <v>30</v>
      </c>
      <c r="C5" s="9"/>
      <c r="D5" s="10"/>
      <c r="E5" s="10"/>
      <c r="F5" s="10"/>
      <c r="G5" s="10"/>
    </row>
    <row r="6" spans="2:7" outlineLevel="1" x14ac:dyDescent="0.3">
      <c r="B6" s="6"/>
      <c r="C6" s="6" t="s">
        <v>21</v>
      </c>
      <c r="D6" s="11">
        <v>0.105</v>
      </c>
      <c r="E6" s="12">
        <v>9.1999999999999998E-2</v>
      </c>
      <c r="F6" s="12">
        <v>9.7600000000000006E-2</v>
      </c>
      <c r="G6" s="12">
        <v>0.105</v>
      </c>
    </row>
    <row r="7" spans="2:7" outlineLevel="1" x14ac:dyDescent="0.3">
      <c r="B7" s="6"/>
      <c r="C7" s="6" t="s">
        <v>22</v>
      </c>
      <c r="D7" s="11">
        <v>7.2499999999999995E-2</v>
      </c>
      <c r="E7" s="12">
        <v>6.3200000000000006E-2</v>
      </c>
      <c r="F7" s="12">
        <v>6.5000000000000002E-2</v>
      </c>
      <c r="G7" s="12">
        <v>7.2499999999999995E-2</v>
      </c>
    </row>
    <row r="8" spans="2:7" outlineLevel="1" x14ac:dyDescent="0.3">
      <c r="B8" s="6"/>
      <c r="C8" s="6" t="s">
        <v>23</v>
      </c>
      <c r="D8" s="11">
        <v>3.2000000000000001E-2</v>
      </c>
      <c r="E8" s="12">
        <v>0.05</v>
      </c>
      <c r="F8" s="12">
        <v>2.4500000000000001E-2</v>
      </c>
      <c r="G8" s="12">
        <v>3.2000000000000001E-2</v>
      </c>
    </row>
    <row r="9" spans="2:7" outlineLevel="1" x14ac:dyDescent="0.3">
      <c r="B9" s="6"/>
      <c r="C9" s="6" t="s">
        <v>24</v>
      </c>
      <c r="D9" s="11">
        <v>0.02</v>
      </c>
      <c r="E9" s="12">
        <v>3.4500000000000003E-2</v>
      </c>
      <c r="F9" s="12">
        <v>2.4500000000000001E-2</v>
      </c>
      <c r="G9" s="12">
        <v>0.02</v>
      </c>
    </row>
    <row r="10" spans="2:7" x14ac:dyDescent="0.3">
      <c r="B10" s="9" t="s">
        <v>32</v>
      </c>
      <c r="C10" s="9"/>
      <c r="D10" s="10"/>
      <c r="E10" s="10"/>
      <c r="F10" s="10"/>
      <c r="G10" s="10"/>
    </row>
    <row r="11" spans="2:7" outlineLevel="1" x14ac:dyDescent="0.3">
      <c r="B11" s="6"/>
      <c r="C11" s="6" t="s">
        <v>36</v>
      </c>
      <c r="D11" s="13">
        <v>2465.6</v>
      </c>
      <c r="E11" s="13">
        <v>2432.96</v>
      </c>
      <c r="F11" s="13">
        <v>2522.88</v>
      </c>
      <c r="G11" s="13">
        <v>2465.6</v>
      </c>
    </row>
    <row r="12" spans="2:7" outlineLevel="1" x14ac:dyDescent="0.3">
      <c r="B12" s="6"/>
      <c r="C12" s="6" t="s">
        <v>37</v>
      </c>
      <c r="D12" s="13">
        <v>3852.5</v>
      </c>
      <c r="E12" s="13">
        <v>3801.5</v>
      </c>
      <c r="F12" s="13">
        <v>3942</v>
      </c>
      <c r="G12" s="13">
        <v>3852.5</v>
      </c>
    </row>
    <row r="13" spans="2:7" outlineLevel="1" x14ac:dyDescent="0.3">
      <c r="B13" s="6"/>
      <c r="C13" s="6" t="s">
        <v>38</v>
      </c>
      <c r="D13" s="13">
        <v>1541</v>
      </c>
      <c r="E13" s="13">
        <v>1520.6</v>
      </c>
      <c r="F13" s="13">
        <v>1576.8</v>
      </c>
      <c r="G13" s="13">
        <v>1541</v>
      </c>
    </row>
    <row r="14" spans="2:7" ht="15" outlineLevel="1" thickBot="1" x14ac:dyDescent="0.35">
      <c r="B14" s="14"/>
      <c r="C14" s="14" t="s">
        <v>39</v>
      </c>
      <c r="D14" s="15">
        <v>7859.1</v>
      </c>
      <c r="E14" s="15">
        <v>7755.06</v>
      </c>
      <c r="F14" s="15">
        <v>8041.68</v>
      </c>
      <c r="G14" s="15">
        <v>7859.1</v>
      </c>
    </row>
    <row r="15" spans="2:7" x14ac:dyDescent="0.3">
      <c r="B15" s="1" t="s">
        <v>33</v>
      </c>
    </row>
    <row r="16" spans="2:7" x14ac:dyDescent="0.3">
      <c r="B16" s="1" t="s">
        <v>34</v>
      </c>
    </row>
    <row r="17" spans="2:2" x14ac:dyDescent="0.3">
      <c r="B17" s="1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73BE"/>
  </sheetPr>
  <dimension ref="A1:H16"/>
  <sheetViews>
    <sheetView zoomScale="115" zoomScaleNormal="115" workbookViewId="0"/>
  </sheetViews>
  <sheetFormatPr defaultColWidth="9.109375" defaultRowHeight="14.4" x14ac:dyDescent="0.3"/>
  <cols>
    <col min="1" max="1" width="8" style="16" bestFit="1" customWidth="1"/>
    <col min="2" max="2" width="12.88671875" style="16" bestFit="1" customWidth="1"/>
    <col min="3" max="3" width="14.5546875" style="16" customWidth="1"/>
    <col min="4" max="4" width="13.88671875" style="16" customWidth="1"/>
    <col min="5" max="5" width="9.5546875" style="16" customWidth="1"/>
    <col min="6" max="6" width="14" style="16" customWidth="1"/>
    <col min="7" max="8" width="10.6640625" style="16" bestFit="1" customWidth="1"/>
    <col min="9" max="16384" width="9.109375" style="16"/>
  </cols>
  <sheetData>
    <row r="1" spans="1:8" ht="15" x14ac:dyDescent="0.35">
      <c r="A1" s="29" t="s">
        <v>4</v>
      </c>
      <c r="B1" s="30"/>
      <c r="C1" s="30"/>
      <c r="D1" s="30"/>
      <c r="E1" s="30"/>
      <c r="F1" s="30"/>
      <c r="G1" s="30"/>
      <c r="H1" s="30"/>
    </row>
    <row r="2" spans="1:8" ht="28.8" x14ac:dyDescent="0.3">
      <c r="A2" s="24" t="s">
        <v>5</v>
      </c>
      <c r="B2" s="24" t="s">
        <v>6</v>
      </c>
      <c r="C2" s="24" t="str">
        <f>C9</f>
        <v>Ubezpieczenie emerytalne</v>
      </c>
      <c r="D2" s="24" t="str">
        <f>D9</f>
        <v>Ubezpieczenie rentowe</v>
      </c>
      <c r="E2" s="24" t="str">
        <f>E9</f>
        <v>Fundusz Pracy</v>
      </c>
      <c r="F2" s="24" t="str">
        <f>F9</f>
        <v>Ubezpieczenie chorobowe</v>
      </c>
      <c r="G2" s="24" t="s">
        <v>7</v>
      </c>
      <c r="H2" s="24" t="s">
        <v>8</v>
      </c>
    </row>
    <row r="3" spans="1:8" x14ac:dyDescent="0.3">
      <c r="A3" s="18" t="s">
        <v>1</v>
      </c>
      <c r="B3" s="31">
        <v>3200</v>
      </c>
      <c r="C3" s="32">
        <f t="shared" ref="C3:F5" si="0">$B3*C$10</f>
        <v>336</v>
      </c>
      <c r="D3" s="32">
        <f t="shared" si="0"/>
        <v>231.99999999999997</v>
      </c>
      <c r="E3" s="32">
        <f t="shared" si="0"/>
        <v>102.4</v>
      </c>
      <c r="F3" s="32">
        <f t="shared" si="0"/>
        <v>64</v>
      </c>
      <c r="G3" s="32">
        <f>SUM(C3:F3)</f>
        <v>734.4</v>
      </c>
      <c r="H3" s="32">
        <f>B3-G3</f>
        <v>2465.6</v>
      </c>
    </row>
    <row r="4" spans="1:8" x14ac:dyDescent="0.3">
      <c r="A4" s="18" t="s">
        <v>2</v>
      </c>
      <c r="B4" s="31">
        <v>5000</v>
      </c>
      <c r="C4" s="32">
        <f t="shared" si="0"/>
        <v>525</v>
      </c>
      <c r="D4" s="32">
        <f t="shared" si="0"/>
        <v>362.5</v>
      </c>
      <c r="E4" s="32">
        <f t="shared" si="0"/>
        <v>160</v>
      </c>
      <c r="F4" s="32">
        <f t="shared" si="0"/>
        <v>100</v>
      </c>
      <c r="G4" s="32">
        <f t="shared" ref="G4:G5" si="1">SUM(C4:F4)</f>
        <v>1147.5</v>
      </c>
      <c r="H4" s="32">
        <f t="shared" ref="H4:H5" si="2">B4-G4</f>
        <v>3852.5</v>
      </c>
    </row>
    <row r="5" spans="1:8" ht="15" thickBot="1" x14ac:dyDescent="0.35">
      <c r="A5" s="18" t="s">
        <v>3</v>
      </c>
      <c r="B5" s="31">
        <v>2000</v>
      </c>
      <c r="C5" s="32">
        <f t="shared" si="0"/>
        <v>210</v>
      </c>
      <c r="D5" s="32">
        <f t="shared" si="0"/>
        <v>145</v>
      </c>
      <c r="E5" s="32">
        <f t="shared" si="0"/>
        <v>64</v>
      </c>
      <c r="F5" s="32">
        <f t="shared" si="0"/>
        <v>40</v>
      </c>
      <c r="G5" s="32">
        <f t="shared" si="1"/>
        <v>459</v>
      </c>
      <c r="H5" s="32">
        <f t="shared" si="2"/>
        <v>1541</v>
      </c>
    </row>
    <row r="6" spans="1:8" ht="15" thickBot="1" x14ac:dyDescent="0.35">
      <c r="A6" s="33" t="s">
        <v>9</v>
      </c>
      <c r="B6" s="33">
        <f t="shared" ref="B6:H6" si="3">SUM(B3:B5)</f>
        <v>10200</v>
      </c>
      <c r="C6" s="33">
        <f t="shared" si="3"/>
        <v>1071</v>
      </c>
      <c r="D6" s="33">
        <f t="shared" si="3"/>
        <v>739.5</v>
      </c>
      <c r="E6" s="33">
        <f t="shared" si="3"/>
        <v>326.39999999999998</v>
      </c>
      <c r="F6" s="33">
        <f t="shared" si="3"/>
        <v>204</v>
      </c>
      <c r="G6" s="33">
        <f t="shared" si="3"/>
        <v>2340.9</v>
      </c>
      <c r="H6" s="33">
        <f t="shared" si="3"/>
        <v>7859.1</v>
      </c>
    </row>
    <row r="7" spans="1:8" ht="8.25" customHeight="1" thickTop="1" x14ac:dyDescent="0.3"/>
    <row r="8" spans="1:8" x14ac:dyDescent="0.3">
      <c r="C8" s="34" t="s">
        <v>10</v>
      </c>
      <c r="D8" s="34"/>
      <c r="E8" s="34"/>
      <c r="F8" s="34"/>
    </row>
    <row r="9" spans="1:8" ht="27.6" x14ac:dyDescent="0.3">
      <c r="A9" s="23"/>
      <c r="C9" s="35" t="s">
        <v>11</v>
      </c>
      <c r="D9" s="35" t="s">
        <v>12</v>
      </c>
      <c r="E9" s="35" t="s">
        <v>13</v>
      </c>
      <c r="F9" s="35" t="s">
        <v>14</v>
      </c>
    </row>
    <row r="10" spans="1:8" x14ac:dyDescent="0.3">
      <c r="C10" s="36">
        <v>0.105</v>
      </c>
      <c r="D10" s="37">
        <v>7.2499999999999995E-2</v>
      </c>
      <c r="E10" s="37">
        <v>3.2000000000000001E-2</v>
      </c>
      <c r="F10" s="37">
        <v>0.02</v>
      </c>
    </row>
    <row r="11" spans="1:8" s="38" customFormat="1" ht="8.25" customHeight="1" x14ac:dyDescent="0.3"/>
    <row r="12" spans="1:8" x14ac:dyDescent="0.3">
      <c r="C12" s="39">
        <v>0.105</v>
      </c>
      <c r="D12" s="39">
        <v>7.2499999999999995E-2</v>
      </c>
      <c r="E12" s="39">
        <v>3.2000000000000001E-2</v>
      </c>
      <c r="F12" s="39">
        <v>0.02</v>
      </c>
    </row>
    <row r="13" spans="1:8" x14ac:dyDescent="0.3">
      <c r="C13" s="36">
        <v>9.7600000000000006E-2</v>
      </c>
      <c r="D13" s="37">
        <v>6.5000000000000002E-2</v>
      </c>
      <c r="E13" s="37">
        <v>2.4500000000000001E-2</v>
      </c>
      <c r="F13" s="37">
        <v>2.4500000000000001E-2</v>
      </c>
    </row>
    <row r="14" spans="1:8" x14ac:dyDescent="0.3">
      <c r="A14" s="23"/>
      <c r="B14" s="23"/>
      <c r="C14" s="36">
        <v>9.1999999999999998E-2</v>
      </c>
      <c r="D14" s="37">
        <v>6.3200000000000006E-2</v>
      </c>
      <c r="E14" s="37">
        <v>0.05</v>
      </c>
      <c r="F14" s="37">
        <v>3.4500000000000003E-2</v>
      </c>
    </row>
    <row r="15" spans="1:8" x14ac:dyDescent="0.3">
      <c r="A15" s="23"/>
      <c r="B15" s="23"/>
      <c r="C15" s="23"/>
      <c r="D15" s="23"/>
      <c r="E15" s="23"/>
      <c r="F15" s="23"/>
    </row>
    <row r="16" spans="1:8" x14ac:dyDescent="0.3">
      <c r="A16" s="23"/>
      <c r="B16" s="23"/>
      <c r="C16" s="23"/>
      <c r="E16" s="23"/>
      <c r="F16" s="40"/>
    </row>
  </sheetData>
  <scenarios current="2" show="2" sqref="H3:H6">
    <scenario name="Scenariusz1" locked="1" count="4" user="Adam" comment="Autor: Adam dn. 2016-07-01">
      <inputCells r="C10" val="0,092" numFmtId="10"/>
      <inputCells r="D10" val="0,0632" numFmtId="10"/>
      <inputCells r="E10" val="0,05" numFmtId="10"/>
      <inputCells r="F10" val="0,0345" numFmtId="10"/>
    </scenario>
    <scenario name="Scenariusz2" locked="1" count="4" user="Adam" comment="Autor: Adam dn. 2016-07-01">
      <inputCells r="C10" val="0,0976" numFmtId="10"/>
      <inputCells r="D10" val="0,065" numFmtId="10"/>
      <inputCells r="E10" val="0,0245" numFmtId="10"/>
      <inputCells r="F10" val="0,0245" numFmtId="10"/>
    </scenario>
    <scenario name="Scenariusz3" locked="1" count="4" user="Adam" comment="Autor: Adam dn. 2016-07-01">
      <inputCells r="C10" val="0,105" numFmtId="10"/>
      <inputCells r="D10" val="0,0725" numFmtId="10"/>
      <inputCells r="E10" val="0,032" numFmtId="10"/>
      <inputCells r="F10" val="0,02" numFmtId="10"/>
    </scenario>
  </scenario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73BE"/>
  </sheetPr>
  <dimension ref="A1:H10"/>
  <sheetViews>
    <sheetView zoomScale="130" zoomScaleNormal="130" workbookViewId="0"/>
  </sheetViews>
  <sheetFormatPr defaultColWidth="9.109375" defaultRowHeight="14.4" x14ac:dyDescent="0.3"/>
  <cols>
    <col min="1" max="3" width="11.109375" style="16" customWidth="1"/>
    <col min="4" max="4" width="1.6640625" style="16" customWidth="1"/>
    <col min="5" max="8" width="11.109375" style="16" bestFit="1" customWidth="1"/>
    <col min="9" max="10" width="11.109375" style="16" customWidth="1"/>
    <col min="11" max="12" width="11.109375" style="16" bestFit="1" customWidth="1"/>
    <col min="13" max="16384" width="9.109375" style="16"/>
  </cols>
  <sheetData>
    <row r="1" spans="1:8" x14ac:dyDescent="0.3">
      <c r="E1" s="24" t="s">
        <v>0</v>
      </c>
      <c r="F1" s="25">
        <v>31118.99871255345</v>
      </c>
      <c r="G1" s="25">
        <v>35000</v>
      </c>
      <c r="H1" s="25">
        <v>35000</v>
      </c>
    </row>
    <row r="2" spans="1:8" x14ac:dyDescent="0.3">
      <c r="E2" s="24" t="s">
        <v>15</v>
      </c>
      <c r="F2" s="18">
        <v>24</v>
      </c>
      <c r="G2" s="18">
        <v>27.539250179770129</v>
      </c>
      <c r="H2" s="18">
        <v>24</v>
      </c>
    </row>
    <row r="3" spans="1:8" x14ac:dyDescent="0.3">
      <c r="E3" s="24" t="s">
        <v>16</v>
      </c>
      <c r="F3" s="26">
        <v>1.2E-2</v>
      </c>
      <c r="G3" s="26">
        <v>1.2E-2</v>
      </c>
      <c r="H3" s="26">
        <v>2.266053267718636E-3</v>
      </c>
    </row>
    <row r="4" spans="1:8" x14ac:dyDescent="0.3">
      <c r="E4" s="27" t="s">
        <v>17</v>
      </c>
      <c r="F4" s="21">
        <f>PMT(F3,F2,F1)</f>
        <v>-1500</v>
      </c>
      <c r="G4" s="21">
        <f t="shared" ref="G4:H4" si="0">PMT(G3,G2,G1)</f>
        <v>-1500.0006542726101</v>
      </c>
      <c r="H4" s="21">
        <f t="shared" si="0"/>
        <v>-1499.9999981960711</v>
      </c>
    </row>
    <row r="9" spans="1:8" x14ac:dyDescent="0.3">
      <c r="A9" s="28" t="s">
        <v>20</v>
      </c>
      <c r="B9" s="28"/>
    </row>
    <row r="10" spans="1:8" x14ac:dyDescent="0.3">
      <c r="A10" s="23" t="s">
        <v>18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E73BE"/>
  </sheetPr>
  <dimension ref="A1:L18"/>
  <sheetViews>
    <sheetView topLeftCell="C1" zoomScale="130" zoomScaleNormal="130" workbookViewId="0"/>
  </sheetViews>
  <sheetFormatPr defaultColWidth="9.109375" defaultRowHeight="14.4" x14ac:dyDescent="0.3"/>
  <cols>
    <col min="1" max="3" width="11.109375" style="16" customWidth="1"/>
    <col min="4" max="4" width="1.6640625" style="16" customWidth="1"/>
    <col min="5" max="11" width="11.109375" style="16" bestFit="1" customWidth="1"/>
    <col min="12" max="13" width="11.6640625" style="16" customWidth="1"/>
    <col min="14" max="16384" width="9.109375" style="16"/>
  </cols>
  <sheetData>
    <row r="1" spans="1:12" x14ac:dyDescent="0.3">
      <c r="E1" s="17" t="s">
        <v>0</v>
      </c>
      <c r="F1" s="18">
        <v>33000</v>
      </c>
    </row>
    <row r="2" spans="1:12" x14ac:dyDescent="0.3">
      <c r="E2" s="17" t="s">
        <v>15</v>
      </c>
      <c r="F2" s="18">
        <v>24</v>
      </c>
    </row>
    <row r="3" spans="1:12" x14ac:dyDescent="0.3">
      <c r="E3" s="17" t="s">
        <v>16</v>
      </c>
      <c r="F3" s="19">
        <v>0.05</v>
      </c>
      <c r="G3" s="20" t="s">
        <v>40</v>
      </c>
    </row>
    <row r="4" spans="1:12" x14ac:dyDescent="0.3">
      <c r="E4" s="17" t="s">
        <v>17</v>
      </c>
      <c r="F4" s="21">
        <f>PMT(F3,F2,F1)</f>
        <v>-2391.5397248386712</v>
      </c>
      <c r="G4" s="17">
        <v>24</v>
      </c>
      <c r="H4" s="17">
        <v>30</v>
      </c>
      <c r="I4" s="17">
        <v>36</v>
      </c>
      <c r="J4" s="17">
        <v>42</v>
      </c>
      <c r="K4" s="17">
        <v>43</v>
      </c>
    </row>
    <row r="5" spans="1:12" x14ac:dyDescent="0.3">
      <c r="F5" s="17">
        <v>30000</v>
      </c>
      <c r="G5" s="21">
        <f t="dataTable" ref="G5:J10" dt2D="1" dtr="1" r1="F2" r2="F1"/>
        <v>-2174.1270225806102</v>
      </c>
      <c r="H5" s="21">
        <v>-1951.5430524082976</v>
      </c>
      <c r="I5" s="21">
        <v>-1813.0337136142589</v>
      </c>
      <c r="J5" s="21">
        <v>-1721.8413926866542</v>
      </c>
      <c r="K5" s="21">
        <v>-1721.8413926866542</v>
      </c>
    </row>
    <row r="6" spans="1:12" x14ac:dyDescent="0.3">
      <c r="F6" s="17">
        <v>32000</v>
      </c>
      <c r="G6" s="21">
        <v>-2319.068824085984</v>
      </c>
      <c r="H6" s="21">
        <v>-2081.6459225688504</v>
      </c>
      <c r="I6" s="21">
        <v>-1933.9026278552094</v>
      </c>
      <c r="J6" s="21">
        <v>-1836.6308188657645</v>
      </c>
      <c r="K6" s="21">
        <v>-1836.6308188657645</v>
      </c>
    </row>
    <row r="7" spans="1:12" x14ac:dyDescent="0.3">
      <c r="F7" s="17">
        <v>34000</v>
      </c>
      <c r="G7" s="21">
        <v>-2464.0106255913583</v>
      </c>
      <c r="H7" s="21">
        <v>-2211.7487927294037</v>
      </c>
      <c r="I7" s="21">
        <v>-2054.7715420961599</v>
      </c>
      <c r="J7" s="21">
        <v>-1951.4202450448749</v>
      </c>
      <c r="K7" s="21">
        <v>-1951.4202450448749</v>
      </c>
      <c r="L7" s="22"/>
    </row>
    <row r="8" spans="1:12" x14ac:dyDescent="0.3">
      <c r="F8" s="17">
        <v>36000</v>
      </c>
      <c r="G8" s="21">
        <v>-2608.9524270967322</v>
      </c>
      <c r="H8" s="21">
        <v>-2341.851662889957</v>
      </c>
      <c r="I8" s="21">
        <v>-2175.6404563371102</v>
      </c>
      <c r="J8" s="21">
        <v>-2066.209671223985</v>
      </c>
      <c r="K8" s="21">
        <v>-2066.209671223985</v>
      </c>
    </row>
    <row r="9" spans="1:12" x14ac:dyDescent="0.3">
      <c r="A9" s="23"/>
      <c r="B9" s="23"/>
      <c r="F9" s="17">
        <v>38000</v>
      </c>
      <c r="G9" s="21">
        <v>-2753.8942286021065</v>
      </c>
      <c r="H9" s="21">
        <v>-2471.9545330505102</v>
      </c>
      <c r="I9" s="21">
        <v>-2296.5093705780614</v>
      </c>
      <c r="J9" s="21">
        <v>-2180.9990974030952</v>
      </c>
      <c r="K9" s="21">
        <v>-2180.9990974030952</v>
      </c>
    </row>
    <row r="10" spans="1:12" x14ac:dyDescent="0.3">
      <c r="B10" s="23"/>
      <c r="F10" s="17">
        <v>40000</v>
      </c>
      <c r="G10" s="21">
        <v>-2898.8360301074804</v>
      </c>
      <c r="H10" s="21">
        <v>-2602.0574032110635</v>
      </c>
      <c r="I10" s="21">
        <v>-2417.3782848190117</v>
      </c>
      <c r="J10" s="21">
        <v>-2295.7885235822059</v>
      </c>
      <c r="K10" s="21">
        <v>-2295.7885235822059</v>
      </c>
    </row>
    <row r="12" spans="1:12" x14ac:dyDescent="0.3">
      <c r="F12" s="21" t="s">
        <v>19</v>
      </c>
      <c r="G12" s="17">
        <v>24</v>
      </c>
      <c r="H12" s="17">
        <v>30</v>
      </c>
      <c r="I12" s="17">
        <v>36</v>
      </c>
      <c r="J12" s="17">
        <v>42</v>
      </c>
      <c r="K12" s="17">
        <v>45</v>
      </c>
    </row>
    <row r="13" spans="1:12" x14ac:dyDescent="0.3">
      <c r="F13" s="17">
        <v>30000</v>
      </c>
      <c r="G13" s="21">
        <f>PMT($F$3,G$12,$F13)</f>
        <v>-2174.1270225806102</v>
      </c>
      <c r="H13" s="21">
        <f t="shared" ref="H13:K18" si="0">PMT($F$3,H$12,$F13)</f>
        <v>-1951.5430524082976</v>
      </c>
      <c r="I13" s="21">
        <f t="shared" si="0"/>
        <v>-1813.0337136142589</v>
      </c>
      <c r="J13" s="21">
        <f t="shared" si="0"/>
        <v>-1721.8413926866542</v>
      </c>
      <c r="K13" s="21">
        <f t="shared" si="0"/>
        <v>-1687.852039571256</v>
      </c>
    </row>
    <row r="14" spans="1:12" x14ac:dyDescent="0.3">
      <c r="F14" s="17">
        <v>32000</v>
      </c>
      <c r="G14" s="21">
        <f t="shared" ref="G14:G18" si="1">PMT($F$3,G$12,$F14)</f>
        <v>-2319.068824085984</v>
      </c>
      <c r="H14" s="21">
        <f t="shared" si="0"/>
        <v>-2081.6459225688504</v>
      </c>
      <c r="I14" s="21">
        <f t="shared" si="0"/>
        <v>-1933.9026278552094</v>
      </c>
      <c r="J14" s="21">
        <f t="shared" si="0"/>
        <v>-1836.6308188657645</v>
      </c>
      <c r="K14" s="21">
        <f t="shared" si="0"/>
        <v>-1800.3755088760067</v>
      </c>
    </row>
    <row r="15" spans="1:12" x14ac:dyDescent="0.3">
      <c r="F15" s="17">
        <v>34000</v>
      </c>
      <c r="G15" s="21">
        <f t="shared" si="1"/>
        <v>-2464.0106255913583</v>
      </c>
      <c r="H15" s="21">
        <f t="shared" si="0"/>
        <v>-2211.7487927294037</v>
      </c>
      <c r="I15" s="21">
        <f t="shared" si="0"/>
        <v>-2054.7715420961599</v>
      </c>
      <c r="J15" s="21">
        <f t="shared" si="0"/>
        <v>-1951.4202450448749</v>
      </c>
      <c r="K15" s="21">
        <f t="shared" si="0"/>
        <v>-1912.898978180757</v>
      </c>
    </row>
    <row r="16" spans="1:12" x14ac:dyDescent="0.3">
      <c r="F16" s="17">
        <v>36000</v>
      </c>
      <c r="G16" s="21">
        <f t="shared" si="1"/>
        <v>-2608.9524270967322</v>
      </c>
      <c r="H16" s="21">
        <f t="shared" si="0"/>
        <v>-2341.851662889957</v>
      </c>
      <c r="I16" s="21">
        <f t="shared" si="0"/>
        <v>-2175.6404563371102</v>
      </c>
      <c r="J16" s="21">
        <f t="shared" si="0"/>
        <v>-2066.209671223985</v>
      </c>
      <c r="K16" s="21">
        <f t="shared" si="0"/>
        <v>-2025.4224474855073</v>
      </c>
    </row>
    <row r="17" spans="6:11" x14ac:dyDescent="0.3">
      <c r="F17" s="17">
        <v>38000</v>
      </c>
      <c r="G17" s="21">
        <f t="shared" si="1"/>
        <v>-2753.8942286021065</v>
      </c>
      <c r="H17" s="21">
        <f t="shared" si="0"/>
        <v>-2471.9545330505102</v>
      </c>
      <c r="I17" s="21">
        <f t="shared" si="0"/>
        <v>-2296.5093705780614</v>
      </c>
      <c r="J17" s="21">
        <f t="shared" si="0"/>
        <v>-2180.9990974030952</v>
      </c>
      <c r="K17" s="21">
        <f t="shared" si="0"/>
        <v>-2137.9459167902578</v>
      </c>
    </row>
    <row r="18" spans="6:11" x14ac:dyDescent="0.3">
      <c r="F18" s="17">
        <v>40000</v>
      </c>
      <c r="G18" s="21">
        <f t="shared" si="1"/>
        <v>-2898.8360301074804</v>
      </c>
      <c r="H18" s="21">
        <f t="shared" si="0"/>
        <v>-2602.0574032110635</v>
      </c>
      <c r="I18" s="21">
        <f t="shared" si="0"/>
        <v>-2417.3782848190117</v>
      </c>
      <c r="J18" s="21">
        <f t="shared" si="0"/>
        <v>-2295.7885235822059</v>
      </c>
      <c r="K18" s="21">
        <f t="shared" si="0"/>
        <v>-2250.4693860950078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ExceliAdam</vt:lpstr>
      <vt:lpstr>Podsumowanie scenariuszy</vt:lpstr>
      <vt:lpstr>MenadżerScenariuszy</vt:lpstr>
      <vt:lpstr>SzukajWyniku</vt:lpstr>
      <vt:lpstr>TabelaDanych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LENOVO</cp:lastModifiedBy>
  <cp:lastPrinted>2013-08-28T23:00:25Z</cp:lastPrinted>
  <dcterms:created xsi:type="dcterms:W3CDTF">2013-08-21T20:08:04Z</dcterms:created>
  <dcterms:modified xsi:type="dcterms:W3CDTF">2019-05-13T08:05:37Z</dcterms:modified>
</cp:coreProperties>
</file>