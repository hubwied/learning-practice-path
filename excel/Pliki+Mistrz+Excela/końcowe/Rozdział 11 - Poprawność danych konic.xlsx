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16FB7EF5-BCAB-4F49-B04F-33C051AD0D6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11" r:id="rId1"/>
    <sheet name="Punkty" sheetId="4" r:id="rId2"/>
    <sheet name="Data" sheetId="5" r:id="rId3"/>
    <sheet name="Lista" sheetId="7" r:id="rId4"/>
    <sheet name="Budżet" sheetId="9" r:id="rId5"/>
    <sheet name="ListaZależna" sheetId="10" r:id="rId6"/>
  </sheets>
  <definedNames>
    <definedName name="_xlnm._FilterDatabase" localSheetId="4" hidden="1">Budżet!#REF!</definedName>
    <definedName name="_xlnm._FilterDatabase" localSheetId="2" hidden="1">Data!#REF!</definedName>
    <definedName name="_xlnm._FilterDatabase" localSheetId="3" hidden="1">Lista!#REF!</definedName>
    <definedName name="_xlnm._FilterDatabase" localSheetId="5" hidden="1">ListaZależna!$A$1:$C$10</definedName>
    <definedName name="_xlnm._FilterDatabase" localSheetId="1" hidden="1">Punkty!#REF!</definedName>
    <definedName name="Owoce">ListaZależna!$B$2:$B$12</definedName>
    <definedName name="Pracownicy">Tabela1[Pracownicy]</definedName>
    <definedName name="Sery">ListaZależna!$C$2:$C$9</definedName>
    <definedName name="Warzywa">ListaZależna!$A$2:$A$14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9" l="1"/>
  <c r="G3" i="5"/>
  <c r="F4" i="10"/>
  <c r="D7" i="9" l="1"/>
</calcChain>
</file>

<file path=xl/sharedStrings.xml><?xml version="1.0" encoding="utf-8"?>
<sst xmlns="http://schemas.openxmlformats.org/spreadsheetml/2006/main" count="175" uniqueCount="112">
  <si>
    <t>Indeks/Przedmiot</t>
  </si>
  <si>
    <t>Polski</t>
  </si>
  <si>
    <t>Fizyka</t>
  </si>
  <si>
    <t>Biologia</t>
  </si>
  <si>
    <t>Chemia</t>
  </si>
  <si>
    <t>Historia</t>
  </si>
  <si>
    <t>Pracownik</t>
  </si>
  <si>
    <t>Data</t>
  </si>
  <si>
    <t>Fabryka</t>
  </si>
  <si>
    <t>Ilość godzin</t>
  </si>
  <si>
    <t>Początek</t>
  </si>
  <si>
    <t>Koniec</t>
  </si>
  <si>
    <t>Donald</t>
  </si>
  <si>
    <t>Stonoga</t>
  </si>
  <si>
    <t>Mini</t>
  </si>
  <si>
    <t>Żuczek</t>
  </si>
  <si>
    <t>Motylek</t>
  </si>
  <si>
    <t>Ptaszek</t>
  </si>
  <si>
    <t>Sknerus</t>
  </si>
  <si>
    <t>Goofy</t>
  </si>
  <si>
    <t>Pracownicy</t>
  </si>
  <si>
    <t>Mickey</t>
  </si>
  <si>
    <t>Budżet Imprezy</t>
  </si>
  <si>
    <t>Koszty Imprezy</t>
  </si>
  <si>
    <t>Alkohol</t>
  </si>
  <si>
    <t>Przekąski</t>
  </si>
  <si>
    <t>Soki</t>
  </si>
  <si>
    <t>Owoce</t>
  </si>
  <si>
    <t>Suma</t>
  </si>
  <si>
    <t>Warzywa</t>
  </si>
  <si>
    <t>Sery</t>
  </si>
  <si>
    <t>Grupa</t>
  </si>
  <si>
    <t>Produkt</t>
  </si>
  <si>
    <t>Brokuł</t>
  </si>
  <si>
    <t>Truskawka</t>
  </si>
  <si>
    <t>Kalafior</t>
  </si>
  <si>
    <t>Malina</t>
  </si>
  <si>
    <t>Figa</t>
  </si>
  <si>
    <t>Kapusta</t>
  </si>
  <si>
    <t>Pomarańcza</t>
  </si>
  <si>
    <t>Cebula</t>
  </si>
  <si>
    <t>Mandarynka</t>
  </si>
  <si>
    <t>Por</t>
  </si>
  <si>
    <t>Ananas</t>
  </si>
  <si>
    <t>Szczypiorek</t>
  </si>
  <si>
    <t>Kiwi</t>
  </si>
  <si>
    <t>Gruszka</t>
  </si>
  <si>
    <t>Burak</t>
  </si>
  <si>
    <t>Jabłko</t>
  </si>
  <si>
    <t>Pietruszka</t>
  </si>
  <si>
    <t>Czereśnia</t>
  </si>
  <si>
    <t>Roszpunka</t>
  </si>
  <si>
    <t>Śliwka</t>
  </si>
  <si>
    <t>Szpinak</t>
  </si>
  <si>
    <t>Batat</t>
  </si>
  <si>
    <t>Pomidor</t>
  </si>
  <si>
    <t>Ziemniak</t>
  </si>
  <si>
    <t>Dawid</t>
  </si>
  <si>
    <t>Gabriel</t>
  </si>
  <si>
    <t>Szczepan</t>
  </si>
  <si>
    <t>Natalia</t>
  </si>
  <si>
    <t>Raport z przepracowanych godzin</t>
  </si>
  <si>
    <t>Tort</t>
  </si>
  <si>
    <t>Mozzarella</t>
  </si>
  <si>
    <t xml:space="preserve">Camembert </t>
  </si>
  <si>
    <t>Gouda</t>
  </si>
  <si>
    <t>Brie</t>
  </si>
  <si>
    <t>Munster</t>
  </si>
  <si>
    <t>Roquefort</t>
  </si>
  <si>
    <t>Kozi</t>
  </si>
  <si>
    <t>Edam</t>
  </si>
  <si>
    <t/>
  </si>
  <si>
    <t>Hyzio</t>
  </si>
  <si>
    <t>Dyzio</t>
  </si>
  <si>
    <t>Zyzio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</si>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</sst>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</numFmts>
  <fonts count="2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B3E7BE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4" fillId="2" borderId="0" applyNumberFormat="0" applyBorder="0" applyAlignment="0" applyProtection="0"/>
    <xf numFmtId="0" fontId="5" fillId="0" borderId="0"/>
    <xf numFmtId="8" fontId="6" fillId="4" borderId="1" applyNumberFormat="0" applyAlignment="0"/>
    <xf numFmtId="0" fontId="7" fillId="7" borderId="1">
      <alignment wrapText="1"/>
    </xf>
    <xf numFmtId="0" fontId="8" fillId="8" borderId="5" applyBorder="0">
      <alignment horizontal="centerContinuous" wrapText="1"/>
    </xf>
    <xf numFmtId="165" fontId="9" fillId="0" borderId="0" applyFont="0" applyFill="0" applyBorder="0" applyAlignment="0" applyProtection="0"/>
    <xf numFmtId="166" fontId="10" fillId="0" borderId="0"/>
    <xf numFmtId="0" fontId="2" fillId="5" borderId="0"/>
    <xf numFmtId="164" fontId="5" fillId="0" borderId="0" applyFont="0" applyFill="0" applyBorder="0" applyAlignment="0" applyProtection="0"/>
    <xf numFmtId="0" fontId="4" fillId="9" borderId="1">
      <alignment horizontal="center" vertical="center"/>
    </xf>
    <xf numFmtId="0" fontId="2" fillId="10" borderId="1">
      <alignment horizontal="center" vertical="center"/>
    </xf>
    <xf numFmtId="8" fontId="1" fillId="11" borderId="1" applyNumberFormat="0"/>
    <xf numFmtId="8" fontId="1" fillId="12" borderId="1" applyFont="0" applyBorder="0"/>
    <xf numFmtId="8" fontId="1" fillId="10" borderId="1" applyFont="0" applyBorder="0"/>
    <xf numFmtId="8" fontId="1" fillId="13" borderId="1" applyFont="0" applyBorder="0"/>
    <xf numFmtId="8" fontId="1" fillId="14" borderId="1" applyFont="0" applyBorder="0"/>
    <xf numFmtId="0" fontId="1" fillId="15" borderId="0" applyFont="0" applyBorder="0"/>
    <xf numFmtId="8" fontId="1" fillId="16" borderId="1" applyFont="0" applyBorder="0"/>
    <xf numFmtId="8" fontId="6" fillId="4" borderId="1"/>
    <xf numFmtId="8" fontId="6" fillId="4" borderId="1" applyNumberFormat="0"/>
    <xf numFmtId="0" fontId="6" fillId="4" borderId="1"/>
    <xf numFmtId="167" fontId="11" fillId="0" borderId="0" applyFont="0" applyFill="0" applyBorder="0" applyProtection="0">
      <alignment horizontal="center"/>
    </xf>
    <xf numFmtId="0" fontId="12" fillId="0" borderId="0" applyNumberFormat="0" applyFill="0" applyBorder="0" applyAlignment="0" applyProtection="0"/>
    <xf numFmtId="0" fontId="6" fillId="3" borderId="5" applyBorder="0"/>
    <xf numFmtId="0" fontId="2" fillId="2" borderId="1"/>
    <xf numFmtId="0" fontId="9" fillId="0" borderId="0"/>
    <xf numFmtId="0" fontId="13" fillId="0" borderId="0"/>
    <xf numFmtId="8" fontId="1" fillId="17" borderId="1"/>
    <xf numFmtId="0" fontId="9" fillId="0" borderId="0">
      <alignment wrapText="1"/>
    </xf>
    <xf numFmtId="0" fontId="6" fillId="3" borderId="5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9">
    <xf numFmtId="0" fontId="0" fillId="0" borderId="0" xfId="0"/>
    <xf numFmtId="0" fontId="5" fillId="0" borderId="0" xfId="2"/>
    <xf numFmtId="0" fontId="14" fillId="10" borderId="4" xfId="1" applyFont="1" applyFill="1" applyBorder="1" applyAlignment="1">
      <alignment horizontal="center" vertical="center"/>
    </xf>
    <xf numFmtId="0" fontId="15" fillId="0" borderId="0" xfId="2" applyFont="1"/>
    <xf numFmtId="0" fontId="15" fillId="0" borderId="1" xfId="2" applyFont="1" applyBorder="1"/>
    <xf numFmtId="0" fontId="14" fillId="10" borderId="1" xfId="1" applyFont="1" applyFill="1" applyBorder="1" applyAlignment="1">
      <alignment horizontal="center" vertical="center"/>
    </xf>
    <xf numFmtId="0" fontId="15" fillId="0" borderId="1" xfId="2" applyNumberFormat="1" applyFont="1" applyBorder="1"/>
    <xf numFmtId="0" fontId="15" fillId="0" borderId="1" xfId="2" applyNumberFormat="1" applyFont="1" applyFill="1" applyBorder="1"/>
    <xf numFmtId="0" fontId="14" fillId="10" borderId="4" xfId="1" applyFont="1" applyFill="1" applyBorder="1" applyAlignment="1">
      <alignment horizontal="center" vertical="center" wrapText="1"/>
    </xf>
    <xf numFmtId="0" fontId="14" fillId="10" borderId="4" xfId="1" applyFont="1" applyFill="1" applyBorder="1" applyAlignment="1">
      <alignment horizontal="centerContinuous" vertical="center"/>
    </xf>
    <xf numFmtId="6" fontId="15" fillId="0" borderId="1" xfId="2" applyNumberFormat="1" applyFont="1" applyBorder="1"/>
    <xf numFmtId="0" fontId="15" fillId="0" borderId="2" xfId="2" applyFont="1" applyBorder="1"/>
    <xf numFmtId="6" fontId="15" fillId="0" borderId="2" xfId="2" applyNumberFormat="1" applyFont="1" applyBorder="1"/>
    <xf numFmtId="0" fontId="16" fillId="0" borderId="3" xfId="2" applyFont="1" applyBorder="1"/>
    <xf numFmtId="6" fontId="17" fillId="6" borderId="3" xfId="3" applyNumberFormat="1" applyFont="1" applyFill="1" applyBorder="1"/>
    <xf numFmtId="0" fontId="14" fillId="10" borderId="8" xfId="1" applyFont="1" applyFill="1" applyBorder="1" applyAlignment="1">
      <alignment horizontal="center" vertical="center"/>
    </xf>
    <xf numFmtId="0" fontId="15" fillId="0" borderId="7" xfId="2" applyNumberFormat="1" applyFont="1" applyFill="1" applyBorder="1" applyAlignment="1"/>
    <xf numFmtId="0" fontId="15" fillId="0" borderId="6" xfId="2" applyNumberFormat="1" applyFont="1" applyFill="1" applyBorder="1" applyAlignment="1"/>
    <xf numFmtId="0" fontId="14" fillId="5" borderId="0" xfId="2" applyFont="1" applyFill="1" applyAlignment="1">
      <alignment horizontal="centerContinuous"/>
    </xf>
    <xf numFmtId="14" fontId="15" fillId="0" borderId="1" xfId="2" applyNumberFormat="1" applyFont="1" applyBorder="1"/>
    <xf numFmtId="14" fontId="15" fillId="18" borderId="1" xfId="2" applyNumberFormat="1" applyFont="1" applyFill="1" applyBorder="1"/>
    <xf numFmtId="0" fontId="1" fillId="0" borderId="0" xfId="31"/>
    <xf numFmtId="0" fontId="3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19" fillId="0" borderId="0" xfId="33" applyFont="1" applyAlignment="1">
      <alignment vertical="center"/>
    </xf>
    <xf numFmtId="0" fontId="18" fillId="0" borderId="0" xfId="33" applyFont="1" applyAlignment="1">
      <alignment vertical="center"/>
    </xf>
    <xf numFmtId="0" fontId="20" fillId="0" borderId="0" xfId="31" applyFont="1" applyAlignment="1">
      <alignment vertical="center"/>
    </xf>
    <xf numFmtId="0" fontId="20" fillId="0" borderId="0" xfId="31" applyFont="1" applyAlignment="1">
      <alignment vertical="center"/>
    </xf>
    <xf numFmtId="0" fontId="1" fillId="0" borderId="6" xfId="31" applyBorder="1"/>
    <xf numFmtId="0" fontId="3" fillId="0" borderId="6" xfId="31" applyFont="1" applyBorder="1" applyAlignment="1">
      <alignment wrapText="1"/>
    </xf>
    <xf numFmtId="0" fontId="3" fillId="0" borderId="0" xfId="31" applyFont="1" applyBorder="1" applyAlignment="1">
      <alignment wrapText="1"/>
    </xf>
    <xf numFmtId="0" fontId="0" fillId="0" borderId="6" xfId="31" applyFont="1" applyBorder="1" applyAlignment="1">
      <alignment vertical="top"/>
    </xf>
    <xf numFmtId="0" fontId="0" fillId="0" borderId="0" xfId="31" applyFont="1" applyBorder="1" applyAlignment="1">
      <alignment vertical="top"/>
    </xf>
    <xf numFmtId="0" fontId="3" fillId="0" borderId="0" xfId="31" applyFont="1" applyBorder="1" applyAlignment="1">
      <alignment wrapText="1"/>
    </xf>
    <xf numFmtId="0" fontId="0" fillId="0" borderId="0" xfId="31" applyFont="1" applyBorder="1" applyAlignment="1">
      <alignment vertical="top"/>
    </xf>
    <xf numFmtId="0" fontId="19" fillId="0" borderId="0" xfId="33" applyFont="1" applyAlignment="1"/>
    <xf numFmtId="0" fontId="18" fillId="0" borderId="0" xfId="33" applyAlignment="1"/>
    <xf numFmtId="0" fontId="1" fillId="0" borderId="0" xfId="31" applyFont="1" applyAlignment="1">
      <alignment vertical="top"/>
    </xf>
    <xf numFmtId="0" fontId="1" fillId="0" borderId="0" xfId="31" applyFont="1" applyAlignment="1">
      <alignment vertical="top"/>
    </xf>
    <xf numFmtId="0" fontId="19" fillId="0" borderId="0" xfId="23" applyFont="1" applyAlignment="1"/>
    <xf numFmtId="0" fontId="19" fillId="0" borderId="0" xfId="23" applyFont="1" applyAlignment="1"/>
    <xf numFmtId="0" fontId="3" fillId="0" borderId="6" xfId="31" applyFont="1" applyBorder="1" applyAlignment="1">
      <alignment vertical="center"/>
    </xf>
    <xf numFmtId="0" fontId="3" fillId="0" borderId="0" xfId="31" applyFont="1" applyBorder="1" applyAlignment="1">
      <alignment vertical="center"/>
    </xf>
    <xf numFmtId="0" fontId="3" fillId="0" borderId="0" xfId="31" applyFont="1" applyBorder="1" applyAlignment="1">
      <alignment vertical="center"/>
    </xf>
    <xf numFmtId="0" fontId="1" fillId="0" borderId="0" xfId="31" applyFont="1" applyAlignment="1">
      <alignment vertical="center"/>
    </xf>
    <xf numFmtId="0" fontId="1" fillId="0" borderId="0" xfId="31" applyFont="1" applyAlignment="1">
      <alignment vertical="center"/>
    </xf>
    <xf numFmtId="0" fontId="12" fillId="0" borderId="0" xfId="23" applyAlignment="1"/>
    <xf numFmtId="0" fontId="3" fillId="0" borderId="6" xfId="31" applyFont="1" applyBorder="1" applyAlignment="1">
      <alignment vertical="top" wrapText="1"/>
    </xf>
    <xf numFmtId="0" fontId="3" fillId="0" borderId="0" xfId="31" applyFont="1" applyBorder="1" applyAlignment="1">
      <alignment vertical="top" wrapText="1"/>
    </xf>
    <xf numFmtId="0" fontId="3" fillId="0" borderId="0" xfId="31" applyFont="1" applyBorder="1" applyAlignment="1">
      <alignment vertical="top" wrapText="1"/>
    </xf>
    <xf numFmtId="0" fontId="18" fillId="0" borderId="0" xfId="33" applyAlignment="1">
      <alignment vertical="center"/>
    </xf>
    <xf numFmtId="0" fontId="3" fillId="0" borderId="0" xfId="31" applyFont="1" applyAlignment="1"/>
    <xf numFmtId="0" fontId="18" fillId="0" borderId="0" xfId="33" applyAlignment="1">
      <alignment vertical="center"/>
    </xf>
    <xf numFmtId="0" fontId="12" fillId="0" borderId="0" xfId="34" applyAlignment="1">
      <alignment vertical="center"/>
    </xf>
    <xf numFmtId="0" fontId="1" fillId="19" borderId="0" xfId="31" applyFont="1" applyFill="1" applyAlignment="1">
      <alignment vertical="top" wrapText="1"/>
    </xf>
    <xf numFmtId="0" fontId="1" fillId="19" borderId="0" xfId="31" applyFont="1" applyFill="1" applyAlignment="1">
      <alignment vertical="top" wrapText="1"/>
    </xf>
    <xf numFmtId="0" fontId="1" fillId="19" borderId="0" xfId="31" applyFont="1" applyFill="1" applyAlignment="1">
      <alignment wrapText="1"/>
    </xf>
    <xf numFmtId="0" fontId="1" fillId="19" borderId="0" xfId="31" applyFont="1" applyFill="1" applyAlignment="1">
      <alignment wrapText="1"/>
    </xf>
    <xf numFmtId="0" fontId="1" fillId="0" borderId="0" xfId="31" applyFont="1" applyAlignment="1">
      <alignment vertical="top" wrapText="1"/>
    </xf>
  </cellXfs>
  <cellStyles count="35">
    <cellStyle name="Akcent 1" xfId="1" builtinId="29"/>
    <cellStyle name="blue" xfId="4" xr:uid="{00000000-0005-0000-0000-000001000000}"/>
    <cellStyle name="BlueTitle" xfId="5" xr:uid="{00000000-0005-0000-0000-000002000000}"/>
    <cellStyle name="Comma 2" xfId="6" xr:uid="{00000000-0005-0000-0000-000003000000}"/>
    <cellStyle name="Currency Round to thousands" xfId="7" xr:uid="{00000000-0005-0000-0000-000004000000}"/>
    <cellStyle name="Czarny" xfId="8" xr:uid="{00000000-0005-0000-0000-000005000000}"/>
    <cellStyle name="Dziesiętny 2" xfId="9" xr:uid="{00000000-0005-0000-0000-000006000000}"/>
    <cellStyle name="Excel - Etykieta" xfId="10" xr:uid="{00000000-0005-0000-0000-000007000000}"/>
    <cellStyle name="Excel - Etykiety light" xfId="11" xr:uid="{00000000-0005-0000-0000-000008000000}"/>
    <cellStyle name="Excel - Formuła" xfId="12" xr:uid="{00000000-0005-0000-0000-000009000000}"/>
    <cellStyle name="Excel - green" xfId="13" xr:uid="{00000000-0005-0000-0000-00000A000000}"/>
    <cellStyle name="Excel - lightblue" xfId="14" xr:uid="{00000000-0005-0000-0000-00000B000000}"/>
    <cellStyle name="Excel - orange" xfId="15" xr:uid="{00000000-0005-0000-0000-00000C000000}"/>
    <cellStyle name="Excel - purple" xfId="16" xr:uid="{00000000-0005-0000-0000-00000D000000}"/>
    <cellStyle name="Excel - red" xfId="17" xr:uid="{00000000-0005-0000-0000-00000E000000}"/>
    <cellStyle name="Excel - yellow" xfId="18" xr:uid="{00000000-0005-0000-0000-00000F000000}"/>
    <cellStyle name="Formuła" xfId="19" xr:uid="{00000000-0005-0000-0000-000010000000}"/>
    <cellStyle name="Formuła 2" xfId="20" xr:uid="{00000000-0005-0000-0000-000011000000}"/>
    <cellStyle name="Formuła 3" xfId="3" xr:uid="{00000000-0005-0000-0000-000012000000}"/>
    <cellStyle name="Formuła 4" xfId="21" xr:uid="{00000000-0005-0000-0000-000013000000}"/>
    <cellStyle name="Four-Digit Year" xfId="22" xr:uid="{00000000-0005-0000-0000-000014000000}"/>
    <cellStyle name="Hiperłącze 2" xfId="23" xr:uid="{00000000-0005-0000-0000-000015000000}"/>
    <cellStyle name="Hiperłącze 2 2" xfId="33" xr:uid="{AA633040-9C25-482D-8775-28A4F402B163}"/>
    <cellStyle name="Hiperłącze 2 3" xfId="34" xr:uid="{2B7880B5-B56C-4D20-86DD-83A99F404AA9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2" xr:uid="{00000000-0005-0000-0000-00001A000000}"/>
    <cellStyle name="Normalny 2 3" xfId="31" xr:uid="{B732FE57-D3FF-4A50-BAA1-D52AA3BF740D}"/>
    <cellStyle name="Normalny 3" xfId="27" xr:uid="{00000000-0005-0000-0000-00001B000000}"/>
    <cellStyle name="Normalny 4" xfId="32" xr:uid="{03B01109-FA3E-40A6-A1B9-F9D60DCDA43B}"/>
    <cellStyle name="Styl 1" xfId="28" xr:uid="{00000000-0005-0000-0000-00001C000000}"/>
    <cellStyle name="Wrap Text" xfId="29" xr:uid="{00000000-0005-0000-0000-00001D000000}"/>
    <cellStyle name="ziel" xfId="30" xr:uid="{00000000-0005-0000-0000-00001E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9F79C2F5-BF9A-4A8B-AA99-DBB4EAB0F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FB77C83E-5D7E-473A-9FEE-B1239155B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AEF35CBC-BA95-4B9F-83F2-C16FC1DC0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E1F08BEB-737B-4001-A477-E6021B287A00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3A210B-23B7-4466-977D-CCED1206E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A1075D9-12F1-4A46-8437-3D1750C1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07756AB-D70D-4E1D-B084-F6A650181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0B349B8-72F9-44C0-8FA8-0FA8585DE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4A35247-20E4-465E-9FCB-7182478FF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D17D904-7F4F-4E8F-AD00-27B255834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AB872F98-7C0F-4990-867C-65CD70323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31A274AD-52D6-4A6B-B41B-E2B1A8660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260264AD-8C98-4E89-8185-8E093ED6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C1:C8" totalsRowShown="0" headerRowDxfId="5" dataDxfId="3" headerRowBorderDxfId="4" tableBorderDxfId="2" totalsRowBorderDxfId="1" headerRowCellStyle="Akcent 1" dataCellStyle="Normalny 2">
  <autoFilter ref="C1:C8" xr:uid="{00000000-0009-0000-0100-000001000000}"/>
  <tableColumns count="1">
    <tableColumn id="1" xr3:uid="{00000000-0010-0000-0000-000001000000}" name="Pracownicy" dataDxfId="0" dataCellStyle="Normalny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F2EA-47CD-4795-831D-8D3A79BCDCA6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21" customWidth="1"/>
    <col min="100" max="101" width="2.44140625" style="1" customWidth="1"/>
    <col min="102" max="105" width="9.109375" style="21"/>
    <col min="106" max="106" width="10.6640625" style="21" customWidth="1"/>
    <col min="107" max="107" width="73.6640625" style="21" customWidth="1"/>
    <col min="108" max="108" width="6.33203125" style="21" customWidth="1"/>
    <col min="109" max="16384" width="9.109375" style="21"/>
  </cols>
  <sheetData>
    <row r="1" spans="18:99" ht="6" customHeight="1"/>
    <row r="2" spans="18:99" ht="6" customHeight="1">
      <c r="Z2" s="22" t="s">
        <v>75</v>
      </c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3"/>
    </row>
    <row r="3" spans="18:99" ht="6" customHeight="1"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3"/>
    </row>
    <row r="4" spans="18:99" ht="6" customHeight="1">
      <c r="Z4" s="24" t="s">
        <v>76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spans="18:99" ht="6" customHeight="1">
      <c r="R5" s="26" t="s">
        <v>77</v>
      </c>
      <c r="S5" s="26"/>
      <c r="T5" s="26"/>
      <c r="U5" s="26"/>
      <c r="V5" s="26"/>
      <c r="W5" s="26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  <c r="BF5" s="26" t="s">
        <v>78</v>
      </c>
      <c r="BG5" s="26"/>
      <c r="BH5" s="26"/>
      <c r="BI5" s="26"/>
      <c r="BJ5" s="26"/>
      <c r="BK5" s="26"/>
    </row>
    <row r="6" spans="18:99" ht="6" customHeight="1">
      <c r="R6" s="26"/>
      <c r="S6" s="26"/>
      <c r="T6" s="26"/>
      <c r="U6" s="26"/>
      <c r="V6" s="26"/>
      <c r="W6" s="26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5"/>
      <c r="BF6" s="26"/>
      <c r="BG6" s="26"/>
      <c r="BH6" s="26"/>
      <c r="BI6" s="26"/>
      <c r="BJ6" s="26"/>
      <c r="BK6" s="26"/>
    </row>
    <row r="7" spans="18:99" ht="6" customHeight="1">
      <c r="R7" s="26"/>
      <c r="S7" s="26"/>
      <c r="T7" s="26"/>
      <c r="U7" s="26"/>
      <c r="V7" s="26"/>
      <c r="W7" s="26"/>
      <c r="X7" s="27"/>
      <c r="BF7" s="26"/>
      <c r="BG7" s="26"/>
      <c r="BH7" s="26"/>
      <c r="BI7" s="26"/>
      <c r="BJ7" s="26"/>
      <c r="BK7" s="26"/>
    </row>
    <row r="8" spans="18:99" ht="6" customHeight="1"/>
    <row r="9" spans="18:99" ht="6" customHeight="1">
      <c r="R9" s="28"/>
      <c r="S9" s="28"/>
      <c r="T9" s="28"/>
      <c r="U9" s="28"/>
      <c r="V9" s="28"/>
      <c r="W9" s="28"/>
      <c r="X9" s="28"/>
      <c r="Y9" s="28"/>
      <c r="Z9" s="29" t="s">
        <v>79</v>
      </c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30"/>
      <c r="BF9" s="28"/>
      <c r="BG9" s="28"/>
      <c r="BH9" s="28"/>
      <c r="BI9" s="28"/>
      <c r="BJ9" s="28"/>
      <c r="BK9" s="28"/>
      <c r="BL9" s="28"/>
      <c r="BM9" s="28"/>
      <c r="BN9" s="31" t="s">
        <v>80</v>
      </c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2"/>
      <c r="CS9" s="32"/>
      <c r="CT9" s="32"/>
      <c r="CU9" s="32"/>
    </row>
    <row r="10" spans="18:99" ht="6" customHeight="1"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0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2"/>
      <c r="CS10" s="32"/>
      <c r="CT10" s="32"/>
      <c r="CU10" s="32"/>
    </row>
    <row r="11" spans="18:99" ht="6" customHeight="1"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0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2"/>
      <c r="CS11" s="32"/>
      <c r="CT11" s="32"/>
      <c r="CU11" s="32"/>
    </row>
    <row r="12" spans="18:99" ht="6" customHeight="1"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0"/>
      <c r="BN12" s="35" t="s">
        <v>81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6"/>
      <c r="CS12" s="36"/>
      <c r="CT12" s="36"/>
      <c r="CU12" s="36"/>
    </row>
    <row r="13" spans="18:99" ht="6" customHeight="1"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0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6"/>
      <c r="CS13" s="36"/>
      <c r="CT13" s="36"/>
      <c r="CU13" s="36"/>
    </row>
    <row r="14" spans="18:99" ht="6" customHeight="1">
      <c r="Z14" s="37" t="s">
        <v>82</v>
      </c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8"/>
    </row>
    <row r="15" spans="18:99" ht="6" customHeight="1"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8"/>
    </row>
    <row r="16" spans="18:99" ht="6" customHeight="1"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8"/>
    </row>
    <row r="17" spans="18:56" ht="6" customHeight="1">
      <c r="Z17" s="39" t="s">
        <v>83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40"/>
    </row>
    <row r="18" spans="18:56" ht="6" customHeight="1"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40"/>
    </row>
    <row r="19" spans="18:56" ht="6" customHeight="1"/>
    <row r="20" spans="18:56" ht="6" customHeight="1"/>
    <row r="21" spans="18:56" ht="6" customHeight="1">
      <c r="R21" s="28"/>
      <c r="S21" s="28"/>
      <c r="T21" s="28"/>
      <c r="U21" s="28"/>
      <c r="V21" s="28"/>
      <c r="W21" s="28"/>
      <c r="X21" s="28"/>
      <c r="Y21" s="28"/>
      <c r="Z21" s="41" t="s">
        <v>84</v>
      </c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2"/>
    </row>
    <row r="22" spans="18:56" ht="6" customHeight="1"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2"/>
    </row>
    <row r="23" spans="18:56" ht="6" customHeight="1">
      <c r="Z23" s="44" t="s">
        <v>85</v>
      </c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5"/>
    </row>
    <row r="24" spans="18:56" ht="6" customHeight="1"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5"/>
    </row>
    <row r="25" spans="18:56" ht="6" customHeight="1"/>
    <row r="26" spans="18:56" ht="6" customHeight="1">
      <c r="Z26" s="39" t="s">
        <v>86</v>
      </c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40"/>
    </row>
    <row r="27" spans="18:56" ht="6" customHeight="1"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40"/>
    </row>
    <row r="28" spans="18:56" ht="6" customHeight="1"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</row>
    <row r="29" spans="18:56" ht="6" customHeight="1"/>
    <row r="30" spans="18:56" ht="6" customHeight="1"/>
    <row r="31" spans="18:56" ht="6" customHeight="1"/>
    <row r="32" spans="18:56" ht="6" customHeight="1">
      <c r="R32" s="28"/>
      <c r="S32" s="28"/>
      <c r="T32" s="28"/>
      <c r="U32" s="28"/>
      <c r="V32" s="28"/>
      <c r="W32" s="28"/>
      <c r="X32" s="28"/>
      <c r="Y32" s="28"/>
      <c r="Z32" s="47" t="s">
        <v>87</v>
      </c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8"/>
    </row>
    <row r="33" spans="18:99" ht="6" customHeight="1"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8"/>
    </row>
    <row r="34" spans="18:99" ht="6" customHeight="1"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8"/>
      <c r="BF34" s="28"/>
      <c r="BG34" s="28"/>
      <c r="BH34" s="28"/>
      <c r="BI34" s="28"/>
      <c r="BJ34" s="28"/>
      <c r="BK34" s="28"/>
      <c r="BL34" s="28"/>
      <c r="BM34" s="28"/>
      <c r="BN34" s="31" t="s">
        <v>88</v>
      </c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2"/>
      <c r="CS34" s="32"/>
      <c r="CT34" s="32"/>
      <c r="CU34" s="32"/>
    </row>
    <row r="35" spans="18:99" ht="6" customHeight="1"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8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2"/>
      <c r="CS35" s="32"/>
      <c r="CT35" s="32"/>
      <c r="CU35" s="32"/>
    </row>
    <row r="36" spans="18:99" ht="6" customHeight="1"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8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2"/>
      <c r="CS36" s="32"/>
      <c r="CT36" s="32"/>
      <c r="CU36" s="32"/>
    </row>
    <row r="37" spans="18:99" ht="6" customHeight="1">
      <c r="Z37" s="37" t="s">
        <v>89</v>
      </c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8"/>
      <c r="BN37" s="35" t="s">
        <v>90</v>
      </c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6"/>
      <c r="CS37" s="36"/>
      <c r="CT37" s="36"/>
      <c r="CU37" s="36"/>
    </row>
    <row r="38" spans="18:99" ht="6" customHeight="1"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8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6"/>
      <c r="CS38" s="36"/>
      <c r="CT38" s="36"/>
      <c r="CU38" s="36"/>
    </row>
    <row r="39" spans="18:99" ht="6" customHeight="1"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8"/>
    </row>
    <row r="40" spans="18:99" ht="6" customHeight="1">
      <c r="Z40" s="39" t="s">
        <v>91</v>
      </c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40"/>
      <c r="BN40" s="34" t="s">
        <v>92</v>
      </c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2"/>
      <c r="CS40" s="32"/>
      <c r="CT40" s="32"/>
      <c r="CU40" s="32"/>
    </row>
    <row r="41" spans="18:99" ht="6" customHeight="1"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40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2"/>
      <c r="CS41" s="32"/>
      <c r="CT41" s="32"/>
      <c r="CU41" s="32"/>
    </row>
    <row r="42" spans="18:99" ht="6" customHeight="1"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2"/>
      <c r="CS42" s="32"/>
      <c r="CT42" s="32"/>
      <c r="CU42" s="32"/>
    </row>
    <row r="43" spans="18:99" ht="6" customHeight="1">
      <c r="R43" s="28"/>
      <c r="S43" s="28"/>
      <c r="T43" s="28"/>
      <c r="U43" s="28"/>
      <c r="V43" s="28"/>
      <c r="W43" s="28"/>
      <c r="X43" s="28"/>
      <c r="Y43" s="28"/>
      <c r="Z43" s="47" t="s">
        <v>93</v>
      </c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8"/>
      <c r="BN43" s="35" t="s">
        <v>94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6"/>
      <c r="CS43" s="36"/>
      <c r="CT43" s="36"/>
      <c r="CU43" s="36"/>
    </row>
    <row r="44" spans="18:99" ht="6" customHeight="1"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8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6"/>
      <c r="CS44" s="36"/>
      <c r="CT44" s="36"/>
      <c r="CU44" s="36"/>
    </row>
    <row r="45" spans="18:99" ht="6" customHeight="1"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8"/>
    </row>
    <row r="46" spans="18:99" ht="6" customHeight="1"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8"/>
    </row>
    <row r="47" spans="18:99" ht="6" customHeight="1"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8"/>
    </row>
    <row r="48" spans="18:99" ht="6" customHeight="1">
      <c r="Z48" s="37" t="s">
        <v>95</v>
      </c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8"/>
    </row>
    <row r="49" spans="2:99" ht="6" customHeight="1"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8"/>
    </row>
    <row r="50" spans="2:99" ht="6" customHeight="1"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8"/>
    </row>
    <row r="51" spans="2:99" ht="6" customHeight="1">
      <c r="B51" s="24" t="s">
        <v>96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Z51" s="39" t="s">
        <v>97</v>
      </c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40"/>
    </row>
    <row r="52" spans="2:99" ht="6" customHeight="1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40"/>
    </row>
    <row r="53" spans="2:99" ht="6" customHeight="1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</row>
    <row r="54" spans="2:99" ht="6" customHeight="1">
      <c r="B54" s="51" t="s">
        <v>98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R54" s="28"/>
      <c r="S54" s="28"/>
      <c r="T54" s="28"/>
      <c r="U54" s="28"/>
      <c r="V54" s="28"/>
      <c r="W54" s="28"/>
      <c r="X54" s="28"/>
      <c r="Y54" s="28"/>
      <c r="Z54" s="47" t="s">
        <v>99</v>
      </c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8"/>
    </row>
    <row r="55" spans="2:99" ht="6" customHeight="1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8"/>
    </row>
    <row r="56" spans="2:99" ht="6" customHeight="1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8"/>
    </row>
    <row r="57" spans="2:99" ht="6" customHeight="1">
      <c r="B57" s="52" t="s">
        <v>100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8"/>
    </row>
    <row r="58" spans="2:99" ht="6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8"/>
    </row>
    <row r="59" spans="2:99" ht="6" customHeight="1">
      <c r="Z59" s="37" t="s">
        <v>101</v>
      </c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8"/>
      <c r="BF59" s="28"/>
      <c r="BG59" s="28"/>
      <c r="BH59" s="28"/>
      <c r="BI59" s="28"/>
      <c r="BJ59" s="28"/>
      <c r="BK59" s="28"/>
      <c r="BL59" s="28"/>
      <c r="BM59" s="28"/>
      <c r="BN59" s="31" t="s">
        <v>88</v>
      </c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2"/>
      <c r="CS59" s="32"/>
      <c r="CT59" s="32"/>
      <c r="CU59" s="32"/>
    </row>
    <row r="60" spans="2:99" ht="6" customHeight="1">
      <c r="B60" s="51" t="s">
        <v>102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8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2"/>
      <c r="CS60" s="32"/>
      <c r="CT60" s="32"/>
      <c r="CU60" s="32"/>
    </row>
    <row r="61" spans="2:99" ht="6" customHeight="1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8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2"/>
      <c r="CS61" s="32"/>
      <c r="CT61" s="32"/>
      <c r="CU61" s="32"/>
    </row>
    <row r="62" spans="2:99" ht="6" customHeight="1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Z62" s="39" t="s">
        <v>103</v>
      </c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40"/>
      <c r="BN62" s="35" t="s">
        <v>104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6"/>
      <c r="CS62" s="36"/>
      <c r="CT62" s="36"/>
      <c r="CU62" s="36"/>
    </row>
    <row r="63" spans="2:99" ht="6" customHeight="1">
      <c r="B63" s="53" t="s">
        <v>105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40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6"/>
      <c r="CS63" s="36"/>
      <c r="CT63" s="36"/>
      <c r="CU63" s="36"/>
    </row>
    <row r="64" spans="2:99" ht="6" customHeight="1"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</row>
    <row r="65" spans="18:99" ht="6" customHeight="1">
      <c r="R65" s="28"/>
      <c r="S65" s="28"/>
      <c r="T65" s="28"/>
      <c r="U65" s="28"/>
      <c r="V65" s="28"/>
      <c r="W65" s="28"/>
      <c r="X65" s="28"/>
      <c r="Y65" s="28"/>
      <c r="Z65" s="47" t="s">
        <v>106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8"/>
      <c r="BN65" s="34" t="s">
        <v>92</v>
      </c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2"/>
      <c r="CS65" s="32"/>
      <c r="CT65" s="32"/>
      <c r="CU65" s="32"/>
    </row>
    <row r="66" spans="18:99" ht="6" customHeight="1"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8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2"/>
      <c r="CS66" s="32"/>
      <c r="CT66" s="32"/>
      <c r="CU66" s="32"/>
    </row>
    <row r="67" spans="18:99" ht="6" customHeight="1"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8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2"/>
      <c r="CS67" s="32"/>
      <c r="CT67" s="32"/>
      <c r="CU67" s="32"/>
    </row>
    <row r="68" spans="18:99" ht="6" customHeight="1"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8"/>
      <c r="BN68" s="35" t="s">
        <v>107</v>
      </c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6"/>
      <c r="CS68" s="36"/>
      <c r="CT68" s="36"/>
      <c r="CU68" s="36"/>
    </row>
    <row r="69" spans="18:99" ht="6" customHeight="1"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8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6"/>
      <c r="CS69" s="36"/>
      <c r="CT69" s="36"/>
      <c r="CU69" s="36"/>
    </row>
    <row r="70" spans="18:99" ht="6" customHeight="1"/>
    <row r="71" spans="18:99" ht="6" customHeight="1">
      <c r="Z71" s="39" t="s">
        <v>108</v>
      </c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46"/>
    </row>
    <row r="72" spans="18:99" ht="6" customHeight="1"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46"/>
    </row>
    <row r="73" spans="18:99" ht="6" customHeight="1"/>
    <row r="74" spans="18:99" ht="6" customHeight="1"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</row>
    <row r="75" spans="18:99" ht="6" customHeight="1"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</row>
    <row r="76" spans="18:99" ht="6" customHeight="1"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</row>
    <row r="77" spans="18:99" ht="6" customHeight="1">
      <c r="Z77" s="54" t="s">
        <v>109</v>
      </c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5"/>
    </row>
    <row r="78" spans="18:99" ht="6" customHeight="1"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5"/>
    </row>
    <row r="79" spans="18:99" ht="6" customHeight="1"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5"/>
    </row>
    <row r="80" spans="18:99" ht="6" customHeight="1"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5"/>
    </row>
    <row r="81" spans="26:56" ht="6" customHeight="1"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5"/>
    </row>
    <row r="82" spans="26:56" ht="6" customHeight="1">
      <c r="Z82" s="54" t="s">
        <v>110</v>
      </c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5"/>
    </row>
    <row r="83" spans="26:56" ht="6" customHeight="1"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5"/>
    </row>
    <row r="84" spans="26:56" ht="6" customHeight="1"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5"/>
    </row>
    <row r="85" spans="26:56" ht="6" customHeight="1"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5"/>
    </row>
    <row r="86" spans="26:56" ht="6" customHeight="1"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5"/>
    </row>
    <row r="87" spans="26:56" ht="6" customHeight="1"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5"/>
    </row>
    <row r="88" spans="26:56" ht="6" customHeight="1"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5"/>
    </row>
    <row r="89" spans="26:56" ht="6" customHeight="1"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5"/>
    </row>
    <row r="90" spans="26:56" ht="6" customHeight="1">
      <c r="Z90" s="56" t="s">
        <v>111</v>
      </c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7"/>
    </row>
    <row r="91" spans="26:56" ht="6" customHeight="1"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7"/>
    </row>
    <row r="92" spans="26:56" ht="6" customHeight="1"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</row>
    <row r="93" spans="26:56" ht="6" customHeight="1"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</row>
    <row r="94" spans="26:56" ht="6" customHeight="1"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</row>
    <row r="95" spans="26:56" ht="6" customHeight="1"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566A3A11-470C-4C1F-89D9-75A74326363F}"/>
    <hyperlink ref="B51" r:id="rId2" xr:uid="{46CF1DA3-D6E4-4C27-9448-1B76E7AF33FA}"/>
    <hyperlink ref="B57" r:id="rId3" xr:uid="{6EC3B56A-18CC-40EE-A548-3EA70CD6DF4A}"/>
    <hyperlink ref="Z4" r:id="rId4" xr:uid="{06FF08F8-1200-4EDB-9DD8-40AC08928F18}"/>
    <hyperlink ref="Z17" r:id="rId5" display="https://www.udemy.com/excel-mistrz-formul/?couponCode=STANDARDOWY" xr:uid="{A83050A7-0C72-46A1-ADBA-CD01819A9E4F}"/>
    <hyperlink ref="Z26" r:id="rId6" xr:uid="{C929A1FF-D3D0-4025-8BC9-74F395AF9F31}"/>
    <hyperlink ref="Z40" r:id="rId7" display="https://www.udemy.com/excel-mistrz-formul/?couponCode=STANDARDOWY" xr:uid="{A575EB43-65EC-48DD-B7E7-03E48F12AAAC}"/>
    <hyperlink ref="Z51" r:id="rId8" display="https://www.udemy.com/excel-mistrz-formul/?couponCode=STANDARDOWY" xr:uid="{F0DB926D-5A6B-4CDE-914F-3A86C1BF01D2}"/>
    <hyperlink ref="Z62" r:id="rId9" display="https://www.udemy.com/excel-mistrz-formul/?couponCode=STANDARDOWY" xr:uid="{D3F7C44D-A91E-4561-99D9-822AFFA7C1B0}"/>
    <hyperlink ref="Z71" r:id="rId10" display="https://www.udemy.com/excel-mistrz-formul/?couponCode=STANDARDOWY" xr:uid="{9CCB086E-1194-45A5-A925-A87AD273BDB9}"/>
    <hyperlink ref="BN12" r:id="rId11" location="mistrz-excela-w-20-dni" xr:uid="{4B465468-8EAB-4193-B1B8-57337182DEDC}"/>
    <hyperlink ref="BN37" r:id="rId12" location="mistrz-excela-w-20-dni" display="http://ksplus.komputerswiat.pl/sklep#mistrz-excela-w-20-dni" xr:uid="{1D3D33FB-22A6-449B-98C1-1513E4271D9A}"/>
    <hyperlink ref="BN43" r:id="rId13" location="mistrz-excela-w-20-dni" display="http://ksplus.komputerswiat.pl/sklep#mistrz-excela-w-20-dni" xr:uid="{AC79540A-BAF4-416D-ACC0-86D8C6B6F047}"/>
    <hyperlink ref="BN62" r:id="rId14" location="mistrz-excela-w-20-dni" display="http://ksplus.komputerswiat.pl/sklep#mistrz-excela-w-20-dni" xr:uid="{C3149A10-ADF1-44D0-9C5B-A2509845CA56}"/>
    <hyperlink ref="BN68" r:id="rId15" location="mistrz-excela-w-20-dni" display="http://ksplus.komputerswiat.pl/sklep#mistrz-excela-w-20-dni" xr:uid="{5070C16E-B30C-4D43-B7F7-5927FDE3106E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3BE"/>
  </sheetPr>
  <dimension ref="A1:F9"/>
  <sheetViews>
    <sheetView zoomScale="160" zoomScaleNormal="160" workbookViewId="0"/>
  </sheetViews>
  <sheetFormatPr defaultColWidth="9.109375" defaultRowHeight="14.4"/>
  <cols>
    <col min="1" max="1" width="17" style="3" customWidth="1"/>
    <col min="2" max="2" width="6.33203125" style="3" bestFit="1" customWidth="1"/>
    <col min="3" max="3" width="6.44140625" style="3" bestFit="1" customWidth="1"/>
    <col min="4" max="4" width="8.109375" style="3" bestFit="1" customWidth="1"/>
    <col min="5" max="5" width="7.6640625" style="3" bestFit="1" customWidth="1"/>
    <col min="6" max="6" width="7.88671875" style="3" bestFit="1" customWidth="1"/>
    <col min="7" max="16384" width="9.109375" style="3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>
        <v>21475</v>
      </c>
      <c r="B2" s="4">
        <v>52</v>
      </c>
      <c r="C2" s="4">
        <v>10</v>
      </c>
      <c r="D2" s="4">
        <v>82</v>
      </c>
      <c r="E2" s="4">
        <v>79</v>
      </c>
      <c r="F2" s="4">
        <v>56</v>
      </c>
    </row>
    <row r="3" spans="1:6">
      <c r="A3" s="4">
        <v>21486</v>
      </c>
      <c r="B3" s="4">
        <v>74</v>
      </c>
      <c r="C3" s="4">
        <v>79</v>
      </c>
      <c r="D3" s="4">
        <v>54</v>
      </c>
      <c r="E3" s="4">
        <v>82</v>
      </c>
      <c r="F3" s="4">
        <v>91</v>
      </c>
    </row>
    <row r="4" spans="1:6">
      <c r="A4" s="4">
        <v>21497</v>
      </c>
      <c r="B4" s="4">
        <v>41</v>
      </c>
      <c r="C4" s="4">
        <v>12</v>
      </c>
      <c r="D4" s="4">
        <v>112</v>
      </c>
      <c r="E4" s="4">
        <v>47</v>
      </c>
      <c r="F4" s="4">
        <v>41</v>
      </c>
    </row>
    <row r="5" spans="1:6">
      <c r="A5" s="4">
        <v>21505</v>
      </c>
      <c r="B5" s="4">
        <v>67</v>
      </c>
      <c r="C5" s="4">
        <v>80</v>
      </c>
      <c r="D5" s="4">
        <v>27</v>
      </c>
      <c r="E5" s="4">
        <v>66</v>
      </c>
      <c r="F5" s="4">
        <v>68</v>
      </c>
    </row>
    <row r="6" spans="1:6">
      <c r="A6" s="4">
        <v>21516</v>
      </c>
      <c r="B6" s="4">
        <v>37</v>
      </c>
      <c r="C6" s="4">
        <v>72</v>
      </c>
      <c r="D6" s="4">
        <v>36</v>
      </c>
      <c r="E6" s="4">
        <v>84</v>
      </c>
      <c r="F6" s="4">
        <v>79</v>
      </c>
    </row>
    <row r="7" spans="1:6">
      <c r="A7" s="4">
        <v>21527</v>
      </c>
      <c r="B7" s="4">
        <v>42</v>
      </c>
      <c r="C7" s="4">
        <v>58</v>
      </c>
      <c r="D7" s="4">
        <v>55</v>
      </c>
      <c r="E7" s="4">
        <v>70</v>
      </c>
      <c r="F7" s="4">
        <v>12</v>
      </c>
    </row>
    <row r="8" spans="1:6">
      <c r="A8" s="4">
        <v>21538</v>
      </c>
      <c r="B8" s="4">
        <v>62</v>
      </c>
      <c r="C8" s="4">
        <v>100</v>
      </c>
      <c r="D8" s="4">
        <v>100</v>
      </c>
      <c r="E8" s="4">
        <v>57</v>
      </c>
      <c r="F8" s="4">
        <v>63</v>
      </c>
    </row>
    <row r="9" spans="1:6">
      <c r="A9" s="4">
        <v>21549</v>
      </c>
      <c r="B9" s="4">
        <v>47</v>
      </c>
      <c r="C9" s="4">
        <v>51</v>
      </c>
      <c r="D9" s="4">
        <v>17</v>
      </c>
      <c r="E9" s="4">
        <v>9.9</v>
      </c>
      <c r="F9" s="4">
        <v>49</v>
      </c>
    </row>
  </sheetData>
  <dataValidations xWindow="652" yWindow="265" count="1">
    <dataValidation type="whole" errorStyle="information" allowBlank="1" showInputMessage="1" showErrorMessage="1" errorTitle="Ocena od 0 do 100" error="Uczeń może mieć od 0 do 100 punktów na egzaminie" promptTitle="Ocena od 0 do 100" prompt="Uczeń może mieć od 0 do 100 punktów na egzaminie" sqref="B2:F9" xr:uid="{00000000-0002-0000-0000-000000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G31"/>
  <sheetViews>
    <sheetView zoomScale="160" zoomScaleNormal="160" workbookViewId="0"/>
  </sheetViews>
  <sheetFormatPr defaultColWidth="9.109375" defaultRowHeight="14.4"/>
  <cols>
    <col min="1" max="1" width="10.109375" style="3" bestFit="1" customWidth="1"/>
    <col min="2" max="2" width="10.6640625" style="3" bestFit="1" customWidth="1"/>
    <col min="3" max="3" width="11.88671875" style="3" customWidth="1"/>
    <col min="4" max="4" width="11.33203125" style="3" customWidth="1"/>
    <col min="5" max="5" width="2.88671875" style="3" customWidth="1"/>
    <col min="6" max="7" width="10.6640625" style="3" bestFit="1" customWidth="1"/>
    <col min="8" max="16384" width="9.109375" style="3"/>
  </cols>
  <sheetData>
    <row r="1" spans="1:7">
      <c r="A1" s="18" t="s">
        <v>61</v>
      </c>
      <c r="B1" s="18"/>
      <c r="C1" s="18"/>
      <c r="D1" s="18"/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F2" s="2" t="s">
        <v>10</v>
      </c>
      <c r="G2" s="2" t="s">
        <v>11</v>
      </c>
    </row>
    <row r="3" spans="1:7">
      <c r="A3" s="4" t="s">
        <v>57</v>
      </c>
      <c r="B3" s="19"/>
      <c r="C3" s="4" t="s">
        <v>13</v>
      </c>
      <c r="D3" s="4">
        <v>7.5</v>
      </c>
      <c r="F3" s="19">
        <v>42309</v>
      </c>
      <c r="G3" s="20">
        <f>EOMONTH(F3,0)</f>
        <v>42338</v>
      </c>
    </row>
    <row r="4" spans="1:7">
      <c r="A4" s="4" t="s">
        <v>60</v>
      </c>
      <c r="B4" s="19"/>
      <c r="C4" s="4" t="s">
        <v>15</v>
      </c>
      <c r="D4" s="4">
        <v>8.5</v>
      </c>
    </row>
    <row r="5" spans="1:7">
      <c r="A5" s="4" t="s">
        <v>57</v>
      </c>
      <c r="B5" s="19"/>
      <c r="C5" s="4" t="s">
        <v>16</v>
      </c>
      <c r="D5" s="4">
        <v>10</v>
      </c>
    </row>
    <row r="6" spans="1:7">
      <c r="A6" s="4" t="s">
        <v>57</v>
      </c>
      <c r="B6" s="19"/>
      <c r="C6" s="4" t="s">
        <v>17</v>
      </c>
      <c r="D6" s="4">
        <v>7</v>
      </c>
    </row>
    <row r="7" spans="1:7">
      <c r="A7" s="4" t="s">
        <v>60</v>
      </c>
      <c r="B7" s="19"/>
      <c r="C7" s="4" t="s">
        <v>13</v>
      </c>
      <c r="D7" s="4">
        <v>8.5</v>
      </c>
    </row>
    <row r="8" spans="1:7">
      <c r="A8" s="4" t="s">
        <v>60</v>
      </c>
      <c r="B8" s="19"/>
      <c r="C8" s="4" t="s">
        <v>17</v>
      </c>
      <c r="D8" s="4">
        <v>10</v>
      </c>
    </row>
    <row r="9" spans="1:7">
      <c r="A9" s="4" t="s">
        <v>59</v>
      </c>
      <c r="B9" s="19"/>
      <c r="C9" s="4" t="s">
        <v>15</v>
      </c>
      <c r="D9" s="4">
        <v>8.5</v>
      </c>
    </row>
    <row r="10" spans="1:7">
      <c r="A10" s="4" t="s">
        <v>59</v>
      </c>
      <c r="B10" s="19"/>
      <c r="C10" s="4" t="s">
        <v>17</v>
      </c>
      <c r="D10" s="4">
        <v>7</v>
      </c>
    </row>
    <row r="11" spans="1:7">
      <c r="A11" s="4" t="s">
        <v>60</v>
      </c>
      <c r="B11" s="19"/>
      <c r="C11" s="4" t="s">
        <v>15</v>
      </c>
      <c r="D11" s="4">
        <v>8.5</v>
      </c>
    </row>
    <row r="12" spans="1:7">
      <c r="A12" s="4" t="s">
        <v>59</v>
      </c>
      <c r="B12" s="19"/>
      <c r="C12" s="4" t="s">
        <v>15</v>
      </c>
      <c r="D12" s="4">
        <v>8</v>
      </c>
    </row>
    <row r="13" spans="1:7">
      <c r="A13" s="4" t="s">
        <v>60</v>
      </c>
      <c r="B13" s="19"/>
      <c r="C13" s="4" t="s">
        <v>16</v>
      </c>
      <c r="D13" s="4">
        <v>9</v>
      </c>
    </row>
    <row r="14" spans="1:7">
      <c r="A14" s="4" t="s">
        <v>58</v>
      </c>
      <c r="B14" s="19"/>
      <c r="C14" s="4" t="s">
        <v>13</v>
      </c>
      <c r="D14" s="4">
        <v>8.5</v>
      </c>
    </row>
    <row r="15" spans="1:7">
      <c r="A15" s="4" t="s">
        <v>58</v>
      </c>
      <c r="B15" s="19"/>
      <c r="C15" s="4" t="s">
        <v>16</v>
      </c>
      <c r="D15" s="4">
        <v>7</v>
      </c>
    </row>
    <row r="16" spans="1:7">
      <c r="A16" s="4" t="s">
        <v>60</v>
      </c>
      <c r="B16" s="19"/>
      <c r="C16" s="4" t="s">
        <v>13</v>
      </c>
      <c r="D16" s="4">
        <v>8.5</v>
      </c>
    </row>
    <row r="17" spans="1:4">
      <c r="A17" s="4" t="s">
        <v>60</v>
      </c>
      <c r="B17" s="19"/>
      <c r="C17" s="4" t="s">
        <v>16</v>
      </c>
      <c r="D17" s="4">
        <v>8</v>
      </c>
    </row>
    <row r="18" spans="1:4">
      <c r="A18" s="4" t="s">
        <v>58</v>
      </c>
      <c r="B18" s="19"/>
      <c r="C18" s="4" t="s">
        <v>15</v>
      </c>
      <c r="D18" s="4">
        <v>8</v>
      </c>
    </row>
    <row r="19" spans="1:4">
      <c r="A19" s="4" t="s">
        <v>59</v>
      </c>
      <c r="B19" s="19"/>
      <c r="C19" s="4" t="s">
        <v>17</v>
      </c>
      <c r="D19" s="4">
        <v>9</v>
      </c>
    </row>
    <row r="20" spans="1:4">
      <c r="A20" s="4" t="s">
        <v>58</v>
      </c>
      <c r="B20" s="19"/>
      <c r="C20" s="4" t="s">
        <v>13</v>
      </c>
      <c r="D20" s="4">
        <v>9.5</v>
      </c>
    </row>
    <row r="21" spans="1:4">
      <c r="A21" s="4" t="s">
        <v>57</v>
      </c>
      <c r="B21" s="19"/>
      <c r="C21" s="4" t="s">
        <v>16</v>
      </c>
      <c r="D21" s="4">
        <v>9.5</v>
      </c>
    </row>
    <row r="22" spans="1:4">
      <c r="A22" s="4" t="s">
        <v>58</v>
      </c>
      <c r="B22" s="19"/>
      <c r="C22" s="4" t="s">
        <v>17</v>
      </c>
      <c r="D22" s="4">
        <v>9</v>
      </c>
    </row>
    <row r="23" spans="1:4">
      <c r="A23" s="4" t="s">
        <v>57</v>
      </c>
      <c r="B23" s="19"/>
      <c r="C23" s="4" t="s">
        <v>16</v>
      </c>
      <c r="D23" s="4">
        <v>7</v>
      </c>
    </row>
    <row r="24" spans="1:4">
      <c r="A24" s="4" t="s">
        <v>58</v>
      </c>
      <c r="B24" s="19"/>
      <c r="C24" s="4" t="s">
        <v>13</v>
      </c>
      <c r="D24" s="4">
        <v>7</v>
      </c>
    </row>
    <row r="25" spans="1:4">
      <c r="A25" s="4" t="s">
        <v>57</v>
      </c>
      <c r="B25" s="19"/>
      <c r="C25" s="4" t="s">
        <v>17</v>
      </c>
      <c r="D25" s="4">
        <v>7.5</v>
      </c>
    </row>
    <row r="26" spans="1:4">
      <c r="A26" s="4" t="s">
        <v>58</v>
      </c>
      <c r="B26" s="19">
        <v>42309</v>
      </c>
      <c r="C26" s="4" t="s">
        <v>17</v>
      </c>
      <c r="D26" s="4">
        <v>9.5</v>
      </c>
    </row>
    <row r="27" spans="1:4">
      <c r="A27" s="4" t="s">
        <v>58</v>
      </c>
      <c r="B27" s="19"/>
      <c r="C27" s="4" t="s">
        <v>15</v>
      </c>
      <c r="D27" s="4">
        <v>8.5</v>
      </c>
    </row>
    <row r="28" spans="1:4">
      <c r="A28" s="4" t="s">
        <v>57</v>
      </c>
      <c r="B28" s="19"/>
      <c r="C28" s="4" t="s">
        <v>16</v>
      </c>
      <c r="D28" s="4">
        <v>9</v>
      </c>
    </row>
    <row r="29" spans="1:4">
      <c r="A29" s="4" t="s">
        <v>59</v>
      </c>
      <c r="B29" s="19"/>
      <c r="C29" s="4" t="s">
        <v>16</v>
      </c>
      <c r="D29" s="4">
        <v>7.5</v>
      </c>
    </row>
    <row r="30" spans="1:4">
      <c r="A30" s="4" t="s">
        <v>60</v>
      </c>
      <c r="B30" s="19"/>
      <c r="C30" s="4" t="s">
        <v>17</v>
      </c>
      <c r="D30" s="4">
        <v>9</v>
      </c>
    </row>
    <row r="31" spans="1:4">
      <c r="A31" s="4" t="s">
        <v>57</v>
      </c>
      <c r="B31" s="19"/>
      <c r="C31" s="4" t="s">
        <v>13</v>
      </c>
      <c r="D31" s="4">
        <v>8</v>
      </c>
    </row>
  </sheetData>
  <dataValidations count="1">
    <dataValidation type="date" allowBlank="1" showInputMessage="1" showErrorMessage="1" sqref="B3:B31" xr:uid="{00000000-0002-0000-0100-000000000000}">
      <formula1>$F$3</formula1>
      <formula2>$G$3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C9"/>
  <sheetViews>
    <sheetView zoomScale="160" zoomScaleNormal="160" workbookViewId="0"/>
  </sheetViews>
  <sheetFormatPr defaultColWidth="9.109375" defaultRowHeight="14.4"/>
  <cols>
    <col min="1" max="1" width="10.109375" style="3" bestFit="1" customWidth="1"/>
    <col min="2" max="2" width="3.5546875" style="3" customWidth="1"/>
    <col min="3" max="3" width="11.6640625" style="3" customWidth="1"/>
    <col min="4" max="16384" width="9.109375" style="3"/>
  </cols>
  <sheetData>
    <row r="1" spans="1:3">
      <c r="A1" s="5" t="s">
        <v>6</v>
      </c>
      <c r="C1" s="15" t="s">
        <v>20</v>
      </c>
    </row>
    <row r="2" spans="1:3">
      <c r="A2" s="4" t="s">
        <v>12</v>
      </c>
      <c r="C2" s="16" t="s">
        <v>12</v>
      </c>
    </row>
    <row r="3" spans="1:3">
      <c r="C3" s="16" t="s">
        <v>14</v>
      </c>
    </row>
    <row r="4" spans="1:3">
      <c r="C4" s="16" t="s">
        <v>21</v>
      </c>
    </row>
    <row r="5" spans="1:3">
      <c r="C5" s="16" t="s">
        <v>18</v>
      </c>
    </row>
    <row r="6" spans="1:3">
      <c r="C6" s="16" t="s">
        <v>19</v>
      </c>
    </row>
    <row r="7" spans="1:3">
      <c r="C7" s="16" t="s">
        <v>72</v>
      </c>
    </row>
    <row r="8" spans="1:3">
      <c r="C8" s="17" t="s">
        <v>73</v>
      </c>
    </row>
    <row r="9" spans="1:3">
      <c r="C9" s="17" t="s">
        <v>74</v>
      </c>
    </row>
  </sheetData>
  <dataValidations count="1">
    <dataValidation type="list" allowBlank="1" showInputMessage="1" showErrorMessage="1" sqref="A2" xr:uid="{00000000-0002-0000-0200-000000000000}">
      <formula1>Pracownicy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3BE"/>
  </sheetPr>
  <dimension ref="A1:F8"/>
  <sheetViews>
    <sheetView zoomScale="160" zoomScaleNormal="160" workbookViewId="0"/>
  </sheetViews>
  <sheetFormatPr defaultColWidth="9.109375" defaultRowHeight="14.4"/>
  <cols>
    <col min="1" max="1" width="10.109375" style="3" bestFit="1" customWidth="1"/>
    <col min="2" max="2" width="3.6640625" style="3" customWidth="1"/>
    <col min="3" max="4" width="9.109375" style="3"/>
    <col min="5" max="5" width="3.88671875" style="3" customWidth="1"/>
    <col min="6" max="16384" width="9.109375" style="3"/>
  </cols>
  <sheetData>
    <row r="1" spans="1:6" ht="28.8">
      <c r="A1" s="8" t="s">
        <v>22</v>
      </c>
      <c r="C1" s="9" t="s">
        <v>23</v>
      </c>
      <c r="D1" s="9"/>
    </row>
    <row r="2" spans="1:6">
      <c r="A2" s="10">
        <v>400</v>
      </c>
      <c r="C2" s="4" t="s">
        <v>24</v>
      </c>
      <c r="D2" s="10">
        <v>90</v>
      </c>
    </row>
    <row r="3" spans="1:6">
      <c r="C3" s="4" t="s">
        <v>25</v>
      </c>
      <c r="D3" s="10">
        <v>60</v>
      </c>
    </row>
    <row r="4" spans="1:6">
      <c r="C4" s="4" t="s">
        <v>62</v>
      </c>
      <c r="D4" s="10">
        <v>70</v>
      </c>
    </row>
    <row r="5" spans="1:6">
      <c r="C5" s="4" t="s">
        <v>26</v>
      </c>
      <c r="D5" s="10">
        <v>120</v>
      </c>
    </row>
    <row r="6" spans="1:6" ht="15" thickBot="1">
      <c r="C6" s="11" t="s">
        <v>27</v>
      </c>
      <c r="D6" s="12">
        <v>60</v>
      </c>
    </row>
    <row r="7" spans="1:6" ht="15.6" thickTop="1" thickBot="1">
      <c r="C7" s="13" t="s">
        <v>28</v>
      </c>
      <c r="D7" s="14">
        <f>SUM(D2:D6)</f>
        <v>400</v>
      </c>
      <c r="F7" s="3" t="b">
        <f>SUM($D$2:$D$6)&lt;=$A$2</f>
        <v>1</v>
      </c>
    </row>
    <row r="8" spans="1:6" ht="15" thickTop="1"/>
  </sheetData>
  <dataValidations count="1">
    <dataValidation type="custom" allowBlank="1" showInputMessage="1" showErrorMessage="1" sqref="D2:D6" xr:uid="{00000000-0002-0000-0300-000000000000}">
      <formula1>SUM($D$2:$D$6)&lt;=$A$2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73BE"/>
  </sheetPr>
  <dimension ref="A1:F16"/>
  <sheetViews>
    <sheetView zoomScale="130" zoomScaleNormal="130" workbookViewId="0"/>
  </sheetViews>
  <sheetFormatPr defaultColWidth="9.109375" defaultRowHeight="14.4"/>
  <cols>
    <col min="1" max="1" width="11.33203125" style="3" bestFit="1" customWidth="1"/>
    <col min="2" max="2" width="11.88671875" style="3" bestFit="1" customWidth="1"/>
    <col min="3" max="3" width="11.5546875" style="3" bestFit="1" customWidth="1"/>
    <col min="4" max="4" width="9.109375" style="3"/>
    <col min="5" max="5" width="10.88671875" style="3" customWidth="1"/>
    <col min="6" max="6" width="11.5546875" style="3" bestFit="1" customWidth="1"/>
    <col min="7" max="16384" width="9.109375" style="3"/>
  </cols>
  <sheetData>
    <row r="1" spans="1:6">
      <c r="A1" s="5" t="s">
        <v>29</v>
      </c>
      <c r="B1" s="5" t="s">
        <v>27</v>
      </c>
      <c r="C1" s="5" t="s">
        <v>30</v>
      </c>
      <c r="E1" s="5" t="s">
        <v>31</v>
      </c>
      <c r="F1" s="5" t="s">
        <v>32</v>
      </c>
    </row>
    <row r="2" spans="1:6">
      <c r="A2" s="6" t="s">
        <v>33</v>
      </c>
      <c r="B2" s="6" t="s">
        <v>34</v>
      </c>
      <c r="C2" s="4" t="s">
        <v>63</v>
      </c>
      <c r="E2" s="4" t="s">
        <v>29</v>
      </c>
      <c r="F2" s="4" t="s">
        <v>39</v>
      </c>
    </row>
    <row r="3" spans="1:6">
      <c r="A3" s="6" t="s">
        <v>35</v>
      </c>
      <c r="B3" s="6" t="s">
        <v>36</v>
      </c>
      <c r="C3" s="4" t="s">
        <v>64</v>
      </c>
    </row>
    <row r="4" spans="1:6">
      <c r="A4" s="6" t="s">
        <v>38</v>
      </c>
      <c r="B4" s="6" t="s">
        <v>37</v>
      </c>
      <c r="C4" s="4" t="s">
        <v>65</v>
      </c>
      <c r="F4" s="3" t="str">
        <f ca="1">INDIRECT($E$2)</f>
        <v>Kapusta</v>
      </c>
    </row>
    <row r="5" spans="1:6">
      <c r="A5" s="6" t="s">
        <v>40</v>
      </c>
      <c r="B5" s="6" t="s">
        <v>39</v>
      </c>
      <c r="C5" s="4" t="s">
        <v>66</v>
      </c>
    </row>
    <row r="6" spans="1:6">
      <c r="A6" s="6" t="s">
        <v>42</v>
      </c>
      <c r="B6" s="6" t="s">
        <v>41</v>
      </c>
      <c r="C6" s="4" t="s">
        <v>67</v>
      </c>
    </row>
    <row r="7" spans="1:6">
      <c r="A7" s="6" t="s">
        <v>44</v>
      </c>
      <c r="B7" s="6" t="s">
        <v>43</v>
      </c>
      <c r="C7" s="4" t="s">
        <v>68</v>
      </c>
    </row>
    <row r="8" spans="1:6">
      <c r="A8" s="6" t="s">
        <v>47</v>
      </c>
      <c r="B8" s="6" t="s">
        <v>45</v>
      </c>
      <c r="C8" s="6" t="s">
        <v>69</v>
      </c>
    </row>
    <row r="9" spans="1:6">
      <c r="A9" s="7" t="s">
        <v>49</v>
      </c>
      <c r="B9" s="6" t="s">
        <v>46</v>
      </c>
      <c r="C9" s="4" t="s">
        <v>70</v>
      </c>
    </row>
    <row r="10" spans="1:6">
      <c r="A10" s="7" t="s">
        <v>51</v>
      </c>
      <c r="B10" s="6" t="s">
        <v>48</v>
      </c>
      <c r="C10" s="3" t="s">
        <v>71</v>
      </c>
    </row>
    <row r="11" spans="1:6">
      <c r="A11" s="7" t="s">
        <v>53</v>
      </c>
      <c r="B11" s="7" t="s">
        <v>50</v>
      </c>
      <c r="C11" s="3" t="s">
        <v>71</v>
      </c>
    </row>
    <row r="12" spans="1:6">
      <c r="A12" s="7" t="s">
        <v>54</v>
      </c>
      <c r="B12" s="7" t="s">
        <v>52</v>
      </c>
      <c r="C12" s="3" t="s">
        <v>71</v>
      </c>
    </row>
    <row r="13" spans="1:6">
      <c r="A13" s="7" t="s">
        <v>55</v>
      </c>
      <c r="C13" s="3" t="s">
        <v>71</v>
      </c>
    </row>
    <row r="14" spans="1:6">
      <c r="A14" s="7" t="s">
        <v>56</v>
      </c>
      <c r="C14" s="3" t="s">
        <v>71</v>
      </c>
    </row>
    <row r="15" spans="1:6">
      <c r="C15" s="3" t="s">
        <v>71</v>
      </c>
    </row>
    <row r="16" spans="1:6">
      <c r="C16" s="3" t="s">
        <v>71</v>
      </c>
    </row>
  </sheetData>
  <dataConsolidate/>
  <dataValidations count="2">
    <dataValidation type="list" allowBlank="1" showInputMessage="1" showErrorMessage="1" sqref="E2" xr:uid="{00000000-0002-0000-0400-000000000000}">
      <formula1>$A$1:$C$1</formula1>
    </dataValidation>
    <dataValidation type="list" allowBlank="1" showInputMessage="1" showErrorMessage="1" sqref="F2" xr:uid="{00000000-0002-0000-0400-000001000000}">
      <formula1>INDIRECT($E$2)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4</vt:i4>
      </vt:variant>
    </vt:vector>
  </HeadingPairs>
  <TitlesOfParts>
    <vt:vector size="10" baseType="lpstr">
      <vt:lpstr>ExceliAdam</vt:lpstr>
      <vt:lpstr>Punkty</vt:lpstr>
      <vt:lpstr>Data</vt:lpstr>
      <vt:lpstr>Lista</vt:lpstr>
      <vt:lpstr>Budżet</vt:lpstr>
      <vt:lpstr>ListaZależna</vt:lpstr>
      <vt:lpstr>Owoce</vt:lpstr>
      <vt:lpstr>Pracownicy</vt:lpstr>
      <vt:lpstr>Sery</vt:lpstr>
      <vt:lpstr>Warzywa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2015-10-21T03:19:12Z</dcterms:created>
  <dcterms:modified xsi:type="dcterms:W3CDTF">2019-05-13T07:56:57Z</dcterms:modified>
</cp:coreProperties>
</file>