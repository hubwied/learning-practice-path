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 codeName="Ten_skoroszyt"/>
  <xr:revisionPtr revIDLastSave="0" documentId="13_ncr:1_{E330C4F1-AD73-4190-B2DE-EE772DD6DB39}" xr6:coauthVersionLast="43" xr6:coauthVersionMax="43" xr10:uidLastSave="{00000000-0000-0000-0000-000000000000}"/>
  <bookViews>
    <workbookView xWindow="-108" yWindow="-108" windowWidth="23256" windowHeight="12576" tabRatio="751" xr2:uid="{00000000-000D-0000-FFFF-FFFF00000000}"/>
  </bookViews>
  <sheets>
    <sheet name="ExceliAdam" sheetId="20" r:id="rId1"/>
    <sheet name="Podstawy" sheetId="7" r:id="rId2"/>
    <sheet name="WykresyŚmieciowe" sheetId="14" r:id="rId3"/>
    <sheet name="KolumnowySłupkowy" sheetId="8" r:id="rId4"/>
    <sheet name="Kołowy" sheetId="9" r:id="rId5"/>
    <sheet name="DrugieKoło" sheetId="15" r:id="rId6"/>
    <sheet name="Liniowy" sheetId="11" r:id="rId7"/>
    <sheet name="Histogram" sheetId="16" r:id="rId8"/>
    <sheet name="XY" sheetId="12" r:id="rId9"/>
    <sheet name="Wykres1" sheetId="19" r:id="rId10"/>
    <sheet name="Wykres" sheetId="18" r:id="rId11"/>
    <sheet name="Pomocniczy" sheetId="13" r:id="rId12"/>
    <sheet name="PrzebieguWCzasie" sheetId="6" r:id="rId13"/>
  </sheets>
  <definedNames>
    <definedName name="_xlnm._FilterDatabase" localSheetId="5" hidden="1">DrugieKoło!#REF!</definedName>
    <definedName name="_xlnm._FilterDatabase" localSheetId="7" hidden="1">Histogram!$A$2:$A$49</definedName>
    <definedName name="_xlnm._FilterDatabase" localSheetId="3" hidden="1">KolumnowySłupkowy!#REF!</definedName>
    <definedName name="_xlnm._FilterDatabase" localSheetId="4" hidden="1">Kołowy!#REF!</definedName>
    <definedName name="_xlnm._FilterDatabase" localSheetId="6" hidden="1">Liniowy!#REF!</definedName>
    <definedName name="_xlnm._FilterDatabase" localSheetId="1" hidden="1">Podstawy!#REF!</definedName>
    <definedName name="_xlnm._FilterDatabase" localSheetId="11" hidden="1">Pomocniczy!$A$2:$D$8</definedName>
    <definedName name="_xlnm._FilterDatabase" localSheetId="12" hidden="1">PrzebieguWCzasie!#REF!</definedName>
    <definedName name="_xlnm._FilterDatabase" localSheetId="2" hidden="1">WykresyŚmieciowe!#REF!</definedName>
    <definedName name="_xlnm._FilterDatabase" localSheetId="8" hidden="1">XY!#REF!</definedName>
  </definedNames>
  <calcPr calcId="191029" iterate="1" iterateCount="10"/>
  <pivotCaches>
    <pivotCache cacheId="21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6" l="1"/>
  <c r="D3" i="16" l="1"/>
  <c r="E3" i="16" l="1"/>
  <c r="F3" i="16"/>
  <c r="C4" i="16"/>
  <c r="D4" i="16" l="1"/>
  <c r="E4" i="16" s="1"/>
  <c r="F4" i="16" l="1"/>
  <c r="C5" i="16"/>
  <c r="D5" i="16" l="1"/>
  <c r="F5" i="16" l="1"/>
  <c r="E5" i="16"/>
  <c r="C6" i="16"/>
  <c r="D6" i="16" l="1"/>
  <c r="E6" i="16" s="1"/>
  <c r="F6" i="16" l="1"/>
  <c r="C7" i="16"/>
  <c r="D7" i="16" l="1"/>
  <c r="E7" i="16" s="1"/>
  <c r="F7" i="16" l="1"/>
  <c r="C8" i="16"/>
  <c r="E8" i="16" l="1"/>
  <c r="D8" i="16"/>
  <c r="C9" i="16" s="1"/>
  <c r="F8" i="16" l="1"/>
  <c r="D9" i="16"/>
  <c r="C10" i="16" s="1"/>
  <c r="F9" i="16" l="1"/>
  <c r="E9" i="16"/>
  <c r="D10" i="16"/>
  <c r="C11" i="16" s="1"/>
  <c r="F10" i="16" l="1"/>
  <c r="E10" i="16"/>
  <c r="D11" i="16"/>
  <c r="C12" i="16" s="1"/>
  <c r="F11" i="16" l="1"/>
  <c r="E11" i="16"/>
  <c r="D12" i="16"/>
  <c r="G3" i="16" s="1" a="1"/>
  <c r="G9" i="16" l="1"/>
  <c r="G10" i="16"/>
  <c r="G5" i="16"/>
  <c r="G13" i="16"/>
  <c r="G6" i="16"/>
  <c r="G8" i="16"/>
  <c r="G3" i="16"/>
  <c r="G11" i="16"/>
  <c r="G4" i="16"/>
  <c r="G12" i="16"/>
  <c r="G7" i="16"/>
  <c r="F12" i="16"/>
  <c r="E12" i="16"/>
  <c r="C13" i="16"/>
  <c r="F13" i="16" l="1"/>
  <c r="E13" i="16"/>
  <c r="D13" i="16"/>
  <c r="C2" i="6" l="1"/>
  <c r="D2" i="6" s="1"/>
  <c r="E2" i="6" s="1"/>
  <c r="F2" i="6" s="1"/>
  <c r="G2" i="6" s="1"/>
  <c r="H2" i="6" s="1"/>
  <c r="I2" i="6" s="1"/>
  <c r="L5" i="12"/>
  <c r="B10" i="15" l="1"/>
  <c r="E4" i="14" l="1"/>
  <c r="C2" i="11" l="1"/>
  <c r="D2" i="11" s="1"/>
  <c r="E2" i="11" s="1"/>
  <c r="F2" i="11" s="1"/>
  <c r="G2" i="11" s="1"/>
  <c r="H2" i="11" s="1"/>
  <c r="I2" i="11" s="1"/>
  <c r="D6" i="14" l="1"/>
  <c r="C6" i="14"/>
  <c r="B6" i="14"/>
  <c r="E5" i="14"/>
  <c r="E3" i="14"/>
  <c r="E6" i="14" l="1"/>
  <c r="D8" i="13"/>
  <c r="D7" i="13"/>
  <c r="D6" i="13"/>
  <c r="D5" i="13"/>
  <c r="D4" i="13"/>
  <c r="D3" i="13"/>
  <c r="K5" i="12"/>
  <c r="J5" i="12"/>
  <c r="I5" i="12"/>
  <c r="A1" i="11"/>
  <c r="D6" i="8"/>
  <c r="C6" i="8"/>
  <c r="B6" i="8"/>
  <c r="E5" i="8"/>
  <c r="E4" i="8"/>
  <c r="E3" i="8"/>
  <c r="F17" i="7"/>
  <c r="F5" i="7"/>
  <c r="F4" i="7"/>
  <c r="F3" i="7"/>
  <c r="F2" i="7"/>
  <c r="H18" i="6"/>
  <c r="F18" i="6"/>
  <c r="D18" i="6"/>
  <c r="H17" i="6"/>
  <c r="F17" i="6"/>
  <c r="D17" i="6"/>
  <c r="H16" i="6"/>
  <c r="F16" i="6"/>
  <c r="D16" i="6"/>
  <c r="H15" i="6"/>
  <c r="F15" i="6"/>
  <c r="D15" i="6"/>
  <c r="H14" i="6"/>
  <c r="F14" i="6"/>
  <c r="D14" i="6"/>
  <c r="H13" i="6"/>
  <c r="F13" i="6"/>
  <c r="D13" i="6"/>
  <c r="H12" i="6"/>
  <c r="F12" i="6"/>
  <c r="D12" i="6"/>
  <c r="H11" i="6"/>
  <c r="F11" i="6"/>
  <c r="D11" i="6"/>
  <c r="H10" i="6"/>
  <c r="F10" i="6"/>
  <c r="D10" i="6"/>
  <c r="A1" i="6"/>
  <c r="E6" i="8" l="1"/>
</calcChain>
</file>

<file path=xl/sharedStrings.xml><?xml version="1.0" encoding="utf-8"?>
<sst xmlns="http://schemas.openxmlformats.org/spreadsheetml/2006/main" count="164" uniqueCount="130">
  <si>
    <t>Miesiąc</t>
  </si>
  <si>
    <t>Sprzedaż</t>
  </si>
  <si>
    <t>Wydatki</t>
  </si>
  <si>
    <t>Styczeń</t>
  </si>
  <si>
    <t>Luty</t>
  </si>
  <si>
    <t>Marzec</t>
  </si>
  <si>
    <t>Kwiecień</t>
  </si>
  <si>
    <t>Maj</t>
  </si>
  <si>
    <t>Czerwiec</t>
  </si>
  <si>
    <t>Suma końcowa</t>
  </si>
  <si>
    <t>Produkt/Rok</t>
  </si>
  <si>
    <t>Gąbki</t>
  </si>
  <si>
    <t>Muszelki</t>
  </si>
  <si>
    <t>Piasek</t>
  </si>
  <si>
    <t>Data</t>
  </si>
  <si>
    <t>Dolar amerykański</t>
  </si>
  <si>
    <t>Euro</t>
  </si>
  <si>
    <t>Funt szterling</t>
  </si>
  <si>
    <t>Produkt</t>
  </si>
  <si>
    <t>paź</t>
  </si>
  <si>
    <t>lis</t>
  </si>
  <si>
    <t>gru</t>
  </si>
  <si>
    <t>Suma</t>
  </si>
  <si>
    <t>Nagłówki wierszy pojawią się w kodowanej kolorami 'Legendzie'</t>
  </si>
  <si>
    <t>wtedy będą automatycznie traktowane jako serie danych</t>
  </si>
  <si>
    <t>Wodorost</t>
  </si>
  <si>
    <t>Województwo</t>
  </si>
  <si>
    <t>L. mieszkanców</t>
  </si>
  <si>
    <t>Lubelskie</t>
  </si>
  <si>
    <t>Lubuskie</t>
  </si>
  <si>
    <t>Łódzkie</t>
  </si>
  <si>
    <t>Małopolskie</t>
  </si>
  <si>
    <t>Suma z Wartość</t>
  </si>
  <si>
    <t>Muszelki 3</t>
  </si>
  <si>
    <t>Żółwik</t>
  </si>
  <si>
    <t>Błazenek</t>
  </si>
  <si>
    <t>Muszelki 1</t>
  </si>
  <si>
    <t>Muszelki 2</t>
  </si>
  <si>
    <t>Wodorosty</t>
  </si>
  <si>
    <t>X -&gt; Y</t>
  </si>
  <si>
    <t>Rzędna y</t>
  </si>
  <si>
    <t>Nachylenie</t>
  </si>
  <si>
    <t>Współczynnik korelacji</t>
  </si>
  <si>
    <t>Gdzie linia przecina oś Y?</t>
  </si>
  <si>
    <t>Jak szybko idziesz w górę na 1 jednostkę X?</t>
  </si>
  <si>
    <t>Siła i kierunek linii (bez związku przyczynowego)</t>
  </si>
  <si>
    <t>Jak wielki wpływ ma X na Y (bez związku przyczynowego)</t>
  </si>
  <si>
    <t>b</t>
  </si>
  <si>
    <t>m</t>
  </si>
  <si>
    <t>R</t>
  </si>
  <si>
    <t>R^2</t>
  </si>
  <si>
    <t>Wykres pomocniczy</t>
  </si>
  <si>
    <t>Wydatki jako % z Sprzedaży</t>
  </si>
  <si>
    <t>Sprzedaż "Piaski Pustyni" zima 2015</t>
  </si>
  <si>
    <t>Słońce</t>
  </si>
  <si>
    <t>Deszcz</t>
  </si>
  <si>
    <t>Wiatr</t>
  </si>
  <si>
    <t>Mazowieckie</t>
  </si>
  <si>
    <t>Opolskie</t>
  </si>
  <si>
    <t>Podkarpackie</t>
  </si>
  <si>
    <t>Podlaskie</t>
  </si>
  <si>
    <t>Pomorskie</t>
  </si>
  <si>
    <t>Liczba godz. nauki</t>
  </si>
  <si>
    <t>Jak liczba godzin nauki wpływa na wynik egzaminu?</t>
  </si>
  <si>
    <t>Punkty z  egzaminu</t>
  </si>
  <si>
    <t>Współczynnik determinacji</t>
  </si>
  <si>
    <t>ODCIĘTA</t>
  </si>
  <si>
    <t>NACHYLENIE</t>
  </si>
  <si>
    <t>PEARSON</t>
  </si>
  <si>
    <t>R.KWADRAT</t>
  </si>
  <si>
    <t>Funkcja:</t>
  </si>
  <si>
    <t>Założenia</t>
  </si>
  <si>
    <t>Wynik egzaminu</t>
  </si>
  <si>
    <t>Dół</t>
  </si>
  <si>
    <t>Góra</t>
  </si>
  <si>
    <t>Zakresy punktowe</t>
  </si>
  <si>
    <t>CZĘSTOŚĆ</t>
  </si>
  <si>
    <t>Start</t>
  </si>
  <si>
    <t>Wielkość grupy</t>
  </si>
  <si>
    <t>Etykiety wierszy</t>
  </si>
  <si>
    <t>Liczba z Wynik egzaminu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</si>
  <si>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</si>
  <si>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</si>
  <si>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</si>
  <si>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</si>
  <si>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</si>
  <si>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</si>
  <si>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</si>
  <si>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</si>
  <si>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</si>
  <si>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90-100</t>
  </si>
  <si>
    <t>Sprzedaż "Słońce i Deszcz" zima 2014</t>
  </si>
  <si>
    <t>Ile uczniów osiągnęło wynik w podanym zakresie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</si>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</sst>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#,##0\ &quot;zł&quot;;[Red]\-#,##0\ &quot;zł&quot;"/>
    <numFmt numFmtId="8" formatCode="#,##0.00\ &quot;zł&quot;;[Red]\-#,##0.00\ &quot;zł&quot;"/>
    <numFmt numFmtId="164" formatCode="_-* #,##0.00\ _z_ł_-;\-* #,##0.00\ _z_ł_-;_-* &quot;-&quot;??\ _z_ł_-;_-@_-"/>
    <numFmt numFmtId="165" formatCode="_(* #,##0.00_);_(* \(#,##0.00\);_(* &quot;-&quot;??_);_(@_)"/>
    <numFmt numFmtId="166" formatCode="&quot;$&quot;#,##0,"/>
    <numFmt numFmtId="167" formatCode="d\-mmm\-yyyy"/>
    <numFmt numFmtId="168" formatCode="#,##0\ &quot;zł&quot;"/>
  </numFmts>
  <fonts count="24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sz val="11"/>
      <name val="Calibri"/>
      <family val="2"/>
      <charset val="238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zcionka tekstu podstawowego"/>
      <family val="2"/>
      <charset val="238"/>
    </font>
    <font>
      <u/>
      <sz val="11"/>
      <color theme="10"/>
      <name val="Calibri"/>
      <family val="2"/>
      <charset val="238"/>
      <scheme val="minor"/>
    </font>
    <font>
      <b/>
      <sz val="10.5"/>
      <color theme="0"/>
      <name val="Calibri"/>
      <family val="2"/>
      <charset val="238"/>
      <scheme val="minor"/>
    </font>
    <font>
      <sz val="10.5"/>
      <color theme="1"/>
      <name val="Calibri"/>
      <family val="2"/>
      <scheme val="minor"/>
    </font>
    <font>
      <b/>
      <sz val="10.5"/>
      <color rgb="FFFFFFFF"/>
      <name val="Calibri"/>
      <family val="2"/>
      <charset val="238"/>
      <scheme val="minor"/>
    </font>
    <font>
      <sz val="10.5"/>
      <color theme="1"/>
      <name val="Cambria"/>
      <family val="1"/>
      <charset val="238"/>
    </font>
    <font>
      <b/>
      <sz val="10.5"/>
      <color theme="1"/>
      <name val="Calibri"/>
      <family val="2"/>
      <charset val="238"/>
      <scheme val="minor"/>
    </font>
    <font>
      <sz val="10.5"/>
      <name val="Calibri"/>
      <family val="2"/>
      <charset val="238"/>
      <scheme val="minor"/>
    </font>
    <font>
      <sz val="10.5"/>
      <color theme="1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2EA3F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0" borderId="0"/>
    <xf numFmtId="0" fontId="6" fillId="6" borderId="4">
      <alignment wrapText="1"/>
    </xf>
    <xf numFmtId="0" fontId="7" fillId="7" borderId="1" applyBorder="0">
      <alignment horizontal="centerContinuous" wrapText="1"/>
    </xf>
    <xf numFmtId="165" fontId="8" fillId="0" borderId="0" applyFont="0" applyFill="0" applyBorder="0" applyAlignment="0" applyProtection="0"/>
    <xf numFmtId="166" fontId="9" fillId="0" borderId="0"/>
    <xf numFmtId="0" fontId="2" fillId="5" borderId="0"/>
    <xf numFmtId="164" fontId="5" fillId="0" borderId="0" applyFont="0" applyFill="0" applyBorder="0" applyAlignment="0" applyProtection="0"/>
    <xf numFmtId="0" fontId="4" fillId="8" borderId="4">
      <alignment horizontal="center" vertical="center"/>
    </xf>
    <xf numFmtId="0" fontId="2" fillId="9" borderId="4">
      <alignment horizontal="center" vertical="center"/>
    </xf>
    <xf numFmtId="8" fontId="1" fillId="10" borderId="4" applyNumberFormat="0"/>
    <xf numFmtId="8" fontId="1" fillId="11" borderId="4" applyFont="0" applyBorder="0"/>
    <xf numFmtId="8" fontId="1" fillId="9" borderId="4" applyFont="0" applyBorder="0"/>
    <xf numFmtId="8" fontId="1" fillId="12" borderId="4" applyFont="0" applyBorder="0"/>
    <xf numFmtId="8" fontId="1" fillId="13" borderId="4" applyFont="0" applyBorder="0"/>
    <xf numFmtId="0" fontId="1" fillId="14" borderId="0" applyFont="0" applyBorder="0"/>
    <xf numFmtId="8" fontId="1" fillId="15" borderId="4" applyFont="0" applyBorder="0"/>
    <xf numFmtId="8" fontId="10" fillId="4" borderId="4"/>
    <xf numFmtId="8" fontId="10" fillId="4" borderId="4" applyNumberFormat="0"/>
    <xf numFmtId="8" fontId="10" fillId="4" borderId="4" applyNumberFormat="0" applyAlignment="0"/>
    <xf numFmtId="0" fontId="10" fillId="4" borderId="4"/>
    <xf numFmtId="167" fontId="11" fillId="0" borderId="0" applyFont="0" applyFill="0" applyBorder="0" applyProtection="0">
      <alignment horizontal="center"/>
    </xf>
    <xf numFmtId="0" fontId="12" fillId="0" borderId="0" applyNumberFormat="0" applyFill="0" applyBorder="0" applyAlignment="0" applyProtection="0"/>
    <xf numFmtId="0" fontId="10" fillId="3" borderId="1" applyBorder="0"/>
    <xf numFmtId="0" fontId="2" fillId="2" borderId="4"/>
    <xf numFmtId="0" fontId="8" fillId="0" borderId="0"/>
    <xf numFmtId="0" fontId="13" fillId="0" borderId="0"/>
    <xf numFmtId="8" fontId="1" fillId="16" borderId="4"/>
    <xf numFmtId="0" fontId="8" fillId="0" borderId="0">
      <alignment wrapText="1"/>
    </xf>
    <xf numFmtId="0" fontId="10" fillId="3" borderId="1"/>
    <xf numFmtId="0" fontId="14" fillId="0" borderId="0" applyNumberFormat="0" applyFill="0" applyBorder="0" applyAlignment="0" applyProtection="0"/>
    <xf numFmtId="0" fontId="1" fillId="0" borderId="0"/>
    <xf numFmtId="0" fontId="1" fillId="0" borderId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92">
    <xf numFmtId="0" fontId="0" fillId="0" borderId="0" xfId="0"/>
    <xf numFmtId="0" fontId="5" fillId="0" borderId="0" xfId="3"/>
    <xf numFmtId="0" fontId="15" fillId="5" borderId="1" xfId="3" applyFont="1" applyFill="1" applyBorder="1" applyAlignment="1">
      <alignment horizontal="centerContinuous"/>
    </xf>
    <xf numFmtId="0" fontId="16" fillId="0" borderId="0" xfId="3" applyFont="1"/>
    <xf numFmtId="0" fontId="17" fillId="18" borderId="4" xfId="0" applyFont="1" applyFill="1" applyBorder="1" applyAlignment="1">
      <alignment horizontal="center" vertical="center" wrapText="1"/>
    </xf>
    <xf numFmtId="168" fontId="16" fillId="0" borderId="4" xfId="3" applyNumberFormat="1" applyFont="1" applyBorder="1"/>
    <xf numFmtId="0" fontId="15" fillId="9" borderId="4" xfId="1" applyFont="1" applyFill="1" applyBorder="1" applyAlignment="1">
      <alignment horizontal="center"/>
    </xf>
    <xf numFmtId="0" fontId="15" fillId="9" borderId="6" xfId="1" applyFont="1" applyFill="1" applyBorder="1" applyAlignment="1">
      <alignment horizontal="centerContinuous"/>
    </xf>
    <xf numFmtId="0" fontId="16" fillId="0" borderId="0" xfId="3" applyFont="1" applyAlignment="1">
      <alignment horizontal="center"/>
    </xf>
    <xf numFmtId="14" fontId="16" fillId="0" borderId="4" xfId="3" applyNumberFormat="1" applyFont="1" applyBorder="1" applyAlignment="1">
      <alignment vertical="center" wrapText="1"/>
    </xf>
    <xf numFmtId="0" fontId="16" fillId="0" borderId="4" xfId="3" applyFont="1" applyBorder="1" applyAlignment="1">
      <alignment vertical="center" wrapText="1"/>
    </xf>
    <xf numFmtId="10" fontId="16" fillId="0" borderId="4" xfId="3" applyNumberFormat="1" applyFont="1" applyBorder="1"/>
    <xf numFmtId="10" fontId="16" fillId="0" borderId="4" xfId="3" applyNumberFormat="1" applyFont="1" applyBorder="1" applyAlignment="1">
      <alignment vertical="center" wrapText="1"/>
    </xf>
    <xf numFmtId="0" fontId="16" fillId="0" borderId="4" xfId="3" applyFont="1" applyBorder="1"/>
    <xf numFmtId="6" fontId="16" fillId="0" borderId="4" xfId="3" applyNumberFormat="1" applyFont="1" applyBorder="1"/>
    <xf numFmtId="9" fontId="16" fillId="0" borderId="4" xfId="3" applyNumberFormat="1" applyFont="1" applyBorder="1"/>
    <xf numFmtId="0" fontId="16" fillId="0" borderId="0" xfId="3" applyFont="1" applyBorder="1"/>
    <xf numFmtId="0" fontId="17" fillId="18" borderId="1" xfId="0" applyFont="1" applyFill="1" applyBorder="1" applyAlignment="1">
      <alignment horizontal="centerContinuous" vertical="center" wrapText="1"/>
    </xf>
    <xf numFmtId="0" fontId="17" fillId="18" borderId="13" xfId="0" applyFont="1" applyFill="1" applyBorder="1" applyAlignment="1">
      <alignment horizontal="centerContinuous" vertical="center" wrapText="1"/>
    </xf>
    <xf numFmtId="0" fontId="15" fillId="7" borderId="4" xfId="3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9" fillId="0" borderId="0" xfId="3" applyFont="1" applyBorder="1" applyAlignment="1">
      <alignment horizontal="right"/>
    </xf>
    <xf numFmtId="0" fontId="16" fillId="0" borderId="4" xfId="3" applyFont="1" applyBorder="1" applyAlignment="1">
      <alignment horizontal="center" vertical="center"/>
    </xf>
    <xf numFmtId="0" fontId="15" fillId="20" borderId="1" xfId="3" applyFont="1" applyFill="1" applyBorder="1" applyAlignment="1">
      <alignment horizontal="centerContinuous"/>
    </xf>
    <xf numFmtId="0" fontId="15" fillId="20" borderId="13" xfId="3" applyFont="1" applyFill="1" applyBorder="1" applyAlignment="1">
      <alignment horizontal="centerContinuous"/>
    </xf>
    <xf numFmtId="0" fontId="15" fillId="9" borderId="4" xfId="1" applyFont="1" applyFill="1" applyBorder="1" applyAlignment="1">
      <alignment horizontal="center" vertical="center" wrapText="1"/>
    </xf>
    <xf numFmtId="0" fontId="20" fillId="17" borderId="4" xfId="21" applyNumberFormat="1" applyFont="1" applyFill="1"/>
    <xf numFmtId="0" fontId="21" fillId="0" borderId="0" xfId="0" pivotButton="1" applyFont="1"/>
    <xf numFmtId="0" fontId="21" fillId="0" borderId="0" xfId="0" applyFont="1"/>
    <xf numFmtId="0" fontId="21" fillId="0" borderId="0" xfId="0" applyFont="1" applyAlignment="1">
      <alignment horizontal="left"/>
    </xf>
    <xf numFmtId="0" fontId="21" fillId="0" borderId="0" xfId="0" applyNumberFormat="1" applyFont="1"/>
    <xf numFmtId="0" fontId="17" fillId="18" borderId="4" xfId="0" applyFont="1" applyFill="1" applyBorder="1" applyAlignment="1">
      <alignment horizontal="center" vertical="center"/>
    </xf>
    <xf numFmtId="8" fontId="16" fillId="0" borderId="4" xfId="3" applyNumberFormat="1" applyFont="1" applyBorder="1"/>
    <xf numFmtId="0" fontId="16" fillId="0" borderId="6" xfId="3" applyFont="1" applyBorder="1"/>
    <xf numFmtId="8" fontId="16" fillId="0" borderId="6" xfId="3" applyNumberFormat="1" applyFont="1" applyBorder="1"/>
    <xf numFmtId="0" fontId="19" fillId="0" borderId="12" xfId="3" applyFont="1" applyBorder="1"/>
    <xf numFmtId="8" fontId="19" fillId="0" borderId="12" xfId="3" applyNumberFormat="1" applyFont="1" applyBorder="1"/>
    <xf numFmtId="0" fontId="20" fillId="0" borderId="4" xfId="32" applyFont="1" applyBorder="1" applyAlignment="1">
      <alignment horizontal="center" vertical="center" wrapText="1"/>
    </xf>
    <xf numFmtId="3" fontId="20" fillId="0" borderId="4" xfId="3" applyNumberFormat="1" applyFont="1" applyBorder="1" applyAlignment="1">
      <alignment horizontal="center" vertical="center" wrapText="1"/>
    </xf>
    <xf numFmtId="0" fontId="20" fillId="0" borderId="0" xfId="32" applyFont="1" applyBorder="1" applyAlignment="1">
      <alignment horizontal="center" vertical="center" wrapText="1"/>
    </xf>
    <xf numFmtId="3" fontId="20" fillId="0" borderId="0" xfId="3" applyNumberFormat="1" applyFont="1" applyBorder="1" applyAlignment="1">
      <alignment horizontal="center" vertical="center" wrapText="1"/>
    </xf>
    <xf numFmtId="8" fontId="20" fillId="17" borderId="4" xfId="21" applyNumberFormat="1" applyFont="1" applyFill="1"/>
    <xf numFmtId="0" fontId="16" fillId="0" borderId="0" xfId="3" applyNumberFormat="1" applyFont="1"/>
    <xf numFmtId="0" fontId="20" fillId="19" borderId="7" xfId="2" applyFont="1" applyFill="1" applyBorder="1"/>
    <xf numFmtId="0" fontId="20" fillId="19" borderId="8" xfId="2" applyFont="1" applyFill="1" applyBorder="1"/>
    <xf numFmtId="0" fontId="20" fillId="19" borderId="5" xfId="2" applyFont="1" applyFill="1" applyBorder="1"/>
    <xf numFmtId="0" fontId="20" fillId="19" borderId="9" xfId="2" applyFont="1" applyFill="1" applyBorder="1"/>
    <xf numFmtId="0" fontId="20" fillId="19" borderId="0" xfId="2" applyFont="1" applyFill="1" applyBorder="1"/>
    <xf numFmtId="0" fontId="20" fillId="19" borderId="10" xfId="2" applyFont="1" applyFill="1" applyBorder="1"/>
    <xf numFmtId="0" fontId="20" fillId="19" borderId="3" xfId="2" applyFont="1" applyFill="1" applyBorder="1"/>
    <xf numFmtId="0" fontId="20" fillId="19" borderId="11" xfId="2" applyFont="1" applyFill="1" applyBorder="1"/>
    <xf numFmtId="0" fontId="20" fillId="19" borderId="2" xfId="2" applyFont="1" applyFill="1" applyBorder="1"/>
    <xf numFmtId="0" fontId="20" fillId="19" borderId="4" xfId="2" applyFont="1" applyFill="1" applyBorder="1" applyAlignment="1">
      <alignment wrapText="1"/>
    </xf>
    <xf numFmtId="8" fontId="16" fillId="0" borderId="4" xfId="3" applyNumberFormat="1" applyFont="1" applyFill="1" applyBorder="1"/>
    <xf numFmtId="0" fontId="1" fillId="0" borderId="0" xfId="33"/>
    <xf numFmtId="0" fontId="3" fillId="0" borderId="0" xfId="34" applyFont="1" applyAlignment="1">
      <alignment vertical="center"/>
    </xf>
    <xf numFmtId="0" fontId="3" fillId="0" borderId="0" xfId="34" applyFont="1" applyAlignment="1">
      <alignment vertical="center"/>
    </xf>
    <xf numFmtId="0" fontId="22" fillId="0" borderId="0" xfId="35" applyFont="1" applyAlignment="1">
      <alignment vertical="center"/>
    </xf>
    <xf numFmtId="0" fontId="14" fillId="0" borderId="0" xfId="35" applyFont="1" applyAlignment="1">
      <alignment vertical="center"/>
    </xf>
    <xf numFmtId="0" fontId="23" fillId="0" borderId="0" xfId="33" applyFont="1" applyAlignment="1">
      <alignment vertical="center"/>
    </xf>
    <xf numFmtId="0" fontId="23" fillId="0" borderId="0" xfId="33" applyFont="1" applyAlignment="1">
      <alignment vertical="center"/>
    </xf>
    <xf numFmtId="0" fontId="1" fillId="0" borderId="8" xfId="33" applyBorder="1"/>
    <xf numFmtId="0" fontId="3" fillId="0" borderId="8" xfId="33" applyFont="1" applyBorder="1" applyAlignment="1">
      <alignment wrapText="1"/>
    </xf>
    <xf numFmtId="0" fontId="3" fillId="0" borderId="0" xfId="33" applyFont="1" applyBorder="1" applyAlignment="1">
      <alignment wrapText="1"/>
    </xf>
    <xf numFmtId="0" fontId="0" fillId="0" borderId="8" xfId="33" applyFont="1" applyBorder="1" applyAlignment="1">
      <alignment vertical="top"/>
    </xf>
    <xf numFmtId="0" fontId="0" fillId="0" borderId="0" xfId="33" applyFont="1" applyBorder="1" applyAlignment="1">
      <alignment vertical="top"/>
    </xf>
    <xf numFmtId="0" fontId="3" fillId="0" borderId="0" xfId="33" applyFont="1" applyBorder="1" applyAlignment="1">
      <alignment wrapText="1"/>
    </xf>
    <xf numFmtId="0" fontId="0" fillId="0" borderId="0" xfId="33" applyFont="1" applyBorder="1" applyAlignment="1">
      <alignment vertical="top"/>
    </xf>
    <xf numFmtId="0" fontId="22" fillId="0" borderId="0" xfId="35" applyFont="1" applyAlignment="1"/>
    <xf numFmtId="0" fontId="14" fillId="0" borderId="0" xfId="35" applyAlignment="1"/>
    <xf numFmtId="0" fontId="1" fillId="0" borderId="0" xfId="33" applyFont="1" applyAlignment="1">
      <alignment vertical="top"/>
    </xf>
    <xf numFmtId="0" fontId="1" fillId="0" borderId="0" xfId="33" applyFont="1" applyAlignment="1">
      <alignment vertical="top"/>
    </xf>
    <xf numFmtId="0" fontId="22" fillId="0" borderId="0" xfId="24" applyFont="1" applyAlignment="1"/>
    <xf numFmtId="0" fontId="22" fillId="0" borderId="0" xfId="24" applyFont="1" applyAlignment="1"/>
    <xf numFmtId="0" fontId="3" fillId="0" borderId="8" xfId="33" applyFont="1" applyBorder="1" applyAlignment="1">
      <alignment vertical="center"/>
    </xf>
    <xf numFmtId="0" fontId="3" fillId="0" borderId="0" xfId="33" applyFont="1" applyBorder="1" applyAlignment="1">
      <alignment vertical="center"/>
    </xf>
    <xf numFmtId="0" fontId="3" fillId="0" borderId="0" xfId="33" applyFont="1" applyBorder="1" applyAlignment="1">
      <alignment vertical="center"/>
    </xf>
    <xf numFmtId="0" fontId="1" fillId="0" borderId="0" xfId="33" applyFont="1" applyAlignment="1">
      <alignment vertical="center"/>
    </xf>
    <xf numFmtId="0" fontId="1" fillId="0" borderId="0" xfId="33" applyFont="1" applyAlignment="1">
      <alignment vertical="center"/>
    </xf>
    <xf numFmtId="0" fontId="12" fillId="0" borderId="0" xfId="24" applyAlignment="1"/>
    <xf numFmtId="0" fontId="3" fillId="0" borderId="8" xfId="33" applyFont="1" applyBorder="1" applyAlignment="1">
      <alignment vertical="top" wrapText="1"/>
    </xf>
    <xf numFmtId="0" fontId="3" fillId="0" borderId="0" xfId="33" applyFont="1" applyBorder="1" applyAlignment="1">
      <alignment vertical="top" wrapText="1"/>
    </xf>
    <xf numFmtId="0" fontId="3" fillId="0" borderId="0" xfId="33" applyFont="1" applyBorder="1" applyAlignment="1">
      <alignment vertical="top" wrapText="1"/>
    </xf>
    <xf numFmtId="0" fontId="14" fillId="0" borderId="0" xfId="35" applyAlignment="1">
      <alignment vertical="center"/>
    </xf>
    <xf numFmtId="0" fontId="3" fillId="0" borderId="0" xfId="33" applyFont="1" applyAlignment="1"/>
    <xf numFmtId="0" fontId="14" fillId="0" borderId="0" xfId="35" applyAlignment="1">
      <alignment vertical="center"/>
    </xf>
    <xf numFmtId="0" fontId="12" fillId="0" borderId="0" xfId="36" applyAlignment="1">
      <alignment vertical="center"/>
    </xf>
    <xf numFmtId="0" fontId="1" fillId="21" borderId="0" xfId="33" applyFont="1" applyFill="1" applyAlignment="1">
      <alignment vertical="top" wrapText="1"/>
    </xf>
    <xf numFmtId="0" fontId="1" fillId="21" borderId="0" xfId="33" applyFont="1" applyFill="1" applyAlignment="1">
      <alignment vertical="top" wrapText="1"/>
    </xf>
    <xf numFmtId="0" fontId="1" fillId="21" borderId="0" xfId="33" applyFont="1" applyFill="1" applyAlignment="1">
      <alignment wrapText="1"/>
    </xf>
    <xf numFmtId="0" fontId="1" fillId="21" borderId="0" xfId="33" applyFont="1" applyFill="1" applyAlignment="1">
      <alignment wrapText="1"/>
    </xf>
    <xf numFmtId="0" fontId="1" fillId="0" borderId="0" xfId="33" applyFont="1" applyAlignment="1">
      <alignment vertical="top" wrapText="1"/>
    </xf>
  </cellXfs>
  <cellStyles count="37">
    <cellStyle name="60% — akcent 4" xfId="2" builtinId="44"/>
    <cellStyle name="Akcent 1" xfId="1" builtinId="29"/>
    <cellStyle name="blue" xfId="4" xr:uid="{00000000-0005-0000-0000-000002000000}"/>
    <cellStyle name="BlueTitle" xfId="5" xr:uid="{00000000-0005-0000-0000-000003000000}"/>
    <cellStyle name="Comma 2" xfId="6" xr:uid="{00000000-0005-0000-0000-000004000000}"/>
    <cellStyle name="Currency Round to thousands" xfId="7" xr:uid="{00000000-0005-0000-0000-000005000000}"/>
    <cellStyle name="Czarny" xfId="8" xr:uid="{00000000-0005-0000-0000-000006000000}"/>
    <cellStyle name="Dziesiętny 2" xfId="9" xr:uid="{00000000-0005-0000-0000-000007000000}"/>
    <cellStyle name="Excel - Etykieta" xfId="10" xr:uid="{00000000-0005-0000-0000-000008000000}"/>
    <cellStyle name="Excel - Etykiety light" xfId="11" xr:uid="{00000000-0005-0000-0000-000009000000}"/>
    <cellStyle name="Excel - Formuła" xfId="12" xr:uid="{00000000-0005-0000-0000-00000A000000}"/>
    <cellStyle name="Excel - green" xfId="13" xr:uid="{00000000-0005-0000-0000-00000B000000}"/>
    <cellStyle name="Excel - lightblue" xfId="14" xr:uid="{00000000-0005-0000-0000-00000C000000}"/>
    <cellStyle name="Excel - orange" xfId="15" xr:uid="{00000000-0005-0000-0000-00000D000000}"/>
    <cellStyle name="Excel - purple" xfId="16" xr:uid="{00000000-0005-0000-0000-00000E000000}"/>
    <cellStyle name="Excel - red" xfId="17" xr:uid="{00000000-0005-0000-0000-00000F000000}"/>
    <cellStyle name="Excel - yellow" xfId="18" xr:uid="{00000000-0005-0000-0000-000010000000}"/>
    <cellStyle name="Formuła" xfId="19" xr:uid="{00000000-0005-0000-0000-000011000000}"/>
    <cellStyle name="Formuła 2" xfId="20" xr:uid="{00000000-0005-0000-0000-000012000000}"/>
    <cellStyle name="Formuła 3" xfId="21" xr:uid="{00000000-0005-0000-0000-000013000000}"/>
    <cellStyle name="Formuła 4" xfId="22" xr:uid="{00000000-0005-0000-0000-000014000000}"/>
    <cellStyle name="Four-Digit Year" xfId="23" xr:uid="{00000000-0005-0000-0000-000015000000}"/>
    <cellStyle name="Hiperłącze" xfId="32" builtinId="8"/>
    <cellStyle name="Hiperłącze 2" xfId="24" xr:uid="{00000000-0005-0000-0000-000017000000}"/>
    <cellStyle name="Hiperłącze 2 2" xfId="35" xr:uid="{764B0DC2-61C8-48D2-AA73-AD00C693F23B}"/>
    <cellStyle name="Hiperłącze 2 3" xfId="36" xr:uid="{0A51B839-9F01-434C-AAFC-2857482D1444}"/>
    <cellStyle name="Informacja" xfId="25" xr:uid="{00000000-0005-0000-0000-000018000000}"/>
    <cellStyle name="Nagłówek" xfId="26" xr:uid="{00000000-0005-0000-0000-000019000000}"/>
    <cellStyle name="Normal 2" xfId="27" xr:uid="{00000000-0005-0000-0000-00001A000000}"/>
    <cellStyle name="Normalny" xfId="0" builtinId="0"/>
    <cellStyle name="Normalny 2" xfId="3" xr:uid="{00000000-0005-0000-0000-00001C000000}"/>
    <cellStyle name="Normalny 2 3" xfId="33" xr:uid="{D98A4261-1761-4515-B69C-18501A720886}"/>
    <cellStyle name="Normalny 3" xfId="28" xr:uid="{00000000-0005-0000-0000-00001D000000}"/>
    <cellStyle name="Normalny 4" xfId="34" xr:uid="{6FA267DA-72B2-4AB0-B68B-78890EE0CE17}"/>
    <cellStyle name="Styl 1" xfId="29" xr:uid="{00000000-0005-0000-0000-00001E000000}"/>
    <cellStyle name="Wrap Text" xfId="30" xr:uid="{00000000-0005-0000-0000-00001F000000}"/>
    <cellStyle name="ziel" xfId="31" xr:uid="{00000000-0005-0000-0000-000020000000}"/>
  </cellStyles>
  <dxfs count="0"/>
  <tableStyles count="0" defaultTableStyle="TableStyleMedium2" defaultPivotStyle="PivotStyleLight16"/>
  <colors>
    <mruColors>
      <color rgb="FFCFF1D6"/>
      <color rgb="FF2EA3F2"/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Podstawy!$A$3</c:f>
              <c:strCache>
                <c:ptCount val="1"/>
                <c:pt idx="0">
                  <c:v>Gąbki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Podstawy!$B$2:$D$2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Podstawy!$B$3:$D$3</c:f>
              <c:numCache>
                <c:formatCode>"zł"#,##0.00_);[Red]\("zł"#,##0.00\)</c:formatCode>
                <c:ptCount val="3"/>
                <c:pt idx="0">
                  <c:v>61</c:v>
                </c:pt>
                <c:pt idx="1">
                  <c:v>35.5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D-47C1-B80C-8631AFBBDB6D}"/>
            </c:ext>
          </c:extLst>
        </c:ser>
        <c:ser>
          <c:idx val="1"/>
          <c:order val="1"/>
          <c:tx>
            <c:strRef>
              <c:f>Podstawy!$A$4</c:f>
              <c:strCache>
                <c:ptCount val="1"/>
                <c:pt idx="0">
                  <c:v>Muszelki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Podstawy!$B$2:$D$2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Podstawy!$B$4:$D$4</c:f>
              <c:numCache>
                <c:formatCode>"zł"#,##0.00_);[Red]\("zł"#,##0.00\)</c:formatCode>
                <c:ptCount val="3"/>
                <c:pt idx="0">
                  <c:v>72.849999999999994</c:v>
                </c:pt>
                <c:pt idx="1">
                  <c:v>55.5</c:v>
                </c:pt>
                <c:pt idx="2">
                  <c:v>52.35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D-47C1-B80C-8631AFBBDB6D}"/>
            </c:ext>
          </c:extLst>
        </c:ser>
        <c:ser>
          <c:idx val="2"/>
          <c:order val="2"/>
          <c:tx>
            <c:strRef>
              <c:f>Podstawy!$A$5</c:f>
              <c:strCache>
                <c:ptCount val="1"/>
                <c:pt idx="0">
                  <c:v>Piasek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Podstawy!$B$2:$D$2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Podstawy!$B$5:$D$5</c:f>
              <c:numCache>
                <c:formatCode>"zł"#,##0.00_);[Red]\("zł"#,##0.00\)</c:formatCode>
                <c:ptCount val="3"/>
                <c:pt idx="0">
                  <c:v>17.8</c:v>
                </c:pt>
                <c:pt idx="1">
                  <c:v>18.399999999999999</c:v>
                </c:pt>
                <c:pt idx="2">
                  <c:v>14.100000000000001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D-47C1-B80C-8631AFBBD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446552"/>
        <c:axId val="502446944"/>
      </c:barChart>
      <c:catAx>
        <c:axId val="502446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2446944"/>
        <c:crosses val="autoZero"/>
        <c:auto val="1"/>
        <c:lblAlgn val="ctr"/>
        <c:lblOffset val="100"/>
        <c:noMultiLvlLbl val="0"/>
      </c:catAx>
      <c:valAx>
        <c:axId val="50244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zł&quot;#,##0.00_);[Red]\(&quot;zł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2446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Podstawy!$A$18</c:f>
              <c:strCache>
                <c:ptCount val="1"/>
                <c:pt idx="0">
                  <c:v>Gąbki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Podstawy!$B$17:$D$17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Podstawy!$B$18:$D$18</c:f>
              <c:numCache>
                <c:formatCode>"zł"#,##0.00_);[Red]\("zł"#,##0.00\)</c:formatCode>
                <c:ptCount val="3"/>
                <c:pt idx="0">
                  <c:v>61</c:v>
                </c:pt>
                <c:pt idx="1">
                  <c:v>35.5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3-460C-B04E-1968DE120346}"/>
            </c:ext>
          </c:extLst>
        </c:ser>
        <c:ser>
          <c:idx val="1"/>
          <c:order val="1"/>
          <c:tx>
            <c:strRef>
              <c:f>Podstawy!$A$19</c:f>
              <c:strCache>
                <c:ptCount val="1"/>
                <c:pt idx="0">
                  <c:v>Muszelki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Podstawy!$B$17:$D$17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Podstawy!$B$19:$D$19</c:f>
              <c:numCache>
                <c:formatCode>"zł"#,##0.00_);[Red]\("zł"#,##0.00\)</c:formatCode>
                <c:ptCount val="3"/>
                <c:pt idx="0">
                  <c:v>72.849999999999994</c:v>
                </c:pt>
                <c:pt idx="1">
                  <c:v>55.5</c:v>
                </c:pt>
                <c:pt idx="2">
                  <c:v>52.35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3-460C-B04E-1968DE120346}"/>
            </c:ext>
          </c:extLst>
        </c:ser>
        <c:ser>
          <c:idx val="2"/>
          <c:order val="2"/>
          <c:tx>
            <c:strRef>
              <c:f>Podstawy!$A$20</c:f>
              <c:strCache>
                <c:ptCount val="1"/>
                <c:pt idx="0">
                  <c:v>Piasek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Podstawy!$B$17:$D$17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Podstawy!$B$20:$D$20</c:f>
              <c:numCache>
                <c:formatCode>"zł"#,##0.00_);[Red]\("zł"#,##0.00\)</c:formatCode>
                <c:ptCount val="3"/>
                <c:pt idx="0">
                  <c:v>17.8</c:v>
                </c:pt>
                <c:pt idx="1">
                  <c:v>18.399999999999999</c:v>
                </c:pt>
                <c:pt idx="2">
                  <c:v>14.100000000000001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3-460C-B04E-1968DE120346}"/>
            </c:ext>
          </c:extLst>
        </c:ser>
        <c:ser>
          <c:idx val="3"/>
          <c:order val="3"/>
          <c:tx>
            <c:strRef>
              <c:f>Podstawy!$A$21</c:f>
              <c:strCache>
                <c:ptCount val="1"/>
                <c:pt idx="0">
                  <c:v>Wodorost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Podstawy!$B$17:$D$17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Podstawy!$B$21:$D$21</c:f>
              <c:numCache>
                <c:formatCode>"zł"#,##0.00_);[Red]\("zł"#,##0.00\)</c:formatCode>
                <c:ptCount val="3"/>
                <c:pt idx="0">
                  <c:v>22.5</c:v>
                </c:pt>
                <c:pt idx="1">
                  <c:v>31.2</c:v>
                </c:pt>
                <c:pt idx="2">
                  <c:v>28.4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3-460C-B04E-1968DE120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447728"/>
        <c:axId val="452888944"/>
      </c:barChart>
      <c:catAx>
        <c:axId val="50244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2888944"/>
        <c:crosses val="autoZero"/>
        <c:auto val="1"/>
        <c:lblAlgn val="ctr"/>
        <c:lblOffset val="100"/>
        <c:noMultiLvlLbl val="0"/>
      </c:catAx>
      <c:valAx>
        <c:axId val="45288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zł&quot;#,##0.00_);[Red]\(&quot;zł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244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WykresyŚmieciowe!$A$1</c:f>
          <c:strCache>
            <c:ptCount val="1"/>
            <c:pt idx="0">
              <c:v>Sprzedaż "Piaski Pustyni" zima 2015</c:v>
            </c:pt>
          </c:strCache>
        </c:strRef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6.4015966754155731E-2"/>
                  <c:y val="1.21613444152814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8F-45ED-9EB3-8E032A58D270}"/>
                </c:ext>
              </c:extLst>
            </c:dLbl>
            <c:dLbl>
              <c:idx val="1"/>
              <c:layout>
                <c:manualLayout>
                  <c:x val="-3.7236184224349961E-2"/>
                  <c:y val="1.897783610382035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8F-45ED-9EB3-8E032A58D270}"/>
                </c:ext>
              </c:extLst>
            </c:dLbl>
            <c:dLbl>
              <c:idx val="2"/>
              <c:layout>
                <c:manualLayout>
                  <c:x val="-0.14410044388193866"/>
                  <c:y val="7.56393992417614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8F-45ED-9EB3-8E032A58D270}"/>
                </c:ext>
              </c:extLst>
            </c:dLbl>
            <c:dLbl>
              <c:idx val="3"/>
              <c:layout>
                <c:manualLayout>
                  <c:x val="-4.1990813648293962E-2"/>
                  <c:y val="-1.04396325459317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8F-45ED-9EB3-8E032A58D27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WykresyŚmieciowe!$A$3:$A$5</c:f>
              <c:strCache>
                <c:ptCount val="3"/>
                <c:pt idx="0">
                  <c:v>Gąbki</c:v>
                </c:pt>
                <c:pt idx="1">
                  <c:v>Muszelki</c:v>
                </c:pt>
                <c:pt idx="2">
                  <c:v>Piasek</c:v>
                </c:pt>
              </c:strCache>
            </c:strRef>
          </c:cat>
          <c:val>
            <c:numRef>
              <c:f>WykresyŚmieciowe!$E$3:$E$5</c:f>
              <c:numCache>
                <c:formatCode>"zł"#,##0.00_);[Red]\("zł"#,##0.00\)</c:formatCode>
                <c:ptCount val="3"/>
                <c:pt idx="0">
                  <c:v>1355</c:v>
                </c:pt>
                <c:pt idx="1">
                  <c:v>1807</c:v>
                </c:pt>
                <c:pt idx="2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8F-45ED-9EB3-8E032A58D2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WykresyŚmieciowe!$A$1</c:f>
          <c:strCache>
            <c:ptCount val="1"/>
            <c:pt idx="0">
              <c:v>Sprzedaż "Piaski Pustyni" zima 2015</c:v>
            </c:pt>
          </c:strCache>
        </c:strRef>
      </c:tx>
      <c:overlay val="0"/>
    </c:title>
    <c:autoTitleDeleted val="0"/>
    <c:view3D>
      <c:rotX val="2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Pt>
            <c:idx val="1"/>
            <c:bubble3D val="0"/>
            <c:spPr>
              <a:pattFill prst="horzBrick">
                <a:fgClr>
                  <a:schemeClr val="accent2"/>
                </a:fgClr>
                <a:bgClr>
                  <a:schemeClr val="bg1"/>
                </a:bgClr>
              </a:pattFill>
            </c:spPr>
            <c:extLst>
              <c:ext xmlns:c16="http://schemas.microsoft.com/office/drawing/2014/chart" uri="{C3380CC4-5D6E-409C-BE32-E72D297353CC}">
                <c16:uniqueId val="{00000001-BB95-4BBE-B490-023C497B72A8}"/>
              </c:ext>
            </c:extLst>
          </c:dPt>
          <c:dPt>
            <c:idx val="2"/>
            <c:bubble3D val="0"/>
            <c:spPr>
              <a:blipFill>
                <a:blip xmlns:r="http://schemas.openxmlformats.org/officeDocument/2006/relationships" r:embed="rId1"/>
                <a:tile tx="0" ty="0" sx="100000" sy="100000" flip="none" algn="tl"/>
              </a:blipFill>
            </c:spPr>
            <c:extLst>
              <c:ext xmlns:c16="http://schemas.microsoft.com/office/drawing/2014/chart" uri="{C3380CC4-5D6E-409C-BE32-E72D297353CC}">
                <c16:uniqueId val="{00000003-BB95-4BBE-B490-023C497B72A8}"/>
              </c:ext>
            </c:extLst>
          </c:dPt>
          <c:dLbls>
            <c:dLbl>
              <c:idx val="0"/>
              <c:layout>
                <c:manualLayout>
                  <c:x val="2.1742488798937087E-2"/>
                  <c:y val="-0.11111111111111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95-4BBE-B490-023C497B72A8}"/>
                </c:ext>
              </c:extLst>
            </c:dLbl>
            <c:dLbl>
              <c:idx val="1"/>
              <c:layout>
                <c:manualLayout>
                  <c:x val="-0.27353389654444615"/>
                  <c:y val="5.28237095363079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95-4BBE-B490-023C497B72A8}"/>
                </c:ext>
              </c:extLst>
            </c:dLbl>
            <c:dLbl>
              <c:idx val="2"/>
              <c:layout>
                <c:manualLayout>
                  <c:x val="-9.3074215319413289E-2"/>
                  <c:y val="-1.23235637212015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95-4BBE-B490-023C497B72A8}"/>
                </c:ext>
              </c:extLst>
            </c:dLbl>
            <c:dLbl>
              <c:idx val="3"/>
              <c:layout>
                <c:manualLayout>
                  <c:x val="0.20754471823665721"/>
                  <c:y val="2.1967774861475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95-4BBE-B490-023C497B72A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WykresyŚmieciowe!$A$3:$A$5</c:f>
              <c:strCache>
                <c:ptCount val="3"/>
                <c:pt idx="0">
                  <c:v>Gąbki</c:v>
                </c:pt>
                <c:pt idx="1">
                  <c:v>Muszelki</c:v>
                </c:pt>
                <c:pt idx="2">
                  <c:v>Piasek</c:v>
                </c:pt>
              </c:strCache>
            </c:strRef>
          </c:cat>
          <c:val>
            <c:numRef>
              <c:f>WykresyŚmieciowe!$E$3:$E$5</c:f>
              <c:numCache>
                <c:formatCode>"zł"#,##0.00_);[Red]\("zł"#,##0.00\)</c:formatCode>
                <c:ptCount val="3"/>
                <c:pt idx="0">
                  <c:v>1355</c:v>
                </c:pt>
                <c:pt idx="1">
                  <c:v>1807</c:v>
                </c:pt>
                <c:pt idx="2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95-4BBE-B490-023C497B72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KolumnowySłupkowy!$A$1</c:f>
          <c:strCache>
            <c:ptCount val="1"/>
            <c:pt idx="0">
              <c:v>Sprzedaż "Słońce i Deszcz" zima 2014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KolumnowySłupkowy!$A$3</c:f>
              <c:strCache>
                <c:ptCount val="1"/>
                <c:pt idx="0">
                  <c:v>Wiatr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KolumnowySłupkowy!$B$2:$D$2</c15:sqref>
                  </c15:fullRef>
                </c:ext>
              </c:extLst>
              <c:f>KolumnowySłupkowy!$B$2:$C$2</c:f>
              <c:strCache>
                <c:ptCount val="2"/>
                <c:pt idx="0">
                  <c:v>paź</c:v>
                </c:pt>
                <c:pt idx="1">
                  <c:v>lis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KolumnowySłupkowy!$B$3:$D$3</c15:sqref>
                  </c15:fullRef>
                </c:ext>
              </c:extLst>
              <c:f>KolumnowySłupkowy!$B$3:$C$3</c:f>
              <c:numCache>
                <c:formatCode>"zł"#,##0.00_);[Red]\("zł"#,##0.00\)</c:formatCode>
                <c:ptCount val="2"/>
                <c:pt idx="0">
                  <c:v>854</c:v>
                </c:pt>
                <c:pt idx="1">
                  <c:v>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4-4789-A062-FEB00A17571A}"/>
            </c:ext>
          </c:extLst>
        </c:ser>
        <c:ser>
          <c:idx val="2"/>
          <c:order val="2"/>
          <c:tx>
            <c:strRef>
              <c:f>KolumnowySłupkowy!$A$5</c:f>
              <c:strCache>
                <c:ptCount val="1"/>
                <c:pt idx="0">
                  <c:v>Deszcz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KolumnowySłupkowy!$B$2:$D$2</c15:sqref>
                  </c15:fullRef>
                </c:ext>
              </c:extLst>
              <c:f>KolumnowySłupkowy!$B$2:$C$2</c:f>
              <c:strCache>
                <c:ptCount val="2"/>
                <c:pt idx="0">
                  <c:v>paź</c:v>
                </c:pt>
                <c:pt idx="1">
                  <c:v>lis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KolumnowySłupkowy!$B$5:$D$5</c15:sqref>
                  </c15:fullRef>
                </c:ext>
              </c:extLst>
              <c:f>KolumnowySłupkowy!$B$5:$C$5</c:f>
              <c:numCache>
                <c:formatCode>"zł"#,##0.00_);[Red]\("zł"#,##0.00\)</c:formatCode>
                <c:ptCount val="2"/>
                <c:pt idx="0">
                  <c:v>749.2</c:v>
                </c:pt>
                <c:pt idx="1">
                  <c:v>757.59999999999991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14-4789-A062-FEB00A175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52931472"/>
        <c:axId val="44434126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KolumnowySłupkowy!$A$4</c15:sqref>
                        </c15:formulaRef>
                      </c:ext>
                    </c:extLst>
                    <c:strCache>
                      <c:ptCount val="1"/>
                      <c:pt idx="0">
                        <c:v>Słońce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KolumnowySłupkowy!$B$2:$D$2</c15:sqref>
                        </c15:fullRef>
                        <c15:formulaRef>
                          <c15:sqref>KolumnowySłupkowy!$B$2:$C$2</c15:sqref>
                        </c15:formulaRef>
                      </c:ext>
                    </c:extLst>
                    <c:strCache>
                      <c:ptCount val="2"/>
                      <c:pt idx="0">
                        <c:v>paź</c:v>
                      </c:pt>
                      <c:pt idx="1">
                        <c:v>lis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KolumnowySłupkowy!$B$4:$D$4</c15:sqref>
                        </c15:fullRef>
                        <c15:formulaRef>
                          <c15:sqref>KolumnowySłupkowy!$B$4:$C$4</c15:sqref>
                        </c15:formulaRef>
                      </c:ext>
                    </c:extLst>
                    <c:numCache>
                      <c:formatCode>"zł"#,##0.00_);[Red]\("zł"#,##0.00\)</c:formatCode>
                      <c:ptCount val="2"/>
                      <c:pt idx="0">
                        <c:v>919.9</c:v>
                      </c:pt>
                      <c:pt idx="1">
                        <c:v>877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514-4789-A062-FEB00A17571A}"/>
                  </c:ext>
                </c:extLst>
              </c15:ser>
            </c15:filteredBarSeries>
          </c:ext>
        </c:extLst>
      </c:barChart>
      <c:catAx>
        <c:axId val="45293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44341264"/>
        <c:crosses val="autoZero"/>
        <c:auto val="1"/>
        <c:lblAlgn val="ctr"/>
        <c:lblOffset val="100"/>
        <c:noMultiLvlLbl val="0"/>
      </c:catAx>
      <c:valAx>
        <c:axId val="44434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zł&quot;#,##0_);[Red]\(&quot;zł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293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KolumnowySłupkowy!$A$1</c:f>
          <c:strCache>
            <c:ptCount val="1"/>
            <c:pt idx="0">
              <c:v>Sprzedaż "Słońce i Deszcz" zima 2014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KolumnowySłupkowy!$A$3</c:f>
              <c:strCache>
                <c:ptCount val="1"/>
                <c:pt idx="0">
                  <c:v>Wiatr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KolumnowySłupkowy!$B$2:$D$2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KolumnowySłupkowy!$B$3:$D$3</c:f>
              <c:numCache>
                <c:formatCode>"zł"#,##0.00_);[Red]\("zł"#,##0.00\)</c:formatCode>
                <c:ptCount val="3"/>
                <c:pt idx="0">
                  <c:v>854</c:v>
                </c:pt>
                <c:pt idx="1">
                  <c:v>697</c:v>
                </c:pt>
                <c:pt idx="2">
                  <c:v>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4-4DC9-9737-ED472FF314FD}"/>
            </c:ext>
          </c:extLst>
        </c:ser>
        <c:ser>
          <c:idx val="1"/>
          <c:order val="1"/>
          <c:tx>
            <c:strRef>
              <c:f>KolumnowySłupkowy!$A$4</c:f>
              <c:strCache>
                <c:ptCount val="1"/>
                <c:pt idx="0">
                  <c:v>Słońce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KolumnowySłupkowy!$B$2:$D$2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KolumnowySłupkowy!$B$4:$D$4</c:f>
              <c:numCache>
                <c:formatCode>"zł"#,##0.00_);[Red]\("zł"#,##0.00\)</c:formatCode>
                <c:ptCount val="3"/>
                <c:pt idx="0">
                  <c:v>919.9</c:v>
                </c:pt>
                <c:pt idx="1">
                  <c:v>877</c:v>
                </c:pt>
                <c:pt idx="2">
                  <c:v>832.9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84-4DC9-9737-ED472FF314FD}"/>
            </c:ext>
          </c:extLst>
        </c:ser>
        <c:ser>
          <c:idx val="2"/>
          <c:order val="2"/>
          <c:tx>
            <c:strRef>
              <c:f>KolumnowySłupkowy!$A$5</c:f>
              <c:strCache>
                <c:ptCount val="1"/>
                <c:pt idx="0">
                  <c:v>Deszcz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KolumnowySłupkowy!$B$2:$D$2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KolumnowySłupkowy!$B$5:$D$5</c:f>
              <c:numCache>
                <c:formatCode>"zł"#,##0.00_);[Red]\("zł"#,##0.00\)</c:formatCode>
                <c:ptCount val="3"/>
                <c:pt idx="0">
                  <c:v>749.2</c:v>
                </c:pt>
                <c:pt idx="1">
                  <c:v>757.59999999999991</c:v>
                </c:pt>
                <c:pt idx="2">
                  <c:v>697.40000000000009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84-4DC9-9737-ED472FF31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2929904"/>
        <c:axId val="444342048"/>
      </c:barChart>
      <c:catAx>
        <c:axId val="452929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44342048"/>
        <c:crosses val="autoZero"/>
        <c:auto val="1"/>
        <c:lblAlgn val="ctr"/>
        <c:lblOffset val="100"/>
        <c:noMultiLvlLbl val="0"/>
      </c:catAx>
      <c:valAx>
        <c:axId val="44434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zł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292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KolumnowySłupkowy!$A$1</c:f>
          <c:strCache>
            <c:ptCount val="1"/>
            <c:pt idx="0">
              <c:v>Sprzedaż "Słońce i Deszcz" zima 2014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KolumnowySłupkowy!$A$3</c:f>
              <c:strCache>
                <c:ptCount val="1"/>
                <c:pt idx="0">
                  <c:v>Wiatr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KolumnowySłupkowy!$B$2:$D$2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KolumnowySłupkowy!$B$3:$D$3</c:f>
              <c:numCache>
                <c:formatCode>"zł"#,##0.00_);[Red]\("zł"#,##0.00\)</c:formatCode>
                <c:ptCount val="3"/>
                <c:pt idx="0">
                  <c:v>854</c:v>
                </c:pt>
                <c:pt idx="1">
                  <c:v>697</c:v>
                </c:pt>
                <c:pt idx="2">
                  <c:v>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A-4C7D-9951-7520DA68B047}"/>
            </c:ext>
          </c:extLst>
        </c:ser>
        <c:ser>
          <c:idx val="1"/>
          <c:order val="1"/>
          <c:tx>
            <c:strRef>
              <c:f>KolumnowySłupkowy!$A$4</c:f>
              <c:strCache>
                <c:ptCount val="1"/>
                <c:pt idx="0">
                  <c:v>Słońce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KolumnowySłupkowy!$B$2:$D$2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KolumnowySłupkowy!$B$4:$D$4</c:f>
              <c:numCache>
                <c:formatCode>"zł"#,##0.00_);[Red]\("zł"#,##0.00\)</c:formatCode>
                <c:ptCount val="3"/>
                <c:pt idx="0">
                  <c:v>919.9</c:v>
                </c:pt>
                <c:pt idx="1">
                  <c:v>877</c:v>
                </c:pt>
                <c:pt idx="2">
                  <c:v>832.9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A-4C7D-9951-7520DA68B047}"/>
            </c:ext>
          </c:extLst>
        </c:ser>
        <c:ser>
          <c:idx val="2"/>
          <c:order val="2"/>
          <c:tx>
            <c:strRef>
              <c:f>KolumnowySłupkowy!$A$5</c:f>
              <c:strCache>
                <c:ptCount val="1"/>
                <c:pt idx="0">
                  <c:v>Deszcz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KolumnowySłupkowy!$B$2:$D$2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KolumnowySłupkowy!$B$5:$D$5</c:f>
              <c:numCache>
                <c:formatCode>"zł"#,##0.00_);[Red]\("zł"#,##0.00\)</c:formatCode>
                <c:ptCount val="3"/>
                <c:pt idx="0">
                  <c:v>749.2</c:v>
                </c:pt>
                <c:pt idx="1">
                  <c:v>757.59999999999991</c:v>
                </c:pt>
                <c:pt idx="2">
                  <c:v>697.40000000000009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CA-4C7D-9951-7520DA68B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44342832"/>
        <c:axId val="452890512"/>
      </c:barChart>
      <c:catAx>
        <c:axId val="44434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2890512"/>
        <c:crosses val="autoZero"/>
        <c:auto val="1"/>
        <c:lblAlgn val="ctr"/>
        <c:lblOffset val="100"/>
        <c:noMultiLvlLbl val="0"/>
      </c:catAx>
      <c:valAx>
        <c:axId val="45289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zł&quot;#,##0_);[Red]\(&quot;zł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4434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KolumnowySłupkowy!$A$1</c:f>
          <c:strCache>
            <c:ptCount val="1"/>
            <c:pt idx="0">
              <c:v>Sprzedaż "Słońce i Deszcz" zima 2014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KolumnowySłupkowy!$A$3</c:f>
              <c:strCache>
                <c:ptCount val="1"/>
                <c:pt idx="0">
                  <c:v>Wiatr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KolumnowySłupkowy!$B$2:$D$2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KolumnowySłupkowy!$B$3:$D$3</c:f>
              <c:numCache>
                <c:formatCode>"zł"#,##0.00_);[Red]\("zł"#,##0.00\)</c:formatCode>
                <c:ptCount val="3"/>
                <c:pt idx="0">
                  <c:v>854</c:v>
                </c:pt>
                <c:pt idx="1">
                  <c:v>697</c:v>
                </c:pt>
                <c:pt idx="2">
                  <c:v>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7-4774-81B9-8C9413DA401B}"/>
            </c:ext>
          </c:extLst>
        </c:ser>
        <c:ser>
          <c:idx val="1"/>
          <c:order val="1"/>
          <c:tx>
            <c:strRef>
              <c:f>KolumnowySłupkowy!$A$4</c:f>
              <c:strCache>
                <c:ptCount val="1"/>
                <c:pt idx="0">
                  <c:v>Słońce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KolumnowySłupkowy!$B$2:$D$2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KolumnowySłupkowy!$B$4:$D$4</c:f>
              <c:numCache>
                <c:formatCode>"zł"#,##0.00_);[Red]\("zł"#,##0.00\)</c:formatCode>
                <c:ptCount val="3"/>
                <c:pt idx="0">
                  <c:v>919.9</c:v>
                </c:pt>
                <c:pt idx="1">
                  <c:v>877</c:v>
                </c:pt>
                <c:pt idx="2">
                  <c:v>832.9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67-4774-81B9-8C9413DA401B}"/>
            </c:ext>
          </c:extLst>
        </c:ser>
        <c:ser>
          <c:idx val="2"/>
          <c:order val="2"/>
          <c:tx>
            <c:strRef>
              <c:f>KolumnowySłupkowy!$A$5</c:f>
              <c:strCache>
                <c:ptCount val="1"/>
                <c:pt idx="0">
                  <c:v>Deszcz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KolumnowySłupkowy!$B$2:$D$2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KolumnowySłupkowy!$B$5:$D$5</c:f>
              <c:numCache>
                <c:formatCode>"zł"#,##0.00_);[Red]\("zł"#,##0.00\)</c:formatCode>
                <c:ptCount val="3"/>
                <c:pt idx="0">
                  <c:v>749.2</c:v>
                </c:pt>
                <c:pt idx="1">
                  <c:v>757.59999999999991</c:v>
                </c:pt>
                <c:pt idx="2">
                  <c:v>697.40000000000009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67-4774-81B9-8C9413DA4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52931080"/>
        <c:axId val="452889728"/>
      </c:barChart>
      <c:catAx>
        <c:axId val="452931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2889728"/>
        <c:crosses val="autoZero"/>
        <c:auto val="1"/>
        <c:lblAlgn val="ctr"/>
        <c:lblOffset val="100"/>
        <c:noMultiLvlLbl val="0"/>
      </c:catAx>
      <c:valAx>
        <c:axId val="45288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zł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2931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Kołowy!$B$1</c:f>
              <c:strCache>
                <c:ptCount val="1"/>
                <c:pt idx="0">
                  <c:v>L. mieszkanców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36-4799-931B-6ADD2C589F18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36-4799-931B-6ADD2C589F18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36-4799-931B-6ADD2C589F18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36-4799-931B-6ADD2C589F18}"/>
              </c:ext>
            </c:extLst>
          </c:dPt>
          <c:dLbls>
            <c:dLbl>
              <c:idx val="2"/>
              <c:layout>
                <c:manualLayout>
                  <c:x val="-0.23333333333333334"/>
                  <c:y val="-6.94444444444444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36-4799-931B-6ADD2C589F1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Kołowy!$A$2:$A$5</c:f>
              <c:strCache>
                <c:ptCount val="4"/>
                <c:pt idx="0">
                  <c:v>Lubelskie</c:v>
                </c:pt>
                <c:pt idx="1">
                  <c:v>Lubuskie</c:v>
                </c:pt>
                <c:pt idx="2">
                  <c:v>Łódzkie</c:v>
                </c:pt>
                <c:pt idx="3">
                  <c:v>Małopolskie</c:v>
                </c:pt>
              </c:strCache>
            </c:strRef>
          </c:cat>
          <c:val>
            <c:numRef>
              <c:f>Kołowy!$B$2:$B$5</c:f>
              <c:numCache>
                <c:formatCode>#,##0</c:formatCode>
                <c:ptCount val="4"/>
                <c:pt idx="0">
                  <c:v>2171857</c:v>
                </c:pt>
                <c:pt idx="1">
                  <c:v>1023158</c:v>
                </c:pt>
                <c:pt idx="2">
                  <c:v>2533681</c:v>
                </c:pt>
                <c:pt idx="3">
                  <c:v>3346796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6-4799-931B-6ADD2C589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L. mieszkanców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Kołowy!$B$13</c:f>
              <c:strCache>
                <c:ptCount val="1"/>
                <c:pt idx="0">
                  <c:v>L. mieszkanców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6C-451D-BB07-5542CE47503C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6C-451D-BB07-5542CE47503C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6C-451D-BB07-5542CE47503C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C6C-451D-BB07-5542CE47503C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6C-451D-BB07-5542CE47503C}"/>
              </c:ext>
            </c:extLst>
          </c:dPt>
          <c:dLbls>
            <c:dLbl>
              <c:idx val="2"/>
              <c:layout>
                <c:manualLayout>
                  <c:x val="-0.21045753800190808"/>
                  <c:y val="-1.607828987764051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6C-451D-BB07-5542CE47503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Kołowy!$A$14:$A$18</c:f>
              <c:strCache>
                <c:ptCount val="5"/>
                <c:pt idx="0">
                  <c:v>Mazowieckie</c:v>
                </c:pt>
                <c:pt idx="1">
                  <c:v>Opolskie</c:v>
                </c:pt>
                <c:pt idx="2">
                  <c:v>Podkarpackie</c:v>
                </c:pt>
                <c:pt idx="3">
                  <c:v>Podlaskie</c:v>
                </c:pt>
                <c:pt idx="4">
                  <c:v>Pomorskie</c:v>
                </c:pt>
              </c:strCache>
            </c:strRef>
          </c:cat>
          <c:val>
            <c:numRef>
              <c:f>Kołowy!$B$14:$B$18</c:f>
              <c:numCache>
                <c:formatCode>#,##0</c:formatCode>
                <c:ptCount val="5"/>
                <c:pt idx="0">
                  <c:v>5285604</c:v>
                </c:pt>
                <c:pt idx="1">
                  <c:v>1013950</c:v>
                </c:pt>
                <c:pt idx="2">
                  <c:v>2128687</c:v>
                </c:pt>
                <c:pt idx="3">
                  <c:v>1200982</c:v>
                </c:pt>
                <c:pt idx="4">
                  <c:v>2302077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6C-451D-BB07-5542CE475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DrugieKoło!$B$1</c:f>
              <c:strCache>
                <c:ptCount val="1"/>
                <c:pt idx="0">
                  <c:v>Suma z Wartość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79-44B8-90FC-C07D8074F9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79-44B8-90FC-C07D8074F9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79-44B8-90FC-C07D8074F9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79-44B8-90FC-C07D8074F9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679-44B8-90FC-C07D8074F9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679-44B8-90FC-C07D8074F95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679-44B8-90FC-C07D8074F95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679-44B8-90FC-C07D8074F95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679-44B8-90FC-C07D8074F959}"/>
              </c:ext>
            </c:extLst>
          </c:dPt>
          <c:dLbls>
            <c:dLbl>
              <c:idx val="6"/>
              <c:layout>
                <c:manualLayout>
                  <c:x val="3.0555555555555555E-2"/>
                  <c:y val="-1.85185185185185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679-44B8-90FC-C07D8074F95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50000"/>
                    <a:lumOff val="50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DrugieKoło!$A$2:$A$9</c:f>
              <c:strCache>
                <c:ptCount val="8"/>
                <c:pt idx="0">
                  <c:v>Muszelki 3</c:v>
                </c:pt>
                <c:pt idx="1">
                  <c:v>Żółwik</c:v>
                </c:pt>
                <c:pt idx="2">
                  <c:v>Błazenek</c:v>
                </c:pt>
                <c:pt idx="3">
                  <c:v>Muszelki 1</c:v>
                </c:pt>
                <c:pt idx="4">
                  <c:v>Muszelki 2</c:v>
                </c:pt>
                <c:pt idx="5">
                  <c:v>Gąbki</c:v>
                </c:pt>
                <c:pt idx="6">
                  <c:v>Wodorosty</c:v>
                </c:pt>
                <c:pt idx="7">
                  <c:v>Piasek</c:v>
                </c:pt>
              </c:strCache>
            </c:strRef>
          </c:cat>
          <c:val>
            <c:numRef>
              <c:f>DrugieKoło!$B$2:$B$9</c:f>
              <c:numCache>
                <c:formatCode>"zł"#,##0.00_);[Red]\("zł"#,##0.00\)</c:formatCode>
                <c:ptCount val="8"/>
                <c:pt idx="0">
                  <c:v>2140</c:v>
                </c:pt>
                <c:pt idx="1">
                  <c:v>1670</c:v>
                </c:pt>
                <c:pt idx="2">
                  <c:v>1180</c:v>
                </c:pt>
                <c:pt idx="3">
                  <c:v>658</c:v>
                </c:pt>
                <c:pt idx="4">
                  <c:v>657</c:v>
                </c:pt>
                <c:pt idx="5">
                  <c:v>146.5</c:v>
                </c:pt>
                <c:pt idx="6">
                  <c:v>100.19999999999996</c:v>
                </c:pt>
                <c:pt idx="7">
                  <c:v>45.099999999999994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679-44B8-90FC-C07D8074F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secondPieSize val="33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Liniowy!$A$1</c:f>
          <c:strCache>
            <c:ptCount val="1"/>
            <c:pt idx="0">
              <c:v>Sprzedaż 'Piaski Pustyni' na przełomie 2008-2015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Liniowy!$A$3</c:f>
              <c:strCache>
                <c:ptCount val="1"/>
                <c:pt idx="0">
                  <c:v>Gąbki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Liniowy!$B$2:$I$2</c:f>
              <c:numCache>
                <c:formatCode>General</c:formatCode>
                <c:ptCount val="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</c:numCache>
            </c:numRef>
          </c:cat>
          <c:val>
            <c:numRef>
              <c:f>Liniowy!$B$3:$I$3</c:f>
              <c:numCache>
                <c:formatCode>#\ ##0\ "zł"</c:formatCode>
                <c:ptCount val="8"/>
                <c:pt idx="0">
                  <c:v>15983</c:v>
                </c:pt>
                <c:pt idx="1">
                  <c:v>14822</c:v>
                </c:pt>
                <c:pt idx="2">
                  <c:v>11257</c:v>
                </c:pt>
                <c:pt idx="3">
                  <c:v>10845</c:v>
                </c:pt>
                <c:pt idx="4">
                  <c:v>15528</c:v>
                </c:pt>
                <c:pt idx="5">
                  <c:v>13661</c:v>
                </c:pt>
                <c:pt idx="6">
                  <c:v>13989</c:v>
                </c:pt>
                <c:pt idx="7">
                  <c:v>16369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92-4DC7-817A-2451A4A4A7B9}"/>
            </c:ext>
          </c:extLst>
        </c:ser>
        <c:ser>
          <c:idx val="2"/>
          <c:order val="1"/>
          <c:tx>
            <c:strRef>
              <c:f>Liniowy!$A$4</c:f>
              <c:strCache>
                <c:ptCount val="1"/>
                <c:pt idx="0">
                  <c:v>Muszelki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Liniowy!$B$2:$I$2</c:f>
              <c:numCache>
                <c:formatCode>General</c:formatCode>
                <c:ptCount val="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</c:numCache>
            </c:numRef>
          </c:cat>
          <c:val>
            <c:numRef>
              <c:f>Liniowy!$B$4:$I$4</c:f>
              <c:numCache>
                <c:formatCode>#\ ##0\ "zł"</c:formatCode>
                <c:ptCount val="8"/>
                <c:pt idx="0">
                  <c:v>25330</c:v>
                </c:pt>
                <c:pt idx="1">
                  <c:v>24466</c:v>
                </c:pt>
                <c:pt idx="2">
                  <c:v>22167</c:v>
                </c:pt>
                <c:pt idx="3">
                  <c:v>22748</c:v>
                </c:pt>
                <c:pt idx="4">
                  <c:v>20713</c:v>
                </c:pt>
                <c:pt idx="5">
                  <c:v>21089</c:v>
                </c:pt>
                <c:pt idx="6">
                  <c:v>22094</c:v>
                </c:pt>
                <c:pt idx="7">
                  <c:v>22176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92-4DC7-817A-2451A4A4A7B9}"/>
            </c:ext>
          </c:extLst>
        </c:ser>
        <c:ser>
          <c:idx val="3"/>
          <c:order val="2"/>
          <c:tx>
            <c:strRef>
              <c:f>Liniowy!$A$5</c:f>
              <c:strCache>
                <c:ptCount val="1"/>
                <c:pt idx="0">
                  <c:v>Piasek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Liniowy!$B$2:$I$2</c:f>
              <c:numCache>
                <c:formatCode>General</c:formatCode>
                <c:ptCount val="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</c:numCache>
            </c:numRef>
          </c:cat>
          <c:val>
            <c:numRef>
              <c:f>Liniowy!$B$5:$I$5</c:f>
              <c:numCache>
                <c:formatCode>#\ ##0\ "zł"</c:formatCode>
                <c:ptCount val="8"/>
                <c:pt idx="0">
                  <c:v>6935</c:v>
                </c:pt>
                <c:pt idx="1">
                  <c:v>5286</c:v>
                </c:pt>
                <c:pt idx="2">
                  <c:v>7777</c:v>
                </c:pt>
                <c:pt idx="3">
                  <c:v>8891</c:v>
                </c:pt>
                <c:pt idx="4">
                  <c:v>5790</c:v>
                </c:pt>
                <c:pt idx="5">
                  <c:v>5290</c:v>
                </c:pt>
                <c:pt idx="6">
                  <c:v>5404</c:v>
                </c:pt>
                <c:pt idx="7">
                  <c:v>6220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92-4DC7-817A-2451A4A4A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395712"/>
        <c:axId val="501848528"/>
      </c:lineChart>
      <c:catAx>
        <c:axId val="44439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1848528"/>
        <c:crosses val="autoZero"/>
        <c:auto val="1"/>
        <c:lblAlgn val="ctr"/>
        <c:lblOffset val="100"/>
        <c:noMultiLvlLbl val="0"/>
      </c:catAx>
      <c:valAx>
        <c:axId val="50184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zł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4439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Histogram!$F$2</c:f>
          <c:strCache>
            <c:ptCount val="1"/>
            <c:pt idx="0">
              <c:v>Ile uczniów osiągnęło wynik w podanym zakresie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Histogram!$G$2</c:f>
              <c:strCache>
                <c:ptCount val="1"/>
                <c:pt idx="0">
                  <c:v>CZĘSTOŚĆ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38-412E-BF49-DEEF08B4163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38-412E-BF49-DEEF08B4163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38-412E-BF49-DEEF08B4163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138-412E-BF49-DEEF08B4163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138-412E-BF49-DEEF08B4163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138-412E-BF49-DEEF08B4163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138-412E-BF49-DEEF08B4163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138-412E-BF49-DEEF08B4163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138-412E-BF49-DEEF08B4163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138-412E-BF49-DEEF08B41634}"/>
              </c:ext>
            </c:extLst>
          </c:dPt>
          <c:cat>
            <c:strRef>
              <c:f>Histogram!$E$3:$E$12</c:f>
              <c:strCache>
                <c:ptCount val="10"/>
                <c:pt idx="0">
                  <c:v> &lt;=10</c:v>
                </c:pt>
                <c:pt idx="1">
                  <c:v> &gt;10 ORAZ &lt;=20</c:v>
                </c:pt>
                <c:pt idx="2">
                  <c:v> &gt;20
 ORAZ 
&lt;=30</c:v>
                </c:pt>
                <c:pt idx="3">
                  <c:v> &gt;30
 ORAZ 
&lt;=40</c:v>
                </c:pt>
                <c:pt idx="4">
                  <c:v> &gt;40
 ORAZ 
&lt;=50</c:v>
                </c:pt>
                <c:pt idx="5">
                  <c:v> &gt;50
 ORAZ 
&lt;=60</c:v>
                </c:pt>
                <c:pt idx="6">
                  <c:v> &gt;60
 ORAZ 
&lt;=70</c:v>
                </c:pt>
                <c:pt idx="7">
                  <c:v> &gt;70
 ORAZ 
&lt;=80</c:v>
                </c:pt>
                <c:pt idx="8">
                  <c:v> &gt;80
 ORAZ 
&lt;=90</c:v>
                </c:pt>
                <c:pt idx="9">
                  <c:v> &gt;90
 ORAZ 
&lt;=100</c:v>
                </c:pt>
              </c:strCache>
            </c:strRef>
          </c:cat>
          <c:val>
            <c:numRef>
              <c:f>Histogram!$G$3:$G$12</c:f>
              <c:numCache>
                <c:formatCode>General</c:formatCode>
                <c:ptCount val="10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5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138-412E-BF49-DEEF08B41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01849312"/>
        <c:axId val="501849704"/>
      </c:barChart>
      <c:catAx>
        <c:axId val="50184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1849704"/>
        <c:crosses val="autoZero"/>
        <c:auto val="1"/>
        <c:lblAlgn val="ctr"/>
        <c:lblOffset val="100"/>
        <c:noMultiLvlLbl val="0"/>
      </c:catAx>
      <c:valAx>
        <c:axId val="50184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184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XY!$A$2</c:f>
          <c:strCache>
            <c:ptCount val="1"/>
            <c:pt idx="0">
              <c:v>Jak liczba godzin nauki wpływa na wynik egzaminu?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XY!$B$3</c:f>
              <c:strCache>
                <c:ptCount val="1"/>
                <c:pt idx="0">
                  <c:v>Punkty z  egzaminu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7209973753280847E-2"/>
                  <c:y val="0.24453703703703702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XY!$A$4:$A$50</c:f>
              <c:numCache>
                <c:formatCode>General</c:formatCode>
                <c:ptCount val="47"/>
                <c:pt idx="0">
                  <c:v>12</c:v>
                </c:pt>
                <c:pt idx="1">
                  <c:v>13</c:v>
                </c:pt>
                <c:pt idx="2">
                  <c:v>4</c:v>
                </c:pt>
                <c:pt idx="3">
                  <c:v>15</c:v>
                </c:pt>
                <c:pt idx="4">
                  <c:v>45</c:v>
                </c:pt>
                <c:pt idx="5">
                  <c:v>29</c:v>
                </c:pt>
                <c:pt idx="6">
                  <c:v>32</c:v>
                </c:pt>
                <c:pt idx="7">
                  <c:v>30</c:v>
                </c:pt>
                <c:pt idx="8">
                  <c:v>16</c:v>
                </c:pt>
                <c:pt idx="9">
                  <c:v>5</c:v>
                </c:pt>
                <c:pt idx="10">
                  <c:v>8</c:v>
                </c:pt>
                <c:pt idx="11">
                  <c:v>16</c:v>
                </c:pt>
                <c:pt idx="12">
                  <c:v>22</c:v>
                </c:pt>
                <c:pt idx="13">
                  <c:v>4</c:v>
                </c:pt>
                <c:pt idx="14">
                  <c:v>10</c:v>
                </c:pt>
                <c:pt idx="15">
                  <c:v>4</c:v>
                </c:pt>
                <c:pt idx="16">
                  <c:v>5</c:v>
                </c:pt>
                <c:pt idx="17">
                  <c:v>11</c:v>
                </c:pt>
                <c:pt idx="18">
                  <c:v>3</c:v>
                </c:pt>
                <c:pt idx="19">
                  <c:v>17</c:v>
                </c:pt>
                <c:pt idx="20">
                  <c:v>15</c:v>
                </c:pt>
                <c:pt idx="21">
                  <c:v>23</c:v>
                </c:pt>
                <c:pt idx="22">
                  <c:v>4</c:v>
                </c:pt>
                <c:pt idx="23">
                  <c:v>33</c:v>
                </c:pt>
                <c:pt idx="24">
                  <c:v>20</c:v>
                </c:pt>
                <c:pt idx="25">
                  <c:v>3</c:v>
                </c:pt>
                <c:pt idx="26">
                  <c:v>12</c:v>
                </c:pt>
                <c:pt idx="27">
                  <c:v>14</c:v>
                </c:pt>
                <c:pt idx="28">
                  <c:v>41</c:v>
                </c:pt>
                <c:pt idx="29">
                  <c:v>27</c:v>
                </c:pt>
                <c:pt idx="30">
                  <c:v>1</c:v>
                </c:pt>
                <c:pt idx="31">
                  <c:v>5</c:v>
                </c:pt>
                <c:pt idx="32">
                  <c:v>25</c:v>
                </c:pt>
                <c:pt idx="33">
                  <c:v>17</c:v>
                </c:pt>
                <c:pt idx="34">
                  <c:v>2</c:v>
                </c:pt>
                <c:pt idx="35">
                  <c:v>14</c:v>
                </c:pt>
                <c:pt idx="36">
                  <c:v>12</c:v>
                </c:pt>
                <c:pt idx="37">
                  <c:v>8</c:v>
                </c:pt>
                <c:pt idx="38">
                  <c:v>1</c:v>
                </c:pt>
                <c:pt idx="39">
                  <c:v>36</c:v>
                </c:pt>
                <c:pt idx="40">
                  <c:v>29</c:v>
                </c:pt>
                <c:pt idx="41">
                  <c:v>4</c:v>
                </c:pt>
                <c:pt idx="42">
                  <c:v>4</c:v>
                </c:pt>
                <c:pt idx="43">
                  <c:v>16</c:v>
                </c:pt>
                <c:pt idx="44">
                  <c:v>6</c:v>
                </c:pt>
                <c:pt idx="45">
                  <c:v>18</c:v>
                </c:pt>
                <c:pt idx="46">
                  <c:v>3</c:v>
                </c:pt>
              </c:numCache>
            </c:numRef>
          </c:xVal>
          <c:yVal>
            <c:numRef>
              <c:f>XY!$B$4:$B$50</c:f>
              <c:numCache>
                <c:formatCode>General</c:formatCode>
                <c:ptCount val="47"/>
                <c:pt idx="0">
                  <c:v>56</c:v>
                </c:pt>
                <c:pt idx="1">
                  <c:v>31</c:v>
                </c:pt>
                <c:pt idx="2">
                  <c:v>17</c:v>
                </c:pt>
                <c:pt idx="3">
                  <c:v>65</c:v>
                </c:pt>
                <c:pt idx="4">
                  <c:v>96</c:v>
                </c:pt>
                <c:pt idx="5">
                  <c:v>70</c:v>
                </c:pt>
                <c:pt idx="6">
                  <c:v>83</c:v>
                </c:pt>
                <c:pt idx="7">
                  <c:v>69</c:v>
                </c:pt>
                <c:pt idx="8">
                  <c:v>59</c:v>
                </c:pt>
                <c:pt idx="9">
                  <c:v>18</c:v>
                </c:pt>
                <c:pt idx="10">
                  <c:v>38</c:v>
                </c:pt>
                <c:pt idx="11">
                  <c:v>37</c:v>
                </c:pt>
                <c:pt idx="12">
                  <c:v>56</c:v>
                </c:pt>
                <c:pt idx="13">
                  <c:v>15</c:v>
                </c:pt>
                <c:pt idx="14">
                  <c:v>30</c:v>
                </c:pt>
                <c:pt idx="15">
                  <c:v>7</c:v>
                </c:pt>
                <c:pt idx="16">
                  <c:v>16</c:v>
                </c:pt>
                <c:pt idx="17">
                  <c:v>48</c:v>
                </c:pt>
                <c:pt idx="18">
                  <c:v>7</c:v>
                </c:pt>
                <c:pt idx="19">
                  <c:v>40</c:v>
                </c:pt>
                <c:pt idx="20">
                  <c:v>53</c:v>
                </c:pt>
                <c:pt idx="21">
                  <c:v>60</c:v>
                </c:pt>
                <c:pt idx="22">
                  <c:v>17</c:v>
                </c:pt>
                <c:pt idx="23">
                  <c:v>75</c:v>
                </c:pt>
                <c:pt idx="24">
                  <c:v>81</c:v>
                </c:pt>
                <c:pt idx="25">
                  <c:v>7</c:v>
                </c:pt>
                <c:pt idx="26">
                  <c:v>51</c:v>
                </c:pt>
                <c:pt idx="27">
                  <c:v>68</c:v>
                </c:pt>
                <c:pt idx="28">
                  <c:v>100</c:v>
                </c:pt>
                <c:pt idx="29">
                  <c:v>54</c:v>
                </c:pt>
                <c:pt idx="30">
                  <c:v>2</c:v>
                </c:pt>
                <c:pt idx="31">
                  <c:v>15</c:v>
                </c:pt>
                <c:pt idx="32">
                  <c:v>50</c:v>
                </c:pt>
                <c:pt idx="33">
                  <c:v>67</c:v>
                </c:pt>
                <c:pt idx="34">
                  <c:v>5</c:v>
                </c:pt>
                <c:pt idx="35">
                  <c:v>43</c:v>
                </c:pt>
                <c:pt idx="36">
                  <c:v>45</c:v>
                </c:pt>
                <c:pt idx="37">
                  <c:v>19</c:v>
                </c:pt>
                <c:pt idx="38">
                  <c:v>4</c:v>
                </c:pt>
                <c:pt idx="39">
                  <c:v>86</c:v>
                </c:pt>
                <c:pt idx="40">
                  <c:v>58</c:v>
                </c:pt>
                <c:pt idx="41">
                  <c:v>15</c:v>
                </c:pt>
                <c:pt idx="42">
                  <c:v>8</c:v>
                </c:pt>
                <c:pt idx="43">
                  <c:v>32</c:v>
                </c:pt>
                <c:pt idx="44">
                  <c:v>18</c:v>
                </c:pt>
                <c:pt idx="45">
                  <c:v>58</c:v>
                </c:pt>
                <c:pt idx="46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F1-4862-9A18-D7AE8D4E0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832920"/>
        <c:axId val="501833312"/>
      </c:scatterChart>
      <c:valAx>
        <c:axId val="501832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XY!$A$3</c:f>
              <c:strCache>
                <c:ptCount val="1"/>
                <c:pt idx="0">
                  <c:v>Liczba godz. nauki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1833312"/>
        <c:crosses val="autoZero"/>
        <c:crossBetween val="midCat"/>
      </c:valAx>
      <c:valAx>
        <c:axId val="5018333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XY!$B$3</c:f>
              <c:strCache>
                <c:ptCount val="1"/>
                <c:pt idx="0">
                  <c:v>Punkty z  egzaminu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183292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Pomocniczy!$B$2</c:f>
              <c:strCache>
                <c:ptCount val="1"/>
                <c:pt idx="0">
                  <c:v>Sprzedaż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Pomocniczy!$A$3:$A$8</c:f>
              <c:strCache>
                <c:ptCount val="6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</c:strCache>
            </c:strRef>
          </c:cat>
          <c:val>
            <c:numRef>
              <c:f>Pomocniczy!$B$3:$B$8</c:f>
              <c:numCache>
                <c:formatCode>"zł"#,##0_);[Red]\("zł"#,##0\)</c:formatCode>
                <c:ptCount val="6"/>
                <c:pt idx="0">
                  <c:v>877</c:v>
                </c:pt>
                <c:pt idx="1">
                  <c:v>740</c:v>
                </c:pt>
                <c:pt idx="2">
                  <c:v>682</c:v>
                </c:pt>
                <c:pt idx="3">
                  <c:v>592</c:v>
                </c:pt>
                <c:pt idx="4">
                  <c:v>502</c:v>
                </c:pt>
                <c:pt idx="5">
                  <c:v>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4-4F18-98EC-617A4211FBC4}"/>
            </c:ext>
          </c:extLst>
        </c:ser>
        <c:ser>
          <c:idx val="1"/>
          <c:order val="1"/>
          <c:tx>
            <c:strRef>
              <c:f>Pomocniczy!$C$2</c:f>
              <c:strCache>
                <c:ptCount val="1"/>
                <c:pt idx="0">
                  <c:v>Wydatki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Pomocniczy!$A$3:$A$8</c:f>
              <c:strCache>
                <c:ptCount val="6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</c:strCache>
            </c:strRef>
          </c:cat>
          <c:val>
            <c:numRef>
              <c:f>Pomocniczy!$C$3:$C$8</c:f>
              <c:numCache>
                <c:formatCode>"zł"#,##0_);[Red]\("zł"#,##0\)</c:formatCode>
                <c:ptCount val="6"/>
                <c:pt idx="0">
                  <c:v>570</c:v>
                </c:pt>
                <c:pt idx="1">
                  <c:v>473</c:v>
                </c:pt>
                <c:pt idx="2">
                  <c:v>470</c:v>
                </c:pt>
                <c:pt idx="3">
                  <c:v>444</c:v>
                </c:pt>
                <c:pt idx="4">
                  <c:v>316</c:v>
                </c:pt>
                <c:pt idx="5">
                  <c:v>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4-4F18-98EC-617A4211F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443336"/>
        <c:axId val="455443728"/>
      </c:barChart>
      <c:catAx>
        <c:axId val="455443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5443728"/>
        <c:crosses val="autoZero"/>
        <c:auto val="1"/>
        <c:lblAlgn val="ctr"/>
        <c:lblOffset val="100"/>
        <c:noMultiLvlLbl val="0"/>
      </c:catAx>
      <c:valAx>
        <c:axId val="45544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zł&quot;#,##0_);[Red]\(&quot;zł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544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Pomocniczy!$B$2</c:f>
              <c:strCache>
                <c:ptCount val="1"/>
                <c:pt idx="0">
                  <c:v>Sprzedaż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Pomocniczy!$A$3:$A$8</c:f>
              <c:strCache>
                <c:ptCount val="6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</c:strCache>
            </c:strRef>
          </c:cat>
          <c:val>
            <c:numRef>
              <c:f>Pomocniczy!$B$3:$B$8</c:f>
              <c:numCache>
                <c:formatCode>"zł"#,##0_);[Red]\("zł"#,##0\)</c:formatCode>
                <c:ptCount val="6"/>
                <c:pt idx="0">
                  <c:v>877</c:v>
                </c:pt>
                <c:pt idx="1">
                  <c:v>740</c:v>
                </c:pt>
                <c:pt idx="2">
                  <c:v>682</c:v>
                </c:pt>
                <c:pt idx="3">
                  <c:v>592</c:v>
                </c:pt>
                <c:pt idx="4">
                  <c:v>502</c:v>
                </c:pt>
                <c:pt idx="5">
                  <c:v>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E-426B-B7AB-1258F4797EC1}"/>
            </c:ext>
          </c:extLst>
        </c:ser>
        <c:ser>
          <c:idx val="1"/>
          <c:order val="1"/>
          <c:tx>
            <c:strRef>
              <c:f>Pomocniczy!$C$2</c:f>
              <c:strCache>
                <c:ptCount val="1"/>
                <c:pt idx="0">
                  <c:v>Wydatki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Pomocniczy!$A$3:$A$8</c:f>
              <c:strCache>
                <c:ptCount val="6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</c:strCache>
            </c:strRef>
          </c:cat>
          <c:val>
            <c:numRef>
              <c:f>Pomocniczy!$C$3:$C$8</c:f>
              <c:numCache>
                <c:formatCode>"zł"#,##0_);[Red]\("zł"#,##0\)</c:formatCode>
                <c:ptCount val="6"/>
                <c:pt idx="0">
                  <c:v>570</c:v>
                </c:pt>
                <c:pt idx="1">
                  <c:v>473</c:v>
                </c:pt>
                <c:pt idx="2">
                  <c:v>470</c:v>
                </c:pt>
                <c:pt idx="3">
                  <c:v>444</c:v>
                </c:pt>
                <c:pt idx="4">
                  <c:v>316</c:v>
                </c:pt>
                <c:pt idx="5">
                  <c:v>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5E-426B-B7AB-1258F4797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5444512"/>
        <c:axId val="455444904"/>
      </c:barChart>
      <c:lineChart>
        <c:grouping val="standard"/>
        <c:varyColors val="0"/>
        <c:ser>
          <c:idx val="2"/>
          <c:order val="2"/>
          <c:tx>
            <c:strRef>
              <c:f>Pomocniczy!$D$2</c:f>
              <c:strCache>
                <c:ptCount val="1"/>
                <c:pt idx="0">
                  <c:v>Wydatki jako % z Sprzedaży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Pomocniczy!$A$3:$A$8</c:f>
              <c:strCache>
                <c:ptCount val="6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</c:strCache>
            </c:strRef>
          </c:cat>
          <c:val>
            <c:numRef>
              <c:f>Pomocniczy!$D$3:$D$8</c:f>
              <c:numCache>
                <c:formatCode>0%</c:formatCode>
                <c:ptCount val="6"/>
                <c:pt idx="0">
                  <c:v>0.64994298745724055</c:v>
                </c:pt>
                <c:pt idx="1">
                  <c:v>0.63918918918918921</c:v>
                </c:pt>
                <c:pt idx="2">
                  <c:v>0.68914956011730211</c:v>
                </c:pt>
                <c:pt idx="3">
                  <c:v>0.75</c:v>
                </c:pt>
                <c:pt idx="4">
                  <c:v>0.62948207171314741</c:v>
                </c:pt>
                <c:pt idx="5">
                  <c:v>0.65949367088607591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5E-426B-B7AB-1258F4797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116176"/>
        <c:axId val="502115784"/>
      </c:lineChart>
      <c:catAx>
        <c:axId val="45544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5444904"/>
        <c:crosses val="autoZero"/>
        <c:auto val="1"/>
        <c:lblAlgn val="ctr"/>
        <c:lblOffset val="100"/>
        <c:noMultiLvlLbl val="0"/>
      </c:catAx>
      <c:valAx>
        <c:axId val="45544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zł&quot;#,##0_);[Red]\(&quot;zł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5444512"/>
        <c:crosses val="autoZero"/>
        <c:crossBetween val="between"/>
      </c:valAx>
      <c:valAx>
        <c:axId val="50211578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2116176"/>
        <c:crosses val="max"/>
        <c:crossBetween val="between"/>
      </c:valAx>
      <c:catAx>
        <c:axId val="502116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2115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Pomocniczy!$B$2</c:f>
              <c:strCache>
                <c:ptCount val="1"/>
                <c:pt idx="0">
                  <c:v>Sprzedaż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Pomocniczy!$A$3:$A$8</c:f>
              <c:strCache>
                <c:ptCount val="6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</c:strCache>
            </c:strRef>
          </c:cat>
          <c:val>
            <c:numRef>
              <c:f>Pomocniczy!$B$3:$B$8</c:f>
              <c:numCache>
                <c:formatCode>"zł"#,##0_);[Red]\("zł"#,##0\)</c:formatCode>
                <c:ptCount val="6"/>
                <c:pt idx="0">
                  <c:v>877</c:v>
                </c:pt>
                <c:pt idx="1">
                  <c:v>740</c:v>
                </c:pt>
                <c:pt idx="2">
                  <c:v>682</c:v>
                </c:pt>
                <c:pt idx="3">
                  <c:v>592</c:v>
                </c:pt>
                <c:pt idx="4">
                  <c:v>502</c:v>
                </c:pt>
                <c:pt idx="5">
                  <c:v>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D-40F1-B0BB-D91AE8A009B9}"/>
            </c:ext>
          </c:extLst>
        </c:ser>
        <c:ser>
          <c:idx val="1"/>
          <c:order val="1"/>
          <c:tx>
            <c:strRef>
              <c:f>Pomocniczy!$C$2</c:f>
              <c:strCache>
                <c:ptCount val="1"/>
                <c:pt idx="0">
                  <c:v>Wydatki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prstDash val="solid"/>
            </a:ln>
            <a:effectLst/>
          </c:spPr>
          <c:invertIfNegative val="0"/>
          <c:cat>
            <c:strRef>
              <c:f>Pomocniczy!$A$3:$A$8</c:f>
              <c:strCache>
                <c:ptCount val="6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</c:strCache>
            </c:strRef>
          </c:cat>
          <c:val>
            <c:numRef>
              <c:f>Pomocniczy!$C$3:$C$8</c:f>
              <c:numCache>
                <c:formatCode>"zł"#,##0_);[Red]\("zł"#,##0\)</c:formatCode>
                <c:ptCount val="6"/>
                <c:pt idx="0">
                  <c:v>570</c:v>
                </c:pt>
                <c:pt idx="1">
                  <c:v>473</c:v>
                </c:pt>
                <c:pt idx="2">
                  <c:v>470</c:v>
                </c:pt>
                <c:pt idx="3">
                  <c:v>444</c:v>
                </c:pt>
                <c:pt idx="4">
                  <c:v>316</c:v>
                </c:pt>
                <c:pt idx="5">
                  <c:v>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4D-40F1-B0BB-D91AE8A00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02116960"/>
        <c:axId val="502117352"/>
      </c:barChart>
      <c:catAx>
        <c:axId val="50211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2117352"/>
        <c:crosses val="autoZero"/>
        <c:auto val="1"/>
        <c:lblAlgn val="ctr"/>
        <c:lblOffset val="100"/>
        <c:noMultiLvlLbl val="0"/>
      </c:catAx>
      <c:valAx>
        <c:axId val="502117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zł&quot;#,##0_);[Red]\(&quot;zł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211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>
    <tabColor rgb="FF1E73BE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>
    <tabColor rgb="FF1E73BE"/>
  </sheetPr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E560EE51-8E58-41CE-81C9-F8BFFE7F1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1D1D0376-E114-4C8D-A121-21798C7E8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2FA28DD6-88A3-4204-B46C-0CCA83704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46E5ECA2-ABA6-46FA-9282-3E1E7E0C048B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4FA3721-09DD-4790-9C9D-19974E89C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646EB6-6375-451E-97BB-30578DBA3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65290A7-4B1B-419A-B011-14532E7ED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5EF2D13-F3B7-4E33-B23C-F464334D7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C2DE478-9566-4E14-B7DF-70FE8ECA4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3DCC29C-F1FD-4D83-8E0B-95E3B59C1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3AEBE2AC-456D-4C28-B290-FBD49D3BD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828E6DD3-9B7B-4A58-A09D-AE38D6087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D0724791-42DD-4CBB-9DBA-CF6B52960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314738</xdr:colOff>
      <xdr:row>6</xdr:row>
      <xdr:rowOff>1</xdr:rowOff>
    </xdr:from>
    <xdr:to>
      <xdr:col>8</xdr:col>
      <xdr:colOff>66261</xdr:colOff>
      <xdr:row>15</xdr:row>
      <xdr:rowOff>41412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339587</xdr:colOff>
      <xdr:row>18</xdr:row>
      <xdr:rowOff>139975</xdr:rowOff>
    </xdr:from>
    <xdr:to>
      <xdr:col>10</xdr:col>
      <xdr:colOff>381000</xdr:colOff>
      <xdr:row>33</xdr:row>
      <xdr:rowOff>25675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64649</xdr:colOff>
      <xdr:row>6</xdr:row>
      <xdr:rowOff>45515</xdr:rowOff>
    </xdr:from>
    <xdr:to>
      <xdr:col>5</xdr:col>
      <xdr:colOff>350399</xdr:colOff>
      <xdr:row>17</xdr:row>
      <xdr:rowOff>156883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80597</xdr:colOff>
      <xdr:row>19</xdr:row>
      <xdr:rowOff>7327</xdr:rowOff>
    </xdr:from>
    <xdr:to>
      <xdr:col>5</xdr:col>
      <xdr:colOff>571500</xdr:colOff>
      <xdr:row>33</xdr:row>
      <xdr:rowOff>29308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0</xdr:colOff>
      <xdr:row>18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11</xdr:col>
      <xdr:colOff>480392</xdr:colOff>
      <xdr:row>18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5</xdr:col>
      <xdr:colOff>0</xdr:colOff>
      <xdr:row>30</xdr:row>
      <xdr:rowOff>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11</xdr:col>
      <xdr:colOff>480392</xdr:colOff>
      <xdr:row>30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306456</xdr:colOff>
      <xdr:row>0</xdr:row>
      <xdr:rowOff>173106</xdr:rowOff>
    </xdr:from>
    <xdr:to>
      <xdr:col>9</xdr:col>
      <xdr:colOff>588065</xdr:colOff>
      <xdr:row>15</xdr:row>
      <xdr:rowOff>58806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198783</xdr:colOff>
      <xdr:row>6</xdr:row>
      <xdr:rowOff>123410</xdr:rowOff>
    </xdr:from>
    <xdr:to>
      <xdr:col>15</xdr:col>
      <xdr:colOff>480392</xdr:colOff>
      <xdr:row>21</xdr:row>
      <xdr:rowOff>9110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402981</xdr:colOff>
      <xdr:row>0</xdr:row>
      <xdr:rowOff>141409</xdr:rowOff>
    </xdr:from>
    <xdr:to>
      <xdr:col>10</xdr:col>
      <xdr:colOff>109904</xdr:colOff>
      <xdr:row>15</xdr:row>
      <xdr:rowOff>5128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737152</xdr:colOff>
      <xdr:row>5</xdr:row>
      <xdr:rowOff>74543</xdr:rowOff>
    </xdr:from>
    <xdr:to>
      <xdr:col>8</xdr:col>
      <xdr:colOff>198782</xdr:colOff>
      <xdr:row>19</xdr:row>
      <xdr:rowOff>827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1167847</xdr:colOff>
      <xdr:row>1</xdr:row>
      <xdr:rowOff>313910</xdr:rowOff>
    </xdr:from>
    <xdr:to>
      <xdr:col>13</xdr:col>
      <xdr:colOff>215347</xdr:colOff>
      <xdr:row>14</xdr:row>
      <xdr:rowOff>149914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347870</xdr:colOff>
      <xdr:row>1</xdr:row>
      <xdr:rowOff>256762</xdr:rowOff>
    </xdr:from>
    <xdr:to>
      <xdr:col>7</xdr:col>
      <xdr:colOff>91109</xdr:colOff>
      <xdr:row>14</xdr:row>
      <xdr:rowOff>142462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438978</xdr:colOff>
      <xdr:row>2</xdr:row>
      <xdr:rowOff>32301</xdr:rowOff>
    </xdr:from>
    <xdr:to>
      <xdr:col>12</xdr:col>
      <xdr:colOff>107674</xdr:colOff>
      <xdr:row>16</xdr:row>
      <xdr:rowOff>108501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C/Dysk%20Google/ksiazka%20na%20googledrive/Rozdzia&#322;%2013%20-%20Wykres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2421.635890046295" createdVersion="5" refreshedVersion="5" minRefreshableVersion="3" recordCount="47" xr:uid="{00000000-000A-0000-FFFF-FFFF00000000}">
  <cacheSource type="worksheet">
    <worksheetSource ref="A2:A49" sheet="Histogram" r:id="rId2"/>
  </cacheSource>
  <cacheFields count="1">
    <cacheField name="Wynik egzaminu" numFmtId="0">
      <sharedItems containsSemiMixedTypes="0" containsString="0" containsNumber="1" containsInteger="1" minValue="6" maxValue="100" count="35">
        <n v="99"/>
        <n v="84"/>
        <n v="26"/>
        <n v="74"/>
        <n v="11"/>
        <n v="30"/>
        <n v="78"/>
        <n v="38"/>
        <n v="76"/>
        <n v="50"/>
        <n v="56"/>
        <n v="53"/>
        <n v="13"/>
        <n v="65"/>
        <n v="83"/>
        <n v="40"/>
        <n v="100"/>
        <n v="49"/>
        <n v="66"/>
        <n v="64"/>
        <n v="22"/>
        <n v="75"/>
        <n v="21"/>
        <n v="47"/>
        <n v="48"/>
        <n v="89"/>
        <n v="97"/>
        <n v="72"/>
        <n v="6"/>
        <n v="62"/>
        <n v="88"/>
        <n v="54"/>
        <n v="60"/>
        <n v="12"/>
        <n v="69"/>
      </sharedItems>
      <fieldGroup base="0">
        <rangePr autoStart="0" startNum="0" endNum="100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">
  <r>
    <x v="0"/>
  </r>
  <r>
    <x v="1"/>
  </r>
  <r>
    <x v="2"/>
  </r>
  <r>
    <x v="3"/>
  </r>
  <r>
    <x v="4"/>
  </r>
  <r>
    <x v="5"/>
  </r>
  <r>
    <x v="6"/>
  </r>
  <r>
    <x v="7"/>
  </r>
  <r>
    <x v="4"/>
  </r>
  <r>
    <x v="8"/>
  </r>
  <r>
    <x v="9"/>
  </r>
  <r>
    <x v="10"/>
  </r>
  <r>
    <x v="11"/>
  </r>
  <r>
    <x v="12"/>
  </r>
  <r>
    <x v="5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18"/>
  </r>
  <r>
    <x v="4"/>
  </r>
  <r>
    <x v="11"/>
  </r>
  <r>
    <x v="7"/>
  </r>
  <r>
    <x v="23"/>
  </r>
  <r>
    <x v="21"/>
  </r>
  <r>
    <x v="24"/>
  </r>
  <r>
    <x v="25"/>
  </r>
  <r>
    <x v="4"/>
  </r>
  <r>
    <x v="26"/>
  </r>
  <r>
    <x v="27"/>
  </r>
  <r>
    <x v="28"/>
  </r>
  <r>
    <x v="14"/>
  </r>
  <r>
    <x v="29"/>
  </r>
  <r>
    <x v="30"/>
  </r>
  <r>
    <x v="31"/>
  </r>
  <r>
    <x v="29"/>
  </r>
  <r>
    <x v="21"/>
  </r>
  <r>
    <x v="32"/>
  </r>
  <r>
    <x v="33"/>
  </r>
  <r>
    <x v="5"/>
  </r>
  <r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przestawna1" cacheId="21" applyNumberFormats="0" applyBorderFormats="0" applyFontFormats="0" applyPatternFormats="0" applyAlignmentFormats="0" applyWidthHeightFormats="1" dataCaption="Wartości" updatedVersion="5" minRefreshableVersion="3" useAutoFormatting="1" itemPrintTitles="1" createdVersion="4" indent="0" outline="1" outlineData="1" multipleFieldFilters="0">
  <location ref="C15:D26" firstHeaderRow="1" firstDataRow="1" firstDataCol="1"/>
  <pivotFields count="1"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Liczba z Wynik egzaminu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Pakiet 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707DC-2A6C-4EA6-96DB-9B7DEB383A5B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/>
  <cols>
    <col min="1" max="99" width="2.44140625" style="54" customWidth="1"/>
    <col min="100" max="101" width="2.44140625" style="1" customWidth="1"/>
    <col min="102" max="105" width="9.109375" style="54"/>
    <col min="106" max="106" width="10.6640625" style="54" customWidth="1"/>
    <col min="107" max="107" width="73.6640625" style="54" customWidth="1"/>
    <col min="108" max="108" width="6.33203125" style="54" customWidth="1"/>
    <col min="109" max="16384" width="9.109375" style="54"/>
  </cols>
  <sheetData>
    <row r="1" spans="18:99" ht="6" customHeight="1"/>
    <row r="2" spans="18:99" ht="6" customHeight="1">
      <c r="Z2" s="55" t="s">
        <v>93</v>
      </c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6"/>
    </row>
    <row r="3" spans="18:99" ht="6" customHeight="1"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6"/>
    </row>
    <row r="4" spans="18:99" ht="6" customHeight="1">
      <c r="Z4" s="57" t="s">
        <v>94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8"/>
    </row>
    <row r="5" spans="18:99" ht="6" customHeight="1">
      <c r="R5" s="59" t="s">
        <v>95</v>
      </c>
      <c r="S5" s="59"/>
      <c r="T5" s="59"/>
      <c r="U5" s="59"/>
      <c r="V5" s="59"/>
      <c r="W5" s="59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8"/>
      <c r="BF5" s="59" t="s">
        <v>96</v>
      </c>
      <c r="BG5" s="59"/>
      <c r="BH5" s="59"/>
      <c r="BI5" s="59"/>
      <c r="BJ5" s="59"/>
      <c r="BK5" s="59"/>
    </row>
    <row r="6" spans="18:99" ht="6" customHeight="1">
      <c r="R6" s="59"/>
      <c r="S6" s="59"/>
      <c r="T6" s="59"/>
      <c r="U6" s="59"/>
      <c r="V6" s="59"/>
      <c r="W6" s="59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8"/>
      <c r="BF6" s="59"/>
      <c r="BG6" s="59"/>
      <c r="BH6" s="59"/>
      <c r="BI6" s="59"/>
      <c r="BJ6" s="59"/>
      <c r="BK6" s="59"/>
    </row>
    <row r="7" spans="18:99" ht="6" customHeight="1">
      <c r="R7" s="59"/>
      <c r="S7" s="59"/>
      <c r="T7" s="59"/>
      <c r="U7" s="59"/>
      <c r="V7" s="59"/>
      <c r="W7" s="59"/>
      <c r="X7" s="60"/>
      <c r="BF7" s="59"/>
      <c r="BG7" s="59"/>
      <c r="BH7" s="59"/>
      <c r="BI7" s="59"/>
      <c r="BJ7" s="59"/>
      <c r="BK7" s="59"/>
    </row>
    <row r="8" spans="18:99" ht="6" customHeight="1"/>
    <row r="9" spans="18:99" ht="6" customHeight="1">
      <c r="R9" s="61"/>
      <c r="S9" s="61"/>
      <c r="T9" s="61"/>
      <c r="U9" s="61"/>
      <c r="V9" s="61"/>
      <c r="W9" s="61"/>
      <c r="X9" s="61"/>
      <c r="Y9" s="61"/>
      <c r="Z9" s="62" t="s">
        <v>97</v>
      </c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3"/>
      <c r="BF9" s="61"/>
      <c r="BG9" s="61"/>
      <c r="BH9" s="61"/>
      <c r="BI9" s="61"/>
      <c r="BJ9" s="61"/>
      <c r="BK9" s="61"/>
      <c r="BL9" s="61"/>
      <c r="BM9" s="61"/>
      <c r="BN9" s="64" t="s">
        <v>98</v>
      </c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5"/>
      <c r="CS9" s="65"/>
      <c r="CT9" s="65"/>
      <c r="CU9" s="65"/>
    </row>
    <row r="10" spans="18:99" ht="6" customHeight="1"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3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5"/>
      <c r="CS10" s="65"/>
      <c r="CT10" s="65"/>
      <c r="CU10" s="65"/>
    </row>
    <row r="11" spans="18:99" ht="6" customHeight="1"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3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5"/>
      <c r="CS11" s="65"/>
      <c r="CT11" s="65"/>
      <c r="CU11" s="65"/>
    </row>
    <row r="12" spans="18:99" ht="6" customHeight="1"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3"/>
      <c r="BN12" s="68" t="s">
        <v>99</v>
      </c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9"/>
      <c r="CS12" s="69"/>
      <c r="CT12" s="69"/>
      <c r="CU12" s="69"/>
    </row>
    <row r="13" spans="18:99" ht="6" customHeight="1"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3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9"/>
      <c r="CS13" s="69"/>
      <c r="CT13" s="69"/>
      <c r="CU13" s="69"/>
    </row>
    <row r="14" spans="18:99" ht="6" customHeight="1">
      <c r="Z14" s="70" t="s">
        <v>100</v>
      </c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1"/>
    </row>
    <row r="15" spans="18:99" ht="6" customHeight="1"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1"/>
    </row>
    <row r="16" spans="18:99" ht="6" customHeight="1"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1"/>
    </row>
    <row r="17" spans="18:56" ht="6" customHeight="1">
      <c r="Z17" s="72" t="s">
        <v>101</v>
      </c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3"/>
    </row>
    <row r="18" spans="18:56" ht="6" customHeight="1"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3"/>
    </row>
    <row r="19" spans="18:56" ht="6" customHeight="1"/>
    <row r="20" spans="18:56" ht="6" customHeight="1"/>
    <row r="21" spans="18:56" ht="6" customHeight="1">
      <c r="R21" s="61"/>
      <c r="S21" s="61"/>
      <c r="T21" s="61"/>
      <c r="U21" s="61"/>
      <c r="V21" s="61"/>
      <c r="W21" s="61"/>
      <c r="X21" s="61"/>
      <c r="Y21" s="61"/>
      <c r="Z21" s="74" t="s">
        <v>102</v>
      </c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5"/>
    </row>
    <row r="22" spans="18:56" ht="6" customHeight="1"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5"/>
    </row>
    <row r="23" spans="18:56" ht="6" customHeight="1">
      <c r="Z23" s="77" t="s">
        <v>103</v>
      </c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8"/>
    </row>
    <row r="24" spans="18:56" ht="6" customHeight="1"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8"/>
    </row>
    <row r="25" spans="18:56" ht="6" customHeight="1"/>
    <row r="26" spans="18:56" ht="6" customHeight="1">
      <c r="Z26" s="72" t="s">
        <v>104</v>
      </c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3"/>
    </row>
    <row r="27" spans="18:56" ht="6" customHeight="1"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3"/>
    </row>
    <row r="28" spans="18:56" ht="6" customHeight="1"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</row>
    <row r="29" spans="18:56" ht="6" customHeight="1"/>
    <row r="30" spans="18:56" ht="6" customHeight="1"/>
    <row r="31" spans="18:56" ht="6" customHeight="1"/>
    <row r="32" spans="18:56" ht="6" customHeight="1">
      <c r="R32" s="61"/>
      <c r="S32" s="61"/>
      <c r="T32" s="61"/>
      <c r="U32" s="61"/>
      <c r="V32" s="61"/>
      <c r="W32" s="61"/>
      <c r="X32" s="61"/>
      <c r="Y32" s="61"/>
      <c r="Z32" s="80" t="s">
        <v>105</v>
      </c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1"/>
    </row>
    <row r="33" spans="18:99" ht="6" customHeight="1"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1"/>
    </row>
    <row r="34" spans="18:99" ht="6" customHeight="1"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1"/>
      <c r="BF34" s="61"/>
      <c r="BG34" s="61"/>
      <c r="BH34" s="61"/>
      <c r="BI34" s="61"/>
      <c r="BJ34" s="61"/>
      <c r="BK34" s="61"/>
      <c r="BL34" s="61"/>
      <c r="BM34" s="61"/>
      <c r="BN34" s="64" t="s">
        <v>106</v>
      </c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5"/>
      <c r="CS34" s="65"/>
      <c r="CT34" s="65"/>
      <c r="CU34" s="65"/>
    </row>
    <row r="35" spans="18:99" ht="6" customHeight="1"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1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5"/>
      <c r="CS35" s="65"/>
      <c r="CT35" s="65"/>
      <c r="CU35" s="65"/>
    </row>
    <row r="36" spans="18:99" ht="6" customHeight="1"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1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5"/>
      <c r="CS36" s="65"/>
      <c r="CT36" s="65"/>
      <c r="CU36" s="65"/>
    </row>
    <row r="37" spans="18:99" ht="6" customHeight="1">
      <c r="Z37" s="70" t="s">
        <v>107</v>
      </c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1"/>
      <c r="BN37" s="68" t="s">
        <v>108</v>
      </c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9"/>
      <c r="CS37" s="69"/>
      <c r="CT37" s="69"/>
      <c r="CU37" s="69"/>
    </row>
    <row r="38" spans="18:99" ht="6" customHeight="1"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1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9"/>
      <c r="CS38" s="69"/>
      <c r="CT38" s="69"/>
      <c r="CU38" s="69"/>
    </row>
    <row r="39" spans="18:99" ht="6" customHeight="1"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1"/>
    </row>
    <row r="40" spans="18:99" ht="6" customHeight="1">
      <c r="Z40" s="72" t="s">
        <v>109</v>
      </c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3"/>
      <c r="BN40" s="67" t="s">
        <v>110</v>
      </c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5"/>
      <c r="CS40" s="65"/>
      <c r="CT40" s="65"/>
      <c r="CU40" s="65"/>
    </row>
    <row r="41" spans="18:99" ht="6" customHeight="1"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3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5"/>
      <c r="CS41" s="65"/>
      <c r="CT41" s="65"/>
      <c r="CU41" s="65"/>
    </row>
    <row r="42" spans="18:99" ht="6" customHeight="1"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7"/>
      <c r="CL42" s="67"/>
      <c r="CM42" s="67"/>
      <c r="CN42" s="67"/>
      <c r="CO42" s="67"/>
      <c r="CP42" s="67"/>
      <c r="CQ42" s="67"/>
      <c r="CR42" s="65"/>
      <c r="CS42" s="65"/>
      <c r="CT42" s="65"/>
      <c r="CU42" s="65"/>
    </row>
    <row r="43" spans="18:99" ht="6" customHeight="1">
      <c r="R43" s="61"/>
      <c r="S43" s="61"/>
      <c r="T43" s="61"/>
      <c r="U43" s="61"/>
      <c r="V43" s="61"/>
      <c r="W43" s="61"/>
      <c r="X43" s="61"/>
      <c r="Y43" s="61"/>
      <c r="Z43" s="80" t="s">
        <v>111</v>
      </c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1"/>
      <c r="BN43" s="68" t="s">
        <v>112</v>
      </c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9"/>
      <c r="CS43" s="69"/>
      <c r="CT43" s="69"/>
      <c r="CU43" s="69"/>
    </row>
    <row r="44" spans="18:99" ht="6" customHeight="1"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1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9"/>
      <c r="CS44" s="69"/>
      <c r="CT44" s="69"/>
      <c r="CU44" s="69"/>
    </row>
    <row r="45" spans="18:99" ht="6" customHeight="1"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1"/>
    </row>
    <row r="46" spans="18:99" ht="6" customHeight="1"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1"/>
    </row>
    <row r="47" spans="18:99" ht="6" customHeight="1"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1"/>
    </row>
    <row r="48" spans="18:99" ht="6" customHeight="1">
      <c r="Z48" s="70" t="s">
        <v>113</v>
      </c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1"/>
    </row>
    <row r="49" spans="2:99" ht="6" customHeight="1"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1"/>
    </row>
    <row r="50" spans="2:99" ht="6" customHeight="1"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1"/>
    </row>
    <row r="51" spans="2:99" ht="6" customHeight="1">
      <c r="B51" s="57" t="s">
        <v>114</v>
      </c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Z51" s="72" t="s">
        <v>115</v>
      </c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3"/>
    </row>
    <row r="52" spans="2:99" ht="6" customHeight="1"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3"/>
    </row>
    <row r="53" spans="2:99" ht="6" customHeight="1"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</row>
    <row r="54" spans="2:99" ht="6" customHeight="1">
      <c r="B54" s="84" t="s">
        <v>116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R54" s="61"/>
      <c r="S54" s="61"/>
      <c r="T54" s="61"/>
      <c r="U54" s="61"/>
      <c r="V54" s="61"/>
      <c r="W54" s="61"/>
      <c r="X54" s="61"/>
      <c r="Y54" s="61"/>
      <c r="Z54" s="80" t="s">
        <v>117</v>
      </c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1"/>
    </row>
    <row r="55" spans="2:99" ht="6" customHeight="1"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1"/>
    </row>
    <row r="56" spans="2:99" ht="6" customHeight="1"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1"/>
    </row>
    <row r="57" spans="2:99" ht="6" customHeight="1">
      <c r="B57" s="85" t="s">
        <v>118</v>
      </c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1"/>
    </row>
    <row r="58" spans="2:99" ht="6" customHeight="1"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1"/>
    </row>
    <row r="59" spans="2:99" ht="6" customHeight="1">
      <c r="Z59" s="70" t="s">
        <v>119</v>
      </c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1"/>
      <c r="BF59" s="61"/>
      <c r="BG59" s="61"/>
      <c r="BH59" s="61"/>
      <c r="BI59" s="61"/>
      <c r="BJ59" s="61"/>
      <c r="BK59" s="61"/>
      <c r="BL59" s="61"/>
      <c r="BM59" s="61"/>
      <c r="BN59" s="64" t="s">
        <v>106</v>
      </c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5"/>
      <c r="CS59" s="65"/>
      <c r="CT59" s="65"/>
      <c r="CU59" s="65"/>
    </row>
    <row r="60" spans="2:99" ht="6" customHeight="1">
      <c r="B60" s="84" t="s">
        <v>120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1"/>
      <c r="BN60" s="67"/>
      <c r="BO60" s="67"/>
      <c r="BP60" s="67"/>
      <c r="BQ60" s="67"/>
      <c r="BR60" s="67"/>
      <c r="BS60" s="67"/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/>
      <c r="CF60" s="67"/>
      <c r="CG60" s="67"/>
      <c r="CH60" s="67"/>
      <c r="CI60" s="67"/>
      <c r="CJ60" s="67"/>
      <c r="CK60" s="67"/>
      <c r="CL60" s="67"/>
      <c r="CM60" s="67"/>
      <c r="CN60" s="67"/>
      <c r="CO60" s="67"/>
      <c r="CP60" s="67"/>
      <c r="CQ60" s="67"/>
      <c r="CR60" s="65"/>
      <c r="CS60" s="65"/>
      <c r="CT60" s="65"/>
      <c r="CU60" s="65"/>
    </row>
    <row r="61" spans="2:99" ht="6" customHeight="1"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1"/>
      <c r="BN61" s="67"/>
      <c r="BO61" s="67"/>
      <c r="BP61" s="67"/>
      <c r="BQ61" s="67"/>
      <c r="BR61" s="67"/>
      <c r="BS61" s="67"/>
      <c r="BT61" s="67"/>
      <c r="BU61" s="67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/>
      <c r="CH61" s="67"/>
      <c r="CI61" s="67"/>
      <c r="CJ61" s="67"/>
      <c r="CK61" s="67"/>
      <c r="CL61" s="67"/>
      <c r="CM61" s="67"/>
      <c r="CN61" s="67"/>
      <c r="CO61" s="67"/>
      <c r="CP61" s="67"/>
      <c r="CQ61" s="67"/>
      <c r="CR61" s="65"/>
      <c r="CS61" s="65"/>
      <c r="CT61" s="65"/>
      <c r="CU61" s="65"/>
    </row>
    <row r="62" spans="2:99" ht="6" customHeight="1"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Z62" s="72" t="s">
        <v>121</v>
      </c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3"/>
      <c r="BN62" s="68" t="s">
        <v>122</v>
      </c>
      <c r="BO62" s="68"/>
      <c r="BP62" s="68"/>
      <c r="BQ62" s="68"/>
      <c r="BR62" s="68"/>
      <c r="BS62" s="68"/>
      <c r="BT62" s="68"/>
      <c r="BU62" s="68"/>
      <c r="BV62" s="68"/>
      <c r="BW62" s="68"/>
      <c r="BX62" s="68"/>
      <c r="BY62" s="68"/>
      <c r="BZ62" s="68"/>
      <c r="CA62" s="68"/>
      <c r="CB62" s="68"/>
      <c r="CC62" s="68"/>
      <c r="CD62" s="68"/>
      <c r="CE62" s="68"/>
      <c r="CF62" s="68"/>
      <c r="CG62" s="68"/>
      <c r="CH62" s="68"/>
      <c r="CI62" s="68"/>
      <c r="CJ62" s="68"/>
      <c r="CK62" s="68"/>
      <c r="CL62" s="68"/>
      <c r="CM62" s="68"/>
      <c r="CN62" s="68"/>
      <c r="CO62" s="68"/>
      <c r="CP62" s="68"/>
      <c r="CQ62" s="68"/>
      <c r="CR62" s="69"/>
      <c r="CS62" s="69"/>
      <c r="CT62" s="69"/>
      <c r="CU62" s="69"/>
    </row>
    <row r="63" spans="2:99" ht="6" customHeight="1">
      <c r="B63" s="86" t="s">
        <v>123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3"/>
      <c r="BN63" s="68"/>
      <c r="BO63" s="68"/>
      <c r="BP63" s="68"/>
      <c r="BQ63" s="68"/>
      <c r="BR63" s="68"/>
      <c r="BS63" s="68"/>
      <c r="BT63" s="68"/>
      <c r="BU63" s="68"/>
      <c r="BV63" s="68"/>
      <c r="BW63" s="68"/>
      <c r="BX63" s="68"/>
      <c r="BY63" s="68"/>
      <c r="BZ63" s="68"/>
      <c r="CA63" s="68"/>
      <c r="CB63" s="68"/>
      <c r="CC63" s="68"/>
      <c r="CD63" s="68"/>
      <c r="CE63" s="68"/>
      <c r="CF63" s="68"/>
      <c r="CG63" s="68"/>
      <c r="CH63" s="68"/>
      <c r="CI63" s="68"/>
      <c r="CJ63" s="68"/>
      <c r="CK63" s="68"/>
      <c r="CL63" s="68"/>
      <c r="CM63" s="68"/>
      <c r="CN63" s="68"/>
      <c r="CO63" s="68"/>
      <c r="CP63" s="68"/>
      <c r="CQ63" s="68"/>
      <c r="CR63" s="69"/>
      <c r="CS63" s="69"/>
      <c r="CT63" s="69"/>
      <c r="CU63" s="69"/>
    </row>
    <row r="64" spans="2:99" ht="6" customHeight="1"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</row>
    <row r="65" spans="18:99" ht="6" customHeight="1">
      <c r="R65" s="61"/>
      <c r="S65" s="61"/>
      <c r="T65" s="61"/>
      <c r="U65" s="61"/>
      <c r="V65" s="61"/>
      <c r="W65" s="61"/>
      <c r="X65" s="61"/>
      <c r="Y65" s="61"/>
      <c r="Z65" s="80" t="s">
        <v>124</v>
      </c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1"/>
      <c r="BN65" s="67" t="s">
        <v>110</v>
      </c>
      <c r="BO65" s="67"/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7"/>
      <c r="CA65" s="67"/>
      <c r="CB65" s="67"/>
      <c r="CC65" s="67"/>
      <c r="CD65" s="67"/>
      <c r="CE65" s="67"/>
      <c r="CF65" s="67"/>
      <c r="CG65" s="67"/>
      <c r="CH65" s="67"/>
      <c r="CI65" s="67"/>
      <c r="CJ65" s="67"/>
      <c r="CK65" s="67"/>
      <c r="CL65" s="67"/>
      <c r="CM65" s="67"/>
      <c r="CN65" s="67"/>
      <c r="CO65" s="67"/>
      <c r="CP65" s="67"/>
      <c r="CQ65" s="67"/>
      <c r="CR65" s="65"/>
      <c r="CS65" s="65"/>
      <c r="CT65" s="65"/>
      <c r="CU65" s="65"/>
    </row>
    <row r="66" spans="18:99" ht="6" customHeight="1"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1"/>
      <c r="BN66" s="67"/>
      <c r="BO66" s="67"/>
      <c r="BP66" s="67"/>
      <c r="BQ66" s="67"/>
      <c r="BR66" s="67"/>
      <c r="BS66" s="67"/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5"/>
      <c r="CS66" s="65"/>
      <c r="CT66" s="65"/>
      <c r="CU66" s="65"/>
    </row>
    <row r="67" spans="18:99" ht="6" customHeight="1"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1"/>
      <c r="BN67" s="67"/>
      <c r="BO67" s="67"/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5"/>
      <c r="CS67" s="65"/>
      <c r="CT67" s="65"/>
      <c r="CU67" s="65"/>
    </row>
    <row r="68" spans="18:99" ht="6" customHeight="1"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1"/>
      <c r="BN68" s="68" t="s">
        <v>125</v>
      </c>
      <c r="BO68" s="68"/>
      <c r="BP68" s="68"/>
      <c r="BQ68" s="68"/>
      <c r="BR68" s="68"/>
      <c r="BS68" s="68"/>
      <c r="BT68" s="68"/>
      <c r="BU68" s="68"/>
      <c r="BV68" s="68"/>
      <c r="BW68" s="68"/>
      <c r="BX68" s="68"/>
      <c r="BY68" s="68"/>
      <c r="BZ68" s="68"/>
      <c r="CA68" s="68"/>
      <c r="CB68" s="68"/>
      <c r="CC68" s="68"/>
      <c r="CD68" s="68"/>
      <c r="CE68" s="68"/>
      <c r="CF68" s="68"/>
      <c r="CG68" s="68"/>
      <c r="CH68" s="68"/>
      <c r="CI68" s="68"/>
      <c r="CJ68" s="68"/>
      <c r="CK68" s="68"/>
      <c r="CL68" s="68"/>
      <c r="CM68" s="68"/>
      <c r="CN68" s="68"/>
      <c r="CO68" s="68"/>
      <c r="CP68" s="68"/>
      <c r="CQ68" s="68"/>
      <c r="CR68" s="69"/>
      <c r="CS68" s="69"/>
      <c r="CT68" s="69"/>
      <c r="CU68" s="69"/>
    </row>
    <row r="69" spans="18:99" ht="6" customHeight="1"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1"/>
      <c r="BN69" s="68"/>
      <c r="BO69" s="68"/>
      <c r="BP69" s="68"/>
      <c r="BQ69" s="68"/>
      <c r="BR69" s="68"/>
      <c r="BS69" s="68"/>
      <c r="BT69" s="68"/>
      <c r="BU69" s="68"/>
      <c r="BV69" s="68"/>
      <c r="BW69" s="68"/>
      <c r="BX69" s="68"/>
      <c r="BY69" s="68"/>
      <c r="BZ69" s="68"/>
      <c r="CA69" s="68"/>
      <c r="CB69" s="68"/>
      <c r="CC69" s="68"/>
      <c r="CD69" s="68"/>
      <c r="CE69" s="68"/>
      <c r="CF69" s="68"/>
      <c r="CG69" s="68"/>
      <c r="CH69" s="68"/>
      <c r="CI69" s="68"/>
      <c r="CJ69" s="68"/>
      <c r="CK69" s="68"/>
      <c r="CL69" s="68"/>
      <c r="CM69" s="68"/>
      <c r="CN69" s="68"/>
      <c r="CO69" s="68"/>
      <c r="CP69" s="68"/>
      <c r="CQ69" s="68"/>
      <c r="CR69" s="69"/>
      <c r="CS69" s="69"/>
      <c r="CT69" s="69"/>
      <c r="CU69" s="69"/>
    </row>
    <row r="70" spans="18:99" ht="6" customHeight="1"/>
    <row r="71" spans="18:99" ht="6" customHeight="1">
      <c r="Z71" s="72" t="s">
        <v>126</v>
      </c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9"/>
    </row>
    <row r="72" spans="18:99" ht="6" customHeight="1"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9"/>
    </row>
    <row r="73" spans="18:99" ht="6" customHeight="1"/>
    <row r="74" spans="18:99" ht="6" customHeight="1"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</row>
    <row r="75" spans="18:99" ht="6" customHeight="1"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</row>
    <row r="76" spans="18:99" ht="6" customHeight="1"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</row>
    <row r="77" spans="18:99" ht="6" customHeight="1">
      <c r="Z77" s="87" t="s">
        <v>127</v>
      </c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  <c r="BB77" s="87"/>
      <c r="BC77" s="87"/>
      <c r="BD77" s="88"/>
    </row>
    <row r="78" spans="18:99" ht="6" customHeight="1"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87"/>
      <c r="BD78" s="88"/>
    </row>
    <row r="79" spans="18:99" ht="6" customHeight="1"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  <c r="AY79" s="87"/>
      <c r="AZ79" s="87"/>
      <c r="BA79" s="87"/>
      <c r="BB79" s="87"/>
      <c r="BC79" s="87"/>
      <c r="BD79" s="88"/>
    </row>
    <row r="80" spans="18:99" ht="6" customHeight="1"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87"/>
      <c r="BA80" s="87"/>
      <c r="BB80" s="87"/>
      <c r="BC80" s="87"/>
      <c r="BD80" s="88"/>
    </row>
    <row r="81" spans="26:56" ht="6" customHeight="1"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8"/>
    </row>
    <row r="82" spans="26:56" ht="6" customHeight="1">
      <c r="Z82" s="87" t="s">
        <v>128</v>
      </c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87"/>
      <c r="BD82" s="88"/>
    </row>
    <row r="83" spans="26:56" ht="6" customHeight="1"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  <c r="BB83" s="87"/>
      <c r="BC83" s="87"/>
      <c r="BD83" s="88"/>
    </row>
    <row r="84" spans="26:56" ht="6" customHeight="1"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  <c r="BB84" s="87"/>
      <c r="BC84" s="87"/>
      <c r="BD84" s="88"/>
    </row>
    <row r="85" spans="26:56" ht="6" customHeight="1"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87"/>
      <c r="BB85" s="87"/>
      <c r="BC85" s="87"/>
      <c r="BD85" s="88"/>
    </row>
    <row r="86" spans="26:56" ht="6" customHeight="1"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7"/>
      <c r="AR86" s="87"/>
      <c r="AS86" s="87"/>
      <c r="AT86" s="87"/>
      <c r="AU86" s="87"/>
      <c r="AV86" s="87"/>
      <c r="AW86" s="87"/>
      <c r="AX86" s="87"/>
      <c r="AY86" s="87"/>
      <c r="AZ86" s="87"/>
      <c r="BA86" s="87"/>
      <c r="BB86" s="87"/>
      <c r="BC86" s="87"/>
      <c r="BD86" s="88"/>
    </row>
    <row r="87" spans="26:56" ht="6" customHeight="1"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8"/>
    </row>
    <row r="88" spans="26:56" ht="6" customHeight="1"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8"/>
    </row>
    <row r="89" spans="26:56" ht="6" customHeight="1"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8"/>
    </row>
    <row r="90" spans="26:56" ht="6" customHeight="1">
      <c r="Z90" s="89" t="s">
        <v>129</v>
      </c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89"/>
      <c r="AW90" s="89"/>
      <c r="AX90" s="89"/>
      <c r="AY90" s="89"/>
      <c r="AZ90" s="89"/>
      <c r="BA90" s="89"/>
      <c r="BB90" s="89"/>
      <c r="BC90" s="89"/>
      <c r="BD90" s="90"/>
    </row>
    <row r="91" spans="26:56" ht="6" customHeight="1"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  <c r="AT91" s="89"/>
      <c r="AU91" s="89"/>
      <c r="AV91" s="89"/>
      <c r="AW91" s="89"/>
      <c r="AX91" s="89"/>
      <c r="AY91" s="89"/>
      <c r="AZ91" s="89"/>
      <c r="BA91" s="89"/>
      <c r="BB91" s="89"/>
      <c r="BC91" s="89"/>
      <c r="BD91" s="90"/>
    </row>
    <row r="92" spans="26:56" ht="6" customHeight="1"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</row>
    <row r="93" spans="26:56" ht="6" customHeight="1"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</row>
    <row r="94" spans="26:56" ht="6" customHeight="1"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</row>
    <row r="95" spans="26:56" ht="6" customHeight="1"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51249E4F-F5E3-4715-8142-C40115C39713}"/>
    <hyperlink ref="B51" r:id="rId2" xr:uid="{B5F948FF-A569-431F-A3CE-5D796B839E1E}"/>
    <hyperlink ref="B57" r:id="rId3" xr:uid="{574B5BB0-A935-476C-957D-4E6C72D8EA81}"/>
    <hyperlink ref="Z4" r:id="rId4" xr:uid="{C39BBFAA-EC74-4FA8-9645-11FCB66444FF}"/>
    <hyperlink ref="Z17" r:id="rId5" display="https://www.udemy.com/excel-mistrz-formul/?couponCode=STANDARDOWY" xr:uid="{20ED7F04-2D61-45E2-843D-D606E3B85CF5}"/>
    <hyperlink ref="Z26" r:id="rId6" xr:uid="{B4B1C770-BC47-47C7-87DE-839EE0831311}"/>
    <hyperlink ref="Z40" r:id="rId7" display="https://www.udemy.com/excel-mistrz-formul/?couponCode=STANDARDOWY" xr:uid="{FFE8B7E0-D6E3-4ED6-9D1B-9ECA0FEECB82}"/>
    <hyperlink ref="Z51" r:id="rId8" display="https://www.udemy.com/excel-mistrz-formul/?couponCode=STANDARDOWY" xr:uid="{C1262AAC-D9CD-41FA-9D04-F4E317A2CAE8}"/>
    <hyperlink ref="Z62" r:id="rId9" display="https://www.udemy.com/excel-mistrz-formul/?couponCode=STANDARDOWY" xr:uid="{6A1BD445-0C1A-48C2-8C4D-827397403293}"/>
    <hyperlink ref="Z71" r:id="rId10" display="https://www.udemy.com/excel-mistrz-formul/?couponCode=STANDARDOWY" xr:uid="{15045412-92AB-49E2-8005-0C416C9F1768}"/>
    <hyperlink ref="BN12" r:id="rId11" location="mistrz-excela-w-20-dni" xr:uid="{6F6CA22E-42B2-41FF-81BA-689AC65E026F}"/>
    <hyperlink ref="BN37" r:id="rId12" location="mistrz-excela-w-20-dni" display="http://ksplus.komputerswiat.pl/sklep#mistrz-excela-w-20-dni" xr:uid="{9BEAA278-D00E-4B58-8130-6CA3D0007819}"/>
    <hyperlink ref="BN43" r:id="rId13" location="mistrz-excela-w-20-dni" display="http://ksplus.komputerswiat.pl/sklep#mistrz-excela-w-20-dni" xr:uid="{F03F262C-BC81-47CF-BDB5-C2D4DC28DD4B}"/>
    <hyperlink ref="BN62" r:id="rId14" location="mistrz-excela-w-20-dni" display="http://ksplus.komputerswiat.pl/sklep#mistrz-excela-w-20-dni" xr:uid="{9CF35B39-A00E-4276-84B6-CAB405A84AE0}"/>
    <hyperlink ref="BN68" r:id="rId15" location="mistrz-excela-w-20-dni" display="http://ksplus.komputerswiat.pl/sklep#mistrz-excela-w-20-dni" xr:uid="{88DE51B4-183D-4013-8788-7EABEAC7811C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1E73BE"/>
  </sheetPr>
  <dimension ref="A2:L21"/>
  <sheetViews>
    <sheetView zoomScale="115" zoomScaleNormal="115" workbookViewId="0"/>
  </sheetViews>
  <sheetFormatPr defaultColWidth="9.109375" defaultRowHeight="14.4"/>
  <cols>
    <col min="1" max="1" width="24.88671875" style="3" customWidth="1"/>
    <col min="2" max="4" width="9.109375" style="3"/>
    <col min="5" max="5" width="3.5546875" style="3" customWidth="1"/>
    <col min="6" max="16384" width="9.109375" style="3"/>
  </cols>
  <sheetData>
    <row r="2" spans="1:12">
      <c r="A2" s="13"/>
      <c r="B2" s="31" t="s">
        <v>19</v>
      </c>
      <c r="C2" s="31" t="s">
        <v>20</v>
      </c>
      <c r="D2" s="31" t="s">
        <v>21</v>
      </c>
      <c r="F2" s="43" t="str">
        <f>CHAR(17)&amp;" Nagłówki kolumn to  'Kategorie' i będą wyświetlane w poziomie "</f>
        <v xml:space="preserve">_x0011_ Nagłówki kolumn to  'Kategorie' i będą wyświetlane w poziomie </v>
      </c>
      <c r="G2" s="44"/>
      <c r="H2" s="44"/>
      <c r="I2" s="44"/>
      <c r="J2" s="44"/>
      <c r="K2" s="44"/>
      <c r="L2" s="45"/>
    </row>
    <row r="3" spans="1:12">
      <c r="A3" s="31" t="s">
        <v>11</v>
      </c>
      <c r="B3" s="32">
        <v>61</v>
      </c>
      <c r="C3" s="32">
        <v>35.5</v>
      </c>
      <c r="D3" s="32">
        <v>39</v>
      </c>
      <c r="F3" s="46" t="str">
        <f>CHAR(17)&amp;" Wartości  "&amp;FIXED(B3,2)&amp;", "&amp;FIXED(C3,2)&amp;", "&amp;FIXED(D3,2)&amp;" to 'Seria "&amp;A3&amp;"'."</f>
        <v>_x0011_ Wartości  61,00, 35,50, 39,00 to 'Seria Gąbki'.</v>
      </c>
      <c r="G3" s="47"/>
      <c r="H3" s="47"/>
      <c r="I3" s="47"/>
      <c r="J3" s="47"/>
      <c r="K3" s="47"/>
      <c r="L3" s="48"/>
    </row>
    <row r="4" spans="1:12">
      <c r="A4" s="31" t="s">
        <v>12</v>
      </c>
      <c r="B4" s="32">
        <v>72.849999999999994</v>
      </c>
      <c r="C4" s="32">
        <v>55.5</v>
      </c>
      <c r="D4" s="32">
        <v>52.35</v>
      </c>
      <c r="F4" s="46" t="str">
        <f t="shared" ref="F4:F5" si="0">CHAR(17)&amp;" Wartości  "&amp;FIXED(B4,2)&amp;", "&amp;FIXED(C4,2)&amp;", "&amp;FIXED(D4,2)&amp;" to 'Seria "&amp;A4&amp;"'."</f>
        <v>_x0011_ Wartości  72,85, 55,50, 52,35 to 'Seria Muszelki'.</v>
      </c>
      <c r="G4" s="47"/>
      <c r="H4" s="47"/>
      <c r="I4" s="47"/>
      <c r="J4" s="47"/>
      <c r="K4" s="47"/>
      <c r="L4" s="48"/>
    </row>
    <row r="5" spans="1:12">
      <c r="A5" s="31" t="s">
        <v>13</v>
      </c>
      <c r="B5" s="32">
        <v>17.8</v>
      </c>
      <c r="C5" s="32">
        <v>18.399999999999999</v>
      </c>
      <c r="D5" s="32">
        <v>14.100000000000001</v>
      </c>
      <c r="F5" s="49" t="str">
        <f t="shared" si="0"/>
        <v>_x0011_ Wartości  17,80, 18,40, 14,10 to 'Seria Piasek'.</v>
      </c>
      <c r="G5" s="50"/>
      <c r="H5" s="50"/>
      <c r="I5" s="50"/>
      <c r="J5" s="50"/>
      <c r="K5" s="50"/>
      <c r="L5" s="51"/>
    </row>
    <row r="7" spans="1:12" ht="43.2">
      <c r="A7" s="52" t="s">
        <v>23</v>
      </c>
    </row>
    <row r="9" spans="1:12">
      <c r="C9" s="42"/>
    </row>
    <row r="17" spans="1:12">
      <c r="A17" s="13"/>
      <c r="B17" s="31" t="s">
        <v>19</v>
      </c>
      <c r="C17" s="31" t="s">
        <v>20</v>
      </c>
      <c r="D17" s="31" t="s">
        <v>21</v>
      </c>
      <c r="F17" s="43" t="str">
        <f>CHAR(17)&amp;" Jeśli nagłówków kolumn jest mniej niż nagłówków wierszy"</f>
        <v>_x0011_ Jeśli nagłówków kolumn jest mniej niż nagłówków wierszy</v>
      </c>
      <c r="G17" s="44"/>
      <c r="H17" s="44"/>
      <c r="I17" s="44"/>
      <c r="J17" s="44"/>
      <c r="K17" s="44"/>
      <c r="L17" s="45"/>
    </row>
    <row r="18" spans="1:12">
      <c r="A18" s="31" t="s">
        <v>11</v>
      </c>
      <c r="B18" s="32">
        <v>61</v>
      </c>
      <c r="C18" s="32">
        <v>35.5</v>
      </c>
      <c r="D18" s="32">
        <v>39</v>
      </c>
      <c r="F18" s="49" t="s">
        <v>24</v>
      </c>
      <c r="G18" s="50"/>
      <c r="H18" s="50"/>
      <c r="I18" s="50"/>
      <c r="J18" s="50"/>
      <c r="K18" s="50"/>
      <c r="L18" s="51"/>
    </row>
    <row r="19" spans="1:12">
      <c r="A19" s="31" t="s">
        <v>12</v>
      </c>
      <c r="B19" s="32">
        <v>72.849999999999994</v>
      </c>
      <c r="C19" s="32">
        <v>55.5</v>
      </c>
      <c r="D19" s="32">
        <v>52.35</v>
      </c>
    </row>
    <row r="20" spans="1:12">
      <c r="A20" s="31" t="s">
        <v>13</v>
      </c>
      <c r="B20" s="32">
        <v>17.8</v>
      </c>
      <c r="C20" s="32">
        <v>18.399999999999999</v>
      </c>
      <c r="D20" s="32">
        <v>14.100000000000001</v>
      </c>
    </row>
    <row r="21" spans="1:12">
      <c r="A21" s="31" t="s">
        <v>25</v>
      </c>
      <c r="B21" s="53">
        <v>22.5</v>
      </c>
      <c r="C21" s="53">
        <v>31.2</v>
      </c>
      <c r="D21" s="53">
        <v>28.4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tabColor rgb="FF1E73BE"/>
  </sheetPr>
  <dimension ref="A1:E109"/>
  <sheetViews>
    <sheetView zoomScale="115" zoomScaleNormal="115" workbookViewId="0">
      <selection activeCell="A4" sqref="A4"/>
    </sheetView>
  </sheetViews>
  <sheetFormatPr defaultColWidth="9.109375" defaultRowHeight="14.4"/>
  <cols>
    <col min="1" max="1" width="21.44140625" style="3" bestFit="1" customWidth="1"/>
    <col min="2" max="5" width="13.6640625" style="3" customWidth="1"/>
    <col min="6" max="16384" width="9.109375" style="3"/>
  </cols>
  <sheetData>
    <row r="1" spans="1:5">
      <c r="A1" s="2" t="s">
        <v>53</v>
      </c>
      <c r="B1" s="2"/>
      <c r="C1" s="2"/>
      <c r="D1" s="2"/>
      <c r="E1" s="2"/>
    </row>
    <row r="2" spans="1:5">
      <c r="A2" s="31" t="s">
        <v>18</v>
      </c>
      <c r="B2" s="31" t="s">
        <v>19</v>
      </c>
      <c r="C2" s="31" t="s">
        <v>20</v>
      </c>
      <c r="D2" s="31" t="s">
        <v>21</v>
      </c>
      <c r="E2" s="31" t="s">
        <v>22</v>
      </c>
    </row>
    <row r="3" spans="1:5">
      <c r="A3" s="31" t="s">
        <v>11</v>
      </c>
      <c r="B3" s="32">
        <v>610</v>
      </c>
      <c r="C3" s="32">
        <v>355</v>
      </c>
      <c r="D3" s="32">
        <v>390</v>
      </c>
      <c r="E3" s="41">
        <f>SUM(B3:D3)</f>
        <v>1355</v>
      </c>
    </row>
    <row r="4" spans="1:5">
      <c r="A4" s="31" t="s">
        <v>12</v>
      </c>
      <c r="B4" s="32">
        <v>728.5</v>
      </c>
      <c r="C4" s="32">
        <v>555</v>
      </c>
      <c r="D4" s="32">
        <v>523.5</v>
      </c>
      <c r="E4" s="41">
        <f>SUM(B4:D4)</f>
        <v>1807</v>
      </c>
    </row>
    <row r="5" spans="1:5">
      <c r="A5" s="31" t="s">
        <v>13</v>
      </c>
      <c r="B5" s="32">
        <v>178</v>
      </c>
      <c r="C5" s="32">
        <v>184</v>
      </c>
      <c r="D5" s="32">
        <v>141</v>
      </c>
      <c r="E5" s="41">
        <f>SUM(B5:D5)</f>
        <v>503</v>
      </c>
    </row>
    <row r="6" spans="1:5">
      <c r="A6" s="31" t="s">
        <v>22</v>
      </c>
      <c r="B6" s="41">
        <f>SUM(B3:B5)</f>
        <v>1516.5</v>
      </c>
      <c r="C6" s="41">
        <f>SUM(C3:C5)</f>
        <v>1094</v>
      </c>
      <c r="D6" s="41">
        <f>SUM(D3:D5)</f>
        <v>1054.5</v>
      </c>
      <c r="E6" s="41">
        <f>SUM(B6:D6)</f>
        <v>3665</v>
      </c>
    </row>
    <row r="100" spans="4:4">
      <c r="D100" s="42"/>
    </row>
    <row r="101" spans="4:4">
      <c r="D101" s="42"/>
    </row>
    <row r="102" spans="4:4">
      <c r="D102" s="42"/>
    </row>
    <row r="103" spans="4:4">
      <c r="D103" s="42"/>
    </row>
    <row r="104" spans="4:4">
      <c r="D104" s="42"/>
    </row>
    <row r="105" spans="4:4">
      <c r="D105" s="42"/>
    </row>
    <row r="106" spans="4:4">
      <c r="D106" s="42"/>
    </row>
    <row r="107" spans="4:4">
      <c r="D107" s="42"/>
    </row>
    <row r="108" spans="4:4">
      <c r="D108" s="42"/>
    </row>
    <row r="109" spans="4:4">
      <c r="D109" s="42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tabColor rgb="FF1E73BE"/>
  </sheetPr>
  <dimension ref="A1:E6"/>
  <sheetViews>
    <sheetView zoomScale="115" zoomScaleNormal="115" workbookViewId="0">
      <selection activeCell="A4" sqref="A4"/>
    </sheetView>
  </sheetViews>
  <sheetFormatPr defaultColWidth="9.109375" defaultRowHeight="14.4"/>
  <cols>
    <col min="1" max="1" width="10.44140625" style="3" customWidth="1"/>
    <col min="2" max="5" width="10.6640625" style="3" bestFit="1" customWidth="1"/>
    <col min="6" max="6" width="4" style="3" customWidth="1"/>
    <col min="7" max="16384" width="9.109375" style="3"/>
  </cols>
  <sheetData>
    <row r="1" spans="1:5">
      <c r="A1" s="2" t="s">
        <v>91</v>
      </c>
      <c r="B1" s="2"/>
      <c r="C1" s="2"/>
      <c r="D1" s="2"/>
      <c r="E1" s="2"/>
    </row>
    <row r="2" spans="1:5">
      <c r="A2" s="31" t="s">
        <v>18</v>
      </c>
      <c r="B2" s="31" t="s">
        <v>19</v>
      </c>
      <c r="C2" s="31" t="s">
        <v>20</v>
      </c>
      <c r="D2" s="31" t="s">
        <v>21</v>
      </c>
      <c r="E2" s="31" t="s">
        <v>22</v>
      </c>
    </row>
    <row r="3" spans="1:5">
      <c r="A3" s="31" t="s">
        <v>56</v>
      </c>
      <c r="B3" s="32">
        <v>854</v>
      </c>
      <c r="C3" s="32">
        <v>697</v>
      </c>
      <c r="D3" s="32">
        <v>746</v>
      </c>
      <c r="E3" s="41">
        <f>SUM(B3:D3)</f>
        <v>2297</v>
      </c>
    </row>
    <row r="4" spans="1:5">
      <c r="A4" s="31" t="s">
        <v>54</v>
      </c>
      <c r="B4" s="32">
        <v>919.9</v>
      </c>
      <c r="C4" s="32">
        <v>877</v>
      </c>
      <c r="D4" s="32">
        <v>832.9</v>
      </c>
      <c r="E4" s="41">
        <f>(SUM(B4:D4))</f>
        <v>2629.8</v>
      </c>
    </row>
    <row r="5" spans="1:5">
      <c r="A5" s="31" t="s">
        <v>55</v>
      </c>
      <c r="B5" s="32">
        <v>749.2</v>
      </c>
      <c r="C5" s="32">
        <v>757.59999999999991</v>
      </c>
      <c r="D5" s="32">
        <v>697.40000000000009</v>
      </c>
      <c r="E5" s="41">
        <f>SUM(B5:D5)</f>
        <v>2204.1999999999998</v>
      </c>
    </row>
    <row r="6" spans="1:5">
      <c r="A6" s="31" t="s">
        <v>22</v>
      </c>
      <c r="B6" s="41">
        <f>SUM(B3:B5)</f>
        <v>2523.1000000000004</v>
      </c>
      <c r="C6" s="41">
        <f>SUM(C3:C5)</f>
        <v>2331.6</v>
      </c>
      <c r="D6" s="41">
        <f>SUM(D3:D5)</f>
        <v>2276.3000000000002</v>
      </c>
      <c r="E6" s="41">
        <f>SUM(B6:D6)</f>
        <v>7131.0000000000009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tabColor rgb="FF1E73BE"/>
  </sheetPr>
  <dimension ref="A1:B18"/>
  <sheetViews>
    <sheetView topLeftCell="A4" zoomScale="115" zoomScaleNormal="115" workbookViewId="0">
      <selection activeCell="A4" sqref="A4"/>
    </sheetView>
  </sheetViews>
  <sheetFormatPr defaultColWidth="9.109375" defaultRowHeight="14.4"/>
  <cols>
    <col min="1" max="1" width="14" style="3" bestFit="1" customWidth="1"/>
    <col min="2" max="2" width="14.88671875" style="3" bestFit="1" customWidth="1"/>
    <col min="3" max="16384" width="9.109375" style="3"/>
  </cols>
  <sheetData>
    <row r="1" spans="1:2">
      <c r="A1" s="31" t="s">
        <v>26</v>
      </c>
      <c r="B1" s="31" t="s">
        <v>27</v>
      </c>
    </row>
    <row r="2" spans="1:2">
      <c r="A2" s="37" t="s">
        <v>28</v>
      </c>
      <c r="B2" s="38">
        <v>2171857</v>
      </c>
    </row>
    <row r="3" spans="1:2">
      <c r="A3" s="37" t="s">
        <v>29</v>
      </c>
      <c r="B3" s="38">
        <v>1023158</v>
      </c>
    </row>
    <row r="4" spans="1:2">
      <c r="A4" s="37" t="s">
        <v>30</v>
      </c>
      <c r="B4" s="38">
        <v>2533681</v>
      </c>
    </row>
    <row r="5" spans="1:2">
      <c r="A5" s="37" t="s">
        <v>31</v>
      </c>
      <c r="B5" s="38">
        <v>3346796</v>
      </c>
    </row>
    <row r="6" spans="1:2">
      <c r="A6" s="39"/>
      <c r="B6" s="40"/>
    </row>
    <row r="7" spans="1:2">
      <c r="A7" s="39"/>
      <c r="B7" s="40"/>
    </row>
    <row r="8" spans="1:2">
      <c r="A8" s="39"/>
      <c r="B8" s="40"/>
    </row>
    <row r="9" spans="1:2">
      <c r="A9" s="39"/>
      <c r="B9" s="40"/>
    </row>
    <row r="10" spans="1:2">
      <c r="A10" s="39"/>
      <c r="B10" s="40"/>
    </row>
    <row r="11" spans="1:2">
      <c r="A11" s="39"/>
      <c r="B11" s="40"/>
    </row>
    <row r="13" spans="1:2">
      <c r="A13" s="31" t="s">
        <v>26</v>
      </c>
      <c r="B13" s="31" t="s">
        <v>27</v>
      </c>
    </row>
    <row r="14" spans="1:2">
      <c r="A14" s="37" t="s">
        <v>57</v>
      </c>
      <c r="B14" s="38">
        <v>5285604</v>
      </c>
    </row>
    <row r="15" spans="1:2">
      <c r="A15" s="37" t="s">
        <v>58</v>
      </c>
      <c r="B15" s="38">
        <v>1013950</v>
      </c>
    </row>
    <row r="16" spans="1:2">
      <c r="A16" s="37" t="s">
        <v>59</v>
      </c>
      <c r="B16" s="38">
        <v>2128687</v>
      </c>
    </row>
    <row r="17" spans="1:2">
      <c r="A17" s="37" t="s">
        <v>60</v>
      </c>
      <c r="B17" s="38">
        <v>1200982</v>
      </c>
    </row>
    <row r="18" spans="1:2">
      <c r="A18" s="37" t="s">
        <v>61</v>
      </c>
      <c r="B18" s="38">
        <v>2302077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9">
    <tabColor rgb="FF1E73BE"/>
  </sheetPr>
  <dimension ref="A1:B11"/>
  <sheetViews>
    <sheetView zoomScale="130" zoomScaleNormal="130" workbookViewId="0">
      <selection activeCell="A4" sqref="A4"/>
    </sheetView>
  </sheetViews>
  <sheetFormatPr defaultColWidth="9.109375" defaultRowHeight="14.4"/>
  <cols>
    <col min="1" max="1" width="14" style="3" bestFit="1" customWidth="1"/>
    <col min="2" max="2" width="14.88671875" style="3" bestFit="1" customWidth="1"/>
    <col min="3" max="16384" width="9.109375" style="3"/>
  </cols>
  <sheetData>
    <row r="1" spans="1:2">
      <c r="A1" s="31" t="s">
        <v>18</v>
      </c>
      <c r="B1" s="31" t="s">
        <v>32</v>
      </c>
    </row>
    <row r="2" spans="1:2">
      <c r="A2" s="13" t="s">
        <v>33</v>
      </c>
      <c r="B2" s="32">
        <v>2140</v>
      </c>
    </row>
    <row r="3" spans="1:2">
      <c r="A3" s="13" t="s">
        <v>34</v>
      </c>
      <c r="B3" s="32">
        <v>1670</v>
      </c>
    </row>
    <row r="4" spans="1:2">
      <c r="A4" s="13" t="s">
        <v>35</v>
      </c>
      <c r="B4" s="32">
        <v>1180</v>
      </c>
    </row>
    <row r="5" spans="1:2">
      <c r="A5" s="13" t="s">
        <v>36</v>
      </c>
      <c r="B5" s="32">
        <v>658</v>
      </c>
    </row>
    <row r="6" spans="1:2">
      <c r="A6" s="13" t="s">
        <v>37</v>
      </c>
      <c r="B6" s="32">
        <v>657</v>
      </c>
    </row>
    <row r="7" spans="1:2">
      <c r="A7" s="13" t="s">
        <v>11</v>
      </c>
      <c r="B7" s="32">
        <v>146.5</v>
      </c>
    </row>
    <row r="8" spans="1:2">
      <c r="A8" s="13" t="s">
        <v>38</v>
      </c>
      <c r="B8" s="32">
        <v>100.19999999999996</v>
      </c>
    </row>
    <row r="9" spans="1:2" ht="15" thickBot="1">
      <c r="A9" s="33" t="s">
        <v>13</v>
      </c>
      <c r="B9" s="34">
        <v>45.099999999999994</v>
      </c>
    </row>
    <row r="10" spans="1:2" ht="15" thickBot="1">
      <c r="A10" s="35" t="s">
        <v>9</v>
      </c>
      <c r="B10" s="36">
        <f>SUM(B2:B9)</f>
        <v>6596.8</v>
      </c>
    </row>
    <row r="11" spans="1:2" ht="15" thickTop="1"/>
  </sheetData>
  <sortState xmlns:xlrd2="http://schemas.microsoft.com/office/spreadsheetml/2017/richdata2" ref="A2:B9">
    <sortCondition descending="1" ref="B2"/>
  </sortState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>
    <tabColor rgb="FF1E73BE"/>
  </sheetPr>
  <dimension ref="A1:I5"/>
  <sheetViews>
    <sheetView zoomScale="115" zoomScaleNormal="115" workbookViewId="0">
      <selection activeCell="A4" sqref="A4"/>
    </sheetView>
  </sheetViews>
  <sheetFormatPr defaultColWidth="9.109375" defaultRowHeight="14.4"/>
  <cols>
    <col min="1" max="1" width="12.33203125" style="3" bestFit="1" customWidth="1"/>
    <col min="2" max="9" width="9.109375" style="3" customWidth="1"/>
    <col min="10" max="11" width="9.33203125" style="3" bestFit="1" customWidth="1"/>
    <col min="12" max="16384" width="9.109375" style="3"/>
  </cols>
  <sheetData>
    <row r="1" spans="1:9">
      <c r="A1" s="2" t="str">
        <f>"Sprzedaż 'Piaski Pustyni' na przełomie "&amp;B2&amp;"-"&amp;I2</f>
        <v>Sprzedaż 'Piaski Pustyni' na przełomie 2008-2015</v>
      </c>
      <c r="B1" s="2"/>
      <c r="C1" s="2"/>
      <c r="D1" s="2"/>
      <c r="E1" s="2"/>
      <c r="F1" s="2"/>
      <c r="G1" s="2"/>
      <c r="H1" s="2"/>
      <c r="I1" s="2"/>
    </row>
    <row r="2" spans="1:9">
      <c r="A2" s="4" t="s">
        <v>10</v>
      </c>
      <c r="B2" s="4">
        <v>2008</v>
      </c>
      <c r="C2" s="4">
        <f>B2+1</f>
        <v>2009</v>
      </c>
      <c r="D2" s="4">
        <f t="shared" ref="D2:I2" si="0">C2+1</f>
        <v>2010</v>
      </c>
      <c r="E2" s="4">
        <f t="shared" si="0"/>
        <v>2011</v>
      </c>
      <c r="F2" s="4">
        <f t="shared" si="0"/>
        <v>2012</v>
      </c>
      <c r="G2" s="4">
        <f t="shared" si="0"/>
        <v>2013</v>
      </c>
      <c r="H2" s="4">
        <f t="shared" si="0"/>
        <v>2014</v>
      </c>
      <c r="I2" s="4">
        <f t="shared" si="0"/>
        <v>2015</v>
      </c>
    </row>
    <row r="3" spans="1:9">
      <c r="A3" s="4" t="s">
        <v>11</v>
      </c>
      <c r="B3" s="5">
        <v>15983</v>
      </c>
      <c r="C3" s="5">
        <v>14822</v>
      </c>
      <c r="D3" s="5">
        <v>11257</v>
      </c>
      <c r="E3" s="5">
        <v>10845</v>
      </c>
      <c r="F3" s="5">
        <v>15528</v>
      </c>
      <c r="G3" s="5">
        <v>13661</v>
      </c>
      <c r="H3" s="5">
        <v>13989</v>
      </c>
      <c r="I3" s="5">
        <v>16369</v>
      </c>
    </row>
    <row r="4" spans="1:9">
      <c r="A4" s="4" t="s">
        <v>12</v>
      </c>
      <c r="B4" s="5">
        <v>25330</v>
      </c>
      <c r="C4" s="5">
        <v>24466</v>
      </c>
      <c r="D4" s="5">
        <v>22167</v>
      </c>
      <c r="E4" s="5">
        <v>22748</v>
      </c>
      <c r="F4" s="5">
        <v>20713</v>
      </c>
      <c r="G4" s="5">
        <v>21089</v>
      </c>
      <c r="H4" s="5">
        <v>22094</v>
      </c>
      <c r="I4" s="5">
        <v>22176</v>
      </c>
    </row>
    <row r="5" spans="1:9">
      <c r="A5" s="4" t="s">
        <v>13</v>
      </c>
      <c r="B5" s="5">
        <v>6935</v>
      </c>
      <c r="C5" s="5">
        <v>5286</v>
      </c>
      <c r="D5" s="5">
        <v>7777</v>
      </c>
      <c r="E5" s="5">
        <v>8891</v>
      </c>
      <c r="F5" s="5">
        <v>5790</v>
      </c>
      <c r="G5" s="5">
        <v>5290</v>
      </c>
      <c r="H5" s="5">
        <v>5404</v>
      </c>
      <c r="I5" s="5">
        <v>6220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5">
    <tabColor rgb="FF1E73BE"/>
  </sheetPr>
  <dimension ref="A1:J49"/>
  <sheetViews>
    <sheetView zoomScale="115" zoomScaleNormal="115" workbookViewId="0">
      <selection activeCell="A4" sqref="A4"/>
    </sheetView>
  </sheetViews>
  <sheetFormatPr defaultColWidth="9.109375" defaultRowHeight="14.4"/>
  <cols>
    <col min="1" max="1" width="9.5546875" style="3" bestFit="1" customWidth="1"/>
    <col min="2" max="2" width="4.88671875" style="3" customWidth="1"/>
    <col min="3" max="3" width="17.6640625" style="3" customWidth="1"/>
    <col min="4" max="4" width="23.109375" style="3" customWidth="1"/>
    <col min="5" max="5" width="17.6640625" style="3" customWidth="1"/>
    <col min="6" max="6" width="17.33203125" style="3" bestFit="1" customWidth="1"/>
    <col min="7" max="7" width="10.5546875" style="3" customWidth="1"/>
    <col min="8" max="12" width="9.33203125" style="3" bestFit="1" customWidth="1"/>
    <col min="13" max="16384" width="9.109375" style="3"/>
  </cols>
  <sheetData>
    <row r="1" spans="1:10">
      <c r="I1" s="23" t="s">
        <v>71</v>
      </c>
      <c r="J1" s="24"/>
    </row>
    <row r="2" spans="1:10" ht="48.75" customHeight="1">
      <c r="A2" s="4" t="s">
        <v>72</v>
      </c>
      <c r="C2" s="25" t="s">
        <v>73</v>
      </c>
      <c r="D2" s="25" t="s">
        <v>74</v>
      </c>
      <c r="E2" s="25" t="s">
        <v>75</v>
      </c>
      <c r="F2" s="25" t="s">
        <v>92</v>
      </c>
      <c r="G2" s="25" t="s">
        <v>76</v>
      </c>
      <c r="I2" s="25" t="s">
        <v>77</v>
      </c>
      <c r="J2" s="25" t="s">
        <v>78</v>
      </c>
    </row>
    <row r="3" spans="1:10">
      <c r="A3" s="13">
        <v>99</v>
      </c>
      <c r="C3" s="13">
        <f>I3</f>
        <v>0</v>
      </c>
      <c r="D3" s="13">
        <f t="shared" ref="D3:D13" si="0">C3+$J$3</f>
        <v>10</v>
      </c>
      <c r="E3" s="13" t="str">
        <f>" &lt;="&amp;D3</f>
        <v xml:space="preserve"> &lt;=10</v>
      </c>
      <c r="F3" s="26">
        <f>COUNTIFS($A$3:$A$49,"&gt;="&amp;C3,$A$3:$A$49,"&lt;="&amp;D3)</f>
        <v>1</v>
      </c>
      <c r="G3" s="26">
        <f t="array" ref="G3:G13">FREQUENCY(A3:A49,D3:D12)</f>
        <v>1</v>
      </c>
      <c r="I3" s="13">
        <v>0</v>
      </c>
      <c r="J3" s="13">
        <v>10</v>
      </c>
    </row>
    <row r="4" spans="1:10">
      <c r="A4" s="13">
        <v>84</v>
      </c>
      <c r="C4" s="13">
        <f>D3</f>
        <v>10</v>
      </c>
      <c r="D4" s="13">
        <f t="shared" si="0"/>
        <v>20</v>
      </c>
      <c r="E4" s="13" t="str">
        <f>" &gt;"&amp;C4&amp;" ORAZ "&amp;"&lt;="&amp;D4</f>
        <v xml:space="preserve"> &gt;10 ORAZ &lt;=20</v>
      </c>
      <c r="F4" s="26">
        <f>COUNTIFS($A$3:$A$49,"&gt;"&amp;C4,$A$3:$A$49,"&lt;="&amp;D4)</f>
        <v>6</v>
      </c>
      <c r="G4" s="26">
        <v>6</v>
      </c>
    </row>
    <row r="5" spans="1:10">
      <c r="A5" s="13">
        <v>26</v>
      </c>
      <c r="C5" s="13">
        <f t="shared" ref="C5:C13" si="1">D4</f>
        <v>20</v>
      </c>
      <c r="D5" s="13">
        <f t="shared" si="0"/>
        <v>30</v>
      </c>
      <c r="E5" s="13" t="str">
        <f t="shared" ref="E5:E12" si="2">" &gt;"&amp;C5&amp;CHAR(10)&amp;" ORAZ "&amp;CHAR(10)&amp;"&lt;="&amp;D5</f>
        <v xml:space="preserve"> &gt;20
 ORAZ 
&lt;=30</v>
      </c>
      <c r="F5" s="26">
        <f t="shared" ref="F5:F13" si="3">COUNTIFS($A$3:$A$49,"&gt;"&amp;C5,$A$3:$A$49,"&lt;="&amp;D5)</f>
        <v>6</v>
      </c>
      <c r="G5" s="26">
        <v>6</v>
      </c>
    </row>
    <row r="6" spans="1:10">
      <c r="A6" s="13">
        <v>74</v>
      </c>
      <c r="C6" s="13">
        <f t="shared" si="1"/>
        <v>30</v>
      </c>
      <c r="D6" s="13">
        <f t="shared" si="0"/>
        <v>40</v>
      </c>
      <c r="E6" s="13" t="str">
        <f t="shared" si="2"/>
        <v xml:space="preserve"> &gt;30
 ORAZ 
&lt;=40</v>
      </c>
      <c r="F6" s="26">
        <f t="shared" si="3"/>
        <v>3</v>
      </c>
      <c r="G6" s="26">
        <v>3</v>
      </c>
    </row>
    <row r="7" spans="1:10">
      <c r="A7" s="13">
        <v>11</v>
      </c>
      <c r="C7" s="13">
        <f t="shared" si="1"/>
        <v>40</v>
      </c>
      <c r="D7" s="13">
        <f t="shared" si="0"/>
        <v>50</v>
      </c>
      <c r="E7" s="13" t="str">
        <f t="shared" si="2"/>
        <v xml:space="preserve"> &gt;40
 ORAZ 
&lt;=50</v>
      </c>
      <c r="F7" s="26">
        <f t="shared" si="3"/>
        <v>4</v>
      </c>
      <c r="G7" s="26">
        <v>4</v>
      </c>
    </row>
    <row r="8" spans="1:10">
      <c r="A8" s="13">
        <v>30</v>
      </c>
      <c r="C8" s="13">
        <f t="shared" si="1"/>
        <v>50</v>
      </c>
      <c r="D8" s="13">
        <f t="shared" si="0"/>
        <v>60</v>
      </c>
      <c r="E8" s="13" t="str">
        <f t="shared" si="2"/>
        <v xml:space="preserve"> &gt;50
 ORAZ 
&lt;=60</v>
      </c>
      <c r="F8" s="26">
        <f t="shared" si="3"/>
        <v>5</v>
      </c>
      <c r="G8" s="26">
        <v>5</v>
      </c>
    </row>
    <row r="9" spans="1:10">
      <c r="A9" s="13">
        <v>78</v>
      </c>
      <c r="C9" s="13">
        <f t="shared" si="1"/>
        <v>60</v>
      </c>
      <c r="D9" s="13">
        <f t="shared" si="0"/>
        <v>70</v>
      </c>
      <c r="E9" s="13" t="str">
        <f t="shared" si="2"/>
        <v xml:space="preserve"> &gt;60
 ORAZ 
&lt;=70</v>
      </c>
      <c r="F9" s="26">
        <f t="shared" si="3"/>
        <v>7</v>
      </c>
      <c r="G9" s="26">
        <v>7</v>
      </c>
    </row>
    <row r="10" spans="1:10">
      <c r="A10" s="13">
        <v>38</v>
      </c>
      <c r="C10" s="13">
        <f t="shared" si="1"/>
        <v>70</v>
      </c>
      <c r="D10" s="13">
        <f t="shared" si="0"/>
        <v>80</v>
      </c>
      <c r="E10" s="13" t="str">
        <f t="shared" si="2"/>
        <v xml:space="preserve"> &gt;70
 ORAZ 
&lt;=80</v>
      </c>
      <c r="F10" s="26">
        <f t="shared" si="3"/>
        <v>7</v>
      </c>
      <c r="G10" s="26">
        <v>7</v>
      </c>
    </row>
    <row r="11" spans="1:10">
      <c r="A11" s="13">
        <v>11</v>
      </c>
      <c r="C11" s="13">
        <f t="shared" si="1"/>
        <v>80</v>
      </c>
      <c r="D11" s="13">
        <f t="shared" si="0"/>
        <v>90</v>
      </c>
      <c r="E11" s="13" t="str">
        <f t="shared" si="2"/>
        <v xml:space="preserve"> &gt;80
 ORAZ 
&lt;=90</v>
      </c>
      <c r="F11" s="26">
        <f t="shared" si="3"/>
        <v>5</v>
      </c>
      <c r="G11" s="26">
        <v>5</v>
      </c>
    </row>
    <row r="12" spans="1:10">
      <c r="A12" s="13">
        <v>76</v>
      </c>
      <c r="C12" s="13">
        <f t="shared" si="1"/>
        <v>90</v>
      </c>
      <c r="D12" s="13">
        <f t="shared" si="0"/>
        <v>100</v>
      </c>
      <c r="E12" s="13" t="str">
        <f t="shared" si="2"/>
        <v xml:space="preserve"> &gt;90
 ORAZ 
&lt;=100</v>
      </c>
      <c r="F12" s="26">
        <f t="shared" si="3"/>
        <v>3</v>
      </c>
      <c r="G12" s="26">
        <v>3</v>
      </c>
    </row>
    <row r="13" spans="1:10">
      <c r="A13" s="13">
        <v>50</v>
      </c>
      <c r="C13" s="13">
        <f t="shared" si="1"/>
        <v>100</v>
      </c>
      <c r="D13" s="13">
        <f t="shared" si="0"/>
        <v>110</v>
      </c>
      <c r="E13" s="13" t="str">
        <f>" &gt;"&amp;C13</f>
        <v xml:space="preserve"> &gt;100</v>
      </c>
      <c r="F13" s="26">
        <f t="shared" si="3"/>
        <v>0</v>
      </c>
      <c r="G13" s="26">
        <v>0</v>
      </c>
    </row>
    <row r="14" spans="1:10">
      <c r="A14" s="13">
        <v>56</v>
      </c>
      <c r="G14" s="16"/>
    </row>
    <row r="15" spans="1:10">
      <c r="A15" s="13">
        <v>53</v>
      </c>
      <c r="C15" s="27" t="s">
        <v>79</v>
      </c>
      <c r="D15" s="28" t="s">
        <v>80</v>
      </c>
    </row>
    <row r="16" spans="1:10">
      <c r="A16" s="13">
        <v>13</v>
      </c>
      <c r="C16" s="29" t="s">
        <v>81</v>
      </c>
      <c r="D16" s="30">
        <v>1</v>
      </c>
    </row>
    <row r="17" spans="1:4">
      <c r="A17" s="13">
        <v>30</v>
      </c>
      <c r="C17" s="29" t="s">
        <v>82</v>
      </c>
      <c r="D17" s="30">
        <v>6</v>
      </c>
    </row>
    <row r="18" spans="1:4">
      <c r="A18" s="13">
        <v>65</v>
      </c>
      <c r="C18" s="29" t="s">
        <v>83</v>
      </c>
      <c r="D18" s="30">
        <v>3</v>
      </c>
    </row>
    <row r="19" spans="1:4">
      <c r="A19" s="13">
        <v>83</v>
      </c>
      <c r="C19" s="29" t="s">
        <v>84</v>
      </c>
      <c r="D19" s="30">
        <v>5</v>
      </c>
    </row>
    <row r="20" spans="1:4">
      <c r="A20" s="13">
        <v>40</v>
      </c>
      <c r="C20" s="29" t="s">
        <v>85</v>
      </c>
      <c r="D20" s="30">
        <v>4</v>
      </c>
    </row>
    <row r="21" spans="1:4">
      <c r="A21" s="13">
        <v>100</v>
      </c>
      <c r="C21" s="29" t="s">
        <v>86</v>
      </c>
      <c r="D21" s="30">
        <v>5</v>
      </c>
    </row>
    <row r="22" spans="1:4">
      <c r="A22" s="13">
        <v>49</v>
      </c>
      <c r="C22" s="29" t="s">
        <v>87</v>
      </c>
      <c r="D22" s="30">
        <v>8</v>
      </c>
    </row>
    <row r="23" spans="1:4">
      <c r="A23" s="13">
        <v>66</v>
      </c>
      <c r="C23" s="29" t="s">
        <v>88</v>
      </c>
      <c r="D23" s="30">
        <v>7</v>
      </c>
    </row>
    <row r="24" spans="1:4">
      <c r="A24" s="13">
        <v>64</v>
      </c>
      <c r="C24" s="29" t="s">
        <v>89</v>
      </c>
      <c r="D24" s="30">
        <v>5</v>
      </c>
    </row>
    <row r="25" spans="1:4">
      <c r="A25" s="13">
        <v>22</v>
      </c>
      <c r="C25" s="29" t="s">
        <v>90</v>
      </c>
      <c r="D25" s="30">
        <v>3</v>
      </c>
    </row>
    <row r="26" spans="1:4">
      <c r="A26" s="13">
        <v>75</v>
      </c>
      <c r="C26" s="29" t="s">
        <v>9</v>
      </c>
      <c r="D26" s="30">
        <v>47</v>
      </c>
    </row>
    <row r="27" spans="1:4">
      <c r="A27" s="13">
        <v>21</v>
      </c>
    </row>
    <row r="28" spans="1:4">
      <c r="A28" s="13">
        <v>66</v>
      </c>
    </row>
    <row r="29" spans="1:4">
      <c r="A29" s="13">
        <v>11</v>
      </c>
    </row>
    <row r="30" spans="1:4">
      <c r="A30" s="13">
        <v>53</v>
      </c>
    </row>
    <row r="31" spans="1:4">
      <c r="A31" s="13">
        <v>38</v>
      </c>
    </row>
    <row r="32" spans="1:4">
      <c r="A32" s="13">
        <v>47</v>
      </c>
    </row>
    <row r="33" spans="1:1">
      <c r="A33" s="13">
        <v>75</v>
      </c>
    </row>
    <row r="34" spans="1:1">
      <c r="A34" s="13">
        <v>48</v>
      </c>
    </row>
    <row r="35" spans="1:1">
      <c r="A35" s="13">
        <v>89</v>
      </c>
    </row>
    <row r="36" spans="1:1">
      <c r="A36" s="13">
        <v>11</v>
      </c>
    </row>
    <row r="37" spans="1:1">
      <c r="A37" s="13">
        <v>97</v>
      </c>
    </row>
    <row r="38" spans="1:1">
      <c r="A38" s="13">
        <v>72</v>
      </c>
    </row>
    <row r="39" spans="1:1">
      <c r="A39" s="13">
        <v>6</v>
      </c>
    </row>
    <row r="40" spans="1:1">
      <c r="A40" s="13">
        <v>83</v>
      </c>
    </row>
    <row r="41" spans="1:1">
      <c r="A41" s="13">
        <v>62</v>
      </c>
    </row>
    <row r="42" spans="1:1">
      <c r="A42" s="13">
        <v>88</v>
      </c>
    </row>
    <row r="43" spans="1:1">
      <c r="A43" s="13">
        <v>54</v>
      </c>
    </row>
    <row r="44" spans="1:1">
      <c r="A44" s="13">
        <v>62</v>
      </c>
    </row>
    <row r="45" spans="1:1">
      <c r="A45" s="13">
        <v>75</v>
      </c>
    </row>
    <row r="46" spans="1:1">
      <c r="A46" s="13">
        <v>60</v>
      </c>
    </row>
    <row r="47" spans="1:1">
      <c r="A47" s="13">
        <v>12</v>
      </c>
    </row>
    <row r="48" spans="1:1">
      <c r="A48" s="13">
        <v>30</v>
      </c>
    </row>
    <row r="49" spans="1:1">
      <c r="A49" s="13">
        <v>69</v>
      </c>
    </row>
  </sheetData>
  <pageMargins left="0.7" right="0.7" top="0.75" bottom="0.75" header="0.3" footer="0.3"/>
  <pageSetup paperSize="9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>
    <tabColor rgb="FF1E73BE"/>
  </sheetPr>
  <dimension ref="A1:L50"/>
  <sheetViews>
    <sheetView zoomScale="115" zoomScaleNormal="115" workbookViewId="0">
      <selection activeCell="A4" sqref="A4"/>
    </sheetView>
  </sheetViews>
  <sheetFormatPr defaultColWidth="9.109375" defaultRowHeight="14.4"/>
  <cols>
    <col min="1" max="1" width="12.109375" style="3" customWidth="1"/>
    <col min="2" max="2" width="15.109375" style="3" bestFit="1" customWidth="1"/>
    <col min="3" max="6" width="15.109375" style="3" customWidth="1"/>
    <col min="7" max="8" width="11.88671875" style="16" bestFit="1" customWidth="1"/>
    <col min="9" max="9" width="13.5546875" style="3" bestFit="1" customWidth="1"/>
    <col min="10" max="10" width="21.44140625" style="3" bestFit="1" customWidth="1"/>
    <col min="11" max="11" width="23.109375" style="3" bestFit="1" customWidth="1"/>
    <col min="12" max="12" width="27.5546875" style="3" bestFit="1" customWidth="1"/>
    <col min="13" max="15" width="9.33203125" style="3" bestFit="1" customWidth="1"/>
    <col min="16" max="16384" width="9.109375" style="3"/>
  </cols>
  <sheetData>
    <row r="1" spans="1:12" ht="15" customHeight="1">
      <c r="A1" s="2" t="s">
        <v>39</v>
      </c>
      <c r="B1" s="2"/>
      <c r="I1" s="4" t="s">
        <v>40</v>
      </c>
      <c r="J1" s="4" t="s">
        <v>41</v>
      </c>
      <c r="K1" s="4" t="s">
        <v>42</v>
      </c>
      <c r="L1" s="4" t="s">
        <v>65</v>
      </c>
    </row>
    <row r="2" spans="1:12" ht="28.8">
      <c r="A2" s="17" t="s">
        <v>63</v>
      </c>
      <c r="B2" s="18"/>
      <c r="I2" s="19" t="s">
        <v>43</v>
      </c>
      <c r="J2" s="19" t="s">
        <v>44</v>
      </c>
      <c r="K2" s="19" t="s">
        <v>45</v>
      </c>
      <c r="L2" s="19" t="s">
        <v>46</v>
      </c>
    </row>
    <row r="3" spans="1:12" ht="28.8">
      <c r="A3" s="4" t="s">
        <v>62</v>
      </c>
      <c r="B3" s="4" t="s">
        <v>64</v>
      </c>
      <c r="D3" s="20"/>
      <c r="I3" s="4" t="s">
        <v>47</v>
      </c>
      <c r="J3" s="4" t="s">
        <v>48</v>
      </c>
      <c r="K3" s="4" t="s">
        <v>49</v>
      </c>
      <c r="L3" s="4" t="s">
        <v>50</v>
      </c>
    </row>
    <row r="4" spans="1:12">
      <c r="A4" s="13">
        <v>12</v>
      </c>
      <c r="B4" s="13">
        <v>56</v>
      </c>
      <c r="D4" s="20"/>
      <c r="H4" s="21" t="s">
        <v>70</v>
      </c>
      <c r="I4" s="4" t="s">
        <v>66</v>
      </c>
      <c r="J4" s="4" t="s">
        <v>67</v>
      </c>
      <c r="K4" s="4" t="s">
        <v>68</v>
      </c>
      <c r="L4" s="4" t="s">
        <v>69</v>
      </c>
    </row>
    <row r="5" spans="1:12">
      <c r="A5" s="13">
        <v>13</v>
      </c>
      <c r="B5" s="13">
        <v>31</v>
      </c>
      <c r="I5" s="22">
        <f>INTERCEPT($B$4:$B$50,$A$4:$A$50)</f>
        <v>9.1804533983304992</v>
      </c>
      <c r="J5" s="22">
        <f>SLOPE($B$4:$B$50,$A$4:$A$50)</f>
        <v>2.1952718880093176</v>
      </c>
      <c r="K5" s="22">
        <f>PEARSON($B$4:$B$50,$A$4:$A$50)</f>
        <v>0.90846629838198423</v>
      </c>
      <c r="L5" s="22">
        <f>RSQ($B$4:$B$50,$A$4:$A$50)</f>
        <v>0.82531101529586481</v>
      </c>
    </row>
    <row r="6" spans="1:12">
      <c r="A6" s="13">
        <v>4</v>
      </c>
      <c r="B6" s="13">
        <v>17</v>
      </c>
    </row>
    <row r="7" spans="1:12">
      <c r="A7" s="13">
        <v>15</v>
      </c>
      <c r="B7" s="13">
        <v>65</v>
      </c>
    </row>
    <row r="8" spans="1:12">
      <c r="A8" s="13">
        <v>45</v>
      </c>
      <c r="B8" s="13">
        <v>96</v>
      </c>
    </row>
    <row r="9" spans="1:12">
      <c r="A9" s="13">
        <v>29</v>
      </c>
      <c r="B9" s="13">
        <v>70</v>
      </c>
      <c r="H9" s="20"/>
    </row>
    <row r="10" spans="1:12">
      <c r="A10" s="13">
        <v>32</v>
      </c>
      <c r="B10" s="13">
        <v>83</v>
      </c>
    </row>
    <row r="11" spans="1:12">
      <c r="A11" s="13">
        <v>30</v>
      </c>
      <c r="B11" s="13">
        <v>69</v>
      </c>
    </row>
    <row r="12" spans="1:12">
      <c r="A12" s="13">
        <v>16</v>
      </c>
      <c r="B12" s="13">
        <v>59</v>
      </c>
    </row>
    <row r="13" spans="1:12">
      <c r="A13" s="13">
        <v>5</v>
      </c>
      <c r="B13" s="13">
        <v>18</v>
      </c>
    </row>
    <row r="14" spans="1:12">
      <c r="A14" s="13">
        <v>8</v>
      </c>
      <c r="B14" s="13">
        <v>38</v>
      </c>
    </row>
    <row r="15" spans="1:12">
      <c r="A15" s="13">
        <v>16</v>
      </c>
      <c r="B15" s="13">
        <v>37</v>
      </c>
    </row>
    <row r="16" spans="1:12">
      <c r="A16" s="13">
        <v>22</v>
      </c>
      <c r="B16" s="13">
        <v>56</v>
      </c>
    </row>
    <row r="17" spans="1:2">
      <c r="A17" s="13">
        <v>4</v>
      </c>
      <c r="B17" s="13">
        <v>15</v>
      </c>
    </row>
    <row r="18" spans="1:2">
      <c r="A18" s="13">
        <v>10</v>
      </c>
      <c r="B18" s="13">
        <v>30</v>
      </c>
    </row>
    <row r="19" spans="1:2">
      <c r="A19" s="13">
        <v>4</v>
      </c>
      <c r="B19" s="13">
        <v>7</v>
      </c>
    </row>
    <row r="20" spans="1:2">
      <c r="A20" s="13">
        <v>5</v>
      </c>
      <c r="B20" s="13">
        <v>16</v>
      </c>
    </row>
    <row r="21" spans="1:2">
      <c r="A21" s="13">
        <v>11</v>
      </c>
      <c r="B21" s="13">
        <v>48</v>
      </c>
    </row>
    <row r="22" spans="1:2">
      <c r="A22" s="13">
        <v>3</v>
      </c>
      <c r="B22" s="13">
        <v>7</v>
      </c>
    </row>
    <row r="23" spans="1:2">
      <c r="A23" s="13">
        <v>17</v>
      </c>
      <c r="B23" s="13">
        <v>40</v>
      </c>
    </row>
    <row r="24" spans="1:2">
      <c r="A24" s="13">
        <v>15</v>
      </c>
      <c r="B24" s="13">
        <v>53</v>
      </c>
    </row>
    <row r="25" spans="1:2">
      <c r="A25" s="13">
        <v>23</v>
      </c>
      <c r="B25" s="13">
        <v>60</v>
      </c>
    </row>
    <row r="26" spans="1:2">
      <c r="A26" s="13">
        <v>4</v>
      </c>
      <c r="B26" s="13">
        <v>17</v>
      </c>
    </row>
    <row r="27" spans="1:2">
      <c r="A27" s="13">
        <v>33</v>
      </c>
      <c r="B27" s="13">
        <v>75</v>
      </c>
    </row>
    <row r="28" spans="1:2">
      <c r="A28" s="13">
        <v>20</v>
      </c>
      <c r="B28" s="13">
        <v>81</v>
      </c>
    </row>
    <row r="29" spans="1:2">
      <c r="A29" s="13">
        <v>3</v>
      </c>
      <c r="B29" s="13">
        <v>7</v>
      </c>
    </row>
    <row r="30" spans="1:2">
      <c r="A30" s="13">
        <v>12</v>
      </c>
      <c r="B30" s="13">
        <v>51</v>
      </c>
    </row>
    <row r="31" spans="1:2">
      <c r="A31" s="13">
        <v>14</v>
      </c>
      <c r="B31" s="13">
        <v>68</v>
      </c>
    </row>
    <row r="32" spans="1:2">
      <c r="A32" s="13">
        <v>41</v>
      </c>
      <c r="B32" s="13">
        <v>100</v>
      </c>
    </row>
    <row r="33" spans="1:2">
      <c r="A33" s="13">
        <v>27</v>
      </c>
      <c r="B33" s="13">
        <v>54</v>
      </c>
    </row>
    <row r="34" spans="1:2">
      <c r="A34" s="13">
        <v>1</v>
      </c>
      <c r="B34" s="13">
        <v>2</v>
      </c>
    </row>
    <row r="35" spans="1:2">
      <c r="A35" s="13">
        <v>5</v>
      </c>
      <c r="B35" s="13">
        <v>15</v>
      </c>
    </row>
    <row r="36" spans="1:2">
      <c r="A36" s="13">
        <v>25</v>
      </c>
      <c r="B36" s="13">
        <v>50</v>
      </c>
    </row>
    <row r="37" spans="1:2">
      <c r="A37" s="13">
        <v>17</v>
      </c>
      <c r="B37" s="13">
        <v>67</v>
      </c>
    </row>
    <row r="38" spans="1:2">
      <c r="A38" s="13">
        <v>2</v>
      </c>
      <c r="B38" s="13">
        <v>5</v>
      </c>
    </row>
    <row r="39" spans="1:2">
      <c r="A39" s="13">
        <v>14</v>
      </c>
      <c r="B39" s="13">
        <v>43</v>
      </c>
    </row>
    <row r="40" spans="1:2">
      <c r="A40" s="13">
        <v>12</v>
      </c>
      <c r="B40" s="13">
        <v>45</v>
      </c>
    </row>
    <row r="41" spans="1:2">
      <c r="A41" s="13">
        <v>8</v>
      </c>
      <c r="B41" s="13">
        <v>19</v>
      </c>
    </row>
    <row r="42" spans="1:2">
      <c r="A42" s="13">
        <v>1</v>
      </c>
      <c r="B42" s="13">
        <v>4</v>
      </c>
    </row>
    <row r="43" spans="1:2">
      <c r="A43" s="13">
        <v>36</v>
      </c>
      <c r="B43" s="13">
        <v>86</v>
      </c>
    </row>
    <row r="44" spans="1:2">
      <c r="A44" s="13">
        <v>29</v>
      </c>
      <c r="B44" s="13">
        <v>58</v>
      </c>
    </row>
    <row r="45" spans="1:2">
      <c r="A45" s="13">
        <v>4</v>
      </c>
      <c r="B45" s="13">
        <v>15</v>
      </c>
    </row>
    <row r="46" spans="1:2">
      <c r="A46" s="13">
        <v>4</v>
      </c>
      <c r="B46" s="13">
        <v>8</v>
      </c>
    </row>
    <row r="47" spans="1:2">
      <c r="A47" s="13">
        <v>16</v>
      </c>
      <c r="B47" s="13">
        <v>32</v>
      </c>
    </row>
    <row r="48" spans="1:2">
      <c r="A48" s="13">
        <v>6</v>
      </c>
      <c r="B48" s="13">
        <v>18</v>
      </c>
    </row>
    <row r="49" spans="1:2">
      <c r="A49" s="13">
        <v>18</v>
      </c>
      <c r="B49" s="13">
        <v>58</v>
      </c>
    </row>
    <row r="50" spans="1:2">
      <c r="A50" s="13">
        <v>3</v>
      </c>
      <c r="B50" s="13">
        <v>6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8">
    <tabColor rgb="FF1E73BE"/>
  </sheetPr>
  <dimension ref="A1:D8"/>
  <sheetViews>
    <sheetView zoomScale="115" zoomScaleNormal="115" workbookViewId="0">
      <selection activeCell="A4" sqref="A4"/>
    </sheetView>
  </sheetViews>
  <sheetFormatPr defaultColWidth="9.109375" defaultRowHeight="14.4"/>
  <cols>
    <col min="1" max="1" width="9.109375" style="3" bestFit="1" customWidth="1"/>
    <col min="2" max="2" width="9" style="3" bestFit="1" customWidth="1"/>
    <col min="3" max="3" width="8.44140625" style="3" bestFit="1" customWidth="1"/>
    <col min="4" max="4" width="16" style="3" bestFit="1" customWidth="1"/>
    <col min="5" max="16384" width="9.109375" style="3"/>
  </cols>
  <sheetData>
    <row r="1" spans="1:4">
      <c r="A1" s="2" t="s">
        <v>51</v>
      </c>
      <c r="B1" s="2"/>
      <c r="C1" s="2"/>
      <c r="D1" s="2"/>
    </row>
    <row r="2" spans="1:4" ht="28.8">
      <c r="A2" s="4" t="s">
        <v>0</v>
      </c>
      <c r="B2" s="4" t="s">
        <v>1</v>
      </c>
      <c r="C2" s="4" t="s">
        <v>2</v>
      </c>
      <c r="D2" s="4" t="s">
        <v>52</v>
      </c>
    </row>
    <row r="3" spans="1:4">
      <c r="A3" s="13" t="s">
        <v>3</v>
      </c>
      <c r="B3" s="14">
        <v>877</v>
      </c>
      <c r="C3" s="14">
        <v>570</v>
      </c>
      <c r="D3" s="15">
        <f>C3/B3</f>
        <v>0.64994298745724055</v>
      </c>
    </row>
    <row r="4" spans="1:4">
      <c r="A4" s="13" t="s">
        <v>4</v>
      </c>
      <c r="B4" s="14">
        <v>740</v>
      </c>
      <c r="C4" s="14">
        <v>473</v>
      </c>
      <c r="D4" s="15">
        <f t="shared" ref="D4:D8" si="0">C4/B4</f>
        <v>0.63918918918918921</v>
      </c>
    </row>
    <row r="5" spans="1:4">
      <c r="A5" s="13" t="s">
        <v>5</v>
      </c>
      <c r="B5" s="14">
        <v>682</v>
      </c>
      <c r="C5" s="14">
        <v>470</v>
      </c>
      <c r="D5" s="15">
        <f t="shared" si="0"/>
        <v>0.68914956011730211</v>
      </c>
    </row>
    <row r="6" spans="1:4">
      <c r="A6" s="13" t="s">
        <v>6</v>
      </c>
      <c r="B6" s="14">
        <v>592</v>
      </c>
      <c r="C6" s="14">
        <v>444</v>
      </c>
      <c r="D6" s="15">
        <f t="shared" si="0"/>
        <v>0.75</v>
      </c>
    </row>
    <row r="7" spans="1:4">
      <c r="A7" s="13" t="s">
        <v>7</v>
      </c>
      <c r="B7" s="14">
        <v>502</v>
      </c>
      <c r="C7" s="14">
        <v>316</v>
      </c>
      <c r="D7" s="15">
        <f t="shared" si="0"/>
        <v>0.62948207171314741</v>
      </c>
    </row>
    <row r="8" spans="1:4">
      <c r="A8" s="13" t="s">
        <v>8</v>
      </c>
      <c r="B8" s="14">
        <v>790</v>
      </c>
      <c r="C8" s="14">
        <v>521</v>
      </c>
      <c r="D8" s="15">
        <f t="shared" si="0"/>
        <v>0.65949367088607591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1">
    <tabColor rgb="FF1E73BE"/>
  </sheetPr>
  <dimension ref="A1:K19"/>
  <sheetViews>
    <sheetView topLeftCell="A4" zoomScale="130" zoomScaleNormal="130" workbookViewId="0">
      <selection activeCell="A4" sqref="A4"/>
    </sheetView>
  </sheetViews>
  <sheetFormatPr defaultColWidth="9.109375" defaultRowHeight="14.4"/>
  <cols>
    <col min="1" max="1" width="12.109375" style="3" bestFit="1" customWidth="1"/>
    <col min="2" max="9" width="11" style="3" customWidth="1"/>
    <col min="10" max="10" width="15" style="3" customWidth="1"/>
    <col min="11" max="16384" width="9.109375" style="3"/>
  </cols>
  <sheetData>
    <row r="1" spans="1:11">
      <c r="A1" s="2" t="str">
        <f>"Sprzedaż 'Piaski Pustyni' na przełomie "&amp;B2&amp;"-"&amp;I2</f>
        <v>Sprzedaż 'Piaski Pustyni' na przełomie 2008-2015</v>
      </c>
      <c r="B1" s="2"/>
      <c r="C1" s="2"/>
      <c r="D1" s="2"/>
      <c r="E1" s="2"/>
      <c r="F1" s="2"/>
      <c r="G1" s="2"/>
      <c r="H1" s="2"/>
      <c r="I1" s="2"/>
    </row>
    <row r="2" spans="1:11">
      <c r="A2" s="4" t="s">
        <v>10</v>
      </c>
      <c r="B2" s="4">
        <v>2008</v>
      </c>
      <c r="C2" s="4">
        <f>B2+1</f>
        <v>2009</v>
      </c>
      <c r="D2" s="4">
        <f t="shared" ref="D2:I2" si="0">C2+1</f>
        <v>2010</v>
      </c>
      <c r="E2" s="4">
        <f t="shared" si="0"/>
        <v>2011</v>
      </c>
      <c r="F2" s="4">
        <f t="shared" si="0"/>
        <v>2012</v>
      </c>
      <c r="G2" s="4">
        <f t="shared" si="0"/>
        <v>2013</v>
      </c>
      <c r="H2" s="4">
        <f t="shared" si="0"/>
        <v>2014</v>
      </c>
      <c r="I2" s="4">
        <f t="shared" si="0"/>
        <v>2015</v>
      </c>
    </row>
    <row r="3" spans="1:11" ht="33" customHeight="1">
      <c r="A3" s="4" t="s">
        <v>11</v>
      </c>
      <c r="B3" s="5">
        <v>127864</v>
      </c>
      <c r="C3" s="5">
        <v>118576</v>
      </c>
      <c r="D3" s="5">
        <v>90056</v>
      </c>
      <c r="E3" s="5">
        <v>86760</v>
      </c>
      <c r="F3" s="5">
        <v>124224</v>
      </c>
      <c r="G3" s="5">
        <v>109288</v>
      </c>
      <c r="H3" s="5">
        <v>111912</v>
      </c>
      <c r="I3" s="5">
        <v>130952</v>
      </c>
    </row>
    <row r="4" spans="1:11" ht="33" customHeight="1">
      <c r="A4" s="4" t="s">
        <v>12</v>
      </c>
      <c r="B4" s="5">
        <v>202640</v>
      </c>
      <c r="C4" s="5">
        <v>195728</v>
      </c>
      <c r="D4" s="5">
        <v>177336</v>
      </c>
      <c r="E4" s="5">
        <v>181984</v>
      </c>
      <c r="F4" s="5">
        <v>165704</v>
      </c>
      <c r="G4" s="5">
        <v>168712</v>
      </c>
      <c r="H4" s="5">
        <v>176752</v>
      </c>
      <c r="I4" s="5">
        <v>177408</v>
      </c>
    </row>
    <row r="5" spans="1:11" ht="33" customHeight="1">
      <c r="A5" s="4" t="s">
        <v>13</v>
      </c>
      <c r="B5" s="5">
        <v>55480</v>
      </c>
      <c r="C5" s="5">
        <v>42288</v>
      </c>
      <c r="D5" s="5">
        <v>62216</v>
      </c>
      <c r="E5" s="5">
        <v>71128</v>
      </c>
      <c r="F5" s="5">
        <v>46320</v>
      </c>
      <c r="G5" s="5">
        <v>42320</v>
      </c>
      <c r="H5" s="5">
        <v>43232</v>
      </c>
      <c r="I5" s="5">
        <v>49760</v>
      </c>
    </row>
    <row r="8" spans="1:11" ht="27" customHeight="1"/>
    <row r="9" spans="1:11">
      <c r="B9" s="6" t="s">
        <v>14</v>
      </c>
      <c r="C9" s="7" t="s">
        <v>15</v>
      </c>
      <c r="D9" s="7"/>
      <c r="E9" s="7" t="s">
        <v>16</v>
      </c>
      <c r="F9" s="7"/>
      <c r="G9" s="7" t="s">
        <v>17</v>
      </c>
      <c r="H9" s="7"/>
      <c r="J9" s="8"/>
      <c r="K9" s="8"/>
    </row>
    <row r="10" spans="1:11">
      <c r="B10" s="9">
        <v>41668</v>
      </c>
      <c r="C10" s="10">
        <v>3.0829</v>
      </c>
      <c r="D10" s="11">
        <f t="shared" ref="D10:D18" si="1">(C10-C11)/C11</f>
        <v>6.3326260812796098E-3</v>
      </c>
      <c r="E10" s="10">
        <v>4.2154999999999996</v>
      </c>
      <c r="F10" s="11">
        <f t="shared" ref="F10:F18" si="2">(E10-E11)/E11</f>
        <v>7.8418246587132583E-3</v>
      </c>
      <c r="G10" s="10">
        <v>5.1121999999999996</v>
      </c>
      <c r="H10" s="11">
        <f t="shared" ref="H10:H18" si="3">(G10-G11)/G11</f>
        <v>6.9927314988082545E-3</v>
      </c>
      <c r="J10" s="8"/>
      <c r="K10" s="8"/>
    </row>
    <row r="11" spans="1:11">
      <c r="B11" s="9">
        <v>41667</v>
      </c>
      <c r="C11" s="10">
        <v>3.0634999999999999</v>
      </c>
      <c r="D11" s="11">
        <f t="shared" si="1"/>
        <v>-8.0624271467426966E-3</v>
      </c>
      <c r="E11" s="10">
        <v>4.1826999999999996</v>
      </c>
      <c r="F11" s="11">
        <f t="shared" si="2"/>
        <v>-1.0971601522782677E-2</v>
      </c>
      <c r="G11" s="10">
        <v>5.0766999999999998</v>
      </c>
      <c r="H11" s="11">
        <f t="shared" si="3"/>
        <v>-6.0498081290625595E-3</v>
      </c>
      <c r="J11" s="8"/>
      <c r="K11" s="8"/>
    </row>
    <row r="12" spans="1:11">
      <c r="B12" s="9">
        <v>41666</v>
      </c>
      <c r="C12" s="10">
        <v>3.0884</v>
      </c>
      <c r="D12" s="11">
        <f t="shared" si="1"/>
        <v>5.1095128063266262E-3</v>
      </c>
      <c r="E12" s="10">
        <v>4.2290999999999999</v>
      </c>
      <c r="F12" s="11">
        <f t="shared" si="2"/>
        <v>6.5930404150997962E-3</v>
      </c>
      <c r="G12" s="10">
        <v>5.1075999999999997</v>
      </c>
      <c r="H12" s="11">
        <f t="shared" si="3"/>
        <v>7.8320802005003908E-5</v>
      </c>
    </row>
    <row r="13" spans="1:11">
      <c r="B13" s="9">
        <v>41663</v>
      </c>
      <c r="C13" s="10">
        <v>3.0727000000000002</v>
      </c>
      <c r="D13" s="11">
        <f t="shared" si="1"/>
        <v>5.4975620930005466E-3</v>
      </c>
      <c r="E13" s="10">
        <v>4.2013999999999996</v>
      </c>
      <c r="F13" s="11">
        <f t="shared" si="2"/>
        <v>8.0376208642239967E-3</v>
      </c>
      <c r="G13" s="10">
        <v>5.1071999999999997</v>
      </c>
      <c r="H13" s="11">
        <f t="shared" si="3"/>
        <v>6.7018844122052768E-3</v>
      </c>
    </row>
    <row r="14" spans="1:11">
      <c r="B14" s="9">
        <v>41662</v>
      </c>
      <c r="C14" s="10">
        <v>3.0558999999999998</v>
      </c>
      <c r="D14" s="11">
        <f t="shared" si="1"/>
        <v>-6.5667566073924766E-3</v>
      </c>
      <c r="E14" s="10">
        <v>4.1679000000000004</v>
      </c>
      <c r="F14" s="11">
        <f t="shared" si="2"/>
        <v>2.3998656075267799E-4</v>
      </c>
      <c r="G14" s="10">
        <v>5.0731999999999999</v>
      </c>
      <c r="H14" s="11">
        <f t="shared" si="3"/>
        <v>-3.4180646682120583E-3</v>
      </c>
    </row>
    <row r="15" spans="1:11">
      <c r="B15" s="9">
        <v>41661</v>
      </c>
      <c r="C15" s="10">
        <v>3.0760999999999998</v>
      </c>
      <c r="D15" s="11">
        <f t="shared" si="1"/>
        <v>-6.5013165165938945E-5</v>
      </c>
      <c r="E15" s="10">
        <v>4.1669</v>
      </c>
      <c r="F15" s="11">
        <f t="shared" si="2"/>
        <v>5.28249333685548E-4</v>
      </c>
      <c r="G15" s="10">
        <v>5.0906000000000002</v>
      </c>
      <c r="H15" s="11">
        <f t="shared" si="3"/>
        <v>7.3215133766028019E-3</v>
      </c>
    </row>
    <row r="16" spans="1:11">
      <c r="B16" s="9">
        <v>41660</v>
      </c>
      <c r="C16" s="10">
        <v>3.0762999999999998</v>
      </c>
      <c r="D16" s="11">
        <f t="shared" si="1"/>
        <v>2.7053455019555904E-3</v>
      </c>
      <c r="E16" s="10">
        <v>4.1646999999999998</v>
      </c>
      <c r="F16" s="11">
        <f t="shared" si="2"/>
        <v>1.4668398018563926E-3</v>
      </c>
      <c r="G16" s="10">
        <v>5.0536000000000003</v>
      </c>
      <c r="H16" s="11">
        <f t="shared" si="3"/>
        <v>1.5855398763278909E-3</v>
      </c>
    </row>
    <row r="17" spans="2:8">
      <c r="B17" s="9">
        <v>41659</v>
      </c>
      <c r="C17" s="10">
        <v>3.0680000000000001</v>
      </c>
      <c r="D17" s="11">
        <f t="shared" si="1"/>
        <v>2.7454569224735137E-3</v>
      </c>
      <c r="E17" s="10">
        <v>4.1585999999999999</v>
      </c>
      <c r="F17" s="11">
        <f t="shared" si="2"/>
        <v>-3.6056825557079323E-4</v>
      </c>
      <c r="G17" s="10">
        <v>5.0456000000000003</v>
      </c>
      <c r="H17" s="11">
        <f t="shared" si="3"/>
        <v>2.8422077793016564E-3</v>
      </c>
    </row>
    <row r="18" spans="2:8">
      <c r="B18" s="9">
        <v>41656</v>
      </c>
      <c r="C18" s="10">
        <v>3.0596000000000001</v>
      </c>
      <c r="D18" s="11">
        <f t="shared" si="1"/>
        <v>9.8148269318854725E-4</v>
      </c>
      <c r="E18" s="10">
        <v>4.1600999999999999</v>
      </c>
      <c r="F18" s="11">
        <f t="shared" si="2"/>
        <v>-1.1045213340696658E-3</v>
      </c>
      <c r="G18" s="10">
        <v>5.0312999999999999</v>
      </c>
      <c r="H18" s="11">
        <f t="shared" si="3"/>
        <v>6.7029492976910018E-3</v>
      </c>
    </row>
    <row r="19" spans="2:8">
      <c r="B19" s="9">
        <v>41655</v>
      </c>
      <c r="C19" s="10">
        <v>3.0566</v>
      </c>
      <c r="D19" s="12">
        <v>2.3E-3</v>
      </c>
      <c r="E19" s="10">
        <v>4.1646999999999998</v>
      </c>
      <c r="F19" s="11">
        <v>-3.0000000000000001E-3</v>
      </c>
      <c r="G19" s="10">
        <v>4.9977999999999998</v>
      </c>
      <c r="H19" s="12">
        <v>-1.8E-3</v>
      </c>
    </row>
  </sheetData>
  <mergeCells count="1">
    <mergeCell ref="J9:K11"/>
  </mergeCells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B00-000005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PrzebieguWCzasie!B3:I3</xm:f>
              <xm:sqref>J9</xm:sqref>
            </x14:sparkline>
          </x14:sparklines>
        </x14:sparklineGroup>
        <x14:sparklineGroup type="stacked" displayEmptyCellsAs="gap" negative="1" xr2:uid="{00000000-0003-0000-0B00-000004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PrzebieguWCzasie!D10:D19</xm:f>
              <xm:sqref>D8</xm:sqref>
            </x14:sparkline>
            <x14:sparkline>
              <xm:f>PrzebieguWCzasie!F10:F19</xm:f>
              <xm:sqref>F8</xm:sqref>
            </x14:sparkline>
            <x14:sparkline>
              <xm:f>PrzebieguWCzasie!H10:H19</xm:f>
              <xm:sqref>H8</xm:sqref>
            </x14:sparkline>
          </x14:sparklines>
        </x14:sparklineGroup>
        <x14:sparklineGroup type="column" displayEmptyCellsAs="gap" xr2:uid="{00000000-0003-0000-0B00-000003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PrzebieguWCzasie!G10:G19</xm:f>
              <xm:sqref>G8</xm:sqref>
            </x14:sparkline>
          </x14:sparklines>
        </x14:sparklineGroup>
        <x14:sparklineGroup type="column" displayEmptyCellsAs="gap" xr2:uid="{00000000-0003-0000-0B00-000002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PrzebieguWCzasie!E10:E19</xm:f>
              <xm:sqref>E8</xm:sqref>
            </x14:sparkline>
          </x14:sparklines>
        </x14:sparklineGroup>
        <x14:sparklineGroup type="column" displayEmptyCellsAs="gap" high="1" low="1" xr2:uid="{00000000-0003-0000-0B00-000001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PrzebieguWCzasie!C10:C19</xm:f>
              <xm:sqref>C8</xm:sqref>
            </x14:sparkline>
          </x14:sparklines>
        </x14:sparklineGroup>
        <x14:sparklineGroup displayEmptyCellsAs="gap" high="1" low="1" xr2:uid="{00000000-0003-0000-0B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PrzebieguWCzasie!B3:I3</xm:f>
              <xm:sqref>J3</xm:sqref>
            </x14:sparkline>
            <x14:sparkline>
              <xm:f>PrzebieguWCzasie!B4:I4</xm:f>
              <xm:sqref>J4</xm:sqref>
            </x14:sparkline>
            <x14:sparkline>
              <xm:f>PrzebieguWCzasie!B5:I5</xm:f>
              <xm:sqref>J5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11</vt:i4>
      </vt:variant>
      <vt:variant>
        <vt:lpstr>Wykresy</vt:lpstr>
      </vt:variant>
      <vt:variant>
        <vt:i4>2</vt:i4>
      </vt:variant>
    </vt:vector>
  </HeadingPairs>
  <TitlesOfParts>
    <vt:vector size="13" baseType="lpstr">
      <vt:lpstr>ExceliAdam</vt:lpstr>
      <vt:lpstr>Podstawy</vt:lpstr>
      <vt:lpstr>WykresyŚmieciowe</vt:lpstr>
      <vt:lpstr>KolumnowySłupkowy</vt:lpstr>
      <vt:lpstr>Kołowy</vt:lpstr>
      <vt:lpstr>DrugieKoło</vt:lpstr>
      <vt:lpstr>Liniowy</vt:lpstr>
      <vt:lpstr>Histogram</vt:lpstr>
      <vt:lpstr>XY</vt:lpstr>
      <vt:lpstr>Pomocniczy</vt:lpstr>
      <vt:lpstr>PrzebieguWCzasie</vt:lpstr>
      <vt:lpstr>Wykres1</vt:lpstr>
      <vt:lpstr>Wykres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2016-06-16T10:10:14Z</dcterms:created>
  <dcterms:modified xsi:type="dcterms:W3CDTF">2019-05-13T07:58:43Z</dcterms:modified>
</cp:coreProperties>
</file>