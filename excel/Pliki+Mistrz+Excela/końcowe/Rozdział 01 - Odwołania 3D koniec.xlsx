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Pliki Mistrz Excela\końcowe\"/>
    </mc:Choice>
  </mc:AlternateContent>
  <xr:revisionPtr revIDLastSave="0" documentId="13_ncr:1_{10676108-45F2-45E2-BB1E-F642E5C7A60B}" xr6:coauthVersionLast="43" xr6:coauthVersionMax="43" xr10:uidLastSave="{00000000-0000-0000-0000-000000000000}"/>
  <bookViews>
    <workbookView xWindow="-108" yWindow="-108" windowWidth="23256" windowHeight="12576" tabRatio="552" xr2:uid="{00000000-000D-0000-FFFF-FFFF00000000}"/>
  </bookViews>
  <sheets>
    <sheet name="ExceliAdam" sheetId="231" r:id="rId1"/>
    <sheet name="Suma" sheetId="226" r:id="rId2"/>
    <sheet name="Dolnośląskie" sheetId="224" r:id="rId3"/>
    <sheet name="Lubuskie" sheetId="221" r:id="rId4"/>
    <sheet name="Start&gt;" sheetId="229" r:id="rId5"/>
    <sheet name="Kujawsko-pomorskie" sheetId="223" r:id="rId6"/>
    <sheet name="Lubelskie" sheetId="222" r:id="rId7"/>
    <sheet name="Łódzkie" sheetId="220" r:id="rId8"/>
    <sheet name="Małopolskie" sheetId="219" r:id="rId9"/>
    <sheet name="Mazowieckie" sheetId="218" r:id="rId10"/>
    <sheet name="Opolskie" sheetId="217" r:id="rId11"/>
    <sheet name="Podkarpackie" sheetId="216" r:id="rId12"/>
    <sheet name="Podlaskie" sheetId="215" r:id="rId13"/>
    <sheet name="Pomorskie" sheetId="214" r:id="rId14"/>
    <sheet name="Śląskie" sheetId="213" r:id="rId15"/>
    <sheet name="Świętokrzyskie" sheetId="212" r:id="rId16"/>
    <sheet name="&lt;Koniec" sheetId="230" r:id="rId17"/>
    <sheet name="Warmińsko-mazurskie" sheetId="211" r:id="rId18"/>
    <sheet name="Wielkopolskie" sheetId="210" r:id="rId19"/>
    <sheet name="Zachodniopomorskie" sheetId="209" r:id="rId20"/>
  </sheet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226" l="1"/>
  <c r="B7" i="226"/>
  <c r="C7" i="226"/>
  <c r="D7" i="226"/>
  <c r="E7" i="226"/>
  <c r="F7" i="226"/>
  <c r="B8" i="226"/>
  <c r="C8" i="226"/>
  <c r="D8" i="226"/>
  <c r="E8" i="226"/>
  <c r="F8" i="226"/>
  <c r="B9" i="226"/>
  <c r="C9" i="226"/>
  <c r="D9" i="226"/>
  <c r="E9" i="226"/>
  <c r="F9" i="226"/>
  <c r="B10" i="226"/>
  <c r="C10" i="226"/>
  <c r="D10" i="226"/>
  <c r="E10" i="226"/>
  <c r="F10" i="226"/>
  <c r="B11" i="226"/>
  <c r="C11" i="226"/>
  <c r="D11" i="226"/>
  <c r="E11" i="226"/>
  <c r="F11" i="226"/>
  <c r="B12" i="226"/>
  <c r="C12" i="226"/>
  <c r="D12" i="226"/>
  <c r="E12" i="226"/>
  <c r="F12" i="226"/>
  <c r="B13" i="226"/>
  <c r="C13" i="226"/>
  <c r="D13" i="226"/>
  <c r="E13" i="226"/>
  <c r="F13" i="226"/>
  <c r="B14" i="226"/>
  <c r="C14" i="226"/>
  <c r="D14" i="226"/>
  <c r="E14" i="226"/>
  <c r="F14" i="226"/>
  <c r="B15" i="226"/>
  <c r="C15" i="226"/>
  <c r="D15" i="226"/>
  <c r="E15" i="226"/>
  <c r="F15" i="226"/>
  <c r="B16" i="226"/>
  <c r="C16" i="226"/>
  <c r="D16" i="226"/>
  <c r="E16" i="226"/>
  <c r="F16" i="226"/>
  <c r="C6" i="226"/>
  <c r="D6" i="226"/>
  <c r="E6" i="226"/>
  <c r="F6" i="226"/>
  <c r="D17" i="226" l="1"/>
  <c r="G8" i="226" l="1"/>
  <c r="G10" i="226"/>
  <c r="G12" i="226"/>
  <c r="G14" i="226"/>
  <c r="G15" i="226"/>
  <c r="E17" i="226"/>
  <c r="B17" i="226"/>
  <c r="C17" i="226" l="1"/>
  <c r="F17" i="226"/>
  <c r="G13" i="226"/>
  <c r="G11" i="226"/>
  <c r="G9" i="226"/>
  <c r="G7" i="226"/>
  <c r="G6" i="226"/>
  <c r="G16" i="226"/>
  <c r="B17" i="209"/>
  <c r="C17" i="209"/>
  <c r="D17" i="209"/>
  <c r="E17" i="209"/>
  <c r="F17" i="209"/>
  <c r="G6" i="209"/>
  <c r="G7" i="209"/>
  <c r="G8" i="209"/>
  <c r="G9" i="209"/>
  <c r="G10" i="209"/>
  <c r="G11" i="209"/>
  <c r="G12" i="209"/>
  <c r="G13" i="209"/>
  <c r="G14" i="209"/>
  <c r="G15" i="209"/>
  <c r="G16" i="209"/>
  <c r="B17" i="210"/>
  <c r="C17" i="210"/>
  <c r="D17" i="210"/>
  <c r="E17" i="210"/>
  <c r="F17" i="210"/>
  <c r="G6" i="210"/>
  <c r="G7" i="210"/>
  <c r="G8" i="210"/>
  <c r="G9" i="210"/>
  <c r="G10" i="210"/>
  <c r="G11" i="210"/>
  <c r="G12" i="210"/>
  <c r="G13" i="210"/>
  <c r="G14" i="210"/>
  <c r="G15" i="210"/>
  <c r="G16" i="210"/>
  <c r="B17" i="211"/>
  <c r="C17" i="211"/>
  <c r="D17" i="211"/>
  <c r="E17" i="211"/>
  <c r="F17" i="211"/>
  <c r="G6" i="211"/>
  <c r="G7" i="211"/>
  <c r="G8" i="211"/>
  <c r="G9" i="211"/>
  <c r="G10" i="211"/>
  <c r="G11" i="211"/>
  <c r="G12" i="211"/>
  <c r="G13" i="211"/>
  <c r="G14" i="211"/>
  <c r="G15" i="211"/>
  <c r="G16" i="211"/>
  <c r="B17" i="212"/>
  <c r="C17" i="212"/>
  <c r="D17" i="212"/>
  <c r="E17" i="212"/>
  <c r="F17" i="212"/>
  <c r="G6" i="212"/>
  <c r="G7" i="212"/>
  <c r="G8" i="212"/>
  <c r="G9" i="212"/>
  <c r="G10" i="212"/>
  <c r="G11" i="212"/>
  <c r="G12" i="212"/>
  <c r="G13" i="212"/>
  <c r="G14" i="212"/>
  <c r="G15" i="212"/>
  <c r="G16" i="212"/>
  <c r="B17" i="213"/>
  <c r="C17" i="213"/>
  <c r="D17" i="213"/>
  <c r="E17" i="213"/>
  <c r="F17" i="213"/>
  <c r="G6" i="213"/>
  <c r="G7" i="213"/>
  <c r="G8" i="213"/>
  <c r="G9" i="213"/>
  <c r="G10" i="213"/>
  <c r="G11" i="213"/>
  <c r="G12" i="213"/>
  <c r="G13" i="213"/>
  <c r="G14" i="213"/>
  <c r="G15" i="213"/>
  <c r="G16" i="213"/>
  <c r="B17" i="214"/>
  <c r="C17" i="214"/>
  <c r="D17" i="214"/>
  <c r="E17" i="214"/>
  <c r="F17" i="214"/>
  <c r="G6" i="214"/>
  <c r="G7" i="214"/>
  <c r="G8" i="214"/>
  <c r="G9" i="214"/>
  <c r="G10" i="214"/>
  <c r="G11" i="214"/>
  <c r="G12" i="214"/>
  <c r="G13" i="214"/>
  <c r="G14" i="214"/>
  <c r="G15" i="214"/>
  <c r="G16" i="214"/>
  <c r="B17" i="215"/>
  <c r="C17" i="215"/>
  <c r="D17" i="215"/>
  <c r="E17" i="215"/>
  <c r="F17" i="215"/>
  <c r="G6" i="215"/>
  <c r="G7" i="215"/>
  <c r="G8" i="215"/>
  <c r="G9" i="215"/>
  <c r="G10" i="215"/>
  <c r="G11" i="215"/>
  <c r="G12" i="215"/>
  <c r="G13" i="215"/>
  <c r="G14" i="215"/>
  <c r="G15" i="215"/>
  <c r="G16" i="215"/>
  <c r="B17" i="216"/>
  <c r="C17" i="216"/>
  <c r="D17" i="216"/>
  <c r="E17" i="216"/>
  <c r="F17" i="216"/>
  <c r="G6" i="216"/>
  <c r="G7" i="216"/>
  <c r="G8" i="216"/>
  <c r="G9" i="216"/>
  <c r="G10" i="216"/>
  <c r="G11" i="216"/>
  <c r="G12" i="216"/>
  <c r="G13" i="216"/>
  <c r="G14" i="216"/>
  <c r="G15" i="216"/>
  <c r="G16" i="216"/>
  <c r="B17" i="217"/>
  <c r="C17" i="217"/>
  <c r="D17" i="217"/>
  <c r="E17" i="217"/>
  <c r="F17" i="217"/>
  <c r="G6" i="217"/>
  <c r="G7" i="217"/>
  <c r="G8" i="217"/>
  <c r="G9" i="217"/>
  <c r="G10" i="217"/>
  <c r="G11" i="217"/>
  <c r="G12" i="217"/>
  <c r="G13" i="217"/>
  <c r="G14" i="217"/>
  <c r="G15" i="217"/>
  <c r="G16" i="217"/>
  <c r="B17" i="218"/>
  <c r="C17" i="218"/>
  <c r="D17" i="218"/>
  <c r="E17" i="218"/>
  <c r="F17" i="218"/>
  <c r="G6" i="218"/>
  <c r="G7" i="218"/>
  <c r="G8" i="218"/>
  <c r="G9" i="218"/>
  <c r="G10" i="218"/>
  <c r="G11" i="218"/>
  <c r="G12" i="218"/>
  <c r="G13" i="218"/>
  <c r="G14" i="218"/>
  <c r="G15" i="218"/>
  <c r="G16" i="218"/>
  <c r="B17" i="219"/>
  <c r="C17" i="219"/>
  <c r="D17" i="219"/>
  <c r="E17" i="219"/>
  <c r="F17" i="219"/>
  <c r="G6" i="219"/>
  <c r="G7" i="219"/>
  <c r="G8" i="219"/>
  <c r="G9" i="219"/>
  <c r="G10" i="219"/>
  <c r="G11" i="219"/>
  <c r="G12" i="219"/>
  <c r="G13" i="219"/>
  <c r="G14" i="219"/>
  <c r="G15" i="219"/>
  <c r="G16" i="219"/>
  <c r="B17" i="220"/>
  <c r="C17" i="220"/>
  <c r="D17" i="220"/>
  <c r="E17" i="220"/>
  <c r="F17" i="220"/>
  <c r="G6" i="220"/>
  <c r="G7" i="220"/>
  <c r="G8" i="220"/>
  <c r="G9" i="220"/>
  <c r="G10" i="220"/>
  <c r="G11" i="220"/>
  <c r="G12" i="220"/>
  <c r="G13" i="220"/>
  <c r="G14" i="220"/>
  <c r="G15" i="220"/>
  <c r="G16" i="220"/>
  <c r="B17" i="221"/>
  <c r="C17" i="221"/>
  <c r="D17" i="221"/>
  <c r="E17" i="221"/>
  <c r="F17" i="221"/>
  <c r="G6" i="221"/>
  <c r="G7" i="221"/>
  <c r="G8" i="221"/>
  <c r="G9" i="221"/>
  <c r="G10" i="221"/>
  <c r="G11" i="221"/>
  <c r="G12" i="221"/>
  <c r="G13" i="221"/>
  <c r="G14" i="221"/>
  <c r="G15" i="221"/>
  <c r="G16" i="221"/>
  <c r="B17" i="223"/>
  <c r="C17" i="223"/>
  <c r="D17" i="223"/>
  <c r="E17" i="223"/>
  <c r="F17" i="223"/>
  <c r="G6" i="223"/>
  <c r="G7" i="223"/>
  <c r="G8" i="223"/>
  <c r="G9" i="223"/>
  <c r="G10" i="223"/>
  <c r="G11" i="223"/>
  <c r="G12" i="223"/>
  <c r="G13" i="223"/>
  <c r="G14" i="223"/>
  <c r="G15" i="223"/>
  <c r="G16" i="223"/>
  <c r="B17" i="222"/>
  <c r="C17" i="222"/>
  <c r="D17" i="222"/>
  <c r="E17" i="222"/>
  <c r="F17" i="222"/>
  <c r="G6" i="222"/>
  <c r="G7" i="222"/>
  <c r="G8" i="222"/>
  <c r="G9" i="222"/>
  <c r="G10" i="222"/>
  <c r="G11" i="222"/>
  <c r="G12" i="222"/>
  <c r="G13" i="222"/>
  <c r="G14" i="222"/>
  <c r="G15" i="222"/>
  <c r="G16" i="222"/>
  <c r="B17" i="224"/>
  <c r="C17" i="224"/>
  <c r="D17" i="224"/>
  <c r="E17" i="224"/>
  <c r="F17" i="224"/>
  <c r="G7" i="224"/>
  <c r="G8" i="224"/>
  <c r="G9" i="224"/>
  <c r="G10" i="224"/>
  <c r="G11" i="224"/>
  <c r="G12" i="224"/>
  <c r="G13" i="224"/>
  <c r="G14" i="224"/>
  <c r="G15" i="224"/>
  <c r="G16" i="224"/>
  <c r="G17" i="226" l="1"/>
  <c r="G17" i="219"/>
  <c r="G17" i="215"/>
  <c r="G17" i="213"/>
  <c r="G17" i="216"/>
  <c r="G17" i="211"/>
  <c r="G17" i="218"/>
  <c r="G17" i="217"/>
  <c r="G17" i="212"/>
  <c r="G17" i="210"/>
  <c r="G17" i="209"/>
  <c r="G17" i="222"/>
  <c r="G17" i="223"/>
  <c r="G17" i="220"/>
  <c r="G17" i="214"/>
  <c r="G17" i="221"/>
  <c r="G6" i="224" l="1"/>
  <c r="G17" i="224"/>
</calcChain>
</file>

<file path=xl/sharedStrings.xml><?xml version="1.0" encoding="utf-8"?>
<sst xmlns="http://schemas.openxmlformats.org/spreadsheetml/2006/main" count="430" uniqueCount="75">
  <si>
    <t>Produkt</t>
  </si>
  <si>
    <t>Sprzedawca</t>
  </si>
  <si>
    <t>Województwo</t>
  </si>
  <si>
    <t>Świętokrzyskie</t>
  </si>
  <si>
    <t>Lubelskie</t>
  </si>
  <si>
    <t>Mazowieckie</t>
  </si>
  <si>
    <t>Łódzkie</t>
  </si>
  <si>
    <t>Wielkopolskie</t>
  </si>
  <si>
    <t>Marty</t>
  </si>
  <si>
    <t>Dolnośląskie</t>
  </si>
  <si>
    <t>Słońce</t>
  </si>
  <si>
    <t>Tęcza</t>
  </si>
  <si>
    <t>Melman</t>
  </si>
  <si>
    <t>Warmińsko-mazurskie</t>
  </si>
  <si>
    <t>Burza</t>
  </si>
  <si>
    <t>Marlin</t>
  </si>
  <si>
    <t>Kujawsko-pomorskie</t>
  </si>
  <si>
    <t>Skipper</t>
  </si>
  <si>
    <t>Zachodniopomorskie</t>
  </si>
  <si>
    <t>Piorun</t>
  </si>
  <si>
    <t>Chmura</t>
  </si>
  <si>
    <t>Maurice</t>
  </si>
  <si>
    <t>Alex</t>
  </si>
  <si>
    <t>Małopolskie</t>
  </si>
  <si>
    <t>Śląskie</t>
  </si>
  <si>
    <t>Podkarpackie</t>
  </si>
  <si>
    <t>Nemo</t>
  </si>
  <si>
    <t>Julian</t>
  </si>
  <si>
    <t>Lubuskie</t>
  </si>
  <si>
    <t>Idol</t>
  </si>
  <si>
    <t>Marlena</t>
  </si>
  <si>
    <t>Podlaskie</t>
  </si>
  <si>
    <t>Opolskie</t>
  </si>
  <si>
    <t>Pomorskie</t>
  </si>
  <si>
    <t>Gloria</t>
  </si>
  <si>
    <t>Suma z Sprzedaż</t>
  </si>
  <si>
    <t>Suma końcowa</t>
  </si>
  <si>
    <t>Wszystkie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</si>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</sst>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5" formatCode="&quot;$&quot;#,##0,"/>
    <numFmt numFmtId="166" formatCode="d\-mmm\-yyyy"/>
    <numFmt numFmtId="167" formatCode="#,##0.00\ &quot;zł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/>
      </patternFill>
    </fill>
    <fill>
      <patternFill patternType="solid">
        <fgColor rgb="FF2EA3F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4">
    <xf numFmtId="0" fontId="0" fillId="0" borderId="0"/>
    <xf numFmtId="0" fontId="2" fillId="3" borderId="1">
      <alignment wrapText="1"/>
    </xf>
    <xf numFmtId="0" fontId="3" fillId="2" borderId="2" applyBorder="0">
      <alignment horizontal="centerContinuous" wrapText="1"/>
    </xf>
    <xf numFmtId="165" fontId="4" fillId="0" borderId="0"/>
    <xf numFmtId="166" fontId="5" fillId="0" borderId="0" applyFont="0" applyFill="0" applyBorder="0" applyProtection="0">
      <alignment horizontal="center"/>
    </xf>
    <xf numFmtId="0" fontId="6" fillId="0" borderId="0"/>
    <xf numFmtId="0" fontId="6" fillId="0" borderId="0">
      <alignment wrapText="1"/>
    </xf>
    <xf numFmtId="164" fontId="6" fillId="0" borderId="0" applyFont="0" applyFill="0" applyBorder="0" applyAlignment="0" applyProtection="0"/>
    <xf numFmtId="0" fontId="7" fillId="4" borderId="0" applyNumberFormat="0" applyBorder="0" applyAlignment="0" applyProtection="0"/>
    <xf numFmtId="0" fontId="11" fillId="0" borderId="0" applyNumberFormat="0" applyFill="0" applyBorder="0" applyAlignment="0" applyProtection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45">
    <xf numFmtId="0" fontId="0" fillId="0" borderId="0" xfId="0"/>
    <xf numFmtId="0" fontId="9" fillId="5" borderId="1" xfId="8" applyFont="1" applyFill="1" applyBorder="1" applyAlignment="1">
      <alignment horizontal="center" vertical="center" wrapText="1"/>
    </xf>
    <xf numFmtId="0" fontId="10" fillId="0" borderId="1" xfId="0" applyFont="1" applyBorder="1"/>
    <xf numFmtId="0" fontId="10" fillId="0" borderId="0" xfId="0" applyFont="1"/>
    <xf numFmtId="0" fontId="9" fillId="5" borderId="2" xfId="8" applyFont="1" applyFill="1" applyBorder="1" applyAlignment="1">
      <alignment horizontal="centerContinuous" vertical="center" wrapText="1"/>
    </xf>
    <xf numFmtId="0" fontId="9" fillId="5" borderId="3" xfId="8" applyFont="1" applyFill="1" applyBorder="1" applyAlignment="1">
      <alignment horizontal="centerContinuous" vertical="center" wrapText="1"/>
    </xf>
    <xf numFmtId="167" fontId="10" fillId="0" borderId="1" xfId="0" applyNumberFormat="1" applyFont="1" applyBorder="1"/>
    <xf numFmtId="0" fontId="1" fillId="0" borderId="0" xfId="10"/>
    <xf numFmtId="0" fontId="8" fillId="0" borderId="0" xfId="11" applyFont="1" applyAlignment="1">
      <alignment vertical="center"/>
    </xf>
    <xf numFmtId="0" fontId="8" fillId="0" borderId="0" xfId="11" applyFont="1" applyAlignment="1">
      <alignment vertical="center"/>
    </xf>
    <xf numFmtId="0" fontId="13" fillId="0" borderId="0" xfId="12" applyFont="1" applyAlignment="1">
      <alignment vertical="center"/>
    </xf>
    <xf numFmtId="0" fontId="12" fillId="0" borderId="0" xfId="12" applyFont="1" applyAlignment="1">
      <alignment vertical="center"/>
    </xf>
    <xf numFmtId="0" fontId="14" fillId="0" borderId="0" xfId="10" applyFont="1" applyAlignment="1">
      <alignment vertical="center"/>
    </xf>
    <xf numFmtId="0" fontId="14" fillId="0" borderId="0" xfId="10" applyFont="1" applyAlignment="1">
      <alignment vertical="center"/>
    </xf>
    <xf numFmtId="0" fontId="1" fillId="0" borderId="4" xfId="10" applyBorder="1"/>
    <xf numFmtId="0" fontId="8" fillId="0" borderId="4" xfId="10" applyFont="1" applyBorder="1" applyAlignment="1">
      <alignment wrapText="1"/>
    </xf>
    <xf numFmtId="0" fontId="8" fillId="0" borderId="0" xfId="10" applyFont="1" applyBorder="1" applyAlignment="1">
      <alignment wrapText="1"/>
    </xf>
    <xf numFmtId="0" fontId="0" fillId="0" borderId="4" xfId="10" applyFont="1" applyBorder="1" applyAlignment="1">
      <alignment vertical="top"/>
    </xf>
    <xf numFmtId="0" fontId="0" fillId="0" borderId="0" xfId="10" applyFont="1" applyBorder="1" applyAlignment="1">
      <alignment vertical="top"/>
    </xf>
    <xf numFmtId="0" fontId="8" fillId="0" borderId="0" xfId="10" applyFont="1" applyBorder="1" applyAlignment="1">
      <alignment wrapText="1"/>
    </xf>
    <xf numFmtId="0" fontId="0" fillId="0" borderId="0" xfId="10" applyFont="1" applyBorder="1" applyAlignment="1">
      <alignment vertical="top"/>
    </xf>
    <xf numFmtId="0" fontId="13" fillId="0" borderId="0" xfId="12" applyFont="1" applyAlignment="1"/>
    <xf numFmtId="0" fontId="12" fillId="0" borderId="0" xfId="12" applyAlignment="1"/>
    <xf numFmtId="0" fontId="1" fillId="0" borderId="0" xfId="10" applyFont="1" applyAlignment="1">
      <alignment vertical="top"/>
    </xf>
    <xf numFmtId="0" fontId="1" fillId="0" borderId="0" xfId="10" applyFont="1" applyAlignment="1">
      <alignment vertical="top"/>
    </xf>
    <xf numFmtId="0" fontId="13" fillId="0" borderId="0" xfId="9" applyFont="1" applyAlignment="1"/>
    <xf numFmtId="0" fontId="13" fillId="0" borderId="0" xfId="9" applyFont="1" applyAlignment="1"/>
    <xf numFmtId="0" fontId="8" fillId="0" borderId="4" xfId="10" applyFont="1" applyBorder="1" applyAlignment="1">
      <alignment vertical="center"/>
    </xf>
    <xf numFmtId="0" fontId="8" fillId="0" borderId="0" xfId="10" applyFont="1" applyBorder="1" applyAlignment="1">
      <alignment vertical="center"/>
    </xf>
    <xf numFmtId="0" fontId="8" fillId="0" borderId="0" xfId="10" applyFont="1" applyBorder="1" applyAlignment="1">
      <alignment vertical="center"/>
    </xf>
    <xf numFmtId="0" fontId="1" fillId="0" borderId="0" xfId="10" applyFont="1" applyAlignment="1">
      <alignment vertical="center"/>
    </xf>
    <xf numFmtId="0" fontId="1" fillId="0" borderId="0" xfId="10" applyFont="1" applyAlignment="1">
      <alignment vertical="center"/>
    </xf>
    <xf numFmtId="0" fontId="11" fillId="0" borderId="0" xfId="9" applyAlignment="1"/>
    <xf numFmtId="0" fontId="8" fillId="0" borderId="4" xfId="10" applyFont="1" applyBorder="1" applyAlignment="1">
      <alignment vertical="top" wrapText="1"/>
    </xf>
    <xf numFmtId="0" fontId="8" fillId="0" borderId="0" xfId="10" applyFont="1" applyBorder="1" applyAlignment="1">
      <alignment vertical="top" wrapText="1"/>
    </xf>
    <xf numFmtId="0" fontId="8" fillId="0" borderId="0" xfId="10" applyFont="1" applyBorder="1" applyAlignment="1">
      <alignment vertical="top" wrapText="1"/>
    </xf>
    <xf numFmtId="0" fontId="12" fillId="0" borderId="0" xfId="12" applyAlignment="1">
      <alignment vertical="center"/>
    </xf>
    <xf numFmtId="0" fontId="8" fillId="0" borderId="0" xfId="10" applyFont="1" applyAlignment="1"/>
    <xf numFmtId="0" fontId="12" fillId="0" borderId="0" xfId="12" applyAlignment="1">
      <alignment vertical="center"/>
    </xf>
    <xf numFmtId="0" fontId="11" fillId="0" borderId="0" xfId="13" applyAlignment="1">
      <alignment vertical="center"/>
    </xf>
    <xf numFmtId="0" fontId="1" fillId="6" borderId="0" xfId="10" applyFont="1" applyFill="1" applyAlignment="1">
      <alignment vertical="top" wrapText="1"/>
    </xf>
    <xf numFmtId="0" fontId="1" fillId="6" borderId="0" xfId="10" applyFont="1" applyFill="1" applyAlignment="1">
      <alignment vertical="top" wrapText="1"/>
    </xf>
    <xf numFmtId="0" fontId="1" fillId="6" borderId="0" xfId="10" applyFont="1" applyFill="1" applyAlignment="1">
      <alignment wrapText="1"/>
    </xf>
    <xf numFmtId="0" fontId="1" fillId="6" borderId="0" xfId="10" applyFont="1" applyFill="1" applyAlignment="1">
      <alignment wrapText="1"/>
    </xf>
    <xf numFmtId="0" fontId="1" fillId="0" borderId="0" xfId="10" applyFont="1" applyAlignment="1">
      <alignment vertical="top" wrapText="1"/>
    </xf>
  </cellXfs>
  <cellStyles count="14">
    <cellStyle name="Akcent 1" xfId="8" builtinId="29"/>
    <cellStyle name="blue" xfId="1" xr:uid="{00000000-0005-0000-0000-000001000000}"/>
    <cellStyle name="BlueTitle" xfId="2" xr:uid="{00000000-0005-0000-0000-000002000000}"/>
    <cellStyle name="Comma 2" xfId="7" xr:uid="{00000000-0005-0000-0000-000003000000}"/>
    <cellStyle name="Currency Round to thousands" xfId="3" xr:uid="{00000000-0005-0000-0000-000004000000}"/>
    <cellStyle name="Four-Digit Year" xfId="4" xr:uid="{00000000-0005-0000-0000-000005000000}"/>
    <cellStyle name="Hiperłącze" xfId="9" builtinId="8"/>
    <cellStyle name="Hiperłącze 2" xfId="12" xr:uid="{7F555B4E-EAED-4339-8481-5DD3DD9D319B}"/>
    <cellStyle name="Hiperłącze 2 3" xfId="13" xr:uid="{45B54D47-732D-4333-9B6B-BC981CEF8BE8}"/>
    <cellStyle name="Normal 2" xfId="5" xr:uid="{00000000-0005-0000-0000-000006000000}"/>
    <cellStyle name="Normalny" xfId="0" builtinId="0"/>
    <cellStyle name="Normalny 2 3" xfId="10" xr:uid="{163D1223-49E3-4A93-9180-5143AED6287C}"/>
    <cellStyle name="Normalny 4" xfId="11" xr:uid="{22ABB00D-2E2D-4468-9F02-05E71079DA56}"/>
    <cellStyle name="Wrap Text" xfId="6" xr:uid="{00000000-0005-0000-0000-000008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5FCE77"/>
      <color rgb="FFDD9933"/>
      <color rgb="FF8224E3"/>
      <color rgb="FFEEEE22"/>
      <color rgb="FFDD3333"/>
      <color rgb="FFEA7E7E"/>
      <color rgb="FFA6E4B3"/>
      <color rgb="FF2EA3F2"/>
      <color rgb="FF00FF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C3FE77D4-723C-45C0-9F56-740D5696A4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60153E45-5615-43DD-88EE-E29CA04A6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E42E2DA7-A865-4422-976E-0B1084B96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30ABFAC3-DD3F-4C0F-8C54-2175E916ECDA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CA4B341-E568-4408-9F12-F2B80EF04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82C17CA-A81B-4617-B5CF-2102B6B5D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91DEDAB-7991-4FCD-B325-1CB664E0C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C74A680-ECA4-4A8C-8CB7-668F028B2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BC7F6A5-CA42-4E40-99CA-35DE6995C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F417AB1-F409-4110-85D1-39AFE9AA5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CC27CCC2-020F-458D-AFF6-B2A392FBB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EEC0B8A1-C74D-44AD-BE2C-8D145E924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8ADF79E4-AE83-4812-B18D-3156037A3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F637-AA27-4F72-AF1F-4B616D913591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 x14ac:dyDescent="0.3"/>
  <cols>
    <col min="1" max="99" width="2.44140625" style="7" customWidth="1"/>
    <col min="100" max="101" width="2.44140625" customWidth="1"/>
    <col min="102" max="105" width="9.109375" style="7"/>
    <col min="106" max="106" width="10.6640625" style="7" customWidth="1"/>
    <col min="107" max="107" width="73.6640625" style="7" customWidth="1"/>
    <col min="108" max="108" width="6.33203125" style="7" customWidth="1"/>
    <col min="109" max="16384" width="9.109375" style="7"/>
  </cols>
  <sheetData>
    <row r="1" spans="18:99" ht="6" customHeight="1" x14ac:dyDescent="0.3"/>
    <row r="2" spans="18:99" ht="6" customHeight="1" x14ac:dyDescent="0.3">
      <c r="Z2" s="8" t="s">
        <v>38</v>
      </c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9"/>
    </row>
    <row r="3" spans="18:99" ht="6" customHeight="1" x14ac:dyDescent="0.3"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9"/>
    </row>
    <row r="4" spans="18:99" ht="6" customHeight="1" x14ac:dyDescent="0.3">
      <c r="Z4" s="10" t="s">
        <v>39</v>
      </c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1"/>
    </row>
    <row r="5" spans="18:99" ht="6" customHeight="1" x14ac:dyDescent="0.3">
      <c r="R5" s="12" t="s">
        <v>40</v>
      </c>
      <c r="S5" s="12"/>
      <c r="T5" s="12"/>
      <c r="U5" s="12"/>
      <c r="V5" s="12"/>
      <c r="W5" s="12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1"/>
      <c r="BF5" s="12" t="s">
        <v>41</v>
      </c>
      <c r="BG5" s="12"/>
      <c r="BH5" s="12"/>
      <c r="BI5" s="12"/>
      <c r="BJ5" s="12"/>
      <c r="BK5" s="12"/>
    </row>
    <row r="6" spans="18:99" ht="6" customHeight="1" x14ac:dyDescent="0.3">
      <c r="R6" s="12"/>
      <c r="S6" s="12"/>
      <c r="T6" s="12"/>
      <c r="U6" s="12"/>
      <c r="V6" s="12"/>
      <c r="W6" s="12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1"/>
      <c r="BF6" s="12"/>
      <c r="BG6" s="12"/>
      <c r="BH6" s="12"/>
      <c r="BI6" s="12"/>
      <c r="BJ6" s="12"/>
      <c r="BK6" s="12"/>
    </row>
    <row r="7" spans="18:99" ht="6" customHeight="1" x14ac:dyDescent="0.3">
      <c r="R7" s="12"/>
      <c r="S7" s="12"/>
      <c r="T7" s="12"/>
      <c r="U7" s="12"/>
      <c r="V7" s="12"/>
      <c r="W7" s="12"/>
      <c r="X7" s="13"/>
      <c r="BF7" s="12"/>
      <c r="BG7" s="12"/>
      <c r="BH7" s="12"/>
      <c r="BI7" s="12"/>
      <c r="BJ7" s="12"/>
      <c r="BK7" s="12"/>
    </row>
    <row r="8" spans="18:99" ht="6" customHeight="1" x14ac:dyDescent="0.3"/>
    <row r="9" spans="18:99" ht="6" customHeight="1" x14ac:dyDescent="0.3">
      <c r="R9" s="14"/>
      <c r="S9" s="14"/>
      <c r="T9" s="14"/>
      <c r="U9" s="14"/>
      <c r="V9" s="14"/>
      <c r="W9" s="14"/>
      <c r="X9" s="14"/>
      <c r="Y9" s="14"/>
      <c r="Z9" s="15" t="s">
        <v>42</v>
      </c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6"/>
      <c r="BF9" s="14"/>
      <c r="BG9" s="14"/>
      <c r="BH9" s="14"/>
      <c r="BI9" s="14"/>
      <c r="BJ9" s="14"/>
      <c r="BK9" s="14"/>
      <c r="BL9" s="14"/>
      <c r="BM9" s="14"/>
      <c r="BN9" s="17" t="s">
        <v>43</v>
      </c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8"/>
      <c r="CS9" s="18"/>
      <c r="CT9" s="18"/>
      <c r="CU9" s="18"/>
    </row>
    <row r="10" spans="18:99" ht="6" customHeight="1" x14ac:dyDescent="0.3"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6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18"/>
      <c r="CS10" s="18"/>
      <c r="CT10" s="18"/>
      <c r="CU10" s="18"/>
    </row>
    <row r="11" spans="18:99" ht="6" customHeight="1" x14ac:dyDescent="0.3"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6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18"/>
      <c r="CS11" s="18"/>
      <c r="CT11" s="18"/>
      <c r="CU11" s="18"/>
    </row>
    <row r="12" spans="18:99" ht="6" customHeight="1" x14ac:dyDescent="0.3"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6"/>
      <c r="BN12" s="21" t="s">
        <v>44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2"/>
      <c r="CS12" s="22"/>
      <c r="CT12" s="22"/>
      <c r="CU12" s="22"/>
    </row>
    <row r="13" spans="18:99" ht="6" customHeight="1" x14ac:dyDescent="0.3"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6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2"/>
      <c r="CS13" s="22"/>
      <c r="CT13" s="22"/>
      <c r="CU13" s="22"/>
    </row>
    <row r="14" spans="18:99" ht="6" customHeight="1" x14ac:dyDescent="0.3">
      <c r="Z14" s="23" t="s">
        <v>45</v>
      </c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4"/>
    </row>
    <row r="15" spans="18:99" ht="6" customHeight="1" x14ac:dyDescent="0.3"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4"/>
    </row>
    <row r="16" spans="18:99" ht="6" customHeight="1" x14ac:dyDescent="0.3"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4"/>
    </row>
    <row r="17" spans="18:56" ht="6" customHeight="1" x14ac:dyDescent="0.3">
      <c r="Z17" s="25" t="s">
        <v>46</v>
      </c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6"/>
    </row>
    <row r="18" spans="18:56" ht="6" customHeight="1" x14ac:dyDescent="0.3"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6"/>
    </row>
    <row r="19" spans="18:56" ht="6" customHeight="1" x14ac:dyDescent="0.3"/>
    <row r="20" spans="18:56" ht="6" customHeight="1" x14ac:dyDescent="0.3"/>
    <row r="21" spans="18:56" ht="6" customHeight="1" x14ac:dyDescent="0.3">
      <c r="R21" s="14"/>
      <c r="S21" s="14"/>
      <c r="T21" s="14"/>
      <c r="U21" s="14"/>
      <c r="V21" s="14"/>
      <c r="W21" s="14"/>
      <c r="X21" s="14"/>
      <c r="Y21" s="14"/>
      <c r="Z21" s="27" t="s">
        <v>47</v>
      </c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8"/>
    </row>
    <row r="22" spans="18:56" ht="6" customHeight="1" x14ac:dyDescent="0.3"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8"/>
    </row>
    <row r="23" spans="18:56" ht="6" customHeight="1" x14ac:dyDescent="0.3">
      <c r="Z23" s="30" t="s">
        <v>48</v>
      </c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1"/>
    </row>
    <row r="24" spans="18:56" ht="6" customHeight="1" x14ac:dyDescent="0.3"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1"/>
    </row>
    <row r="25" spans="18:56" ht="6" customHeight="1" x14ac:dyDescent="0.3"/>
    <row r="26" spans="18:56" ht="6" customHeight="1" x14ac:dyDescent="0.3">
      <c r="Z26" s="25" t="s">
        <v>49</v>
      </c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6"/>
    </row>
    <row r="27" spans="18:56" ht="6" customHeight="1" x14ac:dyDescent="0.3"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6"/>
    </row>
    <row r="28" spans="18:56" ht="6" customHeight="1" x14ac:dyDescent="0.3"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</row>
    <row r="29" spans="18:56" ht="6" customHeight="1" x14ac:dyDescent="0.3"/>
    <row r="30" spans="18:56" ht="6" customHeight="1" x14ac:dyDescent="0.3"/>
    <row r="31" spans="18:56" ht="6" customHeight="1" x14ac:dyDescent="0.3"/>
    <row r="32" spans="18:56" ht="6" customHeight="1" x14ac:dyDescent="0.3">
      <c r="R32" s="14"/>
      <c r="S32" s="14"/>
      <c r="T32" s="14"/>
      <c r="U32" s="14"/>
      <c r="V32" s="14"/>
      <c r="W32" s="14"/>
      <c r="X32" s="14"/>
      <c r="Y32" s="14"/>
      <c r="Z32" s="33" t="s">
        <v>50</v>
      </c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4"/>
    </row>
    <row r="33" spans="18:99" ht="6" customHeight="1" x14ac:dyDescent="0.3"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4"/>
    </row>
    <row r="34" spans="18:99" ht="6" customHeight="1" x14ac:dyDescent="0.3"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4"/>
      <c r="BF34" s="14"/>
      <c r="BG34" s="14"/>
      <c r="BH34" s="14"/>
      <c r="BI34" s="14"/>
      <c r="BJ34" s="14"/>
      <c r="BK34" s="14"/>
      <c r="BL34" s="14"/>
      <c r="BM34" s="14"/>
      <c r="BN34" s="17" t="s">
        <v>51</v>
      </c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8"/>
      <c r="CS34" s="18"/>
      <c r="CT34" s="18"/>
      <c r="CU34" s="18"/>
    </row>
    <row r="35" spans="18:99" ht="6" customHeight="1" x14ac:dyDescent="0.3"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4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18"/>
      <c r="CS35" s="18"/>
      <c r="CT35" s="18"/>
      <c r="CU35" s="18"/>
    </row>
    <row r="36" spans="18:99" ht="6" customHeight="1" x14ac:dyDescent="0.3"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4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18"/>
      <c r="CS36" s="18"/>
      <c r="CT36" s="18"/>
      <c r="CU36" s="18"/>
    </row>
    <row r="37" spans="18:99" ht="6" customHeight="1" x14ac:dyDescent="0.3">
      <c r="Z37" s="23" t="s">
        <v>52</v>
      </c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4"/>
      <c r="BN37" s="21" t="s">
        <v>53</v>
      </c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2"/>
      <c r="CS37" s="22"/>
      <c r="CT37" s="22"/>
      <c r="CU37" s="22"/>
    </row>
    <row r="38" spans="18:99" ht="6" customHeight="1" x14ac:dyDescent="0.3"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4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2"/>
      <c r="CS38" s="22"/>
      <c r="CT38" s="22"/>
      <c r="CU38" s="22"/>
    </row>
    <row r="39" spans="18:99" ht="6" customHeight="1" x14ac:dyDescent="0.3"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4"/>
    </row>
    <row r="40" spans="18:99" ht="6" customHeight="1" x14ac:dyDescent="0.3">
      <c r="Z40" s="25" t="s">
        <v>54</v>
      </c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6"/>
      <c r="BN40" s="20" t="s">
        <v>55</v>
      </c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18"/>
      <c r="CS40" s="18"/>
      <c r="CT40" s="18"/>
      <c r="CU40" s="18"/>
    </row>
    <row r="41" spans="18:99" ht="6" customHeight="1" x14ac:dyDescent="0.3"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6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18"/>
      <c r="CS41" s="18"/>
      <c r="CT41" s="18"/>
      <c r="CU41" s="18"/>
    </row>
    <row r="42" spans="18:99" ht="6" customHeight="1" x14ac:dyDescent="0.3"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18"/>
      <c r="CS42" s="18"/>
      <c r="CT42" s="18"/>
      <c r="CU42" s="18"/>
    </row>
    <row r="43" spans="18:99" ht="6" customHeight="1" x14ac:dyDescent="0.3">
      <c r="R43" s="14"/>
      <c r="S43" s="14"/>
      <c r="T43" s="14"/>
      <c r="U43" s="14"/>
      <c r="V43" s="14"/>
      <c r="W43" s="14"/>
      <c r="X43" s="14"/>
      <c r="Y43" s="14"/>
      <c r="Z43" s="33" t="s">
        <v>56</v>
      </c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4"/>
      <c r="BN43" s="21" t="s">
        <v>57</v>
      </c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2"/>
      <c r="CS43" s="22"/>
      <c r="CT43" s="22"/>
      <c r="CU43" s="22"/>
    </row>
    <row r="44" spans="18:99" ht="6" customHeight="1" x14ac:dyDescent="0.3"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4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2"/>
      <c r="CS44" s="22"/>
      <c r="CT44" s="22"/>
      <c r="CU44" s="22"/>
    </row>
    <row r="45" spans="18:99" ht="6" customHeight="1" x14ac:dyDescent="0.3"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4"/>
    </row>
    <row r="46" spans="18:99" ht="6" customHeight="1" x14ac:dyDescent="0.3"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4"/>
    </row>
    <row r="47" spans="18:99" ht="6" customHeight="1" x14ac:dyDescent="0.3"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4"/>
    </row>
    <row r="48" spans="18:99" ht="6" customHeight="1" x14ac:dyDescent="0.3">
      <c r="Z48" s="23" t="s">
        <v>58</v>
      </c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4"/>
    </row>
    <row r="49" spans="2:99" ht="6" customHeight="1" x14ac:dyDescent="0.3"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4"/>
    </row>
    <row r="50" spans="2:99" ht="6" customHeight="1" x14ac:dyDescent="0.3"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4"/>
    </row>
    <row r="51" spans="2:99" ht="6" customHeight="1" x14ac:dyDescent="0.3">
      <c r="B51" s="10" t="s">
        <v>59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Z51" s="25" t="s">
        <v>60</v>
      </c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6"/>
    </row>
    <row r="52" spans="2:99" ht="6" customHeight="1" x14ac:dyDescent="0.3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6"/>
    </row>
    <row r="53" spans="2:99" ht="6" customHeight="1" x14ac:dyDescent="0.3"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</row>
    <row r="54" spans="2:99" ht="6" customHeight="1" x14ac:dyDescent="0.3">
      <c r="B54" s="37" t="s">
        <v>61</v>
      </c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R54" s="14"/>
      <c r="S54" s="14"/>
      <c r="T54" s="14"/>
      <c r="U54" s="14"/>
      <c r="V54" s="14"/>
      <c r="W54" s="14"/>
      <c r="X54" s="14"/>
      <c r="Y54" s="14"/>
      <c r="Z54" s="33" t="s">
        <v>62</v>
      </c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4"/>
    </row>
    <row r="55" spans="2:99" ht="6" customHeight="1" x14ac:dyDescent="0.3"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4"/>
    </row>
    <row r="56" spans="2:99" ht="6" customHeight="1" x14ac:dyDescent="0.3"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4"/>
    </row>
    <row r="57" spans="2:99" ht="6" customHeight="1" x14ac:dyDescent="0.3">
      <c r="B57" s="38" t="s">
        <v>63</v>
      </c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4"/>
    </row>
    <row r="58" spans="2:99" ht="6" customHeight="1" x14ac:dyDescent="0.3"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4"/>
    </row>
    <row r="59" spans="2:99" ht="6" customHeight="1" x14ac:dyDescent="0.3">
      <c r="Z59" s="23" t="s">
        <v>64</v>
      </c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4"/>
      <c r="BF59" s="14"/>
      <c r="BG59" s="14"/>
      <c r="BH59" s="14"/>
      <c r="BI59" s="14"/>
      <c r="BJ59" s="14"/>
      <c r="BK59" s="14"/>
      <c r="BL59" s="14"/>
      <c r="BM59" s="14"/>
      <c r="BN59" s="17" t="s">
        <v>51</v>
      </c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8"/>
      <c r="CS59" s="18"/>
      <c r="CT59" s="18"/>
      <c r="CU59" s="18"/>
    </row>
    <row r="60" spans="2:99" ht="6" customHeight="1" x14ac:dyDescent="0.3">
      <c r="B60" s="37" t="s">
        <v>65</v>
      </c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4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18"/>
      <c r="CS60" s="18"/>
      <c r="CT60" s="18"/>
      <c r="CU60" s="18"/>
    </row>
    <row r="61" spans="2:99" ht="6" customHeight="1" x14ac:dyDescent="0.3"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4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18"/>
      <c r="CS61" s="18"/>
      <c r="CT61" s="18"/>
      <c r="CU61" s="18"/>
    </row>
    <row r="62" spans="2:99" ht="6" customHeight="1" x14ac:dyDescent="0.3"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Z62" s="25" t="s">
        <v>66</v>
      </c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6"/>
      <c r="BN62" s="21" t="s">
        <v>67</v>
      </c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2"/>
      <c r="CS62" s="22"/>
      <c r="CT62" s="22"/>
      <c r="CU62" s="22"/>
    </row>
    <row r="63" spans="2:99" ht="6" customHeight="1" x14ac:dyDescent="0.3">
      <c r="B63" s="39" t="s">
        <v>68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6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2"/>
      <c r="CS63" s="22"/>
      <c r="CT63" s="22"/>
      <c r="CU63" s="22"/>
    </row>
    <row r="64" spans="2:99" ht="6" customHeight="1" x14ac:dyDescent="0.3"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8:99" ht="6" customHeight="1" x14ac:dyDescent="0.3">
      <c r="R65" s="14"/>
      <c r="S65" s="14"/>
      <c r="T65" s="14"/>
      <c r="U65" s="14"/>
      <c r="V65" s="14"/>
      <c r="W65" s="14"/>
      <c r="X65" s="14"/>
      <c r="Y65" s="14"/>
      <c r="Z65" s="33" t="s">
        <v>69</v>
      </c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4"/>
      <c r="BN65" s="20" t="s">
        <v>55</v>
      </c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18"/>
      <c r="CS65" s="18"/>
      <c r="CT65" s="18"/>
      <c r="CU65" s="18"/>
    </row>
    <row r="66" spans="18:99" ht="6" customHeight="1" x14ac:dyDescent="0.3"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4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18"/>
      <c r="CS66" s="18"/>
      <c r="CT66" s="18"/>
      <c r="CU66" s="18"/>
    </row>
    <row r="67" spans="18:99" ht="6" customHeight="1" x14ac:dyDescent="0.3"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4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18"/>
      <c r="CS67" s="18"/>
      <c r="CT67" s="18"/>
      <c r="CU67" s="18"/>
    </row>
    <row r="68" spans="18:99" ht="6" customHeight="1" x14ac:dyDescent="0.3"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4"/>
      <c r="BN68" s="21" t="s">
        <v>70</v>
      </c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2"/>
      <c r="CS68" s="22"/>
      <c r="CT68" s="22"/>
      <c r="CU68" s="22"/>
    </row>
    <row r="69" spans="18:99" ht="6" customHeight="1" x14ac:dyDescent="0.3"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4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2"/>
      <c r="CS69" s="22"/>
      <c r="CT69" s="22"/>
      <c r="CU69" s="22"/>
    </row>
    <row r="70" spans="18:99" ht="6" customHeight="1" x14ac:dyDescent="0.3"/>
    <row r="71" spans="18:99" ht="6" customHeight="1" x14ac:dyDescent="0.3">
      <c r="Z71" s="25" t="s">
        <v>71</v>
      </c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32"/>
    </row>
    <row r="72" spans="18:99" ht="6" customHeight="1" x14ac:dyDescent="0.3"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32"/>
    </row>
    <row r="73" spans="18:99" ht="6" customHeight="1" x14ac:dyDescent="0.3"/>
    <row r="74" spans="18:99" ht="6" customHeight="1" x14ac:dyDescent="0.3"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</row>
    <row r="75" spans="18:99" ht="6" customHeight="1" x14ac:dyDescent="0.3"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</row>
    <row r="76" spans="18:99" ht="6" customHeight="1" x14ac:dyDescent="0.3"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</row>
    <row r="77" spans="18:99" ht="6" customHeight="1" x14ac:dyDescent="0.3">
      <c r="Z77" s="40" t="s">
        <v>72</v>
      </c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1"/>
    </row>
    <row r="78" spans="18:99" ht="6" customHeight="1" x14ac:dyDescent="0.3"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1"/>
    </row>
    <row r="79" spans="18:99" ht="6" customHeight="1" x14ac:dyDescent="0.3"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1"/>
    </row>
    <row r="80" spans="18:99" ht="6" customHeight="1" x14ac:dyDescent="0.3"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1"/>
    </row>
    <row r="81" spans="26:56" ht="6" customHeight="1" x14ac:dyDescent="0.3"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1"/>
    </row>
    <row r="82" spans="26:56" ht="6" customHeight="1" x14ac:dyDescent="0.3">
      <c r="Z82" s="40" t="s">
        <v>73</v>
      </c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1"/>
    </row>
    <row r="83" spans="26:56" ht="6" customHeight="1" x14ac:dyDescent="0.3"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1"/>
    </row>
    <row r="84" spans="26:56" ht="6" customHeight="1" x14ac:dyDescent="0.3"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1"/>
    </row>
    <row r="85" spans="26:56" ht="6" customHeight="1" x14ac:dyDescent="0.3"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1"/>
    </row>
    <row r="86" spans="26:56" ht="6" customHeight="1" x14ac:dyDescent="0.3"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1"/>
    </row>
    <row r="87" spans="26:56" ht="6" customHeight="1" x14ac:dyDescent="0.3"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1"/>
    </row>
    <row r="88" spans="26:56" ht="6" customHeight="1" x14ac:dyDescent="0.3"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1"/>
    </row>
    <row r="89" spans="26:56" ht="6" customHeight="1" x14ac:dyDescent="0.3"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1"/>
    </row>
    <row r="90" spans="26:56" ht="6" customHeight="1" x14ac:dyDescent="0.3">
      <c r="Z90" s="42" t="s">
        <v>74</v>
      </c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3"/>
    </row>
    <row r="91" spans="26:56" ht="6" customHeight="1" x14ac:dyDescent="0.3"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3"/>
    </row>
    <row r="92" spans="26:56" ht="6" customHeight="1" x14ac:dyDescent="0.3"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</row>
    <row r="93" spans="26:56" ht="6" customHeight="1" x14ac:dyDescent="0.3"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</row>
    <row r="94" spans="26:56" ht="6" customHeight="1" x14ac:dyDescent="0.3"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</row>
    <row r="95" spans="26:56" ht="6" customHeight="1" x14ac:dyDescent="0.3"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30688987-030D-4273-890B-D27185A872FE}"/>
    <hyperlink ref="B51" r:id="rId2" xr:uid="{BE4A8BB3-7B1A-4EF9-A2EF-20285F3CA12A}"/>
    <hyperlink ref="B57" r:id="rId3" xr:uid="{E55392A7-FEC9-4164-866F-8EEFB1DBBD14}"/>
    <hyperlink ref="Z4" r:id="rId4" xr:uid="{258102BE-9285-49CB-B07B-10113E31398F}"/>
    <hyperlink ref="Z17" r:id="rId5" display="https://www.udemy.com/excel-mistrz-formul/?couponCode=STANDARDOWY" xr:uid="{17C4DD15-2970-49E5-8F77-44ACFD16CCE8}"/>
    <hyperlink ref="Z26" r:id="rId6" xr:uid="{A9F1C477-FB52-45E4-B11B-96AD52250102}"/>
    <hyperlink ref="Z40" r:id="rId7" display="https://www.udemy.com/excel-mistrz-formul/?couponCode=STANDARDOWY" xr:uid="{F4FD9E14-A9BA-4624-B1B9-7FE71D5E5693}"/>
    <hyperlink ref="Z51" r:id="rId8" display="https://www.udemy.com/excel-mistrz-formul/?couponCode=STANDARDOWY" xr:uid="{604DC7FA-F261-42AD-9DDC-D38D1BF0EE50}"/>
    <hyperlink ref="Z62" r:id="rId9" display="https://www.udemy.com/excel-mistrz-formul/?couponCode=STANDARDOWY" xr:uid="{A846DE36-E8A2-467A-A351-BF317B4563BC}"/>
    <hyperlink ref="Z71" r:id="rId10" display="https://www.udemy.com/excel-mistrz-formul/?couponCode=STANDARDOWY" xr:uid="{18E90405-2B2A-4B84-AC66-57545C5B5998}"/>
    <hyperlink ref="BN12" r:id="rId11" location="mistrz-excela-w-20-dni" xr:uid="{17A00DB8-DC02-4221-AA58-13EB0FE56552}"/>
    <hyperlink ref="BN37" r:id="rId12" location="mistrz-excela-w-20-dni" display="http://ksplus.komputerswiat.pl/sklep#mistrz-excela-w-20-dni" xr:uid="{2A460FC4-4B5E-485F-AC7D-2FCA5E48423E}"/>
    <hyperlink ref="BN43" r:id="rId13" location="mistrz-excela-w-20-dni" display="http://ksplus.komputerswiat.pl/sklep#mistrz-excela-w-20-dni" xr:uid="{66371362-0DDC-4E67-8B4C-DFF8697AD251}"/>
    <hyperlink ref="BN62" r:id="rId14" location="mistrz-excela-w-20-dni" display="http://ksplus.komputerswiat.pl/sklep#mistrz-excela-w-20-dni" xr:uid="{7D0C94EF-1B11-473E-A87F-20E8DD7E9080}"/>
    <hyperlink ref="BN68" r:id="rId15" location="mistrz-excela-w-20-dni" display="http://ksplus.komputerswiat.pl/sklep#mistrz-excela-w-20-dni" xr:uid="{3C38721B-A533-4343-8844-B1292293441A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A3F2"/>
  </sheetPr>
  <dimension ref="A2:G17"/>
  <sheetViews>
    <sheetView zoomScale="115" zoomScaleNormal="115" workbookViewId="0"/>
  </sheetViews>
  <sheetFormatPr defaultRowHeight="14.4" x14ac:dyDescent="0.3"/>
  <cols>
    <col min="1" max="1" width="15.5546875" style="3" bestFit="1" customWidth="1"/>
    <col min="2" max="6" width="13" style="3" bestFit="1" customWidth="1"/>
    <col min="7" max="7" width="14.33203125" style="3" bestFit="1" customWidth="1"/>
    <col min="8" max="16384" width="8.88671875" style="3"/>
  </cols>
  <sheetData>
    <row r="2" spans="1:7" x14ac:dyDescent="0.3">
      <c r="A2" s="1" t="s">
        <v>2</v>
      </c>
      <c r="B2" s="2" t="s">
        <v>37</v>
      </c>
    </row>
    <row r="4" spans="1:7" x14ac:dyDescent="0.3">
      <c r="A4" s="1" t="s">
        <v>35</v>
      </c>
      <c r="B4" s="4" t="s">
        <v>0</v>
      </c>
      <c r="C4" s="5"/>
      <c r="D4" s="5"/>
      <c r="E4" s="5"/>
      <c r="F4" s="5"/>
      <c r="G4" s="5"/>
    </row>
    <row r="5" spans="1:7" x14ac:dyDescent="0.3">
      <c r="A5" s="1" t="s">
        <v>1</v>
      </c>
      <c r="B5" s="1" t="s">
        <v>20</v>
      </c>
      <c r="C5" s="1" t="s">
        <v>14</v>
      </c>
      <c r="D5" s="1" t="s">
        <v>19</v>
      </c>
      <c r="E5" s="1" t="s">
        <v>10</v>
      </c>
      <c r="F5" s="1" t="s">
        <v>11</v>
      </c>
      <c r="G5" s="1" t="s">
        <v>36</v>
      </c>
    </row>
    <row r="6" spans="1:7" x14ac:dyDescent="0.3">
      <c r="A6" s="1" t="s">
        <v>22</v>
      </c>
      <c r="B6" s="6">
        <f>SUM('Start&gt;:&lt;Koniec'!B6)</f>
        <v>44882.55000000001</v>
      </c>
      <c r="C6" s="6">
        <f>SUM('Start&gt;:&lt;Koniec'!C6)</f>
        <v>25823.050000000003</v>
      </c>
      <c r="D6" s="6">
        <f>SUM('Start&gt;:&lt;Koniec'!D6)</f>
        <v>50009.65</v>
      </c>
      <c r="E6" s="6">
        <f>SUM('Start&gt;:&lt;Koniec'!E6)</f>
        <v>47898.25</v>
      </c>
      <c r="F6" s="6">
        <f>SUM('Start&gt;:&lt;Koniec'!F6)</f>
        <v>50742.600000000006</v>
      </c>
      <c r="G6" s="6">
        <f t="shared" ref="G6:G17" si="0">SUM(B6:F6)</f>
        <v>219356.1</v>
      </c>
    </row>
    <row r="7" spans="1:7" x14ac:dyDescent="0.3">
      <c r="A7" s="1" t="s">
        <v>34</v>
      </c>
      <c r="B7" s="6">
        <f>SUM('Start&gt;:&lt;Koniec'!B7)</f>
        <v>51303.899999999994</v>
      </c>
      <c r="C7" s="6">
        <f>SUM('Start&gt;:&lt;Koniec'!C7)</f>
        <v>46165.35</v>
      </c>
      <c r="D7" s="6">
        <f>SUM('Start&gt;:&lt;Koniec'!D7)</f>
        <v>45252.000000000007</v>
      </c>
      <c r="E7" s="6">
        <f>SUM('Start&gt;:&lt;Koniec'!E7)</f>
        <v>37878.699999999997</v>
      </c>
      <c r="F7" s="6">
        <f>SUM('Start&gt;:&lt;Koniec'!F7)</f>
        <v>51953.600000000006</v>
      </c>
      <c r="G7" s="6">
        <f t="shared" si="0"/>
        <v>232553.55000000002</v>
      </c>
    </row>
    <row r="8" spans="1:7" x14ac:dyDescent="0.3">
      <c r="A8" s="1" t="s">
        <v>29</v>
      </c>
      <c r="B8" s="6">
        <f>SUM('Start&gt;:&lt;Koniec'!B8)</f>
        <v>39840.899999999994</v>
      </c>
      <c r="C8" s="6">
        <f>SUM('Start&gt;:&lt;Koniec'!C8)</f>
        <v>49366.850000000006</v>
      </c>
      <c r="D8" s="6">
        <f>SUM('Start&gt;:&lt;Koniec'!D8)</f>
        <v>43504.700000000004</v>
      </c>
      <c r="E8" s="6">
        <f>SUM('Start&gt;:&lt;Koniec'!E8)</f>
        <v>48745.4</v>
      </c>
      <c r="F8" s="6">
        <f>SUM('Start&gt;:&lt;Koniec'!F8)</f>
        <v>51869.799999999996</v>
      </c>
      <c r="G8" s="6">
        <f t="shared" si="0"/>
        <v>233327.65</v>
      </c>
    </row>
    <row r="9" spans="1:7" x14ac:dyDescent="0.3">
      <c r="A9" s="1" t="s">
        <v>27</v>
      </c>
      <c r="B9" s="6">
        <f>SUM('Start&gt;:&lt;Koniec'!B9)</f>
        <v>63879.200000000012</v>
      </c>
      <c r="C9" s="6">
        <f>SUM('Start&gt;:&lt;Koniec'!C9)</f>
        <v>37556.35</v>
      </c>
      <c r="D9" s="6">
        <f>SUM('Start&gt;:&lt;Koniec'!D9)</f>
        <v>37312.05000000001</v>
      </c>
      <c r="E9" s="6">
        <f>SUM('Start&gt;:&lt;Koniec'!E9)</f>
        <v>46953.100000000006</v>
      </c>
      <c r="F9" s="6">
        <f>SUM('Start&gt;:&lt;Koniec'!F9)</f>
        <v>47225.05</v>
      </c>
      <c r="G9" s="6">
        <f t="shared" si="0"/>
        <v>232925.75000000006</v>
      </c>
    </row>
    <row r="10" spans="1:7" x14ac:dyDescent="0.3">
      <c r="A10" s="1" t="s">
        <v>30</v>
      </c>
      <c r="B10" s="6">
        <f>SUM('Start&gt;:&lt;Koniec'!B10)</f>
        <v>53450.450000000004</v>
      </c>
      <c r="C10" s="6">
        <f>SUM('Start&gt;:&lt;Koniec'!C10)</f>
        <v>44466.600000000013</v>
      </c>
      <c r="D10" s="6">
        <f>SUM('Start&gt;:&lt;Koniec'!D10)</f>
        <v>50153.75</v>
      </c>
      <c r="E10" s="6">
        <f>SUM('Start&gt;:&lt;Koniec'!E10)</f>
        <v>48861.8</v>
      </c>
      <c r="F10" s="6">
        <f>SUM('Start&gt;:&lt;Koniec'!F10)</f>
        <v>45667.30000000001</v>
      </c>
      <c r="G10" s="6">
        <f t="shared" si="0"/>
        <v>242599.90000000005</v>
      </c>
    </row>
    <row r="11" spans="1:7" x14ac:dyDescent="0.3">
      <c r="A11" s="1" t="s">
        <v>15</v>
      </c>
      <c r="B11" s="6">
        <f>SUM('Start&gt;:&lt;Koniec'!B11)</f>
        <v>60361.650000000009</v>
      </c>
      <c r="C11" s="6">
        <f>SUM('Start&gt;:&lt;Koniec'!C11)</f>
        <v>37297.15</v>
      </c>
      <c r="D11" s="6">
        <f>SUM('Start&gt;:&lt;Koniec'!D11)</f>
        <v>38848.850000000006</v>
      </c>
      <c r="E11" s="6">
        <f>SUM('Start&gt;:&lt;Koniec'!E11)</f>
        <v>59298.05</v>
      </c>
      <c r="F11" s="6">
        <f>SUM('Start&gt;:&lt;Koniec'!F11)</f>
        <v>35678.15</v>
      </c>
      <c r="G11" s="6">
        <f t="shared" si="0"/>
        <v>231483.85</v>
      </c>
    </row>
    <row r="12" spans="1:7" x14ac:dyDescent="0.3">
      <c r="A12" s="1" t="s">
        <v>8</v>
      </c>
      <c r="B12" s="6">
        <f>SUM('Start&gt;:&lt;Koniec'!B12)</f>
        <v>48107.15</v>
      </c>
      <c r="C12" s="6">
        <f>SUM('Start&gt;:&lt;Koniec'!C12)</f>
        <v>54543.900000000009</v>
      </c>
      <c r="D12" s="6">
        <f>SUM('Start&gt;:&lt;Koniec'!D12)</f>
        <v>43349.599999999991</v>
      </c>
      <c r="E12" s="6">
        <f>SUM('Start&gt;:&lt;Koniec'!E12)</f>
        <v>55173.499999999993</v>
      </c>
      <c r="F12" s="6">
        <f>SUM('Start&gt;:&lt;Koniec'!F12)</f>
        <v>37370.6</v>
      </c>
      <c r="G12" s="6">
        <f t="shared" si="0"/>
        <v>238544.75000000003</v>
      </c>
    </row>
    <row r="13" spans="1:7" x14ac:dyDescent="0.3">
      <c r="A13" s="1" t="s">
        <v>21</v>
      </c>
      <c r="B13" s="6">
        <f>SUM('Start&gt;:&lt;Koniec'!B13)</f>
        <v>33088.200000000004</v>
      </c>
      <c r="C13" s="6">
        <f>SUM('Start&gt;:&lt;Koniec'!C13)</f>
        <v>54276.7</v>
      </c>
      <c r="D13" s="6">
        <f>SUM('Start&gt;:&lt;Koniec'!D13)</f>
        <v>46840.15</v>
      </c>
      <c r="E13" s="6">
        <f>SUM('Start&gt;:&lt;Koniec'!E13)</f>
        <v>42437.1</v>
      </c>
      <c r="F13" s="6">
        <f>SUM('Start&gt;:&lt;Koniec'!F13)</f>
        <v>47513.3</v>
      </c>
      <c r="G13" s="6">
        <f t="shared" si="0"/>
        <v>224155.45</v>
      </c>
    </row>
    <row r="14" spans="1:7" x14ac:dyDescent="0.3">
      <c r="A14" s="1" t="s">
        <v>12</v>
      </c>
      <c r="B14" s="6">
        <f>SUM('Start&gt;:&lt;Koniec'!B14)</f>
        <v>43638.3</v>
      </c>
      <c r="C14" s="6">
        <f>SUM('Start&gt;:&lt;Koniec'!C14)</f>
        <v>80850.599999999991</v>
      </c>
      <c r="D14" s="6">
        <f>SUM('Start&gt;:&lt;Koniec'!D14)</f>
        <v>45956.400000000009</v>
      </c>
      <c r="E14" s="6">
        <f>SUM('Start&gt;:&lt;Koniec'!E14)</f>
        <v>34755.050000000003</v>
      </c>
      <c r="F14" s="6">
        <f>SUM('Start&gt;:&lt;Koniec'!F14)</f>
        <v>56504.350000000013</v>
      </c>
      <c r="G14" s="6">
        <f t="shared" si="0"/>
        <v>261704.69999999998</v>
      </c>
    </row>
    <row r="15" spans="1:7" x14ac:dyDescent="0.3">
      <c r="A15" s="1" t="s">
        <v>26</v>
      </c>
      <c r="B15" s="6">
        <f>SUM('Start&gt;:&lt;Koniec'!B15)</f>
        <v>35698.1</v>
      </c>
      <c r="C15" s="6">
        <f>SUM('Start&gt;:&lt;Koniec'!C15)</f>
        <v>49002.55000000001</v>
      </c>
      <c r="D15" s="6">
        <f>SUM('Start&gt;:&lt;Koniec'!D15)</f>
        <v>50615.55</v>
      </c>
      <c r="E15" s="6">
        <f>SUM('Start&gt;:&lt;Koniec'!E15)</f>
        <v>51310.400000000001</v>
      </c>
      <c r="F15" s="6">
        <f>SUM('Start&gt;:&lt;Koniec'!F15)</f>
        <v>47377.599999999999</v>
      </c>
      <c r="G15" s="6">
        <f t="shared" si="0"/>
        <v>234004.2</v>
      </c>
    </row>
    <row r="16" spans="1:7" x14ac:dyDescent="0.3">
      <c r="A16" s="1" t="s">
        <v>17</v>
      </c>
      <c r="B16" s="6">
        <f>SUM('Start&gt;:&lt;Koniec'!B16)</f>
        <v>47386.150000000009</v>
      </c>
      <c r="C16" s="6">
        <f>SUM('Start&gt;:&lt;Koniec'!C16)</f>
        <v>36323.950000000004</v>
      </c>
      <c r="D16" s="6">
        <f>SUM('Start&gt;:&lt;Koniec'!D16)</f>
        <v>41572.25</v>
      </c>
      <c r="E16" s="6">
        <f>SUM('Start&gt;:&lt;Koniec'!E16)</f>
        <v>52411.350000000006</v>
      </c>
      <c r="F16" s="6">
        <f>SUM('Start&gt;:&lt;Koniec'!F16)</f>
        <v>48399.000000000007</v>
      </c>
      <c r="G16" s="6">
        <f t="shared" si="0"/>
        <v>226092.7</v>
      </c>
    </row>
    <row r="17" spans="1:7" x14ac:dyDescent="0.3">
      <c r="A17" s="1" t="s">
        <v>36</v>
      </c>
      <c r="B17" s="6">
        <f>SUM(B6:B16)</f>
        <v>521636.55000000005</v>
      </c>
      <c r="C17" s="6">
        <f>SUM(C6:C16)</f>
        <v>515673.05</v>
      </c>
      <c r="D17" s="6">
        <f>SUM(D6:D16)</f>
        <v>493414.95</v>
      </c>
      <c r="E17" s="6">
        <f>SUM(E6:E16)</f>
        <v>525722.69999999995</v>
      </c>
      <c r="F17" s="6">
        <f>SUM(F6:F16)</f>
        <v>520301.35</v>
      </c>
      <c r="G17" s="6">
        <f t="shared" si="0"/>
        <v>2576748.6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A3F2"/>
  </sheetPr>
  <dimension ref="A2:G17"/>
  <sheetViews>
    <sheetView workbookViewId="0"/>
  </sheetViews>
  <sheetFormatPr defaultRowHeight="14.4" x14ac:dyDescent="0.3"/>
  <cols>
    <col min="1" max="1" width="15.5546875" style="3" bestFit="1" customWidth="1"/>
    <col min="2" max="6" width="11.33203125" style="3" customWidth="1"/>
    <col min="7" max="7" width="14.33203125" style="3" bestFit="1" customWidth="1"/>
    <col min="8" max="16384" width="8.88671875" style="3"/>
  </cols>
  <sheetData>
    <row r="2" spans="1:7" x14ac:dyDescent="0.3">
      <c r="A2" s="1" t="s">
        <v>2</v>
      </c>
      <c r="B2" s="2" t="s">
        <v>9</v>
      </c>
    </row>
    <row r="4" spans="1:7" x14ac:dyDescent="0.3">
      <c r="A4" s="1" t="s">
        <v>35</v>
      </c>
      <c r="B4" s="4" t="s">
        <v>0</v>
      </c>
      <c r="C4" s="5"/>
      <c r="D4" s="5"/>
      <c r="E4" s="5"/>
      <c r="F4" s="5"/>
      <c r="G4" s="5"/>
    </row>
    <row r="5" spans="1:7" x14ac:dyDescent="0.3">
      <c r="A5" s="1" t="s">
        <v>1</v>
      </c>
      <c r="B5" s="1" t="s">
        <v>20</v>
      </c>
      <c r="C5" s="1" t="s">
        <v>14</v>
      </c>
      <c r="D5" s="1" t="s">
        <v>19</v>
      </c>
      <c r="E5" s="1" t="s">
        <v>10</v>
      </c>
      <c r="F5" s="1" t="s">
        <v>11</v>
      </c>
      <c r="G5" s="1" t="s">
        <v>36</v>
      </c>
    </row>
    <row r="6" spans="1:7" x14ac:dyDescent="0.3">
      <c r="A6" s="1" t="s">
        <v>22</v>
      </c>
      <c r="B6" s="6">
        <v>6962.95</v>
      </c>
      <c r="C6" s="6">
        <v>4756.3500000000004</v>
      </c>
      <c r="D6" s="6">
        <v>5114.8000000000011</v>
      </c>
      <c r="E6" s="6">
        <v>6500.1</v>
      </c>
      <c r="F6" s="6">
        <v>1759.2</v>
      </c>
      <c r="G6" s="6">
        <f t="shared" ref="G6:G17" si="0">SUM(B6:F6)</f>
        <v>25093.399999999998</v>
      </c>
    </row>
    <row r="7" spans="1:7" x14ac:dyDescent="0.3">
      <c r="A7" s="1" t="s">
        <v>34</v>
      </c>
      <c r="B7" s="6">
        <v>2261.6999999999998</v>
      </c>
      <c r="C7" s="6">
        <v>4252.95</v>
      </c>
      <c r="D7" s="6"/>
      <c r="E7" s="6">
        <v>4420.2000000000007</v>
      </c>
      <c r="F7" s="6">
        <v>2944.6000000000004</v>
      </c>
      <c r="G7" s="6">
        <f t="shared" si="0"/>
        <v>13879.45</v>
      </c>
    </row>
    <row r="8" spans="1:7" x14ac:dyDescent="0.3">
      <c r="A8" s="1" t="s">
        <v>29</v>
      </c>
      <c r="B8" s="6">
        <v>3740.8999999999996</v>
      </c>
      <c r="C8" s="6">
        <v>5982.2000000000007</v>
      </c>
      <c r="D8" s="6">
        <v>2791.1000000000004</v>
      </c>
      <c r="E8" s="6">
        <v>2841.7000000000003</v>
      </c>
      <c r="F8" s="6">
        <v>4012.65</v>
      </c>
      <c r="G8" s="6">
        <f t="shared" si="0"/>
        <v>19368.550000000003</v>
      </c>
    </row>
    <row r="9" spans="1:7" x14ac:dyDescent="0.3">
      <c r="A9" s="1" t="s">
        <v>27</v>
      </c>
      <c r="B9" s="6">
        <v>8177.0999999999995</v>
      </c>
      <c r="C9" s="6">
        <v>4159.3500000000004</v>
      </c>
      <c r="D9" s="6">
        <v>3351.2</v>
      </c>
      <c r="E9" s="6"/>
      <c r="F9" s="6">
        <v>9082.35</v>
      </c>
      <c r="G9" s="6">
        <f t="shared" si="0"/>
        <v>24770</v>
      </c>
    </row>
    <row r="10" spans="1:7" x14ac:dyDescent="0.3">
      <c r="A10" s="1" t="s">
        <v>30</v>
      </c>
      <c r="B10" s="6">
        <v>6140.95</v>
      </c>
      <c r="C10" s="6">
        <v>5530.6</v>
      </c>
      <c r="D10" s="6">
        <v>6587.4500000000007</v>
      </c>
      <c r="E10" s="6">
        <v>1431.8500000000001</v>
      </c>
      <c r="F10" s="6">
        <v>3929.55</v>
      </c>
      <c r="G10" s="6">
        <f t="shared" si="0"/>
        <v>23620.399999999998</v>
      </c>
    </row>
    <row r="11" spans="1:7" x14ac:dyDescent="0.3">
      <c r="A11" s="1" t="s">
        <v>15</v>
      </c>
      <c r="B11" s="6">
        <v>2233.8500000000004</v>
      </c>
      <c r="C11" s="6">
        <v>1657.7</v>
      </c>
      <c r="D11" s="6">
        <v>5461.55</v>
      </c>
      <c r="E11" s="6">
        <v>7363.3000000000011</v>
      </c>
      <c r="F11" s="6">
        <v>7134.5</v>
      </c>
      <c r="G11" s="6">
        <f t="shared" si="0"/>
        <v>23850.9</v>
      </c>
    </row>
    <row r="12" spans="1:7" x14ac:dyDescent="0.3">
      <c r="A12" s="1" t="s">
        <v>8</v>
      </c>
      <c r="B12" s="6">
        <v>5125.45</v>
      </c>
      <c r="C12" s="6">
        <v>4860.5500000000011</v>
      </c>
      <c r="D12" s="6">
        <v>1353.35</v>
      </c>
      <c r="E12" s="6">
        <v>3342.1000000000004</v>
      </c>
      <c r="F12" s="6">
        <v>10504.000000000002</v>
      </c>
      <c r="G12" s="6">
        <f t="shared" si="0"/>
        <v>25185.450000000004</v>
      </c>
    </row>
    <row r="13" spans="1:7" x14ac:dyDescent="0.3">
      <c r="A13" s="1" t="s">
        <v>21</v>
      </c>
      <c r="B13" s="6">
        <v>3995.3</v>
      </c>
      <c r="C13" s="6">
        <v>7077.0500000000011</v>
      </c>
      <c r="D13" s="6">
        <v>5661.1</v>
      </c>
      <c r="E13" s="6">
        <v>5145.8999999999996</v>
      </c>
      <c r="F13" s="6">
        <v>2938.45</v>
      </c>
      <c r="G13" s="6">
        <f t="shared" si="0"/>
        <v>24817.800000000007</v>
      </c>
    </row>
    <row r="14" spans="1:7" x14ac:dyDescent="0.3">
      <c r="A14" s="1" t="s">
        <v>12</v>
      </c>
      <c r="B14" s="6">
        <v>5478.2999999999993</v>
      </c>
      <c r="C14" s="6">
        <v>6486.75</v>
      </c>
      <c r="D14" s="6">
        <v>3050.65</v>
      </c>
      <c r="E14" s="6">
        <v>6535.35</v>
      </c>
      <c r="F14" s="6">
        <v>3938.2000000000003</v>
      </c>
      <c r="G14" s="6">
        <f t="shared" si="0"/>
        <v>25489.25</v>
      </c>
    </row>
    <row r="15" spans="1:7" x14ac:dyDescent="0.3">
      <c r="A15" s="1" t="s">
        <v>26</v>
      </c>
      <c r="B15" s="6">
        <v>2325.1000000000004</v>
      </c>
      <c r="C15" s="6">
        <v>4949.5</v>
      </c>
      <c r="D15" s="6">
        <v>2822.25</v>
      </c>
      <c r="E15" s="6">
        <v>2748.4500000000003</v>
      </c>
      <c r="F15" s="6"/>
      <c r="G15" s="6">
        <f t="shared" si="0"/>
        <v>12845.300000000001</v>
      </c>
    </row>
    <row r="16" spans="1:7" x14ac:dyDescent="0.3">
      <c r="A16" s="1" t="s">
        <v>17</v>
      </c>
      <c r="B16" s="6">
        <v>4255.55</v>
      </c>
      <c r="C16" s="6">
        <v>708.80000000000007</v>
      </c>
      <c r="D16" s="6">
        <v>7198.55</v>
      </c>
      <c r="E16" s="6">
        <v>4308.3</v>
      </c>
      <c r="F16" s="6">
        <v>5183.3500000000004</v>
      </c>
      <c r="G16" s="6">
        <f t="shared" si="0"/>
        <v>21654.550000000003</v>
      </c>
    </row>
    <row r="17" spans="1:7" x14ac:dyDescent="0.3">
      <c r="A17" s="1" t="s">
        <v>36</v>
      </c>
      <c r="B17" s="6">
        <f>SUM(B6:B16)</f>
        <v>50697.15</v>
      </c>
      <c r="C17" s="6">
        <f>SUM(C6:C16)</f>
        <v>50421.8</v>
      </c>
      <c r="D17" s="6">
        <f>SUM(D6:D16)</f>
        <v>43392.000000000007</v>
      </c>
      <c r="E17" s="6">
        <f>SUM(E6:E16)</f>
        <v>44637.25</v>
      </c>
      <c r="F17" s="6">
        <f>SUM(F6:F16)</f>
        <v>51426.85</v>
      </c>
      <c r="G17" s="6">
        <f t="shared" si="0"/>
        <v>240575.05000000002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A3F2"/>
  </sheetPr>
  <dimension ref="A2:G17"/>
  <sheetViews>
    <sheetView workbookViewId="0"/>
  </sheetViews>
  <sheetFormatPr defaultRowHeight="14.4" x14ac:dyDescent="0.3"/>
  <cols>
    <col min="1" max="1" width="15.5546875" style="3" bestFit="1" customWidth="1"/>
    <col min="2" max="6" width="11.33203125" style="3" customWidth="1"/>
    <col min="7" max="7" width="11.88671875" style="3" bestFit="1" customWidth="1"/>
    <col min="8" max="16384" width="8.88671875" style="3"/>
  </cols>
  <sheetData>
    <row r="2" spans="1:7" x14ac:dyDescent="0.3">
      <c r="A2" s="1" t="s">
        <v>2</v>
      </c>
      <c r="B2" s="2" t="s">
        <v>28</v>
      </c>
    </row>
    <row r="4" spans="1:7" x14ac:dyDescent="0.3">
      <c r="A4" s="1" t="s">
        <v>35</v>
      </c>
      <c r="B4" s="4" t="s">
        <v>0</v>
      </c>
      <c r="C4" s="5"/>
      <c r="D4" s="5"/>
      <c r="E4" s="5"/>
      <c r="F4" s="5"/>
      <c r="G4" s="5"/>
    </row>
    <row r="5" spans="1:7" ht="28.8" x14ac:dyDescent="0.3">
      <c r="A5" s="1" t="s">
        <v>1</v>
      </c>
      <c r="B5" s="1" t="s">
        <v>20</v>
      </c>
      <c r="C5" s="1" t="s">
        <v>14</v>
      </c>
      <c r="D5" s="1" t="s">
        <v>19</v>
      </c>
      <c r="E5" s="1" t="s">
        <v>10</v>
      </c>
      <c r="F5" s="1" t="s">
        <v>11</v>
      </c>
      <c r="G5" s="1" t="s">
        <v>36</v>
      </c>
    </row>
    <row r="6" spans="1:7" x14ac:dyDescent="0.3">
      <c r="A6" s="1" t="s">
        <v>22</v>
      </c>
      <c r="B6" s="6">
        <v>6027.55</v>
      </c>
      <c r="C6" s="6">
        <v>3027.9</v>
      </c>
      <c r="D6" s="6">
        <v>9101.7999999999993</v>
      </c>
      <c r="E6" s="6">
        <v>5528.1</v>
      </c>
      <c r="F6" s="6">
        <v>4207.1499999999996</v>
      </c>
      <c r="G6" s="6">
        <f t="shared" ref="G6:G17" si="0">SUM(B6:F6)</f>
        <v>27892.5</v>
      </c>
    </row>
    <row r="7" spans="1:7" x14ac:dyDescent="0.3">
      <c r="A7" s="1" t="s">
        <v>34</v>
      </c>
      <c r="B7" s="6">
        <v>3481.3</v>
      </c>
      <c r="C7" s="6">
        <v>5007</v>
      </c>
      <c r="D7" s="6">
        <v>2609.0500000000002</v>
      </c>
      <c r="E7" s="6">
        <v>9059.5500000000011</v>
      </c>
      <c r="F7" s="6">
        <v>3066.4</v>
      </c>
      <c r="G7" s="6">
        <f t="shared" si="0"/>
        <v>23223.300000000003</v>
      </c>
    </row>
    <row r="8" spans="1:7" x14ac:dyDescent="0.3">
      <c r="A8" s="1" t="s">
        <v>29</v>
      </c>
      <c r="B8" s="6">
        <v>6192.0000000000009</v>
      </c>
      <c r="C8" s="6">
        <v>3848.5</v>
      </c>
      <c r="D8" s="6">
        <v>6092.3</v>
      </c>
      <c r="E8" s="6"/>
      <c r="F8" s="6">
        <v>4815.5</v>
      </c>
      <c r="G8" s="6">
        <f t="shared" si="0"/>
        <v>20948.3</v>
      </c>
    </row>
    <row r="9" spans="1:7" x14ac:dyDescent="0.3">
      <c r="A9" s="1" t="s">
        <v>27</v>
      </c>
      <c r="B9" s="6">
        <v>3844.9500000000003</v>
      </c>
      <c r="C9" s="6">
        <v>3561.4</v>
      </c>
      <c r="D9" s="6">
        <v>6579.6</v>
      </c>
      <c r="E9" s="6">
        <v>2178.3000000000002</v>
      </c>
      <c r="F9" s="6">
        <v>3673.9500000000003</v>
      </c>
      <c r="G9" s="6">
        <f t="shared" si="0"/>
        <v>19838.2</v>
      </c>
    </row>
    <row r="10" spans="1:7" x14ac:dyDescent="0.3">
      <c r="A10" s="1" t="s">
        <v>30</v>
      </c>
      <c r="B10" s="6">
        <v>1962.5500000000002</v>
      </c>
      <c r="C10" s="6">
        <v>7250.55</v>
      </c>
      <c r="D10" s="6">
        <v>5477.6500000000015</v>
      </c>
      <c r="E10" s="6">
        <v>2352.6</v>
      </c>
      <c r="F10" s="6">
        <v>2989.25</v>
      </c>
      <c r="G10" s="6">
        <f t="shared" si="0"/>
        <v>20032.600000000002</v>
      </c>
    </row>
    <row r="11" spans="1:7" x14ac:dyDescent="0.3">
      <c r="A11" s="1" t="s">
        <v>15</v>
      </c>
      <c r="B11" s="6">
        <v>3840.6500000000005</v>
      </c>
      <c r="C11" s="6">
        <v>6657.7</v>
      </c>
      <c r="D11" s="6">
        <v>1338.9</v>
      </c>
      <c r="E11" s="6">
        <v>5179.95</v>
      </c>
      <c r="F11" s="6">
        <v>2440.0500000000002</v>
      </c>
      <c r="G11" s="6">
        <f t="shared" si="0"/>
        <v>19457.25</v>
      </c>
    </row>
    <row r="12" spans="1:7" x14ac:dyDescent="0.3">
      <c r="A12" s="1" t="s">
        <v>8</v>
      </c>
      <c r="B12" s="6">
        <v>1994.4500000000003</v>
      </c>
      <c r="C12" s="6"/>
      <c r="D12" s="6">
        <v>8134.0000000000009</v>
      </c>
      <c r="E12" s="6">
        <v>3212.9</v>
      </c>
      <c r="F12" s="6">
        <v>1199.25</v>
      </c>
      <c r="G12" s="6">
        <f t="shared" si="0"/>
        <v>14540.6</v>
      </c>
    </row>
    <row r="13" spans="1:7" x14ac:dyDescent="0.3">
      <c r="A13" s="1" t="s">
        <v>21</v>
      </c>
      <c r="B13" s="6">
        <v>8357.8500000000022</v>
      </c>
      <c r="C13" s="6">
        <v>4225.5</v>
      </c>
      <c r="D13" s="6">
        <v>5665.8</v>
      </c>
      <c r="E13" s="6"/>
      <c r="F13" s="6">
        <v>4674.6000000000004</v>
      </c>
      <c r="G13" s="6">
        <f t="shared" si="0"/>
        <v>22923.75</v>
      </c>
    </row>
    <row r="14" spans="1:7" x14ac:dyDescent="0.3">
      <c r="A14" s="1" t="s">
        <v>12</v>
      </c>
      <c r="B14" s="6">
        <v>2478.1999999999998</v>
      </c>
      <c r="C14" s="6">
        <v>6591.9500000000007</v>
      </c>
      <c r="D14" s="6">
        <v>1369.9</v>
      </c>
      <c r="E14" s="6">
        <v>5127.8500000000004</v>
      </c>
      <c r="F14" s="6">
        <v>3114.3</v>
      </c>
      <c r="G14" s="6">
        <f t="shared" si="0"/>
        <v>18682.2</v>
      </c>
    </row>
    <row r="15" spans="1:7" x14ac:dyDescent="0.3">
      <c r="A15" s="1" t="s">
        <v>26</v>
      </c>
      <c r="B15" s="6">
        <v>6080.9000000000005</v>
      </c>
      <c r="C15" s="6">
        <v>7740.1</v>
      </c>
      <c r="D15" s="6">
        <v>2947.8</v>
      </c>
      <c r="E15" s="6">
        <v>4721.0500000000011</v>
      </c>
      <c r="F15" s="6">
        <v>4330.9500000000007</v>
      </c>
      <c r="G15" s="6">
        <f t="shared" si="0"/>
        <v>25820.799999999999</v>
      </c>
    </row>
    <row r="16" spans="1:7" x14ac:dyDescent="0.3">
      <c r="A16" s="1" t="s">
        <v>17</v>
      </c>
      <c r="B16" s="6">
        <v>3148.8</v>
      </c>
      <c r="C16" s="6">
        <v>672.05000000000007</v>
      </c>
      <c r="D16" s="6">
        <v>1470.3000000000002</v>
      </c>
      <c r="E16" s="6">
        <v>2063.8000000000002</v>
      </c>
      <c r="F16" s="6">
        <v>6221.55</v>
      </c>
      <c r="G16" s="6">
        <f t="shared" si="0"/>
        <v>13576.5</v>
      </c>
    </row>
    <row r="17" spans="1:7" x14ac:dyDescent="0.3">
      <c r="A17" s="1" t="s">
        <v>36</v>
      </c>
      <c r="B17" s="6">
        <f>SUM(B6:B16)</f>
        <v>47409.200000000004</v>
      </c>
      <c r="C17" s="6">
        <f>SUM(C6:C16)</f>
        <v>48582.65</v>
      </c>
      <c r="D17" s="6">
        <f>SUM(D6:D16)</f>
        <v>50787.100000000013</v>
      </c>
      <c r="E17" s="6">
        <f>SUM(E6:E16)</f>
        <v>39424.100000000006</v>
      </c>
      <c r="F17" s="6">
        <f>SUM(F6:F16)</f>
        <v>40732.950000000004</v>
      </c>
      <c r="G17" s="6">
        <f t="shared" si="0"/>
        <v>226936.00000000003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"/>
  <sheetViews>
    <sheetView topLeftCell="XFD1048576" workbookViewId="0"/>
  </sheetViews>
  <sheetFormatPr defaultColWidth="0" defaultRowHeight="14.4" zeroHeight="1" x14ac:dyDescent="0.3"/>
  <cols>
    <col min="1" max="16384" width="9.109375" style="3" hidden="1"/>
  </cols>
  <sheetData>
    <row r="1" hidden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A3F2"/>
  </sheetPr>
  <dimension ref="A2:G17"/>
  <sheetViews>
    <sheetView workbookViewId="0"/>
  </sheetViews>
  <sheetFormatPr defaultRowHeight="14.4" x14ac:dyDescent="0.3"/>
  <cols>
    <col min="1" max="1" width="15.5546875" style="3" bestFit="1" customWidth="1"/>
    <col min="2" max="6" width="11.33203125" style="3" customWidth="1"/>
    <col min="7" max="7" width="14.33203125" style="3" bestFit="1" customWidth="1"/>
    <col min="8" max="16384" width="8.88671875" style="3"/>
  </cols>
  <sheetData>
    <row r="2" spans="1:7" x14ac:dyDescent="0.3">
      <c r="A2" s="1" t="s">
        <v>2</v>
      </c>
      <c r="B2" s="2" t="s">
        <v>16</v>
      </c>
      <c r="C2" s="2"/>
    </row>
    <row r="4" spans="1:7" x14ac:dyDescent="0.3">
      <c r="A4" s="1" t="s">
        <v>35</v>
      </c>
      <c r="B4" s="4" t="s">
        <v>0</v>
      </c>
      <c r="C4" s="5"/>
      <c r="D4" s="5"/>
      <c r="E4" s="5"/>
      <c r="F4" s="5"/>
      <c r="G4" s="5"/>
    </row>
    <row r="5" spans="1:7" x14ac:dyDescent="0.3">
      <c r="A5" s="1" t="s">
        <v>1</v>
      </c>
      <c r="B5" s="1" t="s">
        <v>20</v>
      </c>
      <c r="C5" s="1" t="s">
        <v>14</v>
      </c>
      <c r="D5" s="1" t="s">
        <v>19</v>
      </c>
      <c r="E5" s="1" t="s">
        <v>10</v>
      </c>
      <c r="F5" s="1" t="s">
        <v>11</v>
      </c>
      <c r="G5" s="1" t="s">
        <v>36</v>
      </c>
    </row>
    <row r="6" spans="1:7" x14ac:dyDescent="0.3">
      <c r="A6" s="1" t="s">
        <v>22</v>
      </c>
      <c r="B6" s="6">
        <v>6031.2000000000007</v>
      </c>
      <c r="C6" s="6"/>
      <c r="D6" s="6">
        <v>7917.0000000000009</v>
      </c>
      <c r="E6" s="6">
        <v>1997.4500000000003</v>
      </c>
      <c r="F6" s="6">
        <v>3449.95</v>
      </c>
      <c r="G6" s="6">
        <f t="shared" ref="G6:G17" si="0">SUM(B6:F6)</f>
        <v>19395.600000000002</v>
      </c>
    </row>
    <row r="7" spans="1:7" x14ac:dyDescent="0.3">
      <c r="A7" s="1" t="s">
        <v>34</v>
      </c>
      <c r="B7" s="6">
        <v>5175.2</v>
      </c>
      <c r="C7" s="6">
        <v>6851.75</v>
      </c>
      <c r="D7" s="6">
        <v>4990.6500000000005</v>
      </c>
      <c r="E7" s="6">
        <v>6609.4500000000007</v>
      </c>
      <c r="F7" s="6">
        <v>7257.25</v>
      </c>
      <c r="G7" s="6">
        <f t="shared" si="0"/>
        <v>30884.300000000003</v>
      </c>
    </row>
    <row r="8" spans="1:7" x14ac:dyDescent="0.3">
      <c r="A8" s="1" t="s">
        <v>29</v>
      </c>
      <c r="B8" s="6">
        <v>3221.5499999999997</v>
      </c>
      <c r="C8" s="6">
        <v>4825.1000000000004</v>
      </c>
      <c r="D8" s="6">
        <v>5754.6500000000005</v>
      </c>
      <c r="E8" s="6">
        <v>653.35</v>
      </c>
      <c r="F8" s="6">
        <v>7853.6500000000005</v>
      </c>
      <c r="G8" s="6">
        <f t="shared" si="0"/>
        <v>22308.3</v>
      </c>
    </row>
    <row r="9" spans="1:7" x14ac:dyDescent="0.3">
      <c r="A9" s="1" t="s">
        <v>27</v>
      </c>
      <c r="B9" s="6">
        <v>3598.0000000000005</v>
      </c>
      <c r="C9" s="6">
        <v>1880.0500000000002</v>
      </c>
      <c r="D9" s="6">
        <v>8811</v>
      </c>
      <c r="E9" s="6">
        <v>2078.5500000000002</v>
      </c>
      <c r="F9" s="6">
        <v>3963.4000000000005</v>
      </c>
      <c r="G9" s="6">
        <f t="shared" si="0"/>
        <v>20331.000000000004</v>
      </c>
    </row>
    <row r="10" spans="1:7" x14ac:dyDescent="0.3">
      <c r="A10" s="1" t="s">
        <v>30</v>
      </c>
      <c r="B10" s="6">
        <v>1386.2</v>
      </c>
      <c r="C10" s="6">
        <v>8229.25</v>
      </c>
      <c r="D10" s="6">
        <v>1522.1000000000001</v>
      </c>
      <c r="E10" s="6">
        <v>3553.95</v>
      </c>
      <c r="F10" s="6">
        <v>1397.95</v>
      </c>
      <c r="G10" s="6">
        <f t="shared" si="0"/>
        <v>16089.45</v>
      </c>
    </row>
    <row r="11" spans="1:7" x14ac:dyDescent="0.3">
      <c r="A11" s="1" t="s">
        <v>15</v>
      </c>
      <c r="B11" s="6">
        <v>3732</v>
      </c>
      <c r="C11" s="6">
        <v>337.85</v>
      </c>
      <c r="D11" s="6"/>
      <c r="E11" s="6">
        <v>2641.8</v>
      </c>
      <c r="F11" s="6">
        <v>5771.95</v>
      </c>
      <c r="G11" s="6">
        <f t="shared" si="0"/>
        <v>12483.599999999999</v>
      </c>
    </row>
    <row r="12" spans="1:7" x14ac:dyDescent="0.3">
      <c r="A12" s="1" t="s">
        <v>8</v>
      </c>
      <c r="B12" s="6"/>
      <c r="C12" s="6">
        <v>10463.25</v>
      </c>
      <c r="D12" s="6">
        <v>6563.1500000000005</v>
      </c>
      <c r="E12" s="6">
        <v>4535.7000000000007</v>
      </c>
      <c r="F12" s="6">
        <v>4294.5</v>
      </c>
      <c r="G12" s="6">
        <f t="shared" si="0"/>
        <v>25856.600000000002</v>
      </c>
    </row>
    <row r="13" spans="1:7" x14ac:dyDescent="0.3">
      <c r="A13" s="1" t="s">
        <v>21</v>
      </c>
      <c r="B13" s="6">
        <v>3407.7</v>
      </c>
      <c r="C13" s="6">
        <v>3449.55</v>
      </c>
      <c r="D13" s="6">
        <v>2920.6000000000004</v>
      </c>
      <c r="E13" s="6">
        <v>7140.15</v>
      </c>
      <c r="F13" s="6">
        <v>3715.8</v>
      </c>
      <c r="G13" s="6">
        <f t="shared" si="0"/>
        <v>20633.8</v>
      </c>
    </row>
    <row r="14" spans="1:7" x14ac:dyDescent="0.3">
      <c r="A14" s="1" t="s">
        <v>12</v>
      </c>
      <c r="B14" s="6">
        <v>330.20000000000005</v>
      </c>
      <c r="C14" s="6">
        <v>5407.75</v>
      </c>
      <c r="D14" s="6">
        <v>3400</v>
      </c>
      <c r="E14" s="6">
        <v>6934.4000000000015</v>
      </c>
      <c r="F14" s="6">
        <v>10390.400000000001</v>
      </c>
      <c r="G14" s="6">
        <f t="shared" si="0"/>
        <v>26462.750000000004</v>
      </c>
    </row>
    <row r="15" spans="1:7" x14ac:dyDescent="0.3">
      <c r="A15" s="1" t="s">
        <v>26</v>
      </c>
      <c r="B15" s="6">
        <v>7525.05</v>
      </c>
      <c r="C15" s="6">
        <v>2475.4499999999998</v>
      </c>
      <c r="D15" s="6">
        <v>1161.8500000000001</v>
      </c>
      <c r="E15" s="6">
        <v>3743.3</v>
      </c>
      <c r="F15" s="6">
        <v>4149.05</v>
      </c>
      <c r="G15" s="6">
        <f t="shared" si="0"/>
        <v>19054.7</v>
      </c>
    </row>
    <row r="16" spans="1:7" x14ac:dyDescent="0.3">
      <c r="A16" s="1" t="s">
        <v>17</v>
      </c>
      <c r="B16" s="6">
        <v>2793.1000000000004</v>
      </c>
      <c r="C16" s="6">
        <v>4339.55</v>
      </c>
      <c r="D16" s="6">
        <v>3907.05</v>
      </c>
      <c r="E16" s="6">
        <v>8411.5</v>
      </c>
      <c r="F16" s="6">
        <v>8171.4000000000015</v>
      </c>
      <c r="G16" s="6">
        <f t="shared" si="0"/>
        <v>27622.600000000002</v>
      </c>
    </row>
    <row r="17" spans="1:7" x14ac:dyDescent="0.3">
      <c r="A17" s="1" t="s">
        <v>36</v>
      </c>
      <c r="B17" s="6">
        <f>SUM(B6:B16)</f>
        <v>37200.200000000004</v>
      </c>
      <c r="C17" s="6">
        <f>SUM(C6:C16)</f>
        <v>48259.55</v>
      </c>
      <c r="D17" s="6">
        <f>SUM(D6:D16)</f>
        <v>46948.05</v>
      </c>
      <c r="E17" s="6">
        <f>SUM(E6:E16)</f>
        <v>48299.600000000006</v>
      </c>
      <c r="F17" s="6">
        <f>SUM(F6:F16)</f>
        <v>60415.300000000017</v>
      </c>
      <c r="G17" s="6">
        <f t="shared" si="0"/>
        <v>241122.7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A3F2"/>
  </sheetPr>
  <dimension ref="A2:G17"/>
  <sheetViews>
    <sheetView workbookViewId="0"/>
  </sheetViews>
  <sheetFormatPr defaultRowHeight="14.4" x14ac:dyDescent="0.3"/>
  <cols>
    <col min="1" max="1" width="15.5546875" style="3" bestFit="1" customWidth="1"/>
    <col min="2" max="6" width="11.33203125" style="3" customWidth="1"/>
    <col min="7" max="7" width="11.88671875" style="3" bestFit="1" customWidth="1"/>
    <col min="8" max="16384" width="8.88671875" style="3"/>
  </cols>
  <sheetData>
    <row r="2" spans="1:7" x14ac:dyDescent="0.3">
      <c r="A2" s="1" t="s">
        <v>2</v>
      </c>
      <c r="B2" s="2" t="s">
        <v>4</v>
      </c>
    </row>
    <row r="4" spans="1:7" x14ac:dyDescent="0.3">
      <c r="A4" s="1" t="s">
        <v>35</v>
      </c>
      <c r="B4" s="4" t="s">
        <v>0</v>
      </c>
      <c r="C4" s="5"/>
      <c r="D4" s="5"/>
      <c r="E4" s="5"/>
      <c r="F4" s="5"/>
      <c r="G4" s="5"/>
    </row>
    <row r="5" spans="1:7" ht="28.8" x14ac:dyDescent="0.3">
      <c r="A5" s="1" t="s">
        <v>1</v>
      </c>
      <c r="B5" s="1" t="s">
        <v>20</v>
      </c>
      <c r="C5" s="1" t="s">
        <v>14</v>
      </c>
      <c r="D5" s="1" t="s">
        <v>19</v>
      </c>
      <c r="E5" s="1" t="s">
        <v>10</v>
      </c>
      <c r="F5" s="1" t="s">
        <v>11</v>
      </c>
      <c r="G5" s="1" t="s">
        <v>36</v>
      </c>
    </row>
    <row r="6" spans="1:7" x14ac:dyDescent="0.3">
      <c r="A6" s="1" t="s">
        <v>22</v>
      </c>
      <c r="B6" s="6">
        <v>1920.3500000000001</v>
      </c>
      <c r="C6" s="6">
        <v>1583.25</v>
      </c>
      <c r="D6" s="6">
        <v>2685.65</v>
      </c>
      <c r="E6" s="6">
        <v>5016.4500000000007</v>
      </c>
      <c r="F6" s="6">
        <v>3998.9000000000005</v>
      </c>
      <c r="G6" s="6">
        <f t="shared" ref="G6:G17" si="0">SUM(B6:F6)</f>
        <v>15204.600000000002</v>
      </c>
    </row>
    <row r="7" spans="1:7" x14ac:dyDescent="0.3">
      <c r="A7" s="1" t="s">
        <v>34</v>
      </c>
      <c r="B7" s="6">
        <v>1015.0500000000001</v>
      </c>
      <c r="C7" s="6">
        <v>3069.1500000000005</v>
      </c>
      <c r="D7" s="6">
        <v>1352.2</v>
      </c>
      <c r="E7" s="6">
        <v>5045.25</v>
      </c>
      <c r="F7" s="6">
        <v>2502.6</v>
      </c>
      <c r="G7" s="6">
        <f t="shared" si="0"/>
        <v>12984.250000000002</v>
      </c>
    </row>
    <row r="8" spans="1:7" x14ac:dyDescent="0.3">
      <c r="A8" s="1" t="s">
        <v>29</v>
      </c>
      <c r="B8" s="6">
        <v>5357.3</v>
      </c>
      <c r="C8" s="6">
        <v>5473.15</v>
      </c>
      <c r="D8" s="6">
        <v>8118.6500000000005</v>
      </c>
      <c r="E8" s="6">
        <v>9454.0000000000018</v>
      </c>
      <c r="F8" s="6">
        <v>5528.95</v>
      </c>
      <c r="G8" s="6">
        <f t="shared" si="0"/>
        <v>33932.050000000003</v>
      </c>
    </row>
    <row r="9" spans="1:7" x14ac:dyDescent="0.3">
      <c r="A9" s="1" t="s">
        <v>27</v>
      </c>
      <c r="B9" s="6">
        <v>5555.6</v>
      </c>
      <c r="C9" s="6">
        <v>8148.9000000000005</v>
      </c>
      <c r="D9" s="6">
        <v>1341.95</v>
      </c>
      <c r="E9" s="6">
        <v>5548.75</v>
      </c>
      <c r="F9" s="6">
        <v>2902.1</v>
      </c>
      <c r="G9" s="6">
        <f t="shared" si="0"/>
        <v>23497.3</v>
      </c>
    </row>
    <row r="10" spans="1:7" x14ac:dyDescent="0.3">
      <c r="A10" s="1" t="s">
        <v>30</v>
      </c>
      <c r="B10" s="6">
        <v>6923.1</v>
      </c>
      <c r="C10" s="6">
        <v>3405.35</v>
      </c>
      <c r="D10" s="6">
        <v>1610.15</v>
      </c>
      <c r="E10" s="6">
        <v>3448.2000000000007</v>
      </c>
      <c r="F10" s="6">
        <v>5834.35</v>
      </c>
      <c r="G10" s="6">
        <f t="shared" si="0"/>
        <v>21221.15</v>
      </c>
    </row>
    <row r="11" spans="1:7" x14ac:dyDescent="0.3">
      <c r="A11" s="1" t="s">
        <v>15</v>
      </c>
      <c r="B11" s="6">
        <v>8079.6</v>
      </c>
      <c r="C11" s="6">
        <v>2133.5500000000002</v>
      </c>
      <c r="D11" s="6">
        <v>2171.8000000000002</v>
      </c>
      <c r="E11" s="6">
        <v>7358.8</v>
      </c>
      <c r="F11" s="6">
        <v>4642.4000000000005</v>
      </c>
      <c r="G11" s="6">
        <f t="shared" si="0"/>
        <v>24386.15</v>
      </c>
    </row>
    <row r="12" spans="1:7" x14ac:dyDescent="0.3">
      <c r="A12" s="1" t="s">
        <v>8</v>
      </c>
      <c r="B12" s="6">
        <v>8901.2000000000007</v>
      </c>
      <c r="C12" s="6">
        <v>6786.7499999999991</v>
      </c>
      <c r="D12" s="6">
        <v>6579.45</v>
      </c>
      <c r="E12" s="6">
        <v>8180.8000000000011</v>
      </c>
      <c r="F12" s="6">
        <v>1958.7500000000002</v>
      </c>
      <c r="G12" s="6">
        <f t="shared" si="0"/>
        <v>32406.950000000004</v>
      </c>
    </row>
    <row r="13" spans="1:7" x14ac:dyDescent="0.3">
      <c r="A13" s="1" t="s">
        <v>21</v>
      </c>
      <c r="B13" s="6">
        <v>5041.6500000000005</v>
      </c>
      <c r="C13" s="6">
        <v>3214.05</v>
      </c>
      <c r="D13" s="6">
        <v>4122.3999999999996</v>
      </c>
      <c r="E13" s="6">
        <v>3845.3500000000004</v>
      </c>
      <c r="F13" s="6">
        <v>1019.6</v>
      </c>
      <c r="G13" s="6">
        <f t="shared" si="0"/>
        <v>17243.05</v>
      </c>
    </row>
    <row r="14" spans="1:7" x14ac:dyDescent="0.3">
      <c r="A14" s="1" t="s">
        <v>12</v>
      </c>
      <c r="B14" s="6">
        <v>5105.9500000000007</v>
      </c>
      <c r="C14" s="6">
        <v>6914.05</v>
      </c>
      <c r="D14" s="6">
        <v>1183.8000000000002</v>
      </c>
      <c r="E14" s="6">
        <v>5223.3</v>
      </c>
      <c r="F14" s="6">
        <v>2939</v>
      </c>
      <c r="G14" s="6">
        <f t="shared" si="0"/>
        <v>21366.1</v>
      </c>
    </row>
    <row r="15" spans="1:7" x14ac:dyDescent="0.3">
      <c r="A15" s="1" t="s">
        <v>26</v>
      </c>
      <c r="B15" s="6">
        <v>1821.0500000000002</v>
      </c>
      <c r="C15" s="6">
        <v>4531.4500000000007</v>
      </c>
      <c r="D15" s="6">
        <v>2575.3500000000004</v>
      </c>
      <c r="E15" s="6">
        <v>5536.15</v>
      </c>
      <c r="F15" s="6">
        <v>7826.1500000000005</v>
      </c>
      <c r="G15" s="6">
        <f t="shared" si="0"/>
        <v>22290.15</v>
      </c>
    </row>
    <row r="16" spans="1:7" x14ac:dyDescent="0.3">
      <c r="A16" s="1" t="s">
        <v>17</v>
      </c>
      <c r="B16" s="6">
        <v>7267.5</v>
      </c>
      <c r="C16" s="6">
        <v>5137.55</v>
      </c>
      <c r="D16" s="6">
        <v>2688.7000000000003</v>
      </c>
      <c r="E16" s="6">
        <v>5514.9000000000005</v>
      </c>
      <c r="F16" s="6">
        <v>3240.7500000000005</v>
      </c>
      <c r="G16" s="6">
        <f t="shared" si="0"/>
        <v>23849.4</v>
      </c>
    </row>
    <row r="17" spans="1:7" x14ac:dyDescent="0.3">
      <c r="A17" s="1" t="s">
        <v>36</v>
      </c>
      <c r="B17" s="6">
        <f>SUM(B6:B16)</f>
        <v>56988.350000000006</v>
      </c>
      <c r="C17" s="6">
        <f>SUM(C6:C16)</f>
        <v>50397.200000000012</v>
      </c>
      <c r="D17" s="6">
        <f>SUM(D6:D16)</f>
        <v>34430.1</v>
      </c>
      <c r="E17" s="6">
        <f>SUM(E6:E16)</f>
        <v>64171.950000000012</v>
      </c>
      <c r="F17" s="6">
        <f>SUM(F6:F16)</f>
        <v>42393.55</v>
      </c>
      <c r="G17" s="6">
        <f t="shared" si="0"/>
        <v>248381.15000000002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A3F2"/>
  </sheetPr>
  <dimension ref="A2:G17"/>
  <sheetViews>
    <sheetView workbookViewId="0"/>
  </sheetViews>
  <sheetFormatPr defaultRowHeight="14.4" x14ac:dyDescent="0.3"/>
  <cols>
    <col min="1" max="1" width="15.5546875" style="3" bestFit="1" customWidth="1"/>
    <col min="2" max="6" width="11.33203125" style="3" customWidth="1"/>
    <col min="7" max="7" width="11.88671875" style="3" bestFit="1" customWidth="1"/>
    <col min="8" max="16384" width="8.88671875" style="3"/>
  </cols>
  <sheetData>
    <row r="2" spans="1:7" x14ac:dyDescent="0.3">
      <c r="A2" s="1" t="s">
        <v>2</v>
      </c>
      <c r="B2" s="2" t="s">
        <v>6</v>
      </c>
    </row>
    <row r="4" spans="1:7" x14ac:dyDescent="0.3">
      <c r="A4" s="1" t="s">
        <v>35</v>
      </c>
      <c r="B4" s="4" t="s">
        <v>0</v>
      </c>
      <c r="C4" s="5"/>
      <c r="D4" s="5"/>
      <c r="E4" s="5"/>
      <c r="F4" s="5"/>
      <c r="G4" s="5"/>
    </row>
    <row r="5" spans="1:7" ht="28.8" x14ac:dyDescent="0.3">
      <c r="A5" s="1" t="s">
        <v>1</v>
      </c>
      <c r="B5" s="1" t="s">
        <v>20</v>
      </c>
      <c r="C5" s="1" t="s">
        <v>14</v>
      </c>
      <c r="D5" s="1" t="s">
        <v>19</v>
      </c>
      <c r="E5" s="1" t="s">
        <v>10</v>
      </c>
      <c r="F5" s="1" t="s">
        <v>11</v>
      </c>
      <c r="G5" s="1" t="s">
        <v>36</v>
      </c>
    </row>
    <row r="6" spans="1:7" x14ac:dyDescent="0.3">
      <c r="A6" s="1" t="s">
        <v>22</v>
      </c>
      <c r="B6" s="6">
        <v>3877.15</v>
      </c>
      <c r="C6" s="6">
        <v>3765.55</v>
      </c>
      <c r="D6" s="6">
        <v>2299.3000000000002</v>
      </c>
      <c r="E6" s="6">
        <v>5092.4000000000005</v>
      </c>
      <c r="F6" s="6">
        <v>7454.8500000000013</v>
      </c>
      <c r="G6" s="6">
        <f t="shared" ref="G6:G17" si="0">SUM(B6:F6)</f>
        <v>22489.250000000004</v>
      </c>
    </row>
    <row r="7" spans="1:7" x14ac:dyDescent="0.3">
      <c r="A7" s="1" t="s">
        <v>34</v>
      </c>
      <c r="B7" s="6">
        <v>8717.7999999999993</v>
      </c>
      <c r="C7" s="6">
        <v>3475.9500000000003</v>
      </c>
      <c r="D7" s="6">
        <v>1912.6000000000001</v>
      </c>
      <c r="E7" s="6">
        <v>1688.75</v>
      </c>
      <c r="F7" s="6">
        <v>712.75</v>
      </c>
      <c r="G7" s="6">
        <f t="shared" si="0"/>
        <v>16507.849999999999</v>
      </c>
    </row>
    <row r="8" spans="1:7" x14ac:dyDescent="0.3">
      <c r="A8" s="1" t="s">
        <v>29</v>
      </c>
      <c r="B8" s="6">
        <v>4315.95</v>
      </c>
      <c r="C8" s="6">
        <v>2251.15</v>
      </c>
      <c r="D8" s="6">
        <v>3773.8</v>
      </c>
      <c r="E8" s="6">
        <v>6230.7999999999993</v>
      </c>
      <c r="F8" s="6">
        <v>6863.7500000000009</v>
      </c>
      <c r="G8" s="6">
        <f t="shared" si="0"/>
        <v>23435.45</v>
      </c>
    </row>
    <row r="9" spans="1:7" x14ac:dyDescent="0.3">
      <c r="A9" s="1" t="s">
        <v>27</v>
      </c>
      <c r="B9" s="6">
        <v>5482.0000000000009</v>
      </c>
      <c r="C9" s="6">
        <v>3920</v>
      </c>
      <c r="D9" s="6">
        <v>1050.5500000000002</v>
      </c>
      <c r="E9" s="6">
        <v>5466.6</v>
      </c>
      <c r="F9" s="6">
        <v>6035.0500000000011</v>
      </c>
      <c r="G9" s="6">
        <f t="shared" si="0"/>
        <v>21954.2</v>
      </c>
    </row>
    <row r="10" spans="1:7" x14ac:dyDescent="0.3">
      <c r="A10" s="1" t="s">
        <v>30</v>
      </c>
      <c r="B10" s="6">
        <v>7144.25</v>
      </c>
      <c r="C10" s="6">
        <v>5173.2000000000007</v>
      </c>
      <c r="D10" s="6">
        <v>9257.0500000000011</v>
      </c>
      <c r="E10" s="6">
        <v>1709.9</v>
      </c>
      <c r="F10" s="6">
        <v>4139.9000000000005</v>
      </c>
      <c r="G10" s="6">
        <f t="shared" si="0"/>
        <v>27424.300000000003</v>
      </c>
    </row>
    <row r="11" spans="1:7" x14ac:dyDescent="0.3">
      <c r="A11" s="1" t="s">
        <v>15</v>
      </c>
      <c r="B11" s="6">
        <v>7097.85</v>
      </c>
      <c r="C11" s="6">
        <v>8204.5</v>
      </c>
      <c r="D11" s="6">
        <v>2851.5</v>
      </c>
      <c r="E11" s="6">
        <v>4165.6499999999996</v>
      </c>
      <c r="F11" s="6">
        <v>978.7</v>
      </c>
      <c r="G11" s="6">
        <f t="shared" si="0"/>
        <v>23298.2</v>
      </c>
    </row>
    <row r="12" spans="1:7" x14ac:dyDescent="0.3">
      <c r="A12" s="1" t="s">
        <v>8</v>
      </c>
      <c r="B12" s="6">
        <v>3097.3</v>
      </c>
      <c r="C12" s="6">
        <v>5385.8499999999995</v>
      </c>
      <c r="D12" s="6">
        <v>5635.25</v>
      </c>
      <c r="E12" s="6">
        <v>6809.9500000000007</v>
      </c>
      <c r="F12" s="6">
        <v>2358.9</v>
      </c>
      <c r="G12" s="6">
        <f t="shared" si="0"/>
        <v>23287.25</v>
      </c>
    </row>
    <row r="13" spans="1:7" x14ac:dyDescent="0.3">
      <c r="A13" s="1" t="s">
        <v>21</v>
      </c>
      <c r="B13" s="6">
        <v>6324.45</v>
      </c>
      <c r="C13" s="6">
        <v>3967.2500000000005</v>
      </c>
      <c r="D13" s="6">
        <v>3097.55</v>
      </c>
      <c r="E13" s="6">
        <v>4342.3</v>
      </c>
      <c r="F13" s="6">
        <v>7204.9000000000005</v>
      </c>
      <c r="G13" s="6">
        <f t="shared" si="0"/>
        <v>24936.45</v>
      </c>
    </row>
    <row r="14" spans="1:7" x14ac:dyDescent="0.3">
      <c r="A14" s="1" t="s">
        <v>12</v>
      </c>
      <c r="B14" s="6">
        <v>870.05000000000007</v>
      </c>
      <c r="C14" s="6">
        <v>9697.1500000000015</v>
      </c>
      <c r="D14" s="6">
        <v>6187.9000000000005</v>
      </c>
      <c r="E14" s="6">
        <v>793.1</v>
      </c>
      <c r="F14" s="6"/>
      <c r="G14" s="6">
        <f t="shared" si="0"/>
        <v>17548.2</v>
      </c>
    </row>
    <row r="15" spans="1:7" x14ac:dyDescent="0.3">
      <c r="A15" s="1" t="s">
        <v>26</v>
      </c>
      <c r="B15" s="6">
        <v>8943.15</v>
      </c>
      <c r="C15" s="6">
        <v>2365.65</v>
      </c>
      <c r="D15" s="6">
        <v>7274.2000000000007</v>
      </c>
      <c r="E15" s="6">
        <v>6952.35</v>
      </c>
      <c r="F15" s="6">
        <v>1051.2</v>
      </c>
      <c r="G15" s="6">
        <f t="shared" si="0"/>
        <v>26586.55</v>
      </c>
    </row>
    <row r="16" spans="1:7" x14ac:dyDescent="0.3">
      <c r="A16" s="1" t="s">
        <v>17</v>
      </c>
      <c r="B16" s="6">
        <v>1929.1</v>
      </c>
      <c r="C16" s="6">
        <v>2842.9</v>
      </c>
      <c r="D16" s="6">
        <v>5422.55</v>
      </c>
      <c r="E16" s="6">
        <v>3455.1000000000004</v>
      </c>
      <c r="F16" s="6">
        <v>4002.1500000000005</v>
      </c>
      <c r="G16" s="6">
        <f t="shared" si="0"/>
        <v>17651.8</v>
      </c>
    </row>
    <row r="17" spans="1:7" x14ac:dyDescent="0.3">
      <c r="A17" s="1" t="s">
        <v>36</v>
      </c>
      <c r="B17" s="6">
        <f>SUM(B6:B16)</f>
        <v>57799.05</v>
      </c>
      <c r="C17" s="6">
        <f>SUM(C6:C16)</f>
        <v>51049.15</v>
      </c>
      <c r="D17" s="6">
        <f>SUM(D6:D16)</f>
        <v>48762.25</v>
      </c>
      <c r="E17" s="6">
        <f>SUM(E6:E16)</f>
        <v>46706.9</v>
      </c>
      <c r="F17" s="6">
        <f>SUM(F6:F16)</f>
        <v>40802.15</v>
      </c>
      <c r="G17" s="6">
        <f t="shared" si="0"/>
        <v>245119.5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A3F2"/>
  </sheetPr>
  <dimension ref="A2:G17"/>
  <sheetViews>
    <sheetView workbookViewId="0"/>
  </sheetViews>
  <sheetFormatPr defaultRowHeight="14.4" x14ac:dyDescent="0.3"/>
  <cols>
    <col min="1" max="1" width="15.5546875" style="3" bestFit="1" customWidth="1"/>
    <col min="2" max="6" width="11.33203125" style="3" customWidth="1"/>
    <col min="7" max="7" width="11.88671875" style="3" bestFit="1" customWidth="1"/>
    <col min="8" max="16384" width="8.88671875" style="3"/>
  </cols>
  <sheetData>
    <row r="2" spans="1:7" x14ac:dyDescent="0.3">
      <c r="A2" s="1" t="s">
        <v>2</v>
      </c>
      <c r="B2" s="2" t="s">
        <v>23</v>
      </c>
    </row>
    <row r="4" spans="1:7" x14ac:dyDescent="0.3">
      <c r="A4" s="1" t="s">
        <v>35</v>
      </c>
      <c r="B4" s="4" t="s">
        <v>0</v>
      </c>
      <c r="C4" s="5"/>
      <c r="D4" s="5"/>
      <c r="E4" s="5"/>
      <c r="F4" s="5"/>
      <c r="G4" s="5"/>
    </row>
    <row r="5" spans="1:7" ht="28.8" x14ac:dyDescent="0.3">
      <c r="A5" s="1" t="s">
        <v>1</v>
      </c>
      <c r="B5" s="1" t="s">
        <v>20</v>
      </c>
      <c r="C5" s="1" t="s">
        <v>14</v>
      </c>
      <c r="D5" s="1" t="s">
        <v>19</v>
      </c>
      <c r="E5" s="1" t="s">
        <v>10</v>
      </c>
      <c r="F5" s="1" t="s">
        <v>11</v>
      </c>
      <c r="G5" s="1" t="s">
        <v>36</v>
      </c>
    </row>
    <row r="6" spans="1:7" x14ac:dyDescent="0.3">
      <c r="A6" s="1" t="s">
        <v>22</v>
      </c>
      <c r="B6" s="6">
        <v>4855.6000000000004</v>
      </c>
      <c r="C6" s="6">
        <v>2351.65</v>
      </c>
      <c r="D6" s="6">
        <v>5107.05</v>
      </c>
      <c r="E6" s="6">
        <v>1627</v>
      </c>
      <c r="F6" s="6">
        <v>3965.95</v>
      </c>
      <c r="G6" s="6">
        <f t="shared" ref="G6:G17" si="0">SUM(B6:F6)</f>
        <v>17907.25</v>
      </c>
    </row>
    <row r="7" spans="1:7" x14ac:dyDescent="0.3">
      <c r="A7" s="1" t="s">
        <v>34</v>
      </c>
      <c r="B7" s="6">
        <v>3678.75</v>
      </c>
      <c r="C7" s="6">
        <v>7497.5</v>
      </c>
      <c r="D7" s="6">
        <v>2249.6</v>
      </c>
      <c r="E7" s="6">
        <v>2932.6000000000004</v>
      </c>
      <c r="F7" s="6">
        <v>6975.65</v>
      </c>
      <c r="G7" s="6">
        <f t="shared" si="0"/>
        <v>23334.1</v>
      </c>
    </row>
    <row r="8" spans="1:7" x14ac:dyDescent="0.3">
      <c r="A8" s="1" t="s">
        <v>29</v>
      </c>
      <c r="B8" s="6">
        <v>2270.75</v>
      </c>
      <c r="C8" s="6">
        <v>4773.7</v>
      </c>
      <c r="D8" s="6">
        <v>1404.75</v>
      </c>
      <c r="E8" s="6">
        <v>5232.7000000000007</v>
      </c>
      <c r="F8" s="6">
        <v>3450.25</v>
      </c>
      <c r="G8" s="6">
        <f t="shared" si="0"/>
        <v>17132.150000000001</v>
      </c>
    </row>
    <row r="9" spans="1:7" x14ac:dyDescent="0.3">
      <c r="A9" s="1" t="s">
        <v>27</v>
      </c>
      <c r="B9" s="6">
        <v>7179.0500000000011</v>
      </c>
      <c r="C9" s="6">
        <v>3863.7000000000003</v>
      </c>
      <c r="D9" s="6">
        <v>7709.6000000000013</v>
      </c>
      <c r="E9" s="6">
        <v>7646.3500000000013</v>
      </c>
      <c r="F9" s="6">
        <v>6619.35</v>
      </c>
      <c r="G9" s="6">
        <f t="shared" si="0"/>
        <v>33018.050000000003</v>
      </c>
    </row>
    <row r="10" spans="1:7" x14ac:dyDescent="0.3">
      <c r="A10" s="1" t="s">
        <v>30</v>
      </c>
      <c r="B10" s="6">
        <v>4340.3500000000004</v>
      </c>
      <c r="C10" s="6">
        <v>5194.8</v>
      </c>
      <c r="D10" s="6">
        <v>3391.7</v>
      </c>
      <c r="E10" s="6">
        <v>6573.9000000000005</v>
      </c>
      <c r="F10" s="6">
        <v>5566.75</v>
      </c>
      <c r="G10" s="6">
        <f t="shared" si="0"/>
        <v>25067.500000000004</v>
      </c>
    </row>
    <row r="11" spans="1:7" x14ac:dyDescent="0.3">
      <c r="A11" s="1" t="s">
        <v>15</v>
      </c>
      <c r="B11" s="6">
        <v>2934.9</v>
      </c>
      <c r="C11" s="6">
        <v>271.2</v>
      </c>
      <c r="D11" s="6">
        <v>1491.05</v>
      </c>
      <c r="E11" s="6">
        <v>6852.9500000000007</v>
      </c>
      <c r="F11" s="6">
        <v>4905.8000000000011</v>
      </c>
      <c r="G11" s="6">
        <f t="shared" si="0"/>
        <v>16455.900000000001</v>
      </c>
    </row>
    <row r="12" spans="1:7" x14ac:dyDescent="0.3">
      <c r="A12" s="1" t="s">
        <v>8</v>
      </c>
      <c r="B12" s="6">
        <v>1965.05</v>
      </c>
      <c r="C12" s="6">
        <v>6475.1000000000013</v>
      </c>
      <c r="D12" s="6">
        <v>6663</v>
      </c>
      <c r="E12" s="6">
        <v>4572.45</v>
      </c>
      <c r="F12" s="6">
        <v>1314.7000000000003</v>
      </c>
      <c r="G12" s="6">
        <f t="shared" si="0"/>
        <v>20990.300000000003</v>
      </c>
    </row>
    <row r="13" spans="1:7" x14ac:dyDescent="0.3">
      <c r="A13" s="1" t="s">
        <v>21</v>
      </c>
      <c r="B13" s="6">
        <v>1675.65</v>
      </c>
      <c r="C13" s="6">
        <v>6860.0500000000011</v>
      </c>
      <c r="D13" s="6">
        <v>3105.3</v>
      </c>
      <c r="E13" s="6">
        <v>4464.7</v>
      </c>
      <c r="F13" s="6">
        <v>112.30000000000001</v>
      </c>
      <c r="G13" s="6">
        <f t="shared" si="0"/>
        <v>16218</v>
      </c>
    </row>
    <row r="14" spans="1:7" x14ac:dyDescent="0.3">
      <c r="A14" s="1" t="s">
        <v>12</v>
      </c>
      <c r="B14" s="6">
        <v>8034.4500000000007</v>
      </c>
      <c r="C14" s="6">
        <v>4272.05</v>
      </c>
      <c r="D14" s="6">
        <v>3532.1000000000004</v>
      </c>
      <c r="E14" s="6">
        <v>835.65000000000009</v>
      </c>
      <c r="F14" s="6">
        <v>5804.7</v>
      </c>
      <c r="G14" s="6">
        <f t="shared" si="0"/>
        <v>22478.95</v>
      </c>
    </row>
    <row r="15" spans="1:7" x14ac:dyDescent="0.3">
      <c r="A15" s="1" t="s">
        <v>26</v>
      </c>
      <c r="B15" s="6"/>
      <c r="C15" s="6">
        <v>2379.0500000000002</v>
      </c>
      <c r="D15" s="6">
        <v>5369.9</v>
      </c>
      <c r="E15" s="6">
        <v>6050.3000000000011</v>
      </c>
      <c r="F15" s="6">
        <v>3927.0000000000005</v>
      </c>
      <c r="G15" s="6">
        <f t="shared" si="0"/>
        <v>17726.25</v>
      </c>
    </row>
    <row r="16" spans="1:7" x14ac:dyDescent="0.3">
      <c r="A16" s="1" t="s">
        <v>17</v>
      </c>
      <c r="B16" s="6">
        <v>5129.3</v>
      </c>
      <c r="C16" s="6">
        <v>4720.55</v>
      </c>
      <c r="D16" s="6">
        <v>7322.35</v>
      </c>
      <c r="E16" s="6">
        <v>1343.45</v>
      </c>
      <c r="F16" s="6">
        <v>3615.7000000000003</v>
      </c>
      <c r="G16" s="6">
        <f t="shared" si="0"/>
        <v>22131.350000000002</v>
      </c>
    </row>
    <row r="17" spans="1:7" x14ac:dyDescent="0.3">
      <c r="A17" s="1" t="s">
        <v>36</v>
      </c>
      <c r="B17" s="6">
        <f>SUM(B6:B16)</f>
        <v>42063.850000000006</v>
      </c>
      <c r="C17" s="6">
        <f>SUM(C6:C16)</f>
        <v>48659.350000000013</v>
      </c>
      <c r="D17" s="6">
        <f>SUM(D6:D16)</f>
        <v>47346.400000000001</v>
      </c>
      <c r="E17" s="6">
        <f>SUM(E6:E16)</f>
        <v>48132.05</v>
      </c>
      <c r="F17" s="6">
        <f>SUM(F6:F16)</f>
        <v>46258.149999999994</v>
      </c>
      <c r="G17" s="6">
        <f t="shared" si="0"/>
        <v>232459.80000000002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A3F2"/>
  </sheetPr>
  <dimension ref="A2:G17"/>
  <sheetViews>
    <sheetView workbookViewId="0"/>
  </sheetViews>
  <sheetFormatPr defaultRowHeight="14.4" x14ac:dyDescent="0.3"/>
  <cols>
    <col min="1" max="1" width="15.5546875" style="3" bestFit="1" customWidth="1"/>
    <col min="2" max="6" width="11.33203125" style="3" customWidth="1"/>
    <col min="7" max="7" width="14.33203125" style="3" bestFit="1" customWidth="1"/>
    <col min="8" max="16384" width="8.88671875" style="3"/>
  </cols>
  <sheetData>
    <row r="2" spans="1:7" x14ac:dyDescent="0.3">
      <c r="A2" s="1" t="s">
        <v>2</v>
      </c>
      <c r="B2" s="2" t="s">
        <v>5</v>
      </c>
    </row>
    <row r="4" spans="1:7" x14ac:dyDescent="0.3">
      <c r="A4" s="1" t="s">
        <v>35</v>
      </c>
      <c r="B4" s="4" t="s">
        <v>0</v>
      </c>
      <c r="C4" s="5"/>
      <c r="D4" s="5"/>
      <c r="E4" s="5"/>
      <c r="F4" s="5"/>
      <c r="G4" s="5"/>
    </row>
    <row r="5" spans="1:7" x14ac:dyDescent="0.3">
      <c r="A5" s="1" t="s">
        <v>1</v>
      </c>
      <c r="B5" s="1" t="s">
        <v>20</v>
      </c>
      <c r="C5" s="1" t="s">
        <v>14</v>
      </c>
      <c r="D5" s="1" t="s">
        <v>19</v>
      </c>
      <c r="E5" s="1" t="s">
        <v>10</v>
      </c>
      <c r="F5" s="1" t="s">
        <v>11</v>
      </c>
      <c r="G5" s="1" t="s">
        <v>36</v>
      </c>
    </row>
    <row r="6" spans="1:7" x14ac:dyDescent="0.3">
      <c r="A6" s="1" t="s">
        <v>22</v>
      </c>
      <c r="B6" s="6">
        <v>3173.3</v>
      </c>
      <c r="C6" s="6"/>
      <c r="D6" s="6">
        <v>6167.75</v>
      </c>
      <c r="E6" s="6">
        <v>5230.5</v>
      </c>
      <c r="F6" s="6">
        <v>1602.25</v>
      </c>
      <c r="G6" s="6">
        <f t="shared" ref="G6:G17" si="0">SUM(B6:F6)</f>
        <v>16173.8</v>
      </c>
    </row>
    <row r="7" spans="1:7" x14ac:dyDescent="0.3">
      <c r="A7" s="1" t="s">
        <v>34</v>
      </c>
      <c r="B7" s="6">
        <v>4101.2</v>
      </c>
      <c r="C7" s="6">
        <v>2424</v>
      </c>
      <c r="D7" s="6">
        <v>1080.7</v>
      </c>
      <c r="E7" s="6">
        <v>3647.2000000000007</v>
      </c>
      <c r="F7" s="6">
        <v>152</v>
      </c>
      <c r="G7" s="6">
        <f t="shared" si="0"/>
        <v>11405.1</v>
      </c>
    </row>
    <row r="8" spans="1:7" x14ac:dyDescent="0.3">
      <c r="A8" s="1" t="s">
        <v>29</v>
      </c>
      <c r="B8" s="6">
        <v>2628.15</v>
      </c>
      <c r="C8" s="6">
        <v>5862.2</v>
      </c>
      <c r="D8" s="6">
        <v>3992.7500000000005</v>
      </c>
      <c r="E8" s="6">
        <v>1256.3</v>
      </c>
      <c r="F8" s="6">
        <v>3125.75</v>
      </c>
      <c r="G8" s="6">
        <f t="shared" si="0"/>
        <v>16865.150000000001</v>
      </c>
    </row>
    <row r="9" spans="1:7" x14ac:dyDescent="0.3">
      <c r="A9" s="1" t="s">
        <v>27</v>
      </c>
      <c r="B9" s="6">
        <v>3183.6000000000004</v>
      </c>
      <c r="C9" s="6">
        <v>4402.3500000000004</v>
      </c>
      <c r="D9" s="6">
        <v>2231.4</v>
      </c>
      <c r="E9" s="6">
        <v>3875.4</v>
      </c>
      <c r="F9" s="6">
        <v>4946.3500000000004</v>
      </c>
      <c r="G9" s="6">
        <f t="shared" si="0"/>
        <v>18639.099999999999</v>
      </c>
    </row>
    <row r="10" spans="1:7" x14ac:dyDescent="0.3">
      <c r="A10" s="1" t="s">
        <v>30</v>
      </c>
      <c r="B10" s="6">
        <v>8191.5500000000011</v>
      </c>
      <c r="C10" s="6">
        <v>3155.8500000000004</v>
      </c>
      <c r="D10" s="6">
        <v>5115.25</v>
      </c>
      <c r="E10" s="6">
        <v>1012.8000000000001</v>
      </c>
      <c r="F10" s="6">
        <v>7846.55</v>
      </c>
      <c r="G10" s="6">
        <f t="shared" si="0"/>
        <v>25322</v>
      </c>
    </row>
    <row r="11" spans="1:7" x14ac:dyDescent="0.3">
      <c r="A11" s="1" t="s">
        <v>15</v>
      </c>
      <c r="B11" s="6">
        <v>3615.2</v>
      </c>
      <c r="C11" s="6">
        <v>1250.5500000000002</v>
      </c>
      <c r="D11" s="6">
        <v>3626.9500000000003</v>
      </c>
      <c r="E11" s="6">
        <v>5130.4000000000005</v>
      </c>
      <c r="F11" s="6">
        <v>4224.3999999999996</v>
      </c>
      <c r="G11" s="6">
        <f t="shared" si="0"/>
        <v>17847.5</v>
      </c>
    </row>
    <row r="12" spans="1:7" x14ac:dyDescent="0.3">
      <c r="A12" s="1" t="s">
        <v>8</v>
      </c>
      <c r="B12" s="6">
        <v>6991.9000000000015</v>
      </c>
      <c r="C12" s="6">
        <v>1825.6000000000001</v>
      </c>
      <c r="D12" s="6">
        <v>167.10000000000002</v>
      </c>
      <c r="E12" s="6">
        <v>1874.75</v>
      </c>
      <c r="F12" s="6">
        <v>3224.75</v>
      </c>
      <c r="G12" s="6">
        <f t="shared" si="0"/>
        <v>14084.100000000002</v>
      </c>
    </row>
    <row r="13" spans="1:7" x14ac:dyDescent="0.3">
      <c r="A13" s="1" t="s">
        <v>21</v>
      </c>
      <c r="B13" s="6">
        <v>1971.3500000000001</v>
      </c>
      <c r="C13" s="6">
        <v>7821.9000000000005</v>
      </c>
      <c r="D13" s="6">
        <v>7589.0500000000011</v>
      </c>
      <c r="E13" s="6">
        <v>4590.1500000000005</v>
      </c>
      <c r="F13" s="6">
        <v>5872.15</v>
      </c>
      <c r="G13" s="6">
        <f t="shared" si="0"/>
        <v>27844.600000000006</v>
      </c>
    </row>
    <row r="14" spans="1:7" x14ac:dyDescent="0.3">
      <c r="A14" s="1" t="s">
        <v>12</v>
      </c>
      <c r="B14" s="6">
        <v>4051.2000000000003</v>
      </c>
      <c r="C14" s="6">
        <v>5925.1</v>
      </c>
      <c r="D14" s="6">
        <v>6479.3499999999995</v>
      </c>
      <c r="E14" s="6">
        <v>942.35</v>
      </c>
      <c r="F14" s="6">
        <v>5797.2500000000009</v>
      </c>
      <c r="G14" s="6">
        <f t="shared" si="0"/>
        <v>23195.25</v>
      </c>
    </row>
    <row r="15" spans="1:7" x14ac:dyDescent="0.3">
      <c r="A15" s="1" t="s">
        <v>26</v>
      </c>
      <c r="B15" s="6">
        <v>4847.5</v>
      </c>
      <c r="C15" s="6">
        <v>4585.4000000000005</v>
      </c>
      <c r="D15" s="6">
        <v>5024.8</v>
      </c>
      <c r="E15" s="6">
        <v>5779.2999999999993</v>
      </c>
      <c r="F15" s="6">
        <v>3980.25</v>
      </c>
      <c r="G15" s="6">
        <f t="shared" si="0"/>
        <v>24217.25</v>
      </c>
    </row>
    <row r="16" spans="1:7" x14ac:dyDescent="0.3">
      <c r="A16" s="1" t="s">
        <v>17</v>
      </c>
      <c r="B16" s="6">
        <v>5215.6000000000004</v>
      </c>
      <c r="C16" s="6">
        <v>3557.1500000000005</v>
      </c>
      <c r="D16" s="6">
        <v>3230.3500000000004</v>
      </c>
      <c r="E16" s="6">
        <v>5262.8</v>
      </c>
      <c r="F16" s="6">
        <v>6883.1500000000005</v>
      </c>
      <c r="G16" s="6">
        <f t="shared" si="0"/>
        <v>24149.050000000003</v>
      </c>
    </row>
    <row r="17" spans="1:7" x14ac:dyDescent="0.3">
      <c r="A17" s="1" t="s">
        <v>36</v>
      </c>
      <c r="B17" s="6">
        <f>SUM(B6:B16)</f>
        <v>47970.55</v>
      </c>
      <c r="C17" s="6">
        <f>SUM(C6:C16)</f>
        <v>40810.100000000006</v>
      </c>
      <c r="D17" s="6">
        <f>SUM(D6:D16)</f>
        <v>44705.45</v>
      </c>
      <c r="E17" s="6">
        <f>SUM(E6:E16)</f>
        <v>38601.949999999997</v>
      </c>
      <c r="F17" s="6">
        <f>SUM(F6:F16)</f>
        <v>47654.850000000006</v>
      </c>
      <c r="G17" s="6">
        <f t="shared" si="0"/>
        <v>219742.9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A3F2"/>
  </sheetPr>
  <dimension ref="A2:G17"/>
  <sheetViews>
    <sheetView workbookViewId="0"/>
  </sheetViews>
  <sheetFormatPr defaultRowHeight="14.4" x14ac:dyDescent="0.3"/>
  <cols>
    <col min="1" max="1" width="15.5546875" style="3" bestFit="1" customWidth="1"/>
    <col min="2" max="6" width="11.33203125" style="3" customWidth="1"/>
    <col min="7" max="7" width="11.88671875" style="3" bestFit="1" customWidth="1"/>
    <col min="8" max="16384" width="8.88671875" style="3"/>
  </cols>
  <sheetData>
    <row r="2" spans="1:7" x14ac:dyDescent="0.3">
      <c r="A2" s="1" t="s">
        <v>2</v>
      </c>
      <c r="B2" s="2" t="s">
        <v>32</v>
      </c>
    </row>
    <row r="4" spans="1:7" x14ac:dyDescent="0.3">
      <c r="A4" s="1" t="s">
        <v>35</v>
      </c>
      <c r="B4" s="4" t="s">
        <v>0</v>
      </c>
      <c r="C4" s="5"/>
      <c r="D4" s="5"/>
      <c r="E4" s="5"/>
      <c r="F4" s="5"/>
      <c r="G4" s="5"/>
    </row>
    <row r="5" spans="1:7" ht="28.8" x14ac:dyDescent="0.3">
      <c r="A5" s="1" t="s">
        <v>1</v>
      </c>
      <c r="B5" s="1" t="s">
        <v>20</v>
      </c>
      <c r="C5" s="1" t="s">
        <v>14</v>
      </c>
      <c r="D5" s="1" t="s">
        <v>19</v>
      </c>
      <c r="E5" s="1" t="s">
        <v>10</v>
      </c>
      <c r="F5" s="1" t="s">
        <v>11</v>
      </c>
      <c r="G5" s="1" t="s">
        <v>36</v>
      </c>
    </row>
    <row r="6" spans="1:7" x14ac:dyDescent="0.3">
      <c r="A6" s="1" t="s">
        <v>22</v>
      </c>
      <c r="B6" s="6">
        <v>3921.2000000000007</v>
      </c>
      <c r="C6" s="6">
        <v>7373.4500000000007</v>
      </c>
      <c r="D6" s="6">
        <v>3317.2000000000003</v>
      </c>
      <c r="E6" s="6">
        <v>2967.55</v>
      </c>
      <c r="F6" s="6">
        <v>5601.3</v>
      </c>
      <c r="G6" s="6">
        <f t="shared" ref="G6:G17" si="0">SUM(B6:F6)</f>
        <v>23180.7</v>
      </c>
    </row>
    <row r="7" spans="1:7" x14ac:dyDescent="0.3">
      <c r="A7" s="1" t="s">
        <v>34</v>
      </c>
      <c r="B7" s="6">
        <v>9832.5</v>
      </c>
      <c r="C7" s="6">
        <v>1402.85</v>
      </c>
      <c r="D7" s="6">
        <v>3429.85</v>
      </c>
      <c r="E7" s="6">
        <v>4923.2500000000009</v>
      </c>
      <c r="F7" s="6">
        <v>11971</v>
      </c>
      <c r="G7" s="6">
        <f t="shared" si="0"/>
        <v>31559.45</v>
      </c>
    </row>
    <row r="8" spans="1:7" x14ac:dyDescent="0.3">
      <c r="A8" s="1" t="s">
        <v>29</v>
      </c>
      <c r="B8" s="6">
        <v>2447.75</v>
      </c>
      <c r="C8" s="6">
        <v>5381.4500000000007</v>
      </c>
      <c r="D8" s="6">
        <v>2456.9499999999998</v>
      </c>
      <c r="E8" s="6">
        <v>3279.5</v>
      </c>
      <c r="F8" s="6">
        <v>3915.3</v>
      </c>
      <c r="G8" s="6">
        <f t="shared" si="0"/>
        <v>17480.95</v>
      </c>
    </row>
    <row r="9" spans="1:7" x14ac:dyDescent="0.3">
      <c r="A9" s="1" t="s">
        <v>27</v>
      </c>
      <c r="B9" s="6">
        <v>6639.4000000000005</v>
      </c>
      <c r="C9" s="6"/>
      <c r="D9" s="6">
        <v>2888.6000000000004</v>
      </c>
      <c r="E9" s="6">
        <v>4285.8500000000004</v>
      </c>
      <c r="F9" s="6">
        <v>4184.6000000000004</v>
      </c>
      <c r="G9" s="6">
        <f t="shared" si="0"/>
        <v>17998.45</v>
      </c>
    </row>
    <row r="10" spans="1:7" x14ac:dyDescent="0.3">
      <c r="A10" s="1" t="s">
        <v>30</v>
      </c>
      <c r="B10" s="6">
        <v>4836.3999999999996</v>
      </c>
      <c r="C10" s="6">
        <v>1912.95</v>
      </c>
      <c r="D10" s="6">
        <v>1026.5</v>
      </c>
      <c r="E10" s="6">
        <v>1198.1500000000001</v>
      </c>
      <c r="F10" s="6">
        <v>2640.7000000000003</v>
      </c>
      <c r="G10" s="6">
        <f t="shared" si="0"/>
        <v>11614.7</v>
      </c>
    </row>
    <row r="11" spans="1:7" x14ac:dyDescent="0.3">
      <c r="A11" s="1" t="s">
        <v>15</v>
      </c>
      <c r="B11" s="6">
        <v>7739.2500000000009</v>
      </c>
      <c r="C11" s="6">
        <v>3239.6000000000004</v>
      </c>
      <c r="D11" s="6">
        <v>8886.35</v>
      </c>
      <c r="E11" s="6">
        <v>4213.6000000000004</v>
      </c>
      <c r="F11" s="6">
        <v>1365.65</v>
      </c>
      <c r="G11" s="6">
        <f t="shared" si="0"/>
        <v>25444.450000000004</v>
      </c>
    </row>
    <row r="12" spans="1:7" x14ac:dyDescent="0.3">
      <c r="A12" s="1" t="s">
        <v>8</v>
      </c>
      <c r="B12" s="6">
        <v>3887.0000000000005</v>
      </c>
      <c r="C12" s="6">
        <v>5096.3500000000004</v>
      </c>
      <c r="D12" s="6">
        <v>3671.05</v>
      </c>
      <c r="E12" s="6">
        <v>3488.35</v>
      </c>
      <c r="F12" s="6">
        <v>4729.5</v>
      </c>
      <c r="G12" s="6">
        <f t="shared" si="0"/>
        <v>20872.25</v>
      </c>
    </row>
    <row r="13" spans="1:7" x14ac:dyDescent="0.3">
      <c r="A13" s="1" t="s">
        <v>21</v>
      </c>
      <c r="B13" s="6">
        <v>4578.8500000000004</v>
      </c>
      <c r="C13" s="6">
        <v>3489.4500000000003</v>
      </c>
      <c r="D13" s="6">
        <v>8263.7000000000007</v>
      </c>
      <c r="E13" s="6">
        <v>5828.2999999999993</v>
      </c>
      <c r="F13" s="6">
        <v>4205.1499999999996</v>
      </c>
      <c r="G13" s="6">
        <f t="shared" si="0"/>
        <v>26365.450000000004</v>
      </c>
    </row>
    <row r="14" spans="1:7" x14ac:dyDescent="0.3">
      <c r="A14" s="1" t="s">
        <v>12</v>
      </c>
      <c r="B14" s="6">
        <v>1597.5</v>
      </c>
      <c r="C14" s="6">
        <v>11993.05</v>
      </c>
      <c r="D14" s="6"/>
      <c r="E14" s="6">
        <v>3836.1499999999996</v>
      </c>
      <c r="F14" s="6">
        <v>6198.2500000000009</v>
      </c>
      <c r="G14" s="6">
        <f t="shared" si="0"/>
        <v>23624.949999999997</v>
      </c>
    </row>
    <row r="15" spans="1:7" x14ac:dyDescent="0.3">
      <c r="A15" s="1" t="s">
        <v>26</v>
      </c>
      <c r="B15" s="6">
        <v>1606.5500000000002</v>
      </c>
      <c r="C15" s="6">
        <v>2960</v>
      </c>
      <c r="D15" s="6">
        <v>8844.75</v>
      </c>
      <c r="E15" s="6">
        <v>1699.85</v>
      </c>
      <c r="F15" s="6">
        <v>8801.0499999999993</v>
      </c>
      <c r="G15" s="6">
        <f t="shared" si="0"/>
        <v>23912.199999999997</v>
      </c>
    </row>
    <row r="16" spans="1:7" x14ac:dyDescent="0.3">
      <c r="A16" s="1" t="s">
        <v>17</v>
      </c>
      <c r="B16" s="6">
        <v>3619.6</v>
      </c>
      <c r="C16" s="6">
        <v>2779.3500000000004</v>
      </c>
      <c r="D16" s="6">
        <v>1298</v>
      </c>
      <c r="E16" s="6">
        <v>4878.9000000000005</v>
      </c>
      <c r="F16" s="6">
        <v>3876.1500000000005</v>
      </c>
      <c r="G16" s="6">
        <f t="shared" si="0"/>
        <v>16452.000000000004</v>
      </c>
    </row>
    <row r="17" spans="1:7" x14ac:dyDescent="0.3">
      <c r="A17" s="1" t="s">
        <v>36</v>
      </c>
      <c r="B17" s="6">
        <f>SUM(B6:B16)</f>
        <v>50706</v>
      </c>
      <c r="C17" s="6">
        <f>SUM(C6:C16)</f>
        <v>45628.5</v>
      </c>
      <c r="D17" s="6">
        <f>SUM(D6:D16)</f>
        <v>44082.95</v>
      </c>
      <c r="E17" s="6">
        <f>SUM(E6:E16)</f>
        <v>40599.449999999997</v>
      </c>
      <c r="F17" s="6">
        <f>SUM(F6:F16)</f>
        <v>57488.65</v>
      </c>
      <c r="G17" s="6">
        <f t="shared" si="0"/>
        <v>238505.55000000002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A3F2"/>
  </sheetPr>
  <dimension ref="A2:G17"/>
  <sheetViews>
    <sheetView workbookViewId="0"/>
  </sheetViews>
  <sheetFormatPr defaultRowHeight="14.4" x14ac:dyDescent="0.3"/>
  <cols>
    <col min="1" max="1" width="15.5546875" style="3" bestFit="1" customWidth="1"/>
    <col min="2" max="6" width="11.33203125" style="3" customWidth="1"/>
    <col min="7" max="7" width="14.33203125" style="3" bestFit="1" customWidth="1"/>
    <col min="8" max="16384" width="8.88671875" style="3"/>
  </cols>
  <sheetData>
    <row r="2" spans="1:7" x14ac:dyDescent="0.3">
      <c r="A2" s="1" t="s">
        <v>2</v>
      </c>
      <c r="B2" s="2" t="s">
        <v>25</v>
      </c>
    </row>
    <row r="4" spans="1:7" x14ac:dyDescent="0.3">
      <c r="A4" s="1" t="s">
        <v>35</v>
      </c>
      <c r="B4" s="4" t="s">
        <v>0</v>
      </c>
      <c r="C4" s="5"/>
      <c r="D4" s="5"/>
      <c r="E4" s="5"/>
      <c r="F4" s="5"/>
      <c r="G4" s="5"/>
    </row>
    <row r="5" spans="1:7" x14ac:dyDescent="0.3">
      <c r="A5" s="1" t="s">
        <v>1</v>
      </c>
      <c r="B5" s="1" t="s">
        <v>20</v>
      </c>
      <c r="C5" s="1" t="s">
        <v>14</v>
      </c>
      <c r="D5" s="1" t="s">
        <v>19</v>
      </c>
      <c r="E5" s="1" t="s">
        <v>10</v>
      </c>
      <c r="F5" s="1" t="s">
        <v>11</v>
      </c>
      <c r="G5" s="1" t="s">
        <v>36</v>
      </c>
    </row>
    <row r="6" spans="1:7" x14ac:dyDescent="0.3">
      <c r="A6" s="1" t="s">
        <v>22</v>
      </c>
      <c r="B6" s="6">
        <v>6588.2000000000007</v>
      </c>
      <c r="C6" s="6">
        <v>3880.1000000000004</v>
      </c>
      <c r="D6" s="6">
        <v>4676.25</v>
      </c>
      <c r="E6" s="6">
        <v>2908.05</v>
      </c>
      <c r="F6" s="6">
        <v>6320.6500000000005</v>
      </c>
      <c r="G6" s="6">
        <f t="shared" ref="G6:G17" si="0">SUM(B6:F6)</f>
        <v>24373.250000000004</v>
      </c>
    </row>
    <row r="7" spans="1:7" x14ac:dyDescent="0.3">
      <c r="A7" s="1" t="s">
        <v>34</v>
      </c>
      <c r="B7" s="6">
        <v>5350.85</v>
      </c>
      <c r="C7" s="6">
        <v>3784.35</v>
      </c>
      <c r="D7" s="6">
        <v>9945.9000000000015</v>
      </c>
      <c r="E7" s="6">
        <v>3511.6500000000005</v>
      </c>
      <c r="F7" s="6">
        <v>2857.7</v>
      </c>
      <c r="G7" s="6">
        <f t="shared" si="0"/>
        <v>25450.450000000004</v>
      </c>
    </row>
    <row r="8" spans="1:7" x14ac:dyDescent="0.3">
      <c r="A8" s="1" t="s">
        <v>29</v>
      </c>
      <c r="B8" s="6">
        <v>1748.6</v>
      </c>
      <c r="C8" s="6">
        <v>4834.3</v>
      </c>
      <c r="D8" s="6">
        <v>2923.8</v>
      </c>
      <c r="E8" s="6">
        <v>2275.8500000000004</v>
      </c>
      <c r="F8" s="6">
        <v>1162.45</v>
      </c>
      <c r="G8" s="6">
        <f t="shared" si="0"/>
        <v>12945.000000000002</v>
      </c>
    </row>
    <row r="9" spans="1:7" x14ac:dyDescent="0.3">
      <c r="A9" s="1" t="s">
        <v>27</v>
      </c>
      <c r="B9" s="6">
        <v>4217.55</v>
      </c>
      <c r="C9" s="6">
        <v>3114.4000000000005</v>
      </c>
      <c r="D9" s="6">
        <v>3803.2</v>
      </c>
      <c r="E9" s="6">
        <v>1013.3500000000001</v>
      </c>
      <c r="F9" s="6">
        <v>4843.75</v>
      </c>
      <c r="G9" s="6">
        <f t="shared" si="0"/>
        <v>16992.25</v>
      </c>
    </row>
    <row r="10" spans="1:7" x14ac:dyDescent="0.3">
      <c r="A10" s="1" t="s">
        <v>30</v>
      </c>
      <c r="B10" s="6">
        <v>4758.1000000000004</v>
      </c>
      <c r="C10" s="6">
        <v>4447.5</v>
      </c>
      <c r="D10" s="6">
        <v>3708.4000000000005</v>
      </c>
      <c r="E10" s="6">
        <v>7123.6500000000005</v>
      </c>
      <c r="F10" s="6">
        <v>2379.9</v>
      </c>
      <c r="G10" s="6">
        <f t="shared" si="0"/>
        <v>22417.550000000003</v>
      </c>
    </row>
    <row r="11" spans="1:7" x14ac:dyDescent="0.3">
      <c r="A11" s="1" t="s">
        <v>15</v>
      </c>
      <c r="B11" s="6">
        <v>6274.2500000000009</v>
      </c>
      <c r="C11" s="6">
        <v>4993.2</v>
      </c>
      <c r="D11" s="6">
        <v>2806.1000000000004</v>
      </c>
      <c r="E11" s="6">
        <v>9368.5500000000011</v>
      </c>
      <c r="F11" s="6">
        <v>2997.8500000000004</v>
      </c>
      <c r="G11" s="6">
        <f t="shared" si="0"/>
        <v>26439.950000000004</v>
      </c>
    </row>
    <row r="12" spans="1:7" x14ac:dyDescent="0.3">
      <c r="A12" s="1" t="s">
        <v>8</v>
      </c>
      <c r="B12" s="6">
        <v>3276.8</v>
      </c>
      <c r="C12" s="6">
        <v>3581.3</v>
      </c>
      <c r="D12" s="6">
        <v>3079.8</v>
      </c>
      <c r="E12" s="6">
        <v>3371.3</v>
      </c>
      <c r="F12" s="6">
        <v>3058.05</v>
      </c>
      <c r="G12" s="6">
        <f t="shared" si="0"/>
        <v>16367.25</v>
      </c>
    </row>
    <row r="13" spans="1:7" x14ac:dyDescent="0.3">
      <c r="A13" s="1" t="s">
        <v>21</v>
      </c>
      <c r="B13" s="6">
        <v>2203.75</v>
      </c>
      <c r="C13" s="6">
        <v>7524.45</v>
      </c>
      <c r="D13" s="6">
        <v>4613.7</v>
      </c>
      <c r="E13" s="6">
        <v>3143.25</v>
      </c>
      <c r="F13" s="6">
        <v>3949.5</v>
      </c>
      <c r="G13" s="6">
        <f t="shared" si="0"/>
        <v>21434.65</v>
      </c>
    </row>
    <row r="14" spans="1:7" x14ac:dyDescent="0.3">
      <c r="A14" s="1" t="s">
        <v>12</v>
      </c>
      <c r="B14" s="6">
        <v>5066.8500000000004</v>
      </c>
      <c r="C14" s="6">
        <v>5780.3</v>
      </c>
      <c r="D14" s="6">
        <v>3962.4000000000005</v>
      </c>
      <c r="E14" s="6">
        <v>1692.95</v>
      </c>
      <c r="F14" s="6">
        <v>2905.6000000000004</v>
      </c>
      <c r="G14" s="6">
        <f t="shared" si="0"/>
        <v>19408.100000000006</v>
      </c>
    </row>
    <row r="15" spans="1:7" x14ac:dyDescent="0.3">
      <c r="A15" s="1" t="s">
        <v>26</v>
      </c>
      <c r="B15" s="6">
        <v>266.35000000000002</v>
      </c>
      <c r="C15" s="6">
        <v>1473.7</v>
      </c>
      <c r="D15" s="6">
        <v>2442.25</v>
      </c>
      <c r="E15" s="6">
        <v>5597</v>
      </c>
      <c r="F15" s="6">
        <v>1685.1000000000001</v>
      </c>
      <c r="G15" s="6">
        <f t="shared" si="0"/>
        <v>11464.4</v>
      </c>
    </row>
    <row r="16" spans="1:7" x14ac:dyDescent="0.3">
      <c r="A16" s="1" t="s">
        <v>17</v>
      </c>
      <c r="B16" s="6">
        <v>5297.8499999999995</v>
      </c>
      <c r="C16" s="6">
        <v>1115.5500000000002</v>
      </c>
      <c r="D16" s="6">
        <v>2168.5</v>
      </c>
      <c r="E16" s="6">
        <v>6239.2000000000007</v>
      </c>
      <c r="F16" s="6">
        <v>2196.9</v>
      </c>
      <c r="G16" s="6">
        <f t="shared" si="0"/>
        <v>17018</v>
      </c>
    </row>
    <row r="17" spans="1:7" x14ac:dyDescent="0.3">
      <c r="A17" s="1" t="s">
        <v>36</v>
      </c>
      <c r="B17" s="6">
        <f>SUM(B6:B16)</f>
        <v>45049.15</v>
      </c>
      <c r="C17" s="6">
        <f>SUM(C6:C16)</f>
        <v>44529.15</v>
      </c>
      <c r="D17" s="6">
        <f>SUM(D6:D16)</f>
        <v>44130.3</v>
      </c>
      <c r="E17" s="6">
        <f>SUM(E6:E16)</f>
        <v>46244.800000000003</v>
      </c>
      <c r="F17" s="6">
        <f>SUM(F6:F16)</f>
        <v>34357.450000000004</v>
      </c>
      <c r="G17" s="6">
        <f t="shared" si="0"/>
        <v>214310.85000000003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A3F2"/>
  </sheetPr>
  <dimension ref="A2:G17"/>
  <sheetViews>
    <sheetView workbookViewId="0"/>
  </sheetViews>
  <sheetFormatPr defaultRowHeight="14.4" x14ac:dyDescent="0.3"/>
  <cols>
    <col min="1" max="1" width="15.5546875" style="3" bestFit="1" customWidth="1"/>
    <col min="2" max="6" width="11.33203125" style="3" customWidth="1"/>
    <col min="7" max="7" width="11.88671875" style="3" bestFit="1" customWidth="1"/>
    <col min="8" max="16384" width="8.88671875" style="3"/>
  </cols>
  <sheetData>
    <row r="2" spans="1:7" x14ac:dyDescent="0.3">
      <c r="A2" s="1" t="s">
        <v>2</v>
      </c>
      <c r="B2" s="2" t="s">
        <v>31</v>
      </c>
    </row>
    <row r="4" spans="1:7" x14ac:dyDescent="0.3">
      <c r="A4" s="1" t="s">
        <v>35</v>
      </c>
      <c r="B4" s="4" t="s">
        <v>0</v>
      </c>
      <c r="C4" s="5"/>
      <c r="D4" s="5"/>
      <c r="E4" s="5"/>
      <c r="F4" s="5"/>
      <c r="G4" s="5"/>
    </row>
    <row r="5" spans="1:7" ht="28.8" x14ac:dyDescent="0.3">
      <c r="A5" s="1" t="s">
        <v>1</v>
      </c>
      <c r="B5" s="1" t="s">
        <v>20</v>
      </c>
      <c r="C5" s="1" t="s">
        <v>14</v>
      </c>
      <c r="D5" s="1" t="s">
        <v>19</v>
      </c>
      <c r="E5" s="1" t="s">
        <v>10</v>
      </c>
      <c r="F5" s="1" t="s">
        <v>11</v>
      </c>
      <c r="G5" s="1" t="s">
        <v>36</v>
      </c>
    </row>
    <row r="6" spans="1:7" x14ac:dyDescent="0.3">
      <c r="A6" s="1" t="s">
        <v>22</v>
      </c>
      <c r="B6" s="6">
        <v>6490.1999999999989</v>
      </c>
      <c r="C6" s="6">
        <v>429.05</v>
      </c>
      <c r="D6" s="6">
        <v>6262.4500000000007</v>
      </c>
      <c r="E6" s="6">
        <v>3453.2000000000003</v>
      </c>
      <c r="F6" s="6">
        <v>4380.5</v>
      </c>
      <c r="G6" s="6">
        <f t="shared" ref="G6:G17" si="0">SUM(B6:F6)</f>
        <v>21015.4</v>
      </c>
    </row>
    <row r="7" spans="1:7" x14ac:dyDescent="0.3">
      <c r="A7" s="1" t="s">
        <v>34</v>
      </c>
      <c r="B7" s="6">
        <v>6314.2</v>
      </c>
      <c r="C7" s="6">
        <v>2075</v>
      </c>
      <c r="D7" s="6">
        <v>3926.2000000000003</v>
      </c>
      <c r="E7" s="6">
        <v>3069.05</v>
      </c>
      <c r="F7" s="6">
        <v>4961.3499999999995</v>
      </c>
      <c r="G7" s="6">
        <f t="shared" si="0"/>
        <v>20345.8</v>
      </c>
    </row>
    <row r="8" spans="1:7" x14ac:dyDescent="0.3">
      <c r="A8" s="1" t="s">
        <v>29</v>
      </c>
      <c r="B8" s="6">
        <v>6097.6500000000015</v>
      </c>
      <c r="C8" s="6">
        <v>4335.05</v>
      </c>
      <c r="D8" s="6">
        <v>2543.25</v>
      </c>
      <c r="E8" s="6">
        <v>5829</v>
      </c>
      <c r="F8" s="6">
        <v>1050.4000000000001</v>
      </c>
      <c r="G8" s="6">
        <f t="shared" si="0"/>
        <v>19855.350000000002</v>
      </c>
    </row>
    <row r="9" spans="1:7" x14ac:dyDescent="0.3">
      <c r="A9" s="1" t="s">
        <v>27</v>
      </c>
      <c r="B9" s="6">
        <v>8018.05</v>
      </c>
      <c r="C9" s="6">
        <v>3409.3500000000004</v>
      </c>
      <c r="D9" s="6">
        <v>1050.7</v>
      </c>
      <c r="E9" s="6">
        <v>4087.5000000000005</v>
      </c>
      <c r="F9" s="6">
        <v>412.45000000000005</v>
      </c>
      <c r="G9" s="6">
        <f t="shared" si="0"/>
        <v>16978.050000000003</v>
      </c>
    </row>
    <row r="10" spans="1:7" x14ac:dyDescent="0.3">
      <c r="A10" s="1" t="s">
        <v>30</v>
      </c>
      <c r="B10" s="6">
        <v>1864.65</v>
      </c>
      <c r="C10" s="6">
        <v>3205.5</v>
      </c>
      <c r="D10" s="6">
        <v>9290.6500000000015</v>
      </c>
      <c r="E10" s="6">
        <v>5729.75</v>
      </c>
      <c r="F10" s="6">
        <v>4132.1000000000004</v>
      </c>
      <c r="G10" s="6">
        <f t="shared" si="0"/>
        <v>24222.65</v>
      </c>
    </row>
    <row r="11" spans="1:7" x14ac:dyDescent="0.3">
      <c r="A11" s="1" t="s">
        <v>15</v>
      </c>
      <c r="B11" s="6">
        <v>3309.4</v>
      </c>
      <c r="C11" s="6">
        <v>4350.1499999999996</v>
      </c>
      <c r="D11" s="6">
        <v>2725.15</v>
      </c>
      <c r="E11" s="6">
        <v>3042.2000000000003</v>
      </c>
      <c r="F11" s="6">
        <v>1884.4</v>
      </c>
      <c r="G11" s="6">
        <f t="shared" si="0"/>
        <v>15311.3</v>
      </c>
    </row>
    <row r="12" spans="1:7" x14ac:dyDescent="0.3">
      <c r="A12" s="1" t="s">
        <v>8</v>
      </c>
      <c r="B12" s="6">
        <v>2479.6000000000004</v>
      </c>
      <c r="C12" s="6">
        <v>2612.2000000000003</v>
      </c>
      <c r="D12" s="6">
        <v>5674.8000000000011</v>
      </c>
      <c r="E12" s="6">
        <v>1469.95</v>
      </c>
      <c r="F12" s="6">
        <v>3594.7</v>
      </c>
      <c r="G12" s="6">
        <f t="shared" si="0"/>
        <v>15831.250000000004</v>
      </c>
    </row>
    <row r="13" spans="1:7" x14ac:dyDescent="0.3">
      <c r="A13" s="1" t="s">
        <v>21</v>
      </c>
      <c r="B13" s="6">
        <v>2221</v>
      </c>
      <c r="C13" s="6">
        <v>6195.85</v>
      </c>
      <c r="D13" s="6">
        <v>4355.75</v>
      </c>
      <c r="E13" s="6">
        <v>3332.1000000000004</v>
      </c>
      <c r="F13" s="6">
        <v>3769.2000000000007</v>
      </c>
      <c r="G13" s="6">
        <f t="shared" si="0"/>
        <v>19873.900000000001</v>
      </c>
    </row>
    <row r="14" spans="1:7" x14ac:dyDescent="0.3">
      <c r="A14" s="1" t="s">
        <v>12</v>
      </c>
      <c r="B14" s="6">
        <v>6464.8000000000011</v>
      </c>
      <c r="C14" s="6">
        <v>5386.75</v>
      </c>
      <c r="D14" s="6">
        <v>4766.6500000000005</v>
      </c>
      <c r="E14" s="6">
        <v>2671.25</v>
      </c>
      <c r="F14" s="6">
        <v>4025.4</v>
      </c>
      <c r="G14" s="6">
        <f t="shared" si="0"/>
        <v>23314.850000000002</v>
      </c>
    </row>
    <row r="15" spans="1:7" x14ac:dyDescent="0.3">
      <c r="A15" s="1" t="s">
        <v>26</v>
      </c>
      <c r="B15" s="6">
        <v>4654.8</v>
      </c>
      <c r="C15" s="6">
        <v>9621.3000000000011</v>
      </c>
      <c r="D15" s="6">
        <v>4788.8</v>
      </c>
      <c r="E15" s="6">
        <v>2140.9</v>
      </c>
      <c r="F15" s="6">
        <v>4096.8</v>
      </c>
      <c r="G15" s="6">
        <f t="shared" si="0"/>
        <v>25302.600000000002</v>
      </c>
    </row>
    <row r="16" spans="1:7" x14ac:dyDescent="0.3">
      <c r="A16" s="1" t="s">
        <v>17</v>
      </c>
      <c r="B16" s="6">
        <v>3034.3000000000006</v>
      </c>
      <c r="C16" s="6">
        <v>1468.5</v>
      </c>
      <c r="D16" s="6">
        <v>784.35</v>
      </c>
      <c r="E16" s="6">
        <v>3596.1500000000005</v>
      </c>
      <c r="F16" s="6">
        <v>6555.9500000000007</v>
      </c>
      <c r="G16" s="6">
        <f t="shared" si="0"/>
        <v>15439.250000000004</v>
      </c>
    </row>
    <row r="17" spans="1:7" x14ac:dyDescent="0.3">
      <c r="A17" s="1" t="s">
        <v>36</v>
      </c>
      <c r="B17" s="6">
        <f>SUM(B6:B16)</f>
        <v>50948.650000000009</v>
      </c>
      <c r="C17" s="6">
        <f>SUM(C6:C16)</f>
        <v>43088.700000000004</v>
      </c>
      <c r="D17" s="6">
        <f>SUM(D6:D16)</f>
        <v>46168.750000000007</v>
      </c>
      <c r="E17" s="6">
        <f>SUM(E6:E16)</f>
        <v>38421.050000000003</v>
      </c>
      <c r="F17" s="6">
        <f>SUM(F6:F16)</f>
        <v>38863.25</v>
      </c>
      <c r="G17" s="6">
        <f t="shared" si="0"/>
        <v>217490.40000000002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EA3F2"/>
  </sheetPr>
  <dimension ref="A2:G17"/>
  <sheetViews>
    <sheetView workbookViewId="0"/>
  </sheetViews>
  <sheetFormatPr defaultRowHeight="14.4" x14ac:dyDescent="0.3"/>
  <cols>
    <col min="1" max="1" width="15.5546875" style="3" bestFit="1" customWidth="1"/>
    <col min="2" max="6" width="11.33203125" style="3" customWidth="1"/>
    <col min="7" max="7" width="11.88671875" style="3" bestFit="1" customWidth="1"/>
    <col min="8" max="16384" width="8.88671875" style="3"/>
  </cols>
  <sheetData>
    <row r="2" spans="1:7" x14ac:dyDescent="0.3">
      <c r="A2" s="1" t="s">
        <v>2</v>
      </c>
      <c r="B2" s="2" t="s">
        <v>33</v>
      </c>
    </row>
    <row r="4" spans="1:7" x14ac:dyDescent="0.3">
      <c r="A4" s="1" t="s">
        <v>35</v>
      </c>
      <c r="B4" s="4" t="s">
        <v>0</v>
      </c>
      <c r="C4" s="5"/>
      <c r="D4" s="5"/>
      <c r="E4" s="5"/>
      <c r="F4" s="5"/>
      <c r="G4" s="5"/>
    </row>
    <row r="5" spans="1:7" ht="28.8" x14ac:dyDescent="0.3">
      <c r="A5" s="1" t="s">
        <v>1</v>
      </c>
      <c r="B5" s="1" t="s">
        <v>20</v>
      </c>
      <c r="C5" s="1" t="s">
        <v>14</v>
      </c>
      <c r="D5" s="1" t="s">
        <v>19</v>
      </c>
      <c r="E5" s="1" t="s">
        <v>10</v>
      </c>
      <c r="F5" s="1" t="s">
        <v>11</v>
      </c>
      <c r="G5" s="1" t="s">
        <v>36</v>
      </c>
    </row>
    <row r="6" spans="1:7" x14ac:dyDescent="0.3">
      <c r="A6" s="1" t="s">
        <v>22</v>
      </c>
      <c r="B6" s="6">
        <v>2337.3000000000002</v>
      </c>
      <c r="C6" s="6">
        <v>2552.65</v>
      </c>
      <c r="D6" s="6">
        <v>2076.1999999999998</v>
      </c>
      <c r="E6" s="6">
        <v>9070.4500000000007</v>
      </c>
      <c r="F6" s="6">
        <v>3834</v>
      </c>
      <c r="G6" s="6">
        <f t="shared" ref="G6:G17" si="0">SUM(B6:F6)</f>
        <v>19870.600000000002</v>
      </c>
    </row>
    <row r="7" spans="1:7" x14ac:dyDescent="0.3">
      <c r="A7" s="1" t="s">
        <v>34</v>
      </c>
      <c r="B7" s="6">
        <v>1011.4</v>
      </c>
      <c r="C7" s="6">
        <v>144.4</v>
      </c>
      <c r="D7" s="6">
        <v>4500.7000000000007</v>
      </c>
      <c r="E7" s="6">
        <v>896.35</v>
      </c>
      <c r="F7" s="6">
        <v>4985.7500000000009</v>
      </c>
      <c r="G7" s="6">
        <f t="shared" si="0"/>
        <v>11538.600000000002</v>
      </c>
    </row>
    <row r="8" spans="1:7" x14ac:dyDescent="0.3">
      <c r="A8" s="1" t="s">
        <v>29</v>
      </c>
      <c r="B8" s="6">
        <v>2425.25</v>
      </c>
      <c r="C8" s="6">
        <v>4146.1000000000004</v>
      </c>
      <c r="D8" s="6">
        <v>3754.4500000000003</v>
      </c>
      <c r="E8" s="6">
        <v>4872.5500000000011</v>
      </c>
      <c r="F8" s="6">
        <v>11076.5</v>
      </c>
      <c r="G8" s="6">
        <f t="shared" si="0"/>
        <v>26274.850000000002</v>
      </c>
    </row>
    <row r="9" spans="1:7" x14ac:dyDescent="0.3">
      <c r="A9" s="1" t="s">
        <v>27</v>
      </c>
      <c r="B9" s="6">
        <v>5026.9500000000007</v>
      </c>
      <c r="C9" s="6">
        <v>2493.5</v>
      </c>
      <c r="D9" s="6">
        <v>4165.4000000000005</v>
      </c>
      <c r="E9" s="6">
        <v>2282.3000000000002</v>
      </c>
      <c r="F9" s="6">
        <v>4172.05</v>
      </c>
      <c r="G9" s="6">
        <f t="shared" si="0"/>
        <v>18140.2</v>
      </c>
    </row>
    <row r="10" spans="1:7" x14ac:dyDescent="0.3">
      <c r="A10" s="1" t="s">
        <v>30</v>
      </c>
      <c r="B10" s="6">
        <v>8189.5000000000009</v>
      </c>
      <c r="C10" s="6">
        <v>4084.15</v>
      </c>
      <c r="D10" s="6">
        <v>5978.6500000000015</v>
      </c>
      <c r="E10" s="6">
        <v>6957.4</v>
      </c>
      <c r="F10" s="6">
        <v>5310.0500000000011</v>
      </c>
      <c r="G10" s="6">
        <f t="shared" si="0"/>
        <v>30519.750000000007</v>
      </c>
    </row>
    <row r="11" spans="1:7" x14ac:dyDescent="0.3">
      <c r="A11" s="1" t="s">
        <v>15</v>
      </c>
      <c r="B11" s="6">
        <v>4570.8999999999996</v>
      </c>
      <c r="C11" s="6">
        <v>5731.7000000000007</v>
      </c>
      <c r="D11" s="6">
        <v>6345.3000000000011</v>
      </c>
      <c r="E11" s="6">
        <v>2531.1000000000004</v>
      </c>
      <c r="F11" s="6">
        <v>1515.5</v>
      </c>
      <c r="G11" s="6">
        <f t="shared" si="0"/>
        <v>20694.5</v>
      </c>
    </row>
    <row r="12" spans="1:7" x14ac:dyDescent="0.3">
      <c r="A12" s="1" t="s">
        <v>8</v>
      </c>
      <c r="B12" s="6">
        <v>7572.5</v>
      </c>
      <c r="C12" s="6">
        <v>4334.8</v>
      </c>
      <c r="D12" s="6">
        <v>2383.7000000000003</v>
      </c>
      <c r="E12" s="6">
        <v>4495.9500000000007</v>
      </c>
      <c r="F12" s="6">
        <v>1811.5500000000002</v>
      </c>
      <c r="G12" s="6">
        <f t="shared" si="0"/>
        <v>20598.5</v>
      </c>
    </row>
    <row r="13" spans="1:7" x14ac:dyDescent="0.3">
      <c r="A13" s="1" t="s">
        <v>21</v>
      </c>
      <c r="B13" s="6">
        <v>1309.6500000000001</v>
      </c>
      <c r="C13" s="6">
        <v>3351.9500000000003</v>
      </c>
      <c r="D13" s="6">
        <v>2406.6000000000004</v>
      </c>
      <c r="E13" s="6">
        <v>1483.8000000000002</v>
      </c>
      <c r="F13" s="6">
        <v>12773.949999999999</v>
      </c>
      <c r="G13" s="6">
        <f t="shared" si="0"/>
        <v>21325.949999999997</v>
      </c>
    </row>
    <row r="14" spans="1:7" x14ac:dyDescent="0.3">
      <c r="A14" s="1" t="s">
        <v>12</v>
      </c>
      <c r="B14" s="6">
        <v>6361.6</v>
      </c>
      <c r="C14" s="6">
        <v>6571.4500000000007</v>
      </c>
      <c r="D14" s="6">
        <v>4194.4500000000007</v>
      </c>
      <c r="E14" s="6">
        <v>2589.25</v>
      </c>
      <c r="F14" s="6">
        <v>5331.15</v>
      </c>
      <c r="G14" s="6">
        <f t="shared" si="0"/>
        <v>25047.9</v>
      </c>
    </row>
    <row r="15" spans="1:7" x14ac:dyDescent="0.3">
      <c r="A15" s="1" t="s">
        <v>26</v>
      </c>
      <c r="B15" s="6">
        <v>4519.1499999999996</v>
      </c>
      <c r="C15" s="6">
        <v>7747.5500000000011</v>
      </c>
      <c r="D15" s="6">
        <v>4937.8999999999996</v>
      </c>
      <c r="E15" s="6">
        <v>3177.9</v>
      </c>
      <c r="F15" s="6">
        <v>2613.35</v>
      </c>
      <c r="G15" s="6">
        <f t="shared" si="0"/>
        <v>22995.85</v>
      </c>
    </row>
    <row r="16" spans="1:7" x14ac:dyDescent="0.3">
      <c r="A16" s="1" t="s">
        <v>17</v>
      </c>
      <c r="B16" s="6">
        <v>5373.7000000000007</v>
      </c>
      <c r="C16" s="6">
        <v>3131.75</v>
      </c>
      <c r="D16" s="6">
        <v>3762.25</v>
      </c>
      <c r="E16" s="6">
        <v>5158.9000000000005</v>
      </c>
      <c r="F16" s="6">
        <v>5129.25</v>
      </c>
      <c r="G16" s="6">
        <f t="shared" si="0"/>
        <v>22555.850000000002</v>
      </c>
    </row>
    <row r="17" spans="1:7" x14ac:dyDescent="0.3">
      <c r="A17" s="1" t="s">
        <v>36</v>
      </c>
      <c r="B17" s="6">
        <f>SUM(B6:B16)</f>
        <v>48697.900000000009</v>
      </c>
      <c r="C17" s="6">
        <f>SUM(C6:C16)</f>
        <v>44290</v>
      </c>
      <c r="D17" s="6">
        <f>SUM(D6:D16)</f>
        <v>44505.600000000013</v>
      </c>
      <c r="E17" s="6">
        <f>SUM(E6:E16)</f>
        <v>43515.950000000004</v>
      </c>
      <c r="F17" s="6">
        <f>SUM(F6:F16)</f>
        <v>58553.1</v>
      </c>
      <c r="G17" s="6">
        <f t="shared" si="0"/>
        <v>239562.55000000005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EA3F2"/>
  </sheetPr>
  <dimension ref="A2:G17"/>
  <sheetViews>
    <sheetView workbookViewId="0"/>
  </sheetViews>
  <sheetFormatPr defaultRowHeight="14.4" x14ac:dyDescent="0.3"/>
  <cols>
    <col min="1" max="1" width="15.5546875" style="3" bestFit="1" customWidth="1"/>
    <col min="2" max="6" width="11.33203125" style="3" customWidth="1"/>
    <col min="7" max="7" width="11.88671875" style="3" bestFit="1" customWidth="1"/>
    <col min="8" max="16384" width="8.88671875" style="3"/>
  </cols>
  <sheetData>
    <row r="2" spans="1:7" x14ac:dyDescent="0.3">
      <c r="A2" s="1" t="s">
        <v>2</v>
      </c>
      <c r="B2" s="2" t="s">
        <v>24</v>
      </c>
    </row>
    <row r="4" spans="1:7" x14ac:dyDescent="0.3">
      <c r="A4" s="1" t="s">
        <v>35</v>
      </c>
      <c r="B4" s="4" t="s">
        <v>0</v>
      </c>
      <c r="C4" s="5"/>
      <c r="D4" s="5"/>
      <c r="E4" s="5"/>
      <c r="F4" s="5"/>
      <c r="G4" s="5"/>
    </row>
    <row r="5" spans="1:7" ht="28.8" x14ac:dyDescent="0.3">
      <c r="A5" s="1" t="s">
        <v>1</v>
      </c>
      <c r="B5" s="1" t="s">
        <v>20</v>
      </c>
      <c r="C5" s="1" t="s">
        <v>14</v>
      </c>
      <c r="D5" s="1" t="s">
        <v>19</v>
      </c>
      <c r="E5" s="1" t="s">
        <v>10</v>
      </c>
      <c r="F5" s="1" t="s">
        <v>11</v>
      </c>
      <c r="G5" s="1" t="s">
        <v>36</v>
      </c>
    </row>
    <row r="6" spans="1:7" x14ac:dyDescent="0.3">
      <c r="A6" s="1" t="s">
        <v>22</v>
      </c>
      <c r="B6" s="6">
        <v>1132.9000000000001</v>
      </c>
      <c r="C6" s="6">
        <v>914.65000000000009</v>
      </c>
      <c r="D6" s="6">
        <v>5096.8</v>
      </c>
      <c r="E6" s="6">
        <v>7018.75</v>
      </c>
      <c r="F6" s="6">
        <v>5931.9500000000007</v>
      </c>
      <c r="G6" s="6">
        <f t="shared" ref="G6:G17" si="0">SUM(B6:F6)</f>
        <v>20095.050000000003</v>
      </c>
    </row>
    <row r="7" spans="1:7" x14ac:dyDescent="0.3">
      <c r="A7" s="1" t="s">
        <v>34</v>
      </c>
      <c r="B7" s="6">
        <v>3226.2</v>
      </c>
      <c r="C7" s="6">
        <v>10119.549999999999</v>
      </c>
      <c r="D7" s="6">
        <v>10065.000000000002</v>
      </c>
      <c r="E7" s="6">
        <v>2403.7000000000003</v>
      </c>
      <c r="F7" s="6">
        <v>4428.25</v>
      </c>
      <c r="G7" s="6">
        <f t="shared" si="0"/>
        <v>30242.7</v>
      </c>
    </row>
    <row r="8" spans="1:7" x14ac:dyDescent="0.3">
      <c r="A8" s="1" t="s">
        <v>29</v>
      </c>
      <c r="B8" s="6">
        <v>2954.25</v>
      </c>
      <c r="C8" s="6">
        <v>4530</v>
      </c>
      <c r="D8" s="6">
        <v>2981.5</v>
      </c>
      <c r="E8" s="6">
        <v>3822.0000000000005</v>
      </c>
      <c r="F8" s="6">
        <v>5519.2000000000007</v>
      </c>
      <c r="G8" s="6">
        <f t="shared" si="0"/>
        <v>19806.95</v>
      </c>
    </row>
    <row r="9" spans="1:7" x14ac:dyDescent="0.3">
      <c r="A9" s="1" t="s">
        <v>27</v>
      </c>
      <c r="B9" s="6">
        <v>6133.8000000000011</v>
      </c>
      <c r="C9" s="6">
        <v>5179.25</v>
      </c>
      <c r="D9" s="6">
        <v>1266.8000000000002</v>
      </c>
      <c r="E9" s="6">
        <v>6025.35</v>
      </c>
      <c r="F9" s="6">
        <v>6003.4000000000005</v>
      </c>
      <c r="G9" s="6">
        <f t="shared" si="0"/>
        <v>24608.600000000006</v>
      </c>
    </row>
    <row r="10" spans="1:7" x14ac:dyDescent="0.3">
      <c r="A10" s="1" t="s">
        <v>30</v>
      </c>
      <c r="B10" s="6">
        <v>4320.3500000000004</v>
      </c>
      <c r="C10" s="6">
        <v>2912.05</v>
      </c>
      <c r="D10" s="6">
        <v>4479.1000000000004</v>
      </c>
      <c r="E10" s="6">
        <v>4475.6000000000004</v>
      </c>
      <c r="F10" s="6">
        <v>142.4</v>
      </c>
      <c r="G10" s="6">
        <f t="shared" si="0"/>
        <v>16329.5</v>
      </c>
    </row>
    <row r="11" spans="1:7" x14ac:dyDescent="0.3">
      <c r="A11" s="1" t="s">
        <v>15</v>
      </c>
      <c r="B11" s="6">
        <v>10543.75</v>
      </c>
      <c r="C11" s="6">
        <v>2087.9499999999998</v>
      </c>
      <c r="D11" s="6">
        <v>4099.8999999999996</v>
      </c>
      <c r="E11" s="6">
        <v>6778.4500000000007</v>
      </c>
      <c r="F11" s="6">
        <v>4841.8</v>
      </c>
      <c r="G11" s="6">
        <f t="shared" si="0"/>
        <v>28351.85</v>
      </c>
    </row>
    <row r="12" spans="1:7" x14ac:dyDescent="0.3">
      <c r="A12" s="1" t="s">
        <v>8</v>
      </c>
      <c r="B12" s="6">
        <v>6950.5</v>
      </c>
      <c r="C12" s="6">
        <v>3236.9</v>
      </c>
      <c r="D12" s="6">
        <v>2122.4500000000003</v>
      </c>
      <c r="E12" s="6">
        <v>10622.2</v>
      </c>
      <c r="F12" s="6">
        <v>5866.75</v>
      </c>
      <c r="G12" s="6">
        <f t="shared" si="0"/>
        <v>28798.800000000003</v>
      </c>
    </row>
    <row r="13" spans="1:7" x14ac:dyDescent="0.3">
      <c r="A13" s="1" t="s">
        <v>21</v>
      </c>
      <c r="B13" s="6">
        <v>2582.3000000000002</v>
      </c>
      <c r="C13" s="6">
        <v>3686.6000000000004</v>
      </c>
      <c r="D13" s="6">
        <v>3829.55</v>
      </c>
      <c r="E13" s="6">
        <v>2410.1000000000004</v>
      </c>
      <c r="F13" s="6">
        <v>726.5</v>
      </c>
      <c r="G13" s="6">
        <f t="shared" si="0"/>
        <v>13235.050000000001</v>
      </c>
    </row>
    <row r="14" spans="1:7" x14ac:dyDescent="0.3">
      <c r="A14" s="1" t="s">
        <v>12</v>
      </c>
      <c r="B14" s="6">
        <v>2118.5</v>
      </c>
      <c r="C14" s="6">
        <v>8446.2000000000007</v>
      </c>
      <c r="D14" s="6">
        <v>1949.5</v>
      </c>
      <c r="E14" s="6">
        <v>6864.6</v>
      </c>
      <c r="F14" s="6">
        <v>8311.3000000000011</v>
      </c>
      <c r="G14" s="6">
        <f t="shared" si="0"/>
        <v>27690.100000000006</v>
      </c>
    </row>
    <row r="15" spans="1:7" x14ac:dyDescent="0.3">
      <c r="A15" s="1" t="s">
        <v>26</v>
      </c>
      <c r="B15" s="6">
        <v>713.15000000000009</v>
      </c>
      <c r="C15" s="6">
        <v>6302.45</v>
      </c>
      <c r="D15" s="6">
        <v>4225.6000000000004</v>
      </c>
      <c r="E15" s="6">
        <v>5752.1</v>
      </c>
      <c r="F15" s="6">
        <v>3284.4</v>
      </c>
      <c r="G15" s="6">
        <f t="shared" si="0"/>
        <v>20277.700000000004</v>
      </c>
    </row>
    <row r="16" spans="1:7" x14ac:dyDescent="0.3">
      <c r="A16" s="1" t="s">
        <v>17</v>
      </c>
      <c r="B16" s="6">
        <v>3158.9</v>
      </c>
      <c r="C16" s="6">
        <v>6173.55</v>
      </c>
      <c r="D16" s="6">
        <v>7782.9000000000005</v>
      </c>
      <c r="E16" s="6">
        <v>4136.1000000000004</v>
      </c>
      <c r="F16" s="6">
        <v>2805.3500000000004</v>
      </c>
      <c r="G16" s="6">
        <f t="shared" si="0"/>
        <v>24056.800000000003</v>
      </c>
    </row>
    <row r="17" spans="1:7" x14ac:dyDescent="0.3">
      <c r="A17" s="1" t="s">
        <v>36</v>
      </c>
      <c r="B17" s="6">
        <f>SUM(B6:B16)</f>
        <v>43834.600000000006</v>
      </c>
      <c r="C17" s="6">
        <f>SUM(C6:C16)</f>
        <v>53589.149999999994</v>
      </c>
      <c r="D17" s="6">
        <f>SUM(D6:D16)</f>
        <v>47899.100000000006</v>
      </c>
      <c r="E17" s="6">
        <f>SUM(E6:E16)</f>
        <v>60308.95</v>
      </c>
      <c r="F17" s="6">
        <f>SUM(F6:F16)</f>
        <v>47861.3</v>
      </c>
      <c r="G17" s="6">
        <f t="shared" si="0"/>
        <v>253493.09999999998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EA3F2"/>
  </sheetPr>
  <dimension ref="A2:G17"/>
  <sheetViews>
    <sheetView workbookViewId="0"/>
  </sheetViews>
  <sheetFormatPr defaultRowHeight="14.4" x14ac:dyDescent="0.3"/>
  <cols>
    <col min="1" max="1" width="15.5546875" style="3" bestFit="1" customWidth="1"/>
    <col min="2" max="6" width="11.33203125" style="3" customWidth="1"/>
    <col min="7" max="7" width="11.88671875" style="3" bestFit="1" customWidth="1"/>
    <col min="8" max="16384" width="8.88671875" style="3"/>
  </cols>
  <sheetData>
    <row r="2" spans="1:7" x14ac:dyDescent="0.3">
      <c r="A2" s="1" t="s">
        <v>2</v>
      </c>
      <c r="B2" s="2" t="s">
        <v>3</v>
      </c>
    </row>
    <row r="4" spans="1:7" x14ac:dyDescent="0.3">
      <c r="A4" s="1" t="s">
        <v>35</v>
      </c>
      <c r="B4" s="4" t="s">
        <v>0</v>
      </c>
      <c r="C4" s="5"/>
      <c r="D4" s="5"/>
      <c r="E4" s="5"/>
      <c r="F4" s="5"/>
      <c r="G4" s="5"/>
    </row>
    <row r="5" spans="1:7" ht="28.8" x14ac:dyDescent="0.3">
      <c r="A5" s="1" t="s">
        <v>1</v>
      </c>
      <c r="B5" s="1" t="s">
        <v>20</v>
      </c>
      <c r="C5" s="1" t="s">
        <v>14</v>
      </c>
      <c r="D5" s="1" t="s">
        <v>19</v>
      </c>
      <c r="E5" s="1" t="s">
        <v>10</v>
      </c>
      <c r="F5" s="1" t="s">
        <v>11</v>
      </c>
      <c r="G5" s="1" t="s">
        <v>36</v>
      </c>
    </row>
    <row r="6" spans="1:7" x14ac:dyDescent="0.3">
      <c r="A6" s="1" t="s">
        <v>22</v>
      </c>
      <c r="B6" s="6">
        <v>4555.1500000000005</v>
      </c>
      <c r="C6" s="6">
        <v>2972.7000000000003</v>
      </c>
      <c r="D6" s="6">
        <v>4404</v>
      </c>
      <c r="E6" s="6">
        <v>3516.4500000000003</v>
      </c>
      <c r="F6" s="6">
        <v>4202.3</v>
      </c>
      <c r="G6" s="6">
        <f t="shared" ref="G6:G17" si="0">SUM(B6:F6)</f>
        <v>19650.600000000002</v>
      </c>
    </row>
    <row r="7" spans="1:7" x14ac:dyDescent="0.3">
      <c r="A7" s="1" t="s">
        <v>34</v>
      </c>
      <c r="B7" s="6">
        <v>2880.75</v>
      </c>
      <c r="C7" s="6">
        <v>5320.85</v>
      </c>
      <c r="D7" s="6">
        <v>1798.6000000000001</v>
      </c>
      <c r="E7" s="6">
        <v>3151.45</v>
      </c>
      <c r="F7" s="6">
        <v>5149.3000000000011</v>
      </c>
      <c r="G7" s="6">
        <f t="shared" si="0"/>
        <v>18300.950000000004</v>
      </c>
    </row>
    <row r="8" spans="1:7" x14ac:dyDescent="0.3">
      <c r="A8" s="1" t="s">
        <v>29</v>
      </c>
      <c r="B8" s="6">
        <v>6373.7000000000007</v>
      </c>
      <c r="C8" s="6">
        <v>2954.65</v>
      </c>
      <c r="D8" s="6">
        <v>5800.15</v>
      </c>
      <c r="E8" s="6">
        <v>5839.35</v>
      </c>
      <c r="F8" s="6">
        <v>2323.6000000000004</v>
      </c>
      <c r="G8" s="6">
        <f t="shared" si="0"/>
        <v>23291.449999999997</v>
      </c>
    </row>
    <row r="9" spans="1:7" x14ac:dyDescent="0.3">
      <c r="A9" s="1" t="s">
        <v>27</v>
      </c>
      <c r="B9" s="6">
        <v>8845.1999999999989</v>
      </c>
      <c r="C9" s="6">
        <v>1144.8500000000001</v>
      </c>
      <c r="D9" s="6">
        <v>2992.8500000000004</v>
      </c>
      <c r="E9" s="6">
        <v>4643.1000000000004</v>
      </c>
      <c r="F9" s="6">
        <v>3142.55</v>
      </c>
      <c r="G9" s="6">
        <f t="shared" si="0"/>
        <v>20768.55</v>
      </c>
    </row>
    <row r="10" spans="1:7" x14ac:dyDescent="0.3">
      <c r="A10" s="1" t="s">
        <v>30</v>
      </c>
      <c r="B10" s="6">
        <v>1496</v>
      </c>
      <c r="C10" s="6">
        <v>2746</v>
      </c>
      <c r="D10" s="6">
        <v>4774.2</v>
      </c>
      <c r="E10" s="6">
        <v>7078.5</v>
      </c>
      <c r="F10" s="6">
        <v>6276.6500000000015</v>
      </c>
      <c r="G10" s="6">
        <f t="shared" si="0"/>
        <v>22371.350000000002</v>
      </c>
    </row>
    <row r="11" spans="1:7" x14ac:dyDescent="0.3">
      <c r="A11" s="1" t="s">
        <v>15</v>
      </c>
      <c r="B11" s="6">
        <v>2464.5500000000002</v>
      </c>
      <c r="C11" s="6">
        <v>4696.8999999999996</v>
      </c>
      <c r="D11" s="6">
        <v>3844.75</v>
      </c>
      <c r="E11" s="6">
        <v>7214.55</v>
      </c>
      <c r="F11" s="6">
        <v>2549.6999999999998</v>
      </c>
      <c r="G11" s="6">
        <f t="shared" si="0"/>
        <v>20770.45</v>
      </c>
    </row>
    <row r="12" spans="1:7" x14ac:dyDescent="0.3">
      <c r="A12" s="1" t="s">
        <v>8</v>
      </c>
      <c r="B12" s="6">
        <v>2985.3</v>
      </c>
      <c r="C12" s="6">
        <v>4745.8</v>
      </c>
      <c r="D12" s="6">
        <v>809.85000000000014</v>
      </c>
      <c r="E12" s="6">
        <v>5752.1</v>
      </c>
      <c r="F12" s="6">
        <v>5158.4500000000007</v>
      </c>
      <c r="G12" s="6">
        <f t="shared" si="0"/>
        <v>19451.5</v>
      </c>
    </row>
    <row r="13" spans="1:7" x14ac:dyDescent="0.3">
      <c r="A13" s="1" t="s">
        <v>21</v>
      </c>
      <c r="B13" s="6">
        <v>1771.8500000000004</v>
      </c>
      <c r="C13" s="6">
        <v>4715.6000000000004</v>
      </c>
      <c r="D13" s="6">
        <v>2535.9500000000003</v>
      </c>
      <c r="E13" s="6">
        <v>1856.9</v>
      </c>
      <c r="F13" s="6">
        <v>4164.25</v>
      </c>
      <c r="G13" s="6">
        <f t="shared" si="0"/>
        <v>15044.550000000001</v>
      </c>
    </row>
    <row r="14" spans="1:7" x14ac:dyDescent="0.3">
      <c r="A14" s="1" t="s">
        <v>12</v>
      </c>
      <c r="B14" s="6">
        <v>3637.2</v>
      </c>
      <c r="C14" s="6">
        <v>10456.75</v>
      </c>
      <c r="D14" s="6">
        <v>10300.25</v>
      </c>
      <c r="E14" s="6">
        <v>2372.0499999999997</v>
      </c>
      <c r="F14" s="6">
        <v>4801.3</v>
      </c>
      <c r="G14" s="6">
        <f t="shared" si="0"/>
        <v>31567.55</v>
      </c>
    </row>
    <row r="15" spans="1:7" x14ac:dyDescent="0.3">
      <c r="A15" s="1" t="s">
        <v>26</v>
      </c>
      <c r="B15" s="6">
        <v>801.35</v>
      </c>
      <c r="C15" s="6">
        <v>4560.55</v>
      </c>
      <c r="D15" s="6">
        <v>3970.1500000000005</v>
      </c>
      <c r="E15" s="6">
        <v>4881.25</v>
      </c>
      <c r="F15" s="6">
        <v>5963.2500000000009</v>
      </c>
      <c r="G15" s="6">
        <f t="shared" si="0"/>
        <v>20176.550000000003</v>
      </c>
    </row>
    <row r="16" spans="1:7" x14ac:dyDescent="0.3">
      <c r="A16" s="1" t="s">
        <v>17</v>
      </c>
      <c r="B16" s="6">
        <v>4567.2000000000007</v>
      </c>
      <c r="C16" s="6">
        <v>1057.55</v>
      </c>
      <c r="D16" s="6">
        <v>3205.25</v>
      </c>
      <c r="E16" s="6">
        <v>4414.3500000000004</v>
      </c>
      <c r="F16" s="6">
        <v>1922.25</v>
      </c>
      <c r="G16" s="6">
        <f t="shared" si="0"/>
        <v>15166.6</v>
      </c>
    </row>
    <row r="17" spans="1:7" x14ac:dyDescent="0.3">
      <c r="A17" s="1" t="s">
        <v>36</v>
      </c>
      <c r="B17" s="6">
        <f>SUM(B6:B16)</f>
        <v>40378.25</v>
      </c>
      <c r="C17" s="6">
        <f>SUM(C6:C16)</f>
        <v>45372.200000000004</v>
      </c>
      <c r="D17" s="6">
        <f>SUM(D6:D16)</f>
        <v>44436</v>
      </c>
      <c r="E17" s="6">
        <f>SUM(E6:E16)</f>
        <v>50720.05</v>
      </c>
      <c r="F17" s="6">
        <f>SUM(F6:F16)</f>
        <v>45653.600000000006</v>
      </c>
      <c r="G17" s="6">
        <f t="shared" si="0"/>
        <v>226560.1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"/>
  <sheetViews>
    <sheetView topLeftCell="XFD1048576" workbookViewId="0"/>
  </sheetViews>
  <sheetFormatPr defaultColWidth="0" defaultRowHeight="14.4" zeroHeight="1" x14ac:dyDescent="0.3"/>
  <cols>
    <col min="1" max="16384" width="9.109375" style="3" hidden="1"/>
  </cols>
  <sheetData>
    <row r="1" hidden="1" x14ac:dyDescent="0.3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2EA3F2"/>
  </sheetPr>
  <dimension ref="A2:G17"/>
  <sheetViews>
    <sheetView workbookViewId="0"/>
  </sheetViews>
  <sheetFormatPr defaultColWidth="21" defaultRowHeight="14.4" x14ac:dyDescent="0.3"/>
  <cols>
    <col min="1" max="1" width="15.5546875" style="3" bestFit="1" customWidth="1"/>
    <col min="2" max="6" width="11.33203125" style="3" customWidth="1"/>
    <col min="7" max="7" width="11.88671875" style="3" bestFit="1" customWidth="1"/>
    <col min="8" max="16384" width="21" style="3"/>
  </cols>
  <sheetData>
    <row r="2" spans="1:7" x14ac:dyDescent="0.3">
      <c r="A2" s="1" t="s">
        <v>2</v>
      </c>
      <c r="B2" s="2" t="s">
        <v>13</v>
      </c>
      <c r="C2" s="2"/>
    </row>
    <row r="4" spans="1:7" x14ac:dyDescent="0.3">
      <c r="A4" s="1" t="s">
        <v>35</v>
      </c>
      <c r="B4" s="4" t="s">
        <v>0</v>
      </c>
      <c r="C4" s="5"/>
      <c r="D4" s="5"/>
      <c r="E4" s="5"/>
      <c r="F4" s="5"/>
      <c r="G4" s="5"/>
    </row>
    <row r="5" spans="1:7" ht="28.8" x14ac:dyDescent="0.3">
      <c r="A5" s="1" t="s">
        <v>1</v>
      </c>
      <c r="B5" s="1" t="s">
        <v>20</v>
      </c>
      <c r="C5" s="1" t="s">
        <v>14</v>
      </c>
      <c r="D5" s="1" t="s">
        <v>19</v>
      </c>
      <c r="E5" s="1" t="s">
        <v>10</v>
      </c>
      <c r="F5" s="1" t="s">
        <v>11</v>
      </c>
      <c r="G5" s="1" t="s">
        <v>36</v>
      </c>
    </row>
    <row r="6" spans="1:7" x14ac:dyDescent="0.3">
      <c r="A6" s="1" t="s">
        <v>22</v>
      </c>
      <c r="B6" s="6">
        <v>3545.5000000000005</v>
      </c>
      <c r="C6" s="6">
        <v>6550.6</v>
      </c>
      <c r="D6" s="6">
        <v>5288.4000000000005</v>
      </c>
      <c r="E6" s="6">
        <v>5772.3000000000011</v>
      </c>
      <c r="F6" s="6">
        <v>10379.900000000001</v>
      </c>
      <c r="G6" s="6">
        <f t="shared" ref="G6:G17" si="0">SUM(B6:F6)</f>
        <v>31536.700000000004</v>
      </c>
    </row>
    <row r="7" spans="1:7" x14ac:dyDescent="0.3">
      <c r="A7" s="1" t="s">
        <v>34</v>
      </c>
      <c r="B7" s="6">
        <v>814.90000000000009</v>
      </c>
      <c r="C7" s="6">
        <v>188.05</v>
      </c>
      <c r="D7" s="6">
        <v>3052.35</v>
      </c>
      <c r="E7" s="6">
        <v>5274.2500000000009</v>
      </c>
      <c r="F7" s="6">
        <v>3568.6000000000004</v>
      </c>
      <c r="G7" s="6">
        <f t="shared" si="0"/>
        <v>12898.150000000001</v>
      </c>
    </row>
    <row r="8" spans="1:7" x14ac:dyDescent="0.3">
      <c r="A8" s="1" t="s">
        <v>29</v>
      </c>
      <c r="B8" s="6">
        <v>1922.6</v>
      </c>
      <c r="C8" s="6">
        <v>4810.25</v>
      </c>
      <c r="D8" s="6">
        <v>4895.7000000000007</v>
      </c>
      <c r="E8" s="6">
        <v>5935.6</v>
      </c>
      <c r="F8" s="6">
        <v>8102.6</v>
      </c>
      <c r="G8" s="6">
        <f t="shared" si="0"/>
        <v>25666.75</v>
      </c>
    </row>
    <row r="9" spans="1:7" x14ac:dyDescent="0.3">
      <c r="A9" s="1" t="s">
        <v>27</v>
      </c>
      <c r="B9" s="6">
        <v>2962.25</v>
      </c>
      <c r="C9" s="6">
        <v>4189.8999999999996</v>
      </c>
      <c r="D9" s="6">
        <v>6114.5000000000009</v>
      </c>
      <c r="E9" s="6">
        <v>5996.5000000000009</v>
      </c>
      <c r="F9" s="6">
        <v>11093.000000000002</v>
      </c>
      <c r="G9" s="6">
        <f t="shared" si="0"/>
        <v>30356.15</v>
      </c>
    </row>
    <row r="10" spans="1:7" x14ac:dyDescent="0.3">
      <c r="A10" s="1" t="s">
        <v>30</v>
      </c>
      <c r="B10" s="6">
        <v>8144.1</v>
      </c>
      <c r="C10" s="6">
        <v>1552.2</v>
      </c>
      <c r="D10" s="6">
        <v>8442.6</v>
      </c>
      <c r="E10" s="6">
        <v>1746.65</v>
      </c>
      <c r="F10" s="6">
        <v>3588.25</v>
      </c>
      <c r="G10" s="6">
        <f t="shared" si="0"/>
        <v>23473.800000000003</v>
      </c>
    </row>
    <row r="11" spans="1:7" x14ac:dyDescent="0.3">
      <c r="A11" s="1" t="s">
        <v>15</v>
      </c>
      <c r="B11" s="6">
        <v>5007.1000000000004</v>
      </c>
      <c r="C11" s="6">
        <v>4527.3</v>
      </c>
      <c r="D11" s="6">
        <v>1755.3</v>
      </c>
      <c r="E11" s="6">
        <v>2485.7500000000005</v>
      </c>
      <c r="F11" s="6">
        <v>5924.1</v>
      </c>
      <c r="G11" s="6">
        <f t="shared" si="0"/>
        <v>19699.550000000003</v>
      </c>
    </row>
    <row r="12" spans="1:7" x14ac:dyDescent="0.3">
      <c r="A12" s="1" t="s">
        <v>8</v>
      </c>
      <c r="B12" s="6">
        <v>6706.0000000000009</v>
      </c>
      <c r="C12" s="6"/>
      <c r="D12" s="6">
        <v>2398.8000000000002</v>
      </c>
      <c r="E12" s="6">
        <v>2876</v>
      </c>
      <c r="F12" s="6">
        <v>1415.3500000000001</v>
      </c>
      <c r="G12" s="6">
        <f t="shared" si="0"/>
        <v>13396.150000000001</v>
      </c>
    </row>
    <row r="13" spans="1:7" x14ac:dyDescent="0.3">
      <c r="A13" s="1" t="s">
        <v>21</v>
      </c>
      <c r="B13" s="6">
        <v>1799.05</v>
      </c>
      <c r="C13" s="6">
        <v>3155.5</v>
      </c>
      <c r="D13" s="6">
        <v>6028.5</v>
      </c>
      <c r="E13" s="6">
        <v>2358.4</v>
      </c>
      <c r="F13" s="6">
        <v>5104.2000000000007</v>
      </c>
      <c r="G13" s="6">
        <f t="shared" si="0"/>
        <v>18445.650000000001</v>
      </c>
    </row>
    <row r="14" spans="1:7" x14ac:dyDescent="0.3">
      <c r="A14" s="1" t="s">
        <v>12</v>
      </c>
      <c r="B14" s="6"/>
      <c r="C14" s="6">
        <v>2835.3</v>
      </c>
      <c r="D14" s="6">
        <v>4542.9500000000007</v>
      </c>
      <c r="E14" s="6">
        <v>1953.15</v>
      </c>
      <c r="F14" s="6">
        <v>4943.6499999999996</v>
      </c>
      <c r="G14" s="6">
        <f t="shared" si="0"/>
        <v>14275.050000000001</v>
      </c>
    </row>
    <row r="15" spans="1:7" x14ac:dyDescent="0.3">
      <c r="A15" s="1" t="s">
        <v>26</v>
      </c>
      <c r="B15" s="6">
        <v>5140.45</v>
      </c>
      <c r="C15" s="6">
        <v>244.35000000000002</v>
      </c>
      <c r="D15" s="6">
        <v>7094.7000000000007</v>
      </c>
      <c r="E15" s="6">
        <v>4954.4000000000005</v>
      </c>
      <c r="F15" s="6">
        <v>5240.4500000000007</v>
      </c>
      <c r="G15" s="6">
        <f t="shared" si="0"/>
        <v>22674.350000000002</v>
      </c>
    </row>
    <row r="16" spans="1:7" x14ac:dyDescent="0.3">
      <c r="A16" s="1" t="s">
        <v>17</v>
      </c>
      <c r="B16" s="6">
        <v>5616.7</v>
      </c>
      <c r="C16" s="6">
        <v>5248.65</v>
      </c>
      <c r="D16" s="6">
        <v>1327.85</v>
      </c>
      <c r="E16" s="6">
        <v>4722.1000000000004</v>
      </c>
      <c r="F16" s="6">
        <v>7601.0999999999995</v>
      </c>
      <c r="G16" s="6">
        <f t="shared" si="0"/>
        <v>24516.399999999998</v>
      </c>
    </row>
    <row r="17" spans="1:7" x14ac:dyDescent="0.3">
      <c r="A17" s="1" t="s">
        <v>36</v>
      </c>
      <c r="B17" s="6">
        <f>SUM(B6:B16)</f>
        <v>41658.649999999994</v>
      </c>
      <c r="C17" s="6">
        <f>SUM(C6:C16)</f>
        <v>33302.1</v>
      </c>
      <c r="D17" s="6">
        <f>SUM(D6:D16)</f>
        <v>50941.65</v>
      </c>
      <c r="E17" s="6">
        <f>SUM(E6:E16)</f>
        <v>44075.100000000006</v>
      </c>
      <c r="F17" s="6">
        <f>SUM(F6:F16)</f>
        <v>66961.200000000012</v>
      </c>
      <c r="G17" s="6">
        <f t="shared" si="0"/>
        <v>236938.7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2EA3F2"/>
  </sheetPr>
  <dimension ref="A2:G17"/>
  <sheetViews>
    <sheetView workbookViewId="0"/>
  </sheetViews>
  <sheetFormatPr defaultColWidth="21" defaultRowHeight="14.4" x14ac:dyDescent="0.3"/>
  <cols>
    <col min="1" max="1" width="15.5546875" style="3" bestFit="1" customWidth="1"/>
    <col min="2" max="6" width="11.33203125" style="3" customWidth="1"/>
    <col min="7" max="7" width="11.88671875" style="3" bestFit="1" customWidth="1"/>
    <col min="8" max="16384" width="21" style="3"/>
  </cols>
  <sheetData>
    <row r="2" spans="1:7" x14ac:dyDescent="0.3">
      <c r="A2" s="1" t="s">
        <v>2</v>
      </c>
      <c r="B2" s="2" t="s">
        <v>7</v>
      </c>
    </row>
    <row r="4" spans="1:7" x14ac:dyDescent="0.3">
      <c r="A4" s="1" t="s">
        <v>35</v>
      </c>
      <c r="B4" s="4" t="s">
        <v>0</v>
      </c>
      <c r="C4" s="5"/>
      <c r="D4" s="5"/>
      <c r="E4" s="5"/>
      <c r="F4" s="5"/>
      <c r="G4" s="5"/>
    </row>
    <row r="5" spans="1:7" ht="28.8" x14ac:dyDescent="0.3">
      <c r="A5" s="1" t="s">
        <v>1</v>
      </c>
      <c r="B5" s="1" t="s">
        <v>20</v>
      </c>
      <c r="C5" s="1" t="s">
        <v>14</v>
      </c>
      <c r="D5" s="1" t="s">
        <v>19</v>
      </c>
      <c r="E5" s="1" t="s">
        <v>10</v>
      </c>
      <c r="F5" s="1" t="s">
        <v>11</v>
      </c>
      <c r="G5" s="1" t="s">
        <v>36</v>
      </c>
    </row>
    <row r="6" spans="1:7" x14ac:dyDescent="0.3">
      <c r="A6" s="1" t="s">
        <v>22</v>
      </c>
      <c r="B6" s="6">
        <v>3899.9</v>
      </c>
      <c r="C6" s="6">
        <v>6499.5500000000011</v>
      </c>
      <c r="D6" s="6">
        <v>1778.6000000000001</v>
      </c>
      <c r="E6" s="6">
        <v>2726.75</v>
      </c>
      <c r="F6" s="6">
        <v>4095.6500000000005</v>
      </c>
      <c r="G6" s="6">
        <f t="shared" ref="G6:G17" si="0">SUM(B6:F6)</f>
        <v>19000.45</v>
      </c>
    </row>
    <row r="7" spans="1:7" x14ac:dyDescent="0.3">
      <c r="A7" s="1" t="s">
        <v>34</v>
      </c>
      <c r="B7" s="6">
        <v>3510.4</v>
      </c>
      <c r="C7" s="6">
        <v>3567.8</v>
      </c>
      <c r="D7" s="6">
        <v>1669.5</v>
      </c>
      <c r="E7" s="6">
        <v>8674.9500000000007</v>
      </c>
      <c r="F7" s="6">
        <v>1017.0500000000001</v>
      </c>
      <c r="G7" s="6">
        <f t="shared" si="0"/>
        <v>18439.7</v>
      </c>
    </row>
    <row r="8" spans="1:7" x14ac:dyDescent="0.3">
      <c r="A8" s="1" t="s">
        <v>29</v>
      </c>
      <c r="B8" s="6"/>
      <c r="C8" s="6">
        <v>6519.95</v>
      </c>
      <c r="D8" s="6">
        <v>4322.75</v>
      </c>
      <c r="E8" s="6">
        <v>5130.1500000000005</v>
      </c>
      <c r="F8" s="6">
        <v>5949.1500000000005</v>
      </c>
      <c r="G8" s="6">
        <f t="shared" si="0"/>
        <v>21922.000000000004</v>
      </c>
    </row>
    <row r="9" spans="1:7" x14ac:dyDescent="0.3">
      <c r="A9" s="1" t="s">
        <v>27</v>
      </c>
      <c r="B9" s="6">
        <v>5146.5</v>
      </c>
      <c r="C9" s="6">
        <v>4023.1000000000008</v>
      </c>
      <c r="D9" s="6">
        <v>7738.4</v>
      </c>
      <c r="E9" s="6">
        <v>2733.65</v>
      </c>
      <c r="F9" s="6">
        <v>2337.65</v>
      </c>
      <c r="G9" s="6">
        <f t="shared" si="0"/>
        <v>21979.300000000003</v>
      </c>
    </row>
    <row r="10" spans="1:7" x14ac:dyDescent="0.3">
      <c r="A10" s="1" t="s">
        <v>30</v>
      </c>
      <c r="B10" s="6">
        <v>5871.1</v>
      </c>
      <c r="C10" s="6">
        <v>8859.35</v>
      </c>
      <c r="D10" s="6">
        <v>3776.3500000000004</v>
      </c>
      <c r="E10" s="6">
        <v>1907.3</v>
      </c>
      <c r="F10" s="6">
        <v>4686.4000000000005</v>
      </c>
      <c r="G10" s="6">
        <f t="shared" si="0"/>
        <v>25100.500000000004</v>
      </c>
    </row>
    <row r="11" spans="1:7" x14ac:dyDescent="0.3">
      <c r="A11" s="1" t="s">
        <v>15</v>
      </c>
      <c r="B11" s="6">
        <v>2809.9500000000003</v>
      </c>
      <c r="C11" s="6">
        <v>4591.1500000000005</v>
      </c>
      <c r="D11" s="6">
        <v>6641.05</v>
      </c>
      <c r="E11" s="6">
        <v>2023.35</v>
      </c>
      <c r="F11" s="6">
        <v>2488.15</v>
      </c>
      <c r="G11" s="6">
        <f t="shared" si="0"/>
        <v>18553.650000000001</v>
      </c>
    </row>
    <row r="12" spans="1:7" x14ac:dyDescent="0.3">
      <c r="A12" s="1" t="s">
        <v>8</v>
      </c>
      <c r="B12" s="6">
        <v>3092.7</v>
      </c>
      <c r="C12" s="6">
        <v>4091</v>
      </c>
      <c r="D12" s="6">
        <v>2042.4</v>
      </c>
      <c r="E12" s="6">
        <v>3781.2000000000007</v>
      </c>
      <c r="F12" s="6">
        <v>6429.4500000000007</v>
      </c>
      <c r="G12" s="6">
        <f t="shared" si="0"/>
        <v>19436.75</v>
      </c>
    </row>
    <row r="13" spans="1:7" x14ac:dyDescent="0.3">
      <c r="A13" s="1" t="s">
        <v>21</v>
      </c>
      <c r="B13" s="6">
        <v>3684.5</v>
      </c>
      <c r="C13" s="6">
        <v>4323.9000000000005</v>
      </c>
      <c r="D13" s="6">
        <v>2984.25</v>
      </c>
      <c r="E13" s="6">
        <v>3950.6500000000005</v>
      </c>
      <c r="F13" s="6">
        <v>8533.8000000000011</v>
      </c>
      <c r="G13" s="6">
        <f t="shared" si="0"/>
        <v>23477.100000000006</v>
      </c>
    </row>
    <row r="14" spans="1:7" x14ac:dyDescent="0.3">
      <c r="A14" s="1" t="s">
        <v>12</v>
      </c>
      <c r="B14" s="6">
        <v>4797.3</v>
      </c>
      <c r="C14" s="6">
        <v>3364.4</v>
      </c>
      <c r="D14" s="6">
        <v>2787.15</v>
      </c>
      <c r="E14" s="6">
        <v>4603.8</v>
      </c>
      <c r="F14" s="6">
        <v>1549.6000000000001</v>
      </c>
      <c r="G14" s="6">
        <f t="shared" si="0"/>
        <v>17102.25</v>
      </c>
    </row>
    <row r="15" spans="1:7" x14ac:dyDescent="0.3">
      <c r="A15" s="1" t="s">
        <v>26</v>
      </c>
      <c r="B15" s="6">
        <v>2081.6000000000004</v>
      </c>
      <c r="C15" s="6">
        <v>2702.4</v>
      </c>
      <c r="D15" s="6">
        <v>4738.7000000000007</v>
      </c>
      <c r="E15" s="6">
        <v>4971.55</v>
      </c>
      <c r="F15" s="6">
        <v>2143.75</v>
      </c>
      <c r="G15" s="6">
        <f t="shared" si="0"/>
        <v>16638</v>
      </c>
    </row>
    <row r="16" spans="1:7" x14ac:dyDescent="0.3">
      <c r="A16" s="1" t="s">
        <v>17</v>
      </c>
      <c r="B16" s="6">
        <v>1106</v>
      </c>
      <c r="C16" s="6">
        <v>2718.3</v>
      </c>
      <c r="D16" s="6">
        <v>1646.4</v>
      </c>
      <c r="E16" s="6">
        <v>2823.3500000000004</v>
      </c>
      <c r="F16" s="6">
        <v>1264.1500000000001</v>
      </c>
      <c r="G16" s="6">
        <f t="shared" si="0"/>
        <v>9558.2000000000007</v>
      </c>
    </row>
    <row r="17" spans="1:7" x14ac:dyDescent="0.3">
      <c r="A17" s="1" t="s">
        <v>36</v>
      </c>
      <c r="B17" s="6">
        <f>SUM(B6:B16)</f>
        <v>35999.950000000004</v>
      </c>
      <c r="C17" s="6">
        <f>SUM(C6:C16)</f>
        <v>51260.900000000016</v>
      </c>
      <c r="D17" s="6">
        <f>SUM(D6:D16)</f>
        <v>40125.549999999996</v>
      </c>
      <c r="E17" s="6">
        <f>SUM(E6:E16)</f>
        <v>43326.700000000004</v>
      </c>
      <c r="F17" s="6">
        <f>SUM(F6:F16)</f>
        <v>40494.800000000003</v>
      </c>
      <c r="G17" s="6">
        <f t="shared" si="0"/>
        <v>211207.90000000002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2EA3F2"/>
  </sheetPr>
  <dimension ref="A2:G17"/>
  <sheetViews>
    <sheetView workbookViewId="0"/>
  </sheetViews>
  <sheetFormatPr defaultRowHeight="14.4" x14ac:dyDescent="0.3"/>
  <cols>
    <col min="1" max="1" width="15.5546875" style="3" bestFit="1" customWidth="1"/>
    <col min="2" max="6" width="11.33203125" style="3" customWidth="1"/>
    <col min="7" max="7" width="11.88671875" style="3" bestFit="1" customWidth="1"/>
    <col min="8" max="16384" width="8.88671875" style="3"/>
  </cols>
  <sheetData>
    <row r="2" spans="1:7" x14ac:dyDescent="0.3">
      <c r="A2" s="1" t="s">
        <v>2</v>
      </c>
      <c r="B2" s="2" t="s">
        <v>18</v>
      </c>
      <c r="C2" s="2"/>
    </row>
    <row r="4" spans="1:7" x14ac:dyDescent="0.3">
      <c r="A4" s="1" t="s">
        <v>35</v>
      </c>
      <c r="B4" s="4" t="s">
        <v>0</v>
      </c>
      <c r="C4" s="5"/>
      <c r="D4" s="5"/>
      <c r="E4" s="5"/>
      <c r="F4" s="5"/>
      <c r="G4" s="5"/>
    </row>
    <row r="5" spans="1:7" ht="28.8" x14ac:dyDescent="0.3">
      <c r="A5" s="1" t="s">
        <v>1</v>
      </c>
      <c r="B5" s="1" t="s">
        <v>20</v>
      </c>
      <c r="C5" s="1" t="s">
        <v>14</v>
      </c>
      <c r="D5" s="1" t="s">
        <v>19</v>
      </c>
      <c r="E5" s="1" t="s">
        <v>10</v>
      </c>
      <c r="F5" s="1" t="s">
        <v>11</v>
      </c>
      <c r="G5" s="1" t="s">
        <v>36</v>
      </c>
    </row>
    <row r="6" spans="1:7" x14ac:dyDescent="0.3">
      <c r="A6" s="1" t="s">
        <v>22</v>
      </c>
      <c r="B6" s="6">
        <v>8322.9500000000007</v>
      </c>
      <c r="C6" s="6">
        <v>6133.6</v>
      </c>
      <c r="D6" s="6">
        <v>5455.4000000000005</v>
      </c>
      <c r="E6" s="6">
        <v>4909.7000000000007</v>
      </c>
      <c r="F6" s="6">
        <v>2769.6</v>
      </c>
      <c r="G6" s="6">
        <f t="shared" ref="G6:G17" si="0">SUM(B6:F6)</f>
        <v>27591.25</v>
      </c>
    </row>
    <row r="7" spans="1:7" x14ac:dyDescent="0.3">
      <c r="A7" s="1" t="s">
        <v>34</v>
      </c>
      <c r="B7" s="6">
        <v>6061.8000000000011</v>
      </c>
      <c r="C7" s="6">
        <v>3358.1000000000004</v>
      </c>
      <c r="D7" s="6">
        <v>6405.7000000000007</v>
      </c>
      <c r="E7" s="6">
        <v>3502.4</v>
      </c>
      <c r="F7" s="6">
        <v>8294.7000000000025</v>
      </c>
      <c r="G7" s="6">
        <f t="shared" si="0"/>
        <v>27622.700000000004</v>
      </c>
    </row>
    <row r="8" spans="1:7" x14ac:dyDescent="0.3">
      <c r="A8" s="1" t="s">
        <v>29</v>
      </c>
      <c r="B8" s="6">
        <v>11724.049999999997</v>
      </c>
      <c r="C8" s="6">
        <v>994.6</v>
      </c>
      <c r="D8" s="6">
        <v>5234.7500000000009</v>
      </c>
      <c r="E8" s="6">
        <v>3582.2999999999997</v>
      </c>
      <c r="F8" s="6">
        <v>3882.35</v>
      </c>
      <c r="G8" s="6">
        <f t="shared" si="0"/>
        <v>25418.049999999996</v>
      </c>
    </row>
    <row r="9" spans="1:7" x14ac:dyDescent="0.3">
      <c r="A9" s="1" t="s">
        <v>27</v>
      </c>
      <c r="B9" s="6">
        <v>6019.9000000000015</v>
      </c>
      <c r="C9" s="6">
        <v>3008.7000000000003</v>
      </c>
      <c r="D9" s="6">
        <v>6162.0499999999993</v>
      </c>
      <c r="E9" s="6">
        <v>3813</v>
      </c>
      <c r="F9" s="6">
        <v>3483.65</v>
      </c>
      <c r="G9" s="6">
        <f t="shared" si="0"/>
        <v>22487.300000000003</v>
      </c>
    </row>
    <row r="10" spans="1:7" x14ac:dyDescent="0.3">
      <c r="A10" s="1" t="s">
        <v>30</v>
      </c>
      <c r="B10" s="6">
        <v>2455.1999999999998</v>
      </c>
      <c r="C10" s="6">
        <v>4424.8000000000011</v>
      </c>
      <c r="D10" s="6">
        <v>2721.2000000000003</v>
      </c>
      <c r="E10" s="6">
        <v>3070.65</v>
      </c>
      <c r="F10" s="6">
        <v>2595.2000000000003</v>
      </c>
      <c r="G10" s="6">
        <f t="shared" si="0"/>
        <v>15267.050000000001</v>
      </c>
    </row>
    <row r="11" spans="1:7" x14ac:dyDescent="0.3">
      <c r="A11" s="1" t="s">
        <v>15</v>
      </c>
      <c r="B11" s="6">
        <v>5434.25</v>
      </c>
      <c r="C11" s="6">
        <v>4856.2000000000007</v>
      </c>
      <c r="D11" s="6">
        <v>6165.9500000000007</v>
      </c>
      <c r="E11" s="6">
        <v>2396.3500000000004</v>
      </c>
      <c r="F11" s="6">
        <v>1602.25</v>
      </c>
      <c r="G11" s="6">
        <f t="shared" si="0"/>
        <v>20455</v>
      </c>
    </row>
    <row r="12" spans="1:7" x14ac:dyDescent="0.3">
      <c r="A12" s="1" t="s">
        <v>8</v>
      </c>
      <c r="B12" s="6">
        <v>4927.1000000000004</v>
      </c>
      <c r="C12" s="6">
        <v>866.80000000000007</v>
      </c>
      <c r="D12" s="6">
        <v>10578.199999999999</v>
      </c>
      <c r="E12" s="6">
        <v>2626.5</v>
      </c>
      <c r="F12" s="6">
        <v>5156.05</v>
      </c>
      <c r="G12" s="6">
        <f t="shared" si="0"/>
        <v>24154.649999999998</v>
      </c>
    </row>
    <row r="13" spans="1:7" x14ac:dyDescent="0.3">
      <c r="A13" s="1" t="s">
        <v>21</v>
      </c>
      <c r="B13" s="6">
        <v>4203</v>
      </c>
      <c r="C13" s="6">
        <v>8636</v>
      </c>
      <c r="D13" s="6">
        <v>9553.9500000000007</v>
      </c>
      <c r="E13" s="6">
        <v>3839.9500000000003</v>
      </c>
      <c r="F13" s="6">
        <v>3289.8</v>
      </c>
      <c r="G13" s="6">
        <f t="shared" si="0"/>
        <v>29522.7</v>
      </c>
    </row>
    <row r="14" spans="1:7" x14ac:dyDescent="0.3">
      <c r="A14" s="1" t="s">
        <v>12</v>
      </c>
      <c r="B14" s="6">
        <v>3004.9500000000003</v>
      </c>
      <c r="C14" s="6">
        <v>7250.3</v>
      </c>
      <c r="D14" s="6">
        <v>6540.1000000000013</v>
      </c>
      <c r="E14" s="6">
        <v>1898.45</v>
      </c>
      <c r="F14" s="6">
        <v>2696.6500000000005</v>
      </c>
      <c r="G14" s="6">
        <f t="shared" si="0"/>
        <v>21390.450000000004</v>
      </c>
    </row>
    <row r="15" spans="1:7" x14ac:dyDescent="0.3">
      <c r="A15" s="1" t="s">
        <v>26</v>
      </c>
      <c r="B15" s="6">
        <v>5549.6</v>
      </c>
      <c r="C15" s="6">
        <v>2678.7000000000003</v>
      </c>
      <c r="D15" s="6">
        <v>5247.5000000000009</v>
      </c>
      <c r="E15" s="6">
        <v>3586.25</v>
      </c>
      <c r="F15" s="6">
        <v>601.5</v>
      </c>
      <c r="G15" s="6">
        <f t="shared" si="0"/>
        <v>17663.550000000003</v>
      </c>
    </row>
    <row r="16" spans="1:7" x14ac:dyDescent="0.3">
      <c r="A16" s="1" t="s">
        <v>17</v>
      </c>
      <c r="B16" s="6">
        <v>5533.25</v>
      </c>
      <c r="C16" s="6">
        <v>2220.6000000000004</v>
      </c>
      <c r="D16" s="6">
        <v>6756.4000000000005</v>
      </c>
      <c r="E16" s="6">
        <v>5340.55</v>
      </c>
      <c r="F16" s="6">
        <v>4206.95</v>
      </c>
      <c r="G16" s="6">
        <f t="shared" si="0"/>
        <v>24057.75</v>
      </c>
    </row>
    <row r="17" spans="1:7" x14ac:dyDescent="0.3">
      <c r="A17" s="1" t="s">
        <v>36</v>
      </c>
      <c r="B17" s="6">
        <f>SUM(B6:B16)</f>
        <v>63236.049999999996</v>
      </c>
      <c r="C17" s="6">
        <f>SUM(C6:C16)</f>
        <v>44428.4</v>
      </c>
      <c r="D17" s="6">
        <f>SUM(D6:D16)</f>
        <v>70821.2</v>
      </c>
      <c r="E17" s="6">
        <f>SUM(E6:E16)</f>
        <v>38566.100000000006</v>
      </c>
      <c r="F17" s="6">
        <f>SUM(F6:F16)</f>
        <v>38578.699999999997</v>
      </c>
      <c r="G17" s="6">
        <f t="shared" si="0"/>
        <v>255630.45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20</vt:i4>
      </vt:variant>
    </vt:vector>
  </HeadingPairs>
  <TitlesOfParts>
    <vt:vector size="20" baseType="lpstr">
      <vt:lpstr>ExceliAdam</vt:lpstr>
      <vt:lpstr>Suma</vt:lpstr>
      <vt:lpstr>Dolnośląskie</vt:lpstr>
      <vt:lpstr>Lubuskie</vt:lpstr>
      <vt:lpstr>Start&gt;</vt:lpstr>
      <vt:lpstr>Kujawsko-pomorskie</vt:lpstr>
      <vt:lpstr>Lubelskie</vt:lpstr>
      <vt:lpstr>Łódzkie</vt:lpstr>
      <vt:lpstr>Małopolskie</vt:lpstr>
      <vt:lpstr>Mazowieckie</vt:lpstr>
      <vt:lpstr>Opolskie</vt:lpstr>
      <vt:lpstr>Podkarpackie</vt:lpstr>
      <vt:lpstr>Podlaskie</vt:lpstr>
      <vt:lpstr>Pomorskie</vt:lpstr>
      <vt:lpstr>Śląskie</vt:lpstr>
      <vt:lpstr>Świętokrzyskie</vt:lpstr>
      <vt:lpstr>&lt;Koniec</vt:lpstr>
      <vt:lpstr>Warmińsko-mazurskie</vt:lpstr>
      <vt:lpstr>Wielkopolskie</vt:lpstr>
      <vt:lpstr>Zachodniopomorskie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LENOVO</cp:lastModifiedBy>
  <cp:lastPrinted>2013-08-28T23:00:25Z</cp:lastPrinted>
  <dcterms:created xsi:type="dcterms:W3CDTF">2013-08-21T20:08:04Z</dcterms:created>
  <dcterms:modified xsi:type="dcterms:W3CDTF">2019-05-13T07:39:50Z</dcterms:modified>
</cp:coreProperties>
</file>