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3D55FADC-C387-4046-B7A0-B64A7CC8C671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ExceliAdam" sheetId="8" r:id="rId1"/>
    <sheet name="Rodzaje" sheetId="7" r:id="rId2"/>
    <sheet name="Formuła" sheetId="3" r:id="rId3"/>
    <sheet name="Czarne" sheetId="4" r:id="rId4"/>
    <sheet name="Dane" sheetId="5" r:id="rId5"/>
  </sheets>
  <definedNames>
    <definedName name="_xlnm._FilterDatabase" localSheetId="3" hidden="1">Czarne!$A$1:$E$325</definedName>
    <definedName name="_xlnm._FilterDatabase" localSheetId="2" hidden="1">Formuła!#REF!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3" l="1"/>
  <c r="B14" i="3"/>
  <c r="B15" i="3"/>
  <c r="B11" i="3"/>
  <c r="B12" i="3"/>
  <c r="B7" i="3"/>
  <c r="C7" i="3"/>
  <c r="D7" i="3"/>
  <c r="E7" i="3"/>
  <c r="F7" i="3"/>
  <c r="G7" i="3"/>
  <c r="H7" i="3"/>
  <c r="I2" i="3"/>
  <c r="I3" i="3"/>
  <c r="I4" i="3"/>
  <c r="I5" i="3"/>
  <c r="I6" i="3"/>
  <c r="D11" i="7"/>
  <c r="I7" i="3" l="1"/>
  <c r="H2" i="5"/>
  <c r="D9" i="7" l="1"/>
  <c r="D6" i="7"/>
  <c r="C4" i="7"/>
  <c r="D3" i="7"/>
  <c r="D12" i="7" l="1"/>
  <c r="C11" i="7"/>
  <c r="C9" i="7"/>
  <c r="D8" i="7"/>
  <c r="C8" i="7"/>
  <c r="D7" i="7"/>
  <c r="C7" i="7"/>
  <c r="C6" i="7"/>
  <c r="D5" i="7"/>
  <c r="D4" i="7"/>
  <c r="C3" i="7"/>
  <c r="C5" i="7"/>
  <c r="H7" i="5" l="1"/>
  <c r="H6" i="5"/>
  <c r="H5" i="5"/>
  <c r="H4" i="5"/>
  <c r="H3" i="5"/>
  <c r="H2" i="4" a="1"/>
  <c r="H2" i="4" s="1"/>
  <c r="H1" i="4" a="1"/>
  <c r="H1" i="4" s="1"/>
  <c r="G5" i="4" s="1"/>
  <c r="H5" i="4" l="1"/>
  <c r="G6" i="4" s="1"/>
  <c r="I5" i="4" l="1"/>
  <c r="H6" i="4"/>
  <c r="G7" i="4" s="1"/>
  <c r="I6" i="4" l="1"/>
  <c r="H7" i="4"/>
  <c r="G8" i="4" s="1"/>
  <c r="I7" i="4" l="1"/>
  <c r="H8" i="4"/>
  <c r="G9" i="4" s="1"/>
  <c r="I8" i="4" l="1"/>
  <c r="H9" i="4"/>
  <c r="G10" i="4" s="1"/>
  <c r="I9" i="4" l="1"/>
  <c r="H10" i="4"/>
  <c r="G11" i="4" s="1"/>
  <c r="I10" i="4" l="1"/>
  <c r="H11" i="4"/>
  <c r="I11" i="4" s="1"/>
  <c r="C12" i="7" l="1"/>
</calcChain>
</file>

<file path=xl/sharedStrings.xml><?xml version="1.0" encoding="utf-8"?>
<sst xmlns="http://schemas.openxmlformats.org/spreadsheetml/2006/main" count="2055" uniqueCount="103">
  <si>
    <t>Komunikat o błędzie</t>
  </si>
  <si>
    <t>Opis błędu</t>
  </si>
  <si>
    <t>Komunikaty błędu:</t>
  </si>
  <si>
    <t>Przykłady</t>
  </si>
  <si>
    <t>Sty</t>
  </si>
  <si>
    <t>Lut</t>
  </si>
  <si>
    <t>Mar</t>
  </si>
  <si>
    <t>Formuła używa odwołania do komórki, które zostało usunięte lub inne nieprawidłowe odwołania do komórki</t>
  </si>
  <si>
    <t>Literówka w wbudowanej funkcji Excela, zdefiniowanej nazwie  lub "tekst" (słowo) w formule nie jest w cudzysłowach.</t>
  </si>
  <si>
    <t>Ten błąd występuje wówczas, gdy wartość jest niedostępna dla funkcji lub formuły.</t>
  </si>
  <si>
    <t>Nieprawidłowy argument lub typ argumentu (argument funkcji), lub Formuła Tablicowa została wpisana bez Ctrl + Shift + Enter</t>
  </si>
  <si>
    <t>Ten błąd występuje wówczas, gdy określono przecięcie dwóch obszarów, które się nie przecinają. Operator przecięcia to znak spacji między odwołaniami.</t>
  </si>
  <si>
    <t>Nieprawidłowe wartości liczbowe w formule lub funkcji, lub iteracyjnej funkcji takiej jak IRR nie może znaleźć odpowiedzi, lub liczba jest zbyt duża lub mała (liczba musi być pomiędzy -1 * 10 ^ 307 i 1 * 10 ^ 307)</t>
  </si>
  <si>
    <t>Koniec pracy</t>
  </si>
  <si>
    <t>Początek pracy</t>
  </si>
  <si>
    <t>Inne błędy</t>
  </si>
  <si>
    <t>#######</t>
  </si>
  <si>
    <t>Ten błąd występuje wówczas, gdy kolumna ma za małą szerokość, aby wyświetlić całą zawartość, albo gdy w komórce użyto ujemnej daty lub godziny.</t>
  </si>
  <si>
    <t>Odwołanie cykliczne</t>
  </si>
  <si>
    <t>Odwołanie do komórek w formule odwołuje się do wyniku formuły (do niej samej). Możesz zobaczyć okno z komunikatem o błędzie, w większości sytuacji wynikiem będzie 0. Funkcje, które nie wykorzystują wyniku formuły z komórki tylko zakres, 
w której znajduje się formuła (np.: ILE.WIERSZY), nie powodują tego błędu.</t>
  </si>
  <si>
    <t>Błędy formuł:</t>
  </si>
  <si>
    <t>Niepoprawny wynik</t>
  </si>
  <si>
    <t>1) F2 (Tryb Edycji) i spojrz na formułę, patrz na zakresy odwołań. 
2) Uruchom opcję Szacuj Formułę lub użyj klawisza F9 na elemencie formuły, gdy jesteś w trybie Edycji, aby zobaczyć, która część formuły powoduje błąd, a następnie zbadaj tę część formuły
3) Spójrz na komórki danych wejściowych formuły
4) Spójrz na zbiór danych</t>
  </si>
  <si>
    <t>Odwołanie do komórki jest czarne</t>
  </si>
  <si>
    <t>Woj./Produkt</t>
  </si>
  <si>
    <t>Błazenek</t>
  </si>
  <si>
    <t>Gąbki</t>
  </si>
  <si>
    <t>Wielkie Muszelki</t>
  </si>
  <si>
    <t>Piasek</t>
  </si>
  <si>
    <t>Wodorosty</t>
  </si>
  <si>
    <t>Żółwik</t>
  </si>
  <si>
    <t>Lubelskie</t>
  </si>
  <si>
    <t>Łódzkie</t>
  </si>
  <si>
    <t>Mazowieckie</t>
  </si>
  <si>
    <t>Świętokrzyskie</t>
  </si>
  <si>
    <t>Wielkopolskie</t>
  </si>
  <si>
    <t>Przeszukiwanie</t>
  </si>
  <si>
    <t>Suma</t>
  </si>
  <si>
    <t>Województwo</t>
  </si>
  <si>
    <t>Produkt</t>
  </si>
  <si>
    <t>Małe Muszelki</t>
  </si>
  <si>
    <t>Data</t>
  </si>
  <si>
    <t>Sprzedawca</t>
  </si>
  <si>
    <t>Wartość</t>
  </si>
  <si>
    <t>Min</t>
  </si>
  <si>
    <t>Alladyn</t>
  </si>
  <si>
    <t>Max</t>
  </si>
  <si>
    <t>Jago</t>
  </si>
  <si>
    <t>Muszelki 3</t>
  </si>
  <si>
    <t>Abis Mal</t>
  </si>
  <si>
    <t>Początek</t>
  </si>
  <si>
    <t>Koniec</t>
  </si>
  <si>
    <t>Jasmina</t>
  </si>
  <si>
    <t>Dżin</t>
  </si>
  <si>
    <t>Muszelki 2</t>
  </si>
  <si>
    <t>Muszelki 1</t>
  </si>
  <si>
    <t>Abu</t>
  </si>
  <si>
    <t>Sprzedaż</t>
  </si>
  <si>
    <t>Marlin Błazenek</t>
  </si>
  <si>
    <t>Nemo Ryba</t>
  </si>
  <si>
    <t>Piotr Pies</t>
  </si>
  <si>
    <t>Penny Damska</t>
  </si>
  <si>
    <t>Marlena Kotowska</t>
  </si>
  <si>
    <t>Podczas budowania formuły, gdy odwołanie do komórek jest czarne, formuła nie działa (referencje do innego Arkusza i Pliku zawsze są czarne)</t>
  </si>
  <si>
    <t>Excel wyświetla komunikat o błędzie #DZIEL/0!, jeśli liczba jest dzielona przez zero (0) lub przez wartość z pustej komórki.</t>
  </si>
  <si>
    <t>Dorota Ultramarynka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</si>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</sst>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zł&quot;;[Red]\-#,##0\ &quot;zł&quot;"/>
    <numFmt numFmtId="8" formatCode="#,##0.00\ &quot;zł&quot;;[Red]\-#,##0.00\ &quot;zł&quot;"/>
    <numFmt numFmtId="164" formatCode="&quot;$&quot;#,##0.00_);[Red]\(&quot;$&quot;#,##0.00\)"/>
    <numFmt numFmtId="165" formatCode="dd/mm/yyyy;@"/>
  </numFmts>
  <fonts count="15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CFF1D6"/>
        <bgColor rgb="FF000000"/>
      </patternFill>
    </fill>
    <fill>
      <patternFill patternType="solid">
        <fgColor rgb="FFCFF1D6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2" fillId="0" borderId="0"/>
    <xf numFmtId="8" fontId="3" fillId="3" borderId="1" applyNumberFormat="0"/>
    <xf numFmtId="0" fontId="5" fillId="0" borderId="0"/>
    <xf numFmtId="0" fontId="5" fillId="0" borderId="0"/>
    <xf numFmtId="0" fontId="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2"/>
    <xf numFmtId="0" fontId="7" fillId="4" borderId="1" xfId="1" applyFont="1" applyFill="1" applyBorder="1" applyAlignment="1">
      <alignment horizontal="center" vertical="center" wrapText="1"/>
    </xf>
    <xf numFmtId="0" fontId="8" fillId="0" borderId="0" xfId="2" applyFont="1"/>
    <xf numFmtId="0" fontId="7" fillId="5" borderId="1" xfId="1" applyFont="1" applyFill="1" applyBorder="1" applyAlignment="1">
      <alignment horizontal="centerContinuous" vertical="center"/>
    </xf>
    <xf numFmtId="0" fontId="8" fillId="0" borderId="1" xfId="2" applyFont="1" applyBorder="1"/>
    <xf numFmtId="0" fontId="8" fillId="0" borderId="2" xfId="2" applyFont="1" applyBorder="1"/>
    <xf numFmtId="0" fontId="8" fillId="0" borderId="1" xfId="2" applyFont="1" applyBorder="1" applyAlignment="1">
      <alignment wrapText="1"/>
    </xf>
    <xf numFmtId="0" fontId="9" fillId="7" borderId="1" xfId="3" applyNumberFormat="1" applyFont="1" applyFill="1"/>
    <xf numFmtId="0" fontId="8" fillId="0" borderId="0" xfId="0" applyFont="1"/>
    <xf numFmtId="6" fontId="8" fillId="0" borderId="1" xfId="2" applyNumberFormat="1" applyFont="1" applyBorder="1"/>
    <xf numFmtId="9" fontId="8" fillId="0" borderId="0" xfId="2" applyNumberFormat="1" applyFont="1"/>
    <xf numFmtId="9" fontId="9" fillId="7" borderId="1" xfId="3" applyNumberFormat="1" applyFont="1" applyFill="1"/>
    <xf numFmtId="0" fontId="7" fillId="5" borderId="1" xfId="1" applyFont="1" applyFill="1" applyBorder="1" applyAlignment="1">
      <alignment horizontal="centerContinuous" vertical="center" wrapText="1"/>
    </xf>
    <xf numFmtId="20" fontId="8" fillId="0" borderId="1" xfId="2" applyNumberFormat="1" applyFont="1" applyBorder="1"/>
    <xf numFmtId="164" fontId="9" fillId="7" borderId="1" xfId="3" applyNumberFormat="1" applyFont="1" applyFill="1"/>
    <xf numFmtId="18" fontId="9" fillId="7" borderId="1" xfId="3" applyNumberFormat="1" applyFont="1" applyFill="1"/>
    <xf numFmtId="0" fontId="8" fillId="0" borderId="1" xfId="2" applyFont="1" applyFill="1" applyBorder="1" applyAlignment="1">
      <alignment wrapText="1"/>
    </xf>
    <xf numFmtId="6" fontId="9" fillId="7" borderId="1" xfId="3" applyNumberFormat="1" applyFont="1" applyFill="1"/>
    <xf numFmtId="0" fontId="7" fillId="5" borderId="1" xfId="1" applyFont="1" applyFill="1" applyBorder="1" applyAlignment="1">
      <alignment horizontal="center" vertical="center" wrapText="1"/>
    </xf>
    <xf numFmtId="0" fontId="7" fillId="5" borderId="3" xfId="1" applyFont="1" applyFill="1" applyBorder="1" applyAlignment="1">
      <alignment horizontal="center" vertical="center" wrapText="1"/>
    </xf>
    <xf numFmtId="14" fontId="8" fillId="0" borderId="1" xfId="2" applyNumberFormat="1" applyFont="1" applyBorder="1"/>
    <xf numFmtId="8" fontId="8" fillId="0" borderId="1" xfId="2" applyNumberFormat="1" applyFont="1" applyBorder="1"/>
    <xf numFmtId="0" fontId="8" fillId="0" borderId="1" xfId="2" applyFont="1" applyFill="1" applyBorder="1" applyAlignment="1"/>
    <xf numFmtId="8" fontId="10" fillId="6" borderId="1" xfId="2" applyNumberFormat="1" applyFont="1" applyFill="1" applyBorder="1"/>
    <xf numFmtId="8" fontId="8" fillId="0" borderId="0" xfId="2" applyNumberFormat="1" applyFont="1"/>
    <xf numFmtId="165" fontId="8" fillId="0" borderId="1" xfId="2" applyNumberFormat="1" applyFont="1" applyBorder="1"/>
    <xf numFmtId="14" fontId="8" fillId="0" borderId="0" xfId="2" applyNumberFormat="1" applyFont="1"/>
    <xf numFmtId="0" fontId="8" fillId="0" borderId="0" xfId="2" applyFont="1" applyAlignment="1">
      <alignment horizontal="left"/>
    </xf>
    <xf numFmtId="0" fontId="8" fillId="0" borderId="1" xfId="2" applyFont="1" applyBorder="1" applyAlignment="1">
      <alignment horizontal="left"/>
    </xf>
    <xf numFmtId="0" fontId="7" fillId="5" borderId="1" xfId="1" applyFont="1" applyFill="1" applyBorder="1" applyAlignment="1">
      <alignment horizontal="center" vertical="center" shrinkToFit="1"/>
    </xf>
    <xf numFmtId="0" fontId="7" fillId="5" borderId="1" xfId="1" applyFont="1" applyFill="1" applyBorder="1" applyAlignment="1">
      <alignment horizontal="center" vertical="center"/>
    </xf>
    <xf numFmtId="6" fontId="10" fillId="6" borderId="1" xfId="2" applyNumberFormat="1" applyFont="1" applyFill="1" applyBorder="1"/>
    <xf numFmtId="0" fontId="11" fillId="0" borderId="0" xfId="2" applyFont="1"/>
    <xf numFmtId="164" fontId="8" fillId="0" borderId="0" xfId="2" applyNumberFormat="1" applyFont="1"/>
    <xf numFmtId="0" fontId="7" fillId="5" borderId="1" xfId="1" applyFont="1" applyFill="1" applyBorder="1" applyAlignment="1">
      <alignment vertical="center"/>
    </xf>
    <xf numFmtId="0" fontId="5" fillId="0" borderId="0" xfId="4"/>
    <xf numFmtId="0" fontId="6" fillId="0" borderId="0" xfId="5" applyFont="1" applyAlignment="1">
      <alignment vertical="center"/>
    </xf>
    <xf numFmtId="0" fontId="6" fillId="0" borderId="0" xfId="5" applyFont="1" applyAlignment="1">
      <alignment vertical="center"/>
    </xf>
    <xf numFmtId="0" fontId="12" fillId="0" borderId="0" xfId="6" applyFont="1" applyAlignment="1">
      <alignment vertical="center"/>
    </xf>
    <xf numFmtId="0" fontId="4" fillId="0" borderId="0" xfId="6" applyFont="1" applyAlignment="1">
      <alignment vertical="center"/>
    </xf>
    <xf numFmtId="0" fontId="13" fillId="0" borderId="0" xfId="4" applyFont="1" applyAlignment="1">
      <alignment vertical="center"/>
    </xf>
    <xf numFmtId="0" fontId="13" fillId="0" borderId="0" xfId="4" applyFont="1" applyAlignment="1">
      <alignment vertical="center"/>
    </xf>
    <xf numFmtId="0" fontId="5" fillId="0" borderId="4" xfId="4" applyBorder="1"/>
    <xf numFmtId="0" fontId="6" fillId="0" borderId="4" xfId="4" applyFont="1" applyBorder="1" applyAlignment="1">
      <alignment wrapText="1"/>
    </xf>
    <xf numFmtId="0" fontId="6" fillId="0" borderId="0" xfId="4" applyFont="1" applyBorder="1" applyAlignment="1">
      <alignment wrapText="1"/>
    </xf>
    <xf numFmtId="0" fontId="0" fillId="0" borderId="4" xfId="4" applyFont="1" applyBorder="1" applyAlignment="1">
      <alignment vertical="top"/>
    </xf>
    <xf numFmtId="0" fontId="0" fillId="0" borderId="0" xfId="4" applyFont="1" applyBorder="1" applyAlignment="1">
      <alignment vertical="top"/>
    </xf>
    <xf numFmtId="0" fontId="6" fillId="0" borderId="0" xfId="4" applyFont="1" applyBorder="1" applyAlignment="1">
      <alignment wrapText="1"/>
    </xf>
    <xf numFmtId="0" fontId="0" fillId="0" borderId="0" xfId="4" applyFont="1" applyBorder="1" applyAlignment="1">
      <alignment vertical="top"/>
    </xf>
    <xf numFmtId="0" fontId="12" fillId="0" borderId="0" xfId="6" applyFont="1" applyAlignment="1"/>
    <xf numFmtId="0" fontId="4" fillId="0" borderId="0" xfId="6" applyAlignment="1"/>
    <xf numFmtId="0" fontId="5" fillId="0" borderId="0" xfId="4" applyFont="1" applyAlignment="1">
      <alignment vertical="top"/>
    </xf>
    <xf numFmtId="0" fontId="5" fillId="0" borderId="0" xfId="4" applyFont="1" applyAlignment="1">
      <alignment vertical="top"/>
    </xf>
    <xf numFmtId="0" fontId="12" fillId="0" borderId="0" xfId="7" applyFont="1" applyAlignment="1"/>
    <xf numFmtId="0" fontId="12" fillId="0" borderId="0" xfId="7" applyFont="1" applyAlignment="1"/>
    <xf numFmtId="0" fontId="6" fillId="0" borderId="4" xfId="4" applyFont="1" applyBorder="1" applyAlignment="1">
      <alignment vertical="center"/>
    </xf>
    <xf numFmtId="0" fontId="6" fillId="0" borderId="0" xfId="4" applyFont="1" applyBorder="1" applyAlignment="1">
      <alignment vertical="center"/>
    </xf>
    <xf numFmtId="0" fontId="6" fillId="0" borderId="0" xfId="4" applyFont="1" applyBorder="1" applyAlignment="1">
      <alignment vertical="center"/>
    </xf>
    <xf numFmtId="0" fontId="5" fillId="0" borderId="0" xfId="4" applyFont="1" applyAlignment="1">
      <alignment vertical="center"/>
    </xf>
    <xf numFmtId="0" fontId="5" fillId="0" borderId="0" xfId="4" applyFont="1" applyAlignment="1">
      <alignment vertical="center"/>
    </xf>
    <xf numFmtId="0" fontId="14" fillId="0" borderId="0" xfId="7" applyAlignment="1"/>
    <xf numFmtId="0" fontId="6" fillId="0" borderId="4" xfId="4" applyFont="1" applyBorder="1" applyAlignment="1">
      <alignment vertical="top" wrapText="1"/>
    </xf>
    <xf numFmtId="0" fontId="6" fillId="0" borderId="0" xfId="4" applyFont="1" applyBorder="1" applyAlignment="1">
      <alignment vertical="top" wrapText="1"/>
    </xf>
    <xf numFmtId="0" fontId="6" fillId="0" borderId="0" xfId="4" applyFont="1" applyBorder="1" applyAlignment="1">
      <alignment vertical="top" wrapText="1"/>
    </xf>
    <xf numFmtId="0" fontId="4" fillId="0" borderId="0" xfId="6" applyAlignment="1">
      <alignment vertical="center"/>
    </xf>
    <xf numFmtId="0" fontId="6" fillId="0" borderId="0" xfId="4" applyFont="1" applyAlignment="1"/>
    <xf numFmtId="0" fontId="4" fillId="0" borderId="0" xfId="6" applyAlignment="1">
      <alignment vertical="center"/>
    </xf>
    <xf numFmtId="0" fontId="14" fillId="0" borderId="0" xfId="8" applyAlignment="1">
      <alignment vertical="center"/>
    </xf>
    <xf numFmtId="0" fontId="5" fillId="8" borderId="0" xfId="4" applyFont="1" applyFill="1" applyAlignment="1">
      <alignment vertical="top" wrapText="1"/>
    </xf>
    <xf numFmtId="0" fontId="5" fillId="8" borderId="0" xfId="4" applyFont="1" applyFill="1" applyAlignment="1">
      <alignment vertical="top" wrapText="1"/>
    </xf>
    <xf numFmtId="0" fontId="5" fillId="8" borderId="0" xfId="4" applyFont="1" applyFill="1" applyAlignment="1">
      <alignment wrapText="1"/>
    </xf>
    <xf numFmtId="0" fontId="5" fillId="8" borderId="0" xfId="4" applyFont="1" applyFill="1" applyAlignment="1">
      <alignment wrapText="1"/>
    </xf>
    <xf numFmtId="0" fontId="5" fillId="0" borderId="0" xfId="4" applyFont="1" applyAlignment="1">
      <alignment vertical="top" wrapText="1"/>
    </xf>
  </cellXfs>
  <cellStyles count="9">
    <cellStyle name="Akcent 1" xfId="1" builtinId="29"/>
    <cellStyle name="Formuła 2" xfId="3" xr:uid="{00000000-0005-0000-0000-000001000000}"/>
    <cellStyle name="Hiperłącze 2" xfId="6" xr:uid="{98327D11-B5B2-4C8E-93FD-B35760A0F660}"/>
    <cellStyle name="Hiperłącze 2 3" xfId="8" xr:uid="{C7D93CE3-46FB-4A96-BB10-C3742DAA275A}"/>
    <cellStyle name="Hiperłącze 3" xfId="7" xr:uid="{AD97E3C1-1962-4DF3-9E66-DCE4CF57B185}"/>
    <cellStyle name="Normalny" xfId="0" builtinId="0"/>
    <cellStyle name="Normalny 2" xfId="2" xr:uid="{00000000-0005-0000-0000-000003000000}"/>
    <cellStyle name="Normalny 2 3" xfId="4" xr:uid="{33A6870A-250F-43E3-ABA2-73D852ED1298}"/>
    <cellStyle name="Normalny 4" xfId="5" xr:uid="{A45E2291-51BA-4FA6-A6BE-A78F682ADDFA}"/>
  </cellStyles>
  <dxfs count="0"/>
  <tableStyles count="0" defaultTableStyle="TableStyleMedium2" defaultPivotStyle="PivotStyleLight16"/>
  <colors>
    <mruColors>
      <color rgb="FFCFF1D6"/>
      <color rgb="FFB3E7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79DB28C7-3A65-4F41-9ED8-244BEA2F8E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B7D055EB-E1AB-4FA1-9B7C-77028C60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1C5951E8-F63C-4819-A216-82FE22F31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B05C94AF-1D2E-418C-BC9E-CD646748E096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BE333C-A868-404D-808F-DB326DE08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44BE88F-C28A-4984-A486-C7A059523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D0E35B2-8D61-49A3-9E8C-15D1B57E6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B310A52-92A9-433B-A974-392C6C719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FF437E3-EF07-4DD5-B34E-3AE205C21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FC09FF8-56AE-439A-876F-60B76370D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588D468A-69ED-4EA2-B60F-E0741DBF2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A46FC285-8F08-4470-A632-E96E373C7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B0929C8A-FF77-41EC-9AEF-3A936FAF6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311396</xdr:colOff>
          <xdr:row>9</xdr:row>
          <xdr:rowOff>7327</xdr:rowOff>
        </xdr:from>
        <xdr:to>
          <xdr:col>8</xdr:col>
          <xdr:colOff>810900</xdr:colOff>
          <xdr:row>15</xdr:row>
          <xdr:rowOff>7327</xdr:rowOff>
        </xdr:to>
        <xdr:pic>
          <xdr:nvPicPr>
            <xdr:cNvPr id="2" name="Obraz 1" descr="Wycinek ekranu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#REF!" spid="_x0000_s111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018569" y="1721827"/>
              <a:ext cx="5027543" cy="1143000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vn-epodatki.sygnity.pl:8443/svn/epodatki-doc/Produkty/Wydani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AE7C-9D20-47FB-B3AD-D3EE3AEDC259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36" customWidth="1"/>
    <col min="100" max="101" width="2.44140625" style="1" customWidth="1"/>
    <col min="102" max="105" width="9.109375" style="36"/>
    <col min="106" max="106" width="10.6640625" style="36" customWidth="1"/>
    <col min="107" max="107" width="73.6640625" style="36" customWidth="1"/>
    <col min="108" max="108" width="6.33203125" style="36" customWidth="1"/>
    <col min="109" max="16384" width="9.109375" style="36"/>
  </cols>
  <sheetData>
    <row r="1" spans="18:99" ht="6" customHeight="1" x14ac:dyDescent="0.3"/>
    <row r="2" spans="18:99" ht="6" customHeight="1" x14ac:dyDescent="0.3">
      <c r="Z2" s="37" t="s">
        <v>66</v>
      </c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8"/>
    </row>
    <row r="3" spans="18:99" ht="6" customHeight="1" x14ac:dyDescent="0.3"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8"/>
    </row>
    <row r="4" spans="18:99" ht="6" customHeight="1" x14ac:dyDescent="0.3">
      <c r="Z4" s="39" t="s">
        <v>67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40"/>
    </row>
    <row r="5" spans="18:99" ht="6" customHeight="1" x14ac:dyDescent="0.3">
      <c r="R5" s="41" t="s">
        <v>68</v>
      </c>
      <c r="S5" s="41"/>
      <c r="T5" s="41"/>
      <c r="U5" s="41"/>
      <c r="V5" s="41"/>
      <c r="W5" s="41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40"/>
      <c r="BF5" s="41" t="s">
        <v>69</v>
      </c>
      <c r="BG5" s="41"/>
      <c r="BH5" s="41"/>
      <c r="BI5" s="41"/>
      <c r="BJ5" s="41"/>
      <c r="BK5" s="41"/>
    </row>
    <row r="6" spans="18:99" ht="6" customHeight="1" x14ac:dyDescent="0.3">
      <c r="R6" s="41"/>
      <c r="S6" s="41"/>
      <c r="T6" s="41"/>
      <c r="U6" s="41"/>
      <c r="V6" s="41"/>
      <c r="W6" s="41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40"/>
      <c r="BF6" s="41"/>
      <c r="BG6" s="41"/>
      <c r="BH6" s="41"/>
      <c r="BI6" s="41"/>
      <c r="BJ6" s="41"/>
      <c r="BK6" s="41"/>
    </row>
    <row r="7" spans="18:99" ht="6" customHeight="1" x14ac:dyDescent="0.3">
      <c r="R7" s="41"/>
      <c r="S7" s="41"/>
      <c r="T7" s="41"/>
      <c r="U7" s="41"/>
      <c r="V7" s="41"/>
      <c r="W7" s="41"/>
      <c r="X7" s="42"/>
      <c r="BF7" s="41"/>
      <c r="BG7" s="41"/>
      <c r="BH7" s="41"/>
      <c r="BI7" s="41"/>
      <c r="BJ7" s="41"/>
      <c r="BK7" s="41"/>
    </row>
    <row r="8" spans="18:99" ht="6" customHeight="1" x14ac:dyDescent="0.3"/>
    <row r="9" spans="18:99" ht="6" customHeight="1" x14ac:dyDescent="0.3">
      <c r="R9" s="43"/>
      <c r="S9" s="43"/>
      <c r="T9" s="43"/>
      <c r="U9" s="43"/>
      <c r="V9" s="43"/>
      <c r="W9" s="43"/>
      <c r="X9" s="43"/>
      <c r="Y9" s="43"/>
      <c r="Z9" s="44" t="s">
        <v>70</v>
      </c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5"/>
      <c r="BF9" s="43"/>
      <c r="BG9" s="43"/>
      <c r="BH9" s="43"/>
      <c r="BI9" s="43"/>
      <c r="BJ9" s="43"/>
      <c r="BK9" s="43"/>
      <c r="BL9" s="43"/>
      <c r="BM9" s="43"/>
      <c r="BN9" s="46" t="s">
        <v>71</v>
      </c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7"/>
      <c r="CS9" s="47"/>
      <c r="CT9" s="47"/>
      <c r="CU9" s="47"/>
    </row>
    <row r="10" spans="18:99" ht="6" customHeight="1" x14ac:dyDescent="0.3"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5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7"/>
      <c r="CS10" s="47"/>
      <c r="CT10" s="47"/>
      <c r="CU10" s="47"/>
    </row>
    <row r="11" spans="18:99" ht="6" customHeight="1" x14ac:dyDescent="0.3"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5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7"/>
      <c r="CS11" s="47"/>
      <c r="CT11" s="47"/>
      <c r="CU11" s="47"/>
    </row>
    <row r="12" spans="18:99" ht="6" customHeight="1" x14ac:dyDescent="0.3"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5"/>
      <c r="BN12" s="50" t="s">
        <v>72</v>
      </c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1"/>
      <c r="CS12" s="51"/>
      <c r="CT12" s="51"/>
      <c r="CU12" s="51"/>
    </row>
    <row r="13" spans="18:99" ht="6" customHeight="1" x14ac:dyDescent="0.3"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5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1"/>
      <c r="CS13" s="51"/>
      <c r="CT13" s="51"/>
      <c r="CU13" s="51"/>
    </row>
    <row r="14" spans="18:99" ht="6" customHeight="1" x14ac:dyDescent="0.3">
      <c r="Z14" s="52" t="s">
        <v>73</v>
      </c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3"/>
    </row>
    <row r="15" spans="18:99" ht="6" customHeight="1" x14ac:dyDescent="0.3"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3"/>
    </row>
    <row r="16" spans="18:99" ht="6" customHeight="1" x14ac:dyDescent="0.3"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3"/>
    </row>
    <row r="17" spans="18:56" ht="6" customHeight="1" x14ac:dyDescent="0.3">
      <c r="Z17" s="54" t="s">
        <v>74</v>
      </c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5"/>
    </row>
    <row r="18" spans="18:56" ht="6" customHeight="1" x14ac:dyDescent="0.3"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5"/>
    </row>
    <row r="19" spans="18:56" ht="6" customHeight="1" x14ac:dyDescent="0.3"/>
    <row r="20" spans="18:56" ht="6" customHeight="1" x14ac:dyDescent="0.3"/>
    <row r="21" spans="18:56" ht="6" customHeight="1" x14ac:dyDescent="0.3">
      <c r="R21" s="43"/>
      <c r="S21" s="43"/>
      <c r="T21" s="43"/>
      <c r="U21" s="43"/>
      <c r="V21" s="43"/>
      <c r="W21" s="43"/>
      <c r="X21" s="43"/>
      <c r="Y21" s="43"/>
      <c r="Z21" s="56" t="s">
        <v>75</v>
      </c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7"/>
    </row>
    <row r="22" spans="18:56" ht="6" customHeight="1" x14ac:dyDescent="0.3"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7"/>
    </row>
    <row r="23" spans="18:56" ht="6" customHeight="1" x14ac:dyDescent="0.3">
      <c r="Z23" s="59" t="s">
        <v>76</v>
      </c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60"/>
    </row>
    <row r="24" spans="18:56" ht="6" customHeight="1" x14ac:dyDescent="0.3"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60"/>
    </row>
    <row r="25" spans="18:56" ht="6" customHeight="1" x14ac:dyDescent="0.3"/>
    <row r="26" spans="18:56" ht="6" customHeight="1" x14ac:dyDescent="0.3">
      <c r="Z26" s="54" t="s">
        <v>77</v>
      </c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</row>
    <row r="27" spans="18:56" ht="6" customHeight="1" x14ac:dyDescent="0.3"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5"/>
    </row>
    <row r="28" spans="18:56" ht="6" customHeight="1" x14ac:dyDescent="0.3"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43"/>
      <c r="S32" s="43"/>
      <c r="T32" s="43"/>
      <c r="U32" s="43"/>
      <c r="V32" s="43"/>
      <c r="W32" s="43"/>
      <c r="X32" s="43"/>
      <c r="Y32" s="43"/>
      <c r="Z32" s="62" t="s">
        <v>78</v>
      </c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3"/>
    </row>
    <row r="33" spans="18:99" ht="6" customHeight="1" x14ac:dyDescent="0.3"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3"/>
    </row>
    <row r="34" spans="18:99" ht="6" customHeight="1" x14ac:dyDescent="0.3"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3"/>
      <c r="BF34" s="43"/>
      <c r="BG34" s="43"/>
      <c r="BH34" s="43"/>
      <c r="BI34" s="43"/>
      <c r="BJ34" s="43"/>
      <c r="BK34" s="43"/>
      <c r="BL34" s="43"/>
      <c r="BM34" s="43"/>
      <c r="BN34" s="46" t="s">
        <v>79</v>
      </c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7"/>
      <c r="CS34" s="47"/>
      <c r="CT34" s="47"/>
      <c r="CU34" s="47"/>
    </row>
    <row r="35" spans="18:99" ht="6" customHeight="1" x14ac:dyDescent="0.3"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3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7"/>
      <c r="CS35" s="47"/>
      <c r="CT35" s="47"/>
      <c r="CU35" s="47"/>
    </row>
    <row r="36" spans="18:99" ht="6" customHeight="1" x14ac:dyDescent="0.3"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3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7"/>
      <c r="CS36" s="47"/>
      <c r="CT36" s="47"/>
      <c r="CU36" s="47"/>
    </row>
    <row r="37" spans="18:99" ht="6" customHeight="1" x14ac:dyDescent="0.3">
      <c r="Z37" s="52" t="s">
        <v>80</v>
      </c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3"/>
      <c r="BN37" s="50" t="s">
        <v>81</v>
      </c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1"/>
      <c r="CS37" s="51"/>
      <c r="CT37" s="51"/>
      <c r="CU37" s="51"/>
    </row>
    <row r="38" spans="18:99" ht="6" customHeight="1" x14ac:dyDescent="0.3"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3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1"/>
      <c r="CS38" s="51"/>
      <c r="CT38" s="51"/>
      <c r="CU38" s="51"/>
    </row>
    <row r="39" spans="18:99" ht="6" customHeight="1" x14ac:dyDescent="0.3"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3"/>
    </row>
    <row r="40" spans="18:99" ht="6" customHeight="1" x14ac:dyDescent="0.3">
      <c r="Z40" s="54" t="s">
        <v>82</v>
      </c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5"/>
      <c r="BN40" s="49" t="s">
        <v>83</v>
      </c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7"/>
      <c r="CS40" s="47"/>
      <c r="CT40" s="47"/>
      <c r="CU40" s="47"/>
    </row>
    <row r="41" spans="18:99" ht="6" customHeight="1" x14ac:dyDescent="0.3"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5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7"/>
      <c r="CS41" s="47"/>
      <c r="CT41" s="47"/>
      <c r="CU41" s="47"/>
    </row>
    <row r="42" spans="18:99" ht="6" customHeight="1" x14ac:dyDescent="0.3"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7"/>
      <c r="CS42" s="47"/>
      <c r="CT42" s="47"/>
      <c r="CU42" s="47"/>
    </row>
    <row r="43" spans="18:99" ht="6" customHeight="1" x14ac:dyDescent="0.3">
      <c r="R43" s="43"/>
      <c r="S43" s="43"/>
      <c r="T43" s="43"/>
      <c r="U43" s="43"/>
      <c r="V43" s="43"/>
      <c r="W43" s="43"/>
      <c r="X43" s="43"/>
      <c r="Y43" s="43"/>
      <c r="Z43" s="62" t="s">
        <v>84</v>
      </c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3"/>
      <c r="BN43" s="50" t="s">
        <v>85</v>
      </c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1"/>
      <c r="CS43" s="51"/>
      <c r="CT43" s="51"/>
      <c r="CU43" s="51"/>
    </row>
    <row r="44" spans="18:99" ht="6" customHeight="1" x14ac:dyDescent="0.3"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3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1"/>
      <c r="CS44" s="51"/>
      <c r="CT44" s="51"/>
      <c r="CU44" s="51"/>
    </row>
    <row r="45" spans="18:99" ht="6" customHeight="1" x14ac:dyDescent="0.3"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3"/>
    </row>
    <row r="46" spans="18:99" ht="6" customHeight="1" x14ac:dyDescent="0.3"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3"/>
    </row>
    <row r="47" spans="18:99" ht="6" customHeight="1" x14ac:dyDescent="0.3"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3"/>
    </row>
    <row r="48" spans="18:99" ht="6" customHeight="1" x14ac:dyDescent="0.3">
      <c r="Z48" s="52" t="s">
        <v>86</v>
      </c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3"/>
    </row>
    <row r="49" spans="2:99" ht="6" customHeight="1" x14ac:dyDescent="0.3"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3"/>
    </row>
    <row r="50" spans="2:99" ht="6" customHeight="1" x14ac:dyDescent="0.3"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3"/>
    </row>
    <row r="51" spans="2:99" ht="6" customHeight="1" x14ac:dyDescent="0.3">
      <c r="B51" s="39" t="s">
        <v>87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Z51" s="54" t="s">
        <v>88</v>
      </c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5"/>
    </row>
    <row r="52" spans="2:99" ht="6" customHeight="1" x14ac:dyDescent="0.3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5"/>
    </row>
    <row r="53" spans="2:99" ht="6" customHeight="1" x14ac:dyDescent="0.3"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</row>
    <row r="54" spans="2:99" ht="6" customHeight="1" x14ac:dyDescent="0.3">
      <c r="B54" s="66" t="s">
        <v>89</v>
      </c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R54" s="43"/>
      <c r="S54" s="43"/>
      <c r="T54" s="43"/>
      <c r="U54" s="43"/>
      <c r="V54" s="43"/>
      <c r="W54" s="43"/>
      <c r="X54" s="43"/>
      <c r="Y54" s="43"/>
      <c r="Z54" s="62" t="s">
        <v>90</v>
      </c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3"/>
    </row>
    <row r="55" spans="2:99" ht="6" customHeight="1" x14ac:dyDescent="0.3"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3"/>
    </row>
    <row r="56" spans="2:99" ht="6" customHeight="1" x14ac:dyDescent="0.3"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3"/>
    </row>
    <row r="57" spans="2:99" ht="6" customHeight="1" x14ac:dyDescent="0.3">
      <c r="B57" s="67" t="s">
        <v>91</v>
      </c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3"/>
    </row>
    <row r="58" spans="2:99" ht="6" customHeight="1" x14ac:dyDescent="0.3"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3"/>
    </row>
    <row r="59" spans="2:99" ht="6" customHeight="1" x14ac:dyDescent="0.3">
      <c r="Z59" s="52" t="s">
        <v>92</v>
      </c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3"/>
      <c r="BF59" s="43"/>
      <c r="BG59" s="43"/>
      <c r="BH59" s="43"/>
      <c r="BI59" s="43"/>
      <c r="BJ59" s="43"/>
      <c r="BK59" s="43"/>
      <c r="BL59" s="43"/>
      <c r="BM59" s="43"/>
      <c r="BN59" s="46" t="s">
        <v>79</v>
      </c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7"/>
      <c r="CS59" s="47"/>
      <c r="CT59" s="47"/>
      <c r="CU59" s="47"/>
    </row>
    <row r="60" spans="2:99" ht="6" customHeight="1" x14ac:dyDescent="0.3">
      <c r="B60" s="66" t="s">
        <v>93</v>
      </c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3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7"/>
      <c r="CS60" s="47"/>
      <c r="CT60" s="47"/>
      <c r="CU60" s="47"/>
    </row>
    <row r="61" spans="2:99" ht="6" customHeight="1" x14ac:dyDescent="0.3"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3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49"/>
      <c r="CN61" s="49"/>
      <c r="CO61" s="49"/>
      <c r="CP61" s="49"/>
      <c r="CQ61" s="49"/>
      <c r="CR61" s="47"/>
      <c r="CS61" s="47"/>
      <c r="CT61" s="47"/>
      <c r="CU61" s="47"/>
    </row>
    <row r="62" spans="2:99" ht="6" customHeight="1" x14ac:dyDescent="0.3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Z62" s="54" t="s">
        <v>94</v>
      </c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5"/>
      <c r="BN62" s="50" t="s">
        <v>95</v>
      </c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1"/>
      <c r="CS62" s="51"/>
      <c r="CT62" s="51"/>
      <c r="CU62" s="51"/>
    </row>
    <row r="63" spans="2:99" ht="6" customHeight="1" x14ac:dyDescent="0.3">
      <c r="B63" s="68" t="s">
        <v>96</v>
      </c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5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1"/>
      <c r="CS63" s="51"/>
      <c r="CT63" s="51"/>
      <c r="CU63" s="51"/>
    </row>
    <row r="64" spans="2:99" ht="6" customHeight="1" x14ac:dyDescent="0.3"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</row>
    <row r="65" spans="18:99" ht="6" customHeight="1" x14ac:dyDescent="0.3">
      <c r="R65" s="43"/>
      <c r="S65" s="43"/>
      <c r="T65" s="43"/>
      <c r="U65" s="43"/>
      <c r="V65" s="43"/>
      <c r="W65" s="43"/>
      <c r="X65" s="43"/>
      <c r="Y65" s="43"/>
      <c r="Z65" s="62" t="s">
        <v>97</v>
      </c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3"/>
      <c r="BN65" s="49" t="s">
        <v>83</v>
      </c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49"/>
      <c r="CN65" s="49"/>
      <c r="CO65" s="49"/>
      <c r="CP65" s="49"/>
      <c r="CQ65" s="49"/>
      <c r="CR65" s="47"/>
      <c r="CS65" s="47"/>
      <c r="CT65" s="47"/>
      <c r="CU65" s="47"/>
    </row>
    <row r="66" spans="18:99" ht="6" customHeight="1" x14ac:dyDescent="0.3"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3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49"/>
      <c r="CN66" s="49"/>
      <c r="CO66" s="49"/>
      <c r="CP66" s="49"/>
      <c r="CQ66" s="49"/>
      <c r="CR66" s="47"/>
      <c r="CS66" s="47"/>
      <c r="CT66" s="47"/>
      <c r="CU66" s="47"/>
    </row>
    <row r="67" spans="18:99" ht="6" customHeight="1" x14ac:dyDescent="0.3"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3"/>
      <c r="BN67" s="49"/>
      <c r="BO67" s="49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9"/>
      <c r="CP67" s="49"/>
      <c r="CQ67" s="49"/>
      <c r="CR67" s="47"/>
      <c r="CS67" s="47"/>
      <c r="CT67" s="47"/>
      <c r="CU67" s="47"/>
    </row>
    <row r="68" spans="18:99" ht="6" customHeight="1" x14ac:dyDescent="0.3"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3"/>
      <c r="BN68" s="50" t="s">
        <v>98</v>
      </c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1"/>
      <c r="CS68" s="51"/>
      <c r="CT68" s="51"/>
      <c r="CU68" s="51"/>
    </row>
    <row r="69" spans="18:99" ht="6" customHeight="1" x14ac:dyDescent="0.3"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3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1"/>
      <c r="CS69" s="51"/>
      <c r="CT69" s="51"/>
      <c r="CU69" s="51"/>
    </row>
    <row r="70" spans="18:99" ht="6" customHeight="1" x14ac:dyDescent="0.3"/>
    <row r="71" spans="18:99" ht="6" customHeight="1" x14ac:dyDescent="0.3">
      <c r="Z71" s="54" t="s">
        <v>99</v>
      </c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61"/>
    </row>
    <row r="72" spans="18:99" ht="6" customHeight="1" x14ac:dyDescent="0.3"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61"/>
    </row>
    <row r="73" spans="18:99" ht="6" customHeight="1" x14ac:dyDescent="0.3"/>
    <row r="74" spans="18:99" ht="6" customHeight="1" x14ac:dyDescent="0.3"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18:99" ht="6" customHeight="1" x14ac:dyDescent="0.3"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18:99" ht="6" customHeight="1" x14ac:dyDescent="0.3"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18:99" ht="6" customHeight="1" x14ac:dyDescent="0.3">
      <c r="Z77" s="69" t="s">
        <v>100</v>
      </c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70"/>
    </row>
    <row r="78" spans="18:99" ht="6" customHeight="1" x14ac:dyDescent="0.3"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70"/>
    </row>
    <row r="79" spans="18:99" ht="6" customHeight="1" x14ac:dyDescent="0.3"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70"/>
    </row>
    <row r="80" spans="18:99" ht="6" customHeight="1" x14ac:dyDescent="0.3"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70"/>
    </row>
    <row r="81" spans="26:56" ht="6" customHeight="1" x14ac:dyDescent="0.3"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70"/>
    </row>
    <row r="82" spans="26:56" ht="6" customHeight="1" x14ac:dyDescent="0.3">
      <c r="Z82" s="69" t="s">
        <v>101</v>
      </c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70"/>
    </row>
    <row r="83" spans="26:56" ht="6" customHeight="1" x14ac:dyDescent="0.3"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70"/>
    </row>
    <row r="84" spans="26:56" ht="6" customHeight="1" x14ac:dyDescent="0.3"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70"/>
    </row>
    <row r="85" spans="26:56" ht="6" customHeight="1" x14ac:dyDescent="0.3"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70"/>
    </row>
    <row r="86" spans="26:56" ht="6" customHeight="1" x14ac:dyDescent="0.3"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70"/>
    </row>
    <row r="87" spans="26:56" ht="6" customHeight="1" x14ac:dyDescent="0.3"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70"/>
    </row>
    <row r="88" spans="26:56" ht="6" customHeight="1" x14ac:dyDescent="0.3"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70"/>
    </row>
    <row r="89" spans="26:56" ht="6" customHeight="1" x14ac:dyDescent="0.3"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70"/>
    </row>
    <row r="90" spans="26:56" ht="6" customHeight="1" x14ac:dyDescent="0.3">
      <c r="Z90" s="71" t="s">
        <v>102</v>
      </c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2"/>
    </row>
    <row r="91" spans="26:56" ht="6" customHeight="1" x14ac:dyDescent="0.3"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2"/>
    </row>
    <row r="92" spans="26:56" ht="6" customHeight="1" x14ac:dyDescent="0.3"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</row>
    <row r="93" spans="26:56" ht="6" customHeight="1" x14ac:dyDescent="0.3"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</row>
    <row r="94" spans="26:56" ht="6" customHeight="1" x14ac:dyDescent="0.3"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</row>
    <row r="95" spans="26:56" ht="6" customHeight="1" x14ac:dyDescent="0.3"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21ADC7BA-264A-4AC5-A545-0230D1FDEB77}"/>
    <hyperlink ref="B51" r:id="rId2" xr:uid="{4F3875DE-0C7A-4171-9101-93F8BC4D6CFF}"/>
    <hyperlink ref="B57" r:id="rId3" xr:uid="{CE4B6519-ED5D-43FA-BF58-103118DD514E}"/>
    <hyperlink ref="Z4" r:id="rId4" xr:uid="{5E98924D-2126-45CF-937E-AF1E9A871B4A}"/>
    <hyperlink ref="Z17" r:id="rId5" display="https://www.udemy.com/excel-mistrz-formul/?couponCode=STANDARDOWY" xr:uid="{33D20CBB-3C3B-4505-A876-70710DE898B4}"/>
    <hyperlink ref="Z26" r:id="rId6" xr:uid="{A4EF1D99-BEBB-4FD5-9E3F-4AA96AE285C7}"/>
    <hyperlink ref="Z40" r:id="rId7" display="https://www.udemy.com/excel-mistrz-formul/?couponCode=STANDARDOWY" xr:uid="{D1116EEE-1DBD-4AEB-A571-F0FF840FC47F}"/>
    <hyperlink ref="Z51" r:id="rId8" display="https://www.udemy.com/excel-mistrz-formul/?couponCode=STANDARDOWY" xr:uid="{54AB66CB-3F3D-4EC9-9BDE-DC40D73CD69B}"/>
    <hyperlink ref="Z62" r:id="rId9" display="https://www.udemy.com/excel-mistrz-formul/?couponCode=STANDARDOWY" xr:uid="{871E025E-FF9C-4867-ACCC-C90CDC8AEF9D}"/>
    <hyperlink ref="Z71" r:id="rId10" display="https://www.udemy.com/excel-mistrz-formul/?couponCode=STANDARDOWY" xr:uid="{60DEA8DB-29D4-4F5F-9DE9-138CCD020446}"/>
    <hyperlink ref="BN12" r:id="rId11" location="mistrz-excela-w-20-dni" xr:uid="{306108BA-EEB4-4F78-B80B-938D7002B307}"/>
    <hyperlink ref="BN37" r:id="rId12" location="mistrz-excela-w-20-dni" display="http://ksplus.komputerswiat.pl/sklep#mistrz-excela-w-20-dni" xr:uid="{3607A9FA-A315-4CE5-A5E7-C9D28E48B175}"/>
    <hyperlink ref="BN43" r:id="rId13" location="mistrz-excela-w-20-dni" display="http://ksplus.komputerswiat.pl/sklep#mistrz-excela-w-20-dni" xr:uid="{DB9B8863-217A-43B1-BEEE-5F0EEE87B477}"/>
    <hyperlink ref="BN62" r:id="rId14" location="mistrz-excela-w-20-dni" display="http://ksplus.komputerswiat.pl/sklep#mistrz-excela-w-20-dni" xr:uid="{35D27EC3-71EE-49BF-9E2C-F235ACBC710F}"/>
    <hyperlink ref="BN68" r:id="rId15" location="mistrz-excela-w-20-dni" display="http://ksplus.komputerswiat.pl/sklep#mistrz-excela-w-20-dni" xr:uid="{1181C3CA-A271-4715-B801-6BA5E348A4A0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2">
    <tabColor rgb="FF1E73BE"/>
  </sheetPr>
  <dimension ref="A1:I15"/>
  <sheetViews>
    <sheetView topLeftCell="A10" zoomScale="115" zoomScaleNormal="115" workbookViewId="0">
      <selection activeCell="A10" sqref="A10"/>
    </sheetView>
  </sheetViews>
  <sheetFormatPr defaultColWidth="9.109375" defaultRowHeight="14.4" x14ac:dyDescent="0.3"/>
  <cols>
    <col min="1" max="1" width="13.5546875" style="3" bestFit="1" customWidth="1"/>
    <col min="2" max="2" width="75.44140625" style="3" customWidth="1"/>
    <col min="3" max="3" width="21" style="3" bestFit="1" customWidth="1"/>
    <col min="4" max="4" width="15.33203125" style="3" customWidth="1"/>
    <col min="5" max="6" width="9.109375" style="3"/>
    <col min="7" max="9" width="9.88671875" style="3" bestFit="1" customWidth="1"/>
    <col min="10" max="16384" width="9.109375" style="3"/>
  </cols>
  <sheetData>
    <row r="1" spans="1:9" ht="28.8" x14ac:dyDescent="0.3">
      <c r="A1" s="2" t="s">
        <v>0</v>
      </c>
      <c r="B1" s="2" t="s">
        <v>1</v>
      </c>
    </row>
    <row r="2" spans="1:9" x14ac:dyDescent="0.3">
      <c r="A2" s="4" t="s">
        <v>2</v>
      </c>
      <c r="B2" s="4"/>
      <c r="C2" s="4" t="s">
        <v>3</v>
      </c>
      <c r="D2" s="4"/>
      <c r="F2" s="5"/>
      <c r="G2" s="4" t="s">
        <v>4</v>
      </c>
      <c r="H2" s="4" t="s">
        <v>5</v>
      </c>
      <c r="I2" s="4" t="s">
        <v>6</v>
      </c>
    </row>
    <row r="3" spans="1:9" ht="28.8" x14ac:dyDescent="0.3">
      <c r="A3" s="6" t="e">
        <v>#DIV/0!</v>
      </c>
      <c r="B3" s="7" t="s">
        <v>64</v>
      </c>
      <c r="C3" s="8" t="e">
        <f>100/0</f>
        <v>#DIV/0!</v>
      </c>
      <c r="D3" s="8" t="e">
        <f>1/I5</f>
        <v>#DIV/0!</v>
      </c>
      <c r="E3" s="9"/>
      <c r="F3" s="4">
        <v>2010</v>
      </c>
      <c r="G3" s="10">
        <v>3493</v>
      </c>
      <c r="H3" s="10">
        <v>3680</v>
      </c>
      <c r="I3" s="10">
        <v>1417</v>
      </c>
    </row>
    <row r="4" spans="1:9" ht="28.8" x14ac:dyDescent="0.3">
      <c r="A4" s="5" t="e">
        <v>#REF!</v>
      </c>
      <c r="B4" s="7" t="s">
        <v>7</v>
      </c>
      <c r="C4" s="8" t="e">
        <f>SUM(#REF!)</f>
        <v>#REF!</v>
      </c>
      <c r="D4" s="8" t="e">
        <f>#REF!</f>
        <v>#REF!</v>
      </c>
      <c r="E4" s="11"/>
      <c r="F4" s="4">
        <v>2011</v>
      </c>
      <c r="G4" s="10">
        <v>2847</v>
      </c>
      <c r="H4" s="10">
        <v>3688</v>
      </c>
      <c r="I4" s="10">
        <v>1107</v>
      </c>
    </row>
    <row r="5" spans="1:9" ht="28.8" x14ac:dyDescent="0.3">
      <c r="A5" s="5" t="e">
        <v>#NAME?</v>
      </c>
      <c r="B5" s="7" t="s">
        <v>8</v>
      </c>
      <c r="C5" s="8" t="e">
        <f ca="1">średni(G3:G7)</f>
        <v>#NAME?</v>
      </c>
      <c r="D5" s="8" t="e">
        <f>MATCH(Sty,G2:I2,0)</f>
        <v>#NAME?</v>
      </c>
      <c r="F5" s="4">
        <v>2012</v>
      </c>
      <c r="G5" s="10">
        <v>2003</v>
      </c>
      <c r="H5" s="10">
        <v>4292</v>
      </c>
      <c r="I5" s="10"/>
    </row>
    <row r="6" spans="1:9" x14ac:dyDescent="0.3">
      <c r="A6" s="5" t="e">
        <v>#N/A</v>
      </c>
      <c r="B6" s="5" t="s">
        <v>9</v>
      </c>
      <c r="C6" s="8" t="e">
        <f>VLOOKUP(2015,F3:I7,2,0)</f>
        <v>#N/A</v>
      </c>
      <c r="D6" s="8" t="e">
        <f>MATCH(2009,F3:F7)</f>
        <v>#N/A</v>
      </c>
      <c r="F6" s="4">
        <v>2013</v>
      </c>
      <c r="G6" s="10">
        <v>1183</v>
      </c>
      <c r="H6" s="10">
        <v>4836</v>
      </c>
      <c r="I6" s="10">
        <v>2306</v>
      </c>
    </row>
    <row r="7" spans="1:9" ht="28.8" x14ac:dyDescent="0.3">
      <c r="A7" s="5" t="e">
        <v>#VALUE!</v>
      </c>
      <c r="B7" s="7" t="s">
        <v>10</v>
      </c>
      <c r="C7" s="8" t="e">
        <f>"Czerwony"^2</f>
        <v>#VALUE!</v>
      </c>
      <c r="D7" s="8" t="e">
        <f>MATCH(2010,F3:F7,"Czerwony")</f>
        <v>#VALUE!</v>
      </c>
      <c r="F7" s="4">
        <v>2014</v>
      </c>
      <c r="G7" s="10">
        <v>2894</v>
      </c>
      <c r="H7" s="10">
        <v>1330</v>
      </c>
      <c r="I7" s="10">
        <v>2133</v>
      </c>
    </row>
    <row r="8" spans="1:9" ht="28.8" x14ac:dyDescent="0.3">
      <c r="A8" s="7" t="e">
        <v>#NULL!</v>
      </c>
      <c r="B8" s="7" t="s">
        <v>11</v>
      </c>
      <c r="C8" s="8">
        <f>G5:I5 H3:H7</f>
        <v>4292</v>
      </c>
      <c r="D8" s="8" t="e">
        <f>G3:G7 I3:I7</f>
        <v>#NULL!</v>
      </c>
    </row>
    <row r="9" spans="1:9" ht="43.2" x14ac:dyDescent="0.3">
      <c r="A9" s="5" t="e">
        <v>#NUM!</v>
      </c>
      <c r="B9" s="7" t="s">
        <v>12</v>
      </c>
      <c r="C9" s="8" t="e">
        <f>10^200*10^200</f>
        <v>#NUM!</v>
      </c>
      <c r="D9" s="12" t="e">
        <f>IRR(G3:G7)</f>
        <v>#NUM!</v>
      </c>
      <c r="F9" s="13" t="s">
        <v>13</v>
      </c>
      <c r="G9" s="13" t="s">
        <v>14</v>
      </c>
    </row>
    <row r="10" spans="1:9" x14ac:dyDescent="0.3">
      <c r="A10" s="4" t="s">
        <v>15</v>
      </c>
      <c r="B10" s="4"/>
      <c r="C10" s="4" t="s">
        <v>3</v>
      </c>
      <c r="D10" s="4"/>
      <c r="F10" s="14">
        <v>0.70833333333333337</v>
      </c>
      <c r="G10" s="14">
        <v>0.33333333333333331</v>
      </c>
    </row>
    <row r="11" spans="1:9" ht="28.8" x14ac:dyDescent="0.3">
      <c r="A11" s="5" t="s">
        <v>16</v>
      </c>
      <c r="B11" s="7" t="s">
        <v>17</v>
      </c>
      <c r="C11" s="15">
        <f t="shared" ref="C11" si="0">100000000</f>
        <v>100000000</v>
      </c>
      <c r="D11" s="16">
        <f>G10-F10</f>
        <v>-0.37500000000000006</v>
      </c>
    </row>
    <row r="12" spans="1:9" ht="61.5" customHeight="1" x14ac:dyDescent="0.3">
      <c r="A12" s="7" t="s">
        <v>18</v>
      </c>
      <c r="B12" s="17" t="s">
        <v>19</v>
      </c>
      <c r="C12" s="18">
        <f ca="1">SUM(F12:G12,C12:C13)</f>
        <v>23550</v>
      </c>
      <c r="D12" s="8">
        <f>ROWS(D$2:D13)</f>
        <v>12</v>
      </c>
      <c r="F12" s="3">
        <v>1</v>
      </c>
      <c r="G12" s="3">
        <v>2</v>
      </c>
    </row>
    <row r="13" spans="1:9" x14ac:dyDescent="0.3">
      <c r="A13" s="4" t="s">
        <v>20</v>
      </c>
      <c r="B13" s="4"/>
    </row>
    <row r="14" spans="1:9" ht="86.4" x14ac:dyDescent="0.3">
      <c r="A14" s="7" t="s">
        <v>21</v>
      </c>
      <c r="B14" s="17" t="s">
        <v>22</v>
      </c>
    </row>
    <row r="15" spans="1:9" ht="43.2" x14ac:dyDescent="0.3">
      <c r="A15" s="7" t="s">
        <v>23</v>
      </c>
      <c r="B15" s="7" t="s">
        <v>63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1E73BE"/>
  </sheetPr>
  <dimension ref="A1:I15"/>
  <sheetViews>
    <sheetView zoomScale="160" zoomScaleNormal="160" workbookViewId="0">
      <selection activeCell="A10" sqref="A10"/>
    </sheetView>
  </sheetViews>
  <sheetFormatPr defaultColWidth="9.109375" defaultRowHeight="14.4" x14ac:dyDescent="0.3"/>
  <cols>
    <col min="1" max="1" width="14.33203125" style="3" bestFit="1" customWidth="1"/>
    <col min="2" max="8" width="11.33203125" style="3" customWidth="1"/>
    <col min="9" max="9" width="12.6640625" style="3" bestFit="1" customWidth="1"/>
    <col min="10" max="16384" width="9.109375" style="3"/>
  </cols>
  <sheetData>
    <row r="1" spans="1:9" x14ac:dyDescent="0.3">
      <c r="A1" s="29" t="s">
        <v>24</v>
      </c>
      <c r="B1" s="30" t="s">
        <v>25</v>
      </c>
      <c r="C1" s="30" t="s">
        <v>26</v>
      </c>
      <c r="D1" s="30" t="s">
        <v>27</v>
      </c>
      <c r="E1" s="30" t="s">
        <v>40</v>
      </c>
      <c r="F1" s="30" t="s">
        <v>28</v>
      </c>
      <c r="G1" s="30" t="s">
        <v>29</v>
      </c>
      <c r="H1" s="30" t="s">
        <v>30</v>
      </c>
      <c r="I1" s="31" t="s">
        <v>37</v>
      </c>
    </row>
    <row r="2" spans="1:9" x14ac:dyDescent="0.3">
      <c r="A2" s="31" t="s">
        <v>31</v>
      </c>
      <c r="B2" s="10">
        <v>17747</v>
      </c>
      <c r="C2" s="10">
        <v>18240</v>
      </c>
      <c r="D2" s="10">
        <v>11503</v>
      </c>
      <c r="E2" s="10">
        <v>16903</v>
      </c>
      <c r="F2" s="10">
        <v>13508</v>
      </c>
      <c r="G2" s="10">
        <v>14335</v>
      </c>
      <c r="H2" s="10">
        <v>19058</v>
      </c>
      <c r="I2" s="24">
        <f t="shared" ref="I2:I7" si="0">SUM(B2:H2)</f>
        <v>111294</v>
      </c>
    </row>
    <row r="3" spans="1:9" x14ac:dyDescent="0.3">
      <c r="A3" s="31" t="s">
        <v>32</v>
      </c>
      <c r="B3" s="10">
        <v>24403</v>
      </c>
      <c r="C3" s="10">
        <v>23506</v>
      </c>
      <c r="D3" s="10">
        <v>22073</v>
      </c>
      <c r="E3" s="10">
        <v>24845</v>
      </c>
      <c r="F3" s="10">
        <v>19261</v>
      </c>
      <c r="G3" s="10">
        <v>20364</v>
      </c>
      <c r="H3" s="10">
        <v>22865</v>
      </c>
      <c r="I3" s="24">
        <f t="shared" si="0"/>
        <v>157317</v>
      </c>
    </row>
    <row r="4" spans="1:9" x14ac:dyDescent="0.3">
      <c r="A4" s="31" t="s">
        <v>33</v>
      </c>
      <c r="B4" s="10">
        <v>14618</v>
      </c>
      <c r="C4" s="10">
        <v>24198</v>
      </c>
      <c r="D4" s="10">
        <v>18941</v>
      </c>
      <c r="E4" s="10">
        <v>18776</v>
      </c>
      <c r="F4" s="10">
        <v>15895</v>
      </c>
      <c r="G4" s="10">
        <v>11564</v>
      </c>
      <c r="H4" s="10">
        <v>22500</v>
      </c>
      <c r="I4" s="24">
        <f t="shared" si="0"/>
        <v>126492</v>
      </c>
    </row>
    <row r="5" spans="1:9" x14ac:dyDescent="0.3">
      <c r="A5" s="31" t="s">
        <v>34</v>
      </c>
      <c r="B5" s="10">
        <v>16653</v>
      </c>
      <c r="C5" s="10">
        <v>17801</v>
      </c>
      <c r="D5" s="10">
        <v>12670</v>
      </c>
      <c r="E5" s="10">
        <v>18452</v>
      </c>
      <c r="F5" s="10">
        <v>17834</v>
      </c>
      <c r="G5" s="10">
        <v>10861</v>
      </c>
      <c r="H5" s="10">
        <v>11000</v>
      </c>
      <c r="I5" s="24">
        <f t="shared" si="0"/>
        <v>105271</v>
      </c>
    </row>
    <row r="6" spans="1:9" x14ac:dyDescent="0.3">
      <c r="A6" s="31" t="s">
        <v>35</v>
      </c>
      <c r="B6" s="10">
        <v>20473</v>
      </c>
      <c r="C6" s="10">
        <v>12503</v>
      </c>
      <c r="D6" s="10">
        <v>24751</v>
      </c>
      <c r="E6" s="10">
        <v>15809</v>
      </c>
      <c r="F6" s="10">
        <v>12869</v>
      </c>
      <c r="G6" s="10">
        <v>16707</v>
      </c>
      <c r="H6" s="10">
        <v>21194</v>
      </c>
      <c r="I6" s="24">
        <f t="shared" si="0"/>
        <v>124306</v>
      </c>
    </row>
    <row r="7" spans="1:9" x14ac:dyDescent="0.3">
      <c r="A7" s="31" t="s">
        <v>37</v>
      </c>
      <c r="B7" s="32">
        <f t="shared" ref="B7:H7" si="1">SUM(B2:B6)</f>
        <v>93894</v>
      </c>
      <c r="C7" s="32">
        <f t="shared" si="1"/>
        <v>96248</v>
      </c>
      <c r="D7" s="32">
        <f t="shared" si="1"/>
        <v>89938</v>
      </c>
      <c r="E7" s="32">
        <f t="shared" si="1"/>
        <v>94785</v>
      </c>
      <c r="F7" s="32">
        <f t="shared" si="1"/>
        <v>79367</v>
      </c>
      <c r="G7" s="32">
        <f t="shared" si="1"/>
        <v>73831</v>
      </c>
      <c r="H7" s="32">
        <f t="shared" si="1"/>
        <v>96617</v>
      </c>
      <c r="I7" s="24">
        <f t="shared" si="0"/>
        <v>624680</v>
      </c>
    </row>
    <row r="8" spans="1:9" x14ac:dyDescent="0.3">
      <c r="A8" s="28"/>
    </row>
    <row r="9" spans="1:9" x14ac:dyDescent="0.3">
      <c r="A9" s="33" t="s">
        <v>36</v>
      </c>
      <c r="B9" s="34"/>
      <c r="C9" s="34"/>
      <c r="D9" s="9"/>
      <c r="E9" s="9"/>
      <c r="G9" s="9"/>
      <c r="H9" s="9"/>
    </row>
    <row r="10" spans="1:9" x14ac:dyDescent="0.3">
      <c r="B10" s="31" t="s">
        <v>37</v>
      </c>
      <c r="C10" s="9"/>
      <c r="D10" s="9"/>
      <c r="E10" s="9"/>
      <c r="G10" s="9"/>
      <c r="H10" s="9"/>
    </row>
    <row r="11" spans="1:9" x14ac:dyDescent="0.3">
      <c r="A11" s="35" t="s">
        <v>25</v>
      </c>
      <c r="B11" s="32">
        <f t="shared" ref="B11:B12" ca="1" si="2">SUM(OFFSET($A$2:$A$6,0,MATCH(A11,$B$1:$H$1,0)))</f>
        <v>93894</v>
      </c>
      <c r="C11" s="9"/>
      <c r="D11" s="9"/>
      <c r="E11" s="9"/>
      <c r="G11" s="9"/>
      <c r="H11" s="9"/>
    </row>
    <row r="12" spans="1:9" x14ac:dyDescent="0.3">
      <c r="A12" s="35" t="s">
        <v>26</v>
      </c>
      <c r="B12" s="32">
        <f t="shared" ca="1" si="2"/>
        <v>96248</v>
      </c>
      <c r="C12" s="9"/>
      <c r="D12" s="9"/>
      <c r="G12" s="9"/>
      <c r="H12" s="9"/>
    </row>
    <row r="13" spans="1:9" x14ac:dyDescent="0.3">
      <c r="A13" s="35" t="s">
        <v>30</v>
      </c>
      <c r="B13" s="32">
        <f ca="1">SUM(OFFSET($A$2:$A$6,0,MATCH(A13,$B$1:$H$1,0)))</f>
        <v>96617</v>
      </c>
      <c r="C13" s="9"/>
      <c r="G13" s="9"/>
      <c r="H13" s="9"/>
    </row>
    <row r="14" spans="1:9" x14ac:dyDescent="0.3">
      <c r="A14" s="35" t="s">
        <v>28</v>
      </c>
      <c r="B14" s="32">
        <f t="shared" ref="B14:B15" ca="1" si="3">SUM(OFFSET($A$2:$A$6,0,MATCH(A14,$B$1:$H$1,0)))</f>
        <v>79367</v>
      </c>
      <c r="C14" s="9"/>
      <c r="G14" s="9"/>
      <c r="H14" s="9"/>
    </row>
    <row r="15" spans="1:9" x14ac:dyDescent="0.3">
      <c r="A15" s="35" t="s">
        <v>40</v>
      </c>
      <c r="B15" s="32">
        <f t="shared" ca="1" si="3"/>
        <v>94785</v>
      </c>
      <c r="C15" s="9"/>
      <c r="G15" s="9"/>
      <c r="H15" s="9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1E73BE"/>
  </sheetPr>
  <dimension ref="A1:I325"/>
  <sheetViews>
    <sheetView zoomScale="130" zoomScaleNormal="130" workbookViewId="0">
      <selection activeCell="A10" sqref="A10"/>
    </sheetView>
  </sheetViews>
  <sheetFormatPr defaultColWidth="9.109375" defaultRowHeight="14.4" x14ac:dyDescent="0.3"/>
  <cols>
    <col min="1" max="1" width="14.44140625" style="3" customWidth="1"/>
    <col min="2" max="2" width="14.33203125" style="3" bestFit="1" customWidth="1"/>
    <col min="3" max="3" width="11.5546875" style="3" hidden="1" customWidth="1"/>
    <col min="4" max="4" width="10.88671875" style="3" hidden="1" customWidth="1"/>
    <col min="5" max="5" width="9.109375" style="3" bestFit="1" customWidth="1"/>
    <col min="6" max="6" width="4.33203125" style="3" customWidth="1"/>
    <col min="7" max="7" width="12.6640625" style="3" customWidth="1"/>
    <col min="8" max="8" width="12.88671875" style="3" customWidth="1"/>
    <col min="9" max="9" width="11.109375" style="3" bestFit="1" customWidth="1"/>
    <col min="10" max="16384" width="9.109375" style="3"/>
  </cols>
  <sheetData>
    <row r="1" spans="1:9" x14ac:dyDescent="0.3">
      <c r="A1" s="19" t="s">
        <v>41</v>
      </c>
      <c r="B1" s="19" t="s">
        <v>38</v>
      </c>
      <c r="C1" s="19" t="s">
        <v>42</v>
      </c>
      <c r="D1" s="19" t="s">
        <v>39</v>
      </c>
      <c r="E1" s="19" t="s">
        <v>43</v>
      </c>
      <c r="G1" s="19" t="s">
        <v>44</v>
      </c>
      <c r="H1" s="21">
        <f t="array" ref="H1">MIN($A$2:$A$325+0)</f>
        <v>41429</v>
      </c>
    </row>
    <row r="2" spans="1:9" x14ac:dyDescent="0.3">
      <c r="A2" s="26">
        <v>41510</v>
      </c>
      <c r="B2" s="5" t="s">
        <v>35</v>
      </c>
      <c r="C2" s="5" t="s">
        <v>45</v>
      </c>
      <c r="D2" s="5" t="s">
        <v>30</v>
      </c>
      <c r="E2" s="22">
        <v>25</v>
      </c>
      <c r="G2" s="19" t="s">
        <v>46</v>
      </c>
      <c r="H2" s="21">
        <f t="array" ref="H2">MAX($A$2:$A$325+0)</f>
        <v>41632</v>
      </c>
    </row>
    <row r="3" spans="1:9" x14ac:dyDescent="0.3">
      <c r="A3" s="26">
        <v>41560</v>
      </c>
      <c r="B3" s="5" t="s">
        <v>35</v>
      </c>
      <c r="C3" s="5" t="s">
        <v>47</v>
      </c>
      <c r="D3" s="5" t="s">
        <v>48</v>
      </c>
      <c r="E3" s="22">
        <v>76</v>
      </c>
    </row>
    <row r="4" spans="1:9" x14ac:dyDescent="0.3">
      <c r="A4" s="26">
        <v>41452</v>
      </c>
      <c r="B4" s="5" t="s">
        <v>32</v>
      </c>
      <c r="C4" s="5" t="s">
        <v>49</v>
      </c>
      <c r="D4" s="5" t="s">
        <v>29</v>
      </c>
      <c r="E4" s="22">
        <v>4</v>
      </c>
      <c r="G4" s="19" t="s">
        <v>50</v>
      </c>
      <c r="H4" s="19" t="s">
        <v>51</v>
      </c>
      <c r="I4" s="19" t="s">
        <v>37</v>
      </c>
    </row>
    <row r="5" spans="1:9" x14ac:dyDescent="0.3">
      <c r="A5" s="26">
        <v>41455</v>
      </c>
      <c r="B5" s="5" t="s">
        <v>33</v>
      </c>
      <c r="C5" s="5" t="s">
        <v>52</v>
      </c>
      <c r="D5" s="5" t="s">
        <v>48</v>
      </c>
      <c r="E5" s="22">
        <v>48</v>
      </c>
      <c r="G5" s="21">
        <f>H1</f>
        <v>41429</v>
      </c>
      <c r="H5" s="21">
        <f>EOMONTH(G5,0)</f>
        <v>41455</v>
      </c>
      <c r="I5" s="24">
        <f>SUMIFS($E$2:$E$325,$A$2:$A$325,"&gt;="&amp;G5,A$2:A$325,"&lt;="&amp;H5)</f>
        <v>786.9</v>
      </c>
    </row>
    <row r="6" spans="1:9" x14ac:dyDescent="0.3">
      <c r="A6" s="26">
        <v>41456</v>
      </c>
      <c r="B6" s="5" t="s">
        <v>34</v>
      </c>
      <c r="C6" s="5" t="s">
        <v>49</v>
      </c>
      <c r="D6" s="5" t="s">
        <v>48</v>
      </c>
      <c r="E6" s="22">
        <v>80</v>
      </c>
      <c r="G6" s="21">
        <f>H5+1</f>
        <v>41456</v>
      </c>
      <c r="H6" s="21">
        <f>EOMONTH(G6,0)</f>
        <v>41486</v>
      </c>
      <c r="I6" s="24">
        <f t="shared" ref="I6:I11" si="0">SUMIFS($E$2:$E$325,$A$2:$A$325,"&gt;="&amp;G6,A$2:A$325,"&lt;="&amp;H6)</f>
        <v>1098.3</v>
      </c>
    </row>
    <row r="7" spans="1:9" x14ac:dyDescent="0.3">
      <c r="A7" s="26">
        <v>41609</v>
      </c>
      <c r="B7" s="5" t="s">
        <v>33</v>
      </c>
      <c r="C7" s="5" t="s">
        <v>52</v>
      </c>
      <c r="D7" s="5" t="s">
        <v>25</v>
      </c>
      <c r="E7" s="22">
        <v>40</v>
      </c>
      <c r="G7" s="21">
        <f t="shared" ref="G7:G10" si="1">H6+1</f>
        <v>41487</v>
      </c>
      <c r="H7" s="21">
        <f t="shared" ref="H7:H10" si="2">EOMONTH(G7,0)</f>
        <v>41517</v>
      </c>
      <c r="I7" s="24">
        <f t="shared" si="0"/>
        <v>848.30000000000007</v>
      </c>
    </row>
    <row r="8" spans="1:9" x14ac:dyDescent="0.3">
      <c r="A8" s="26">
        <v>41431</v>
      </c>
      <c r="B8" s="5" t="s">
        <v>32</v>
      </c>
      <c r="C8" s="5" t="s">
        <v>53</v>
      </c>
      <c r="D8" s="5" t="s">
        <v>30</v>
      </c>
      <c r="E8" s="22">
        <v>10</v>
      </c>
      <c r="G8" s="21">
        <f t="shared" si="1"/>
        <v>41518</v>
      </c>
      <c r="H8" s="21">
        <f t="shared" si="2"/>
        <v>41547</v>
      </c>
      <c r="I8" s="24">
        <f t="shared" si="0"/>
        <v>929.69999999999993</v>
      </c>
    </row>
    <row r="9" spans="1:9" x14ac:dyDescent="0.3">
      <c r="A9" s="26">
        <v>41496</v>
      </c>
      <c r="B9" s="5" t="s">
        <v>33</v>
      </c>
      <c r="C9" s="5" t="s">
        <v>53</v>
      </c>
      <c r="D9" s="5" t="s">
        <v>54</v>
      </c>
      <c r="E9" s="22">
        <v>6</v>
      </c>
      <c r="G9" s="21">
        <f t="shared" si="1"/>
        <v>41548</v>
      </c>
      <c r="H9" s="21">
        <f t="shared" si="2"/>
        <v>41578</v>
      </c>
      <c r="I9" s="24">
        <f t="shared" si="0"/>
        <v>1060.3</v>
      </c>
    </row>
    <row r="10" spans="1:9" x14ac:dyDescent="0.3">
      <c r="A10" s="26">
        <v>41507</v>
      </c>
      <c r="B10" s="5" t="s">
        <v>34</v>
      </c>
      <c r="C10" s="5" t="s">
        <v>49</v>
      </c>
      <c r="D10" s="5" t="s">
        <v>26</v>
      </c>
      <c r="E10" s="22">
        <v>2</v>
      </c>
      <c r="G10" s="21">
        <f t="shared" si="1"/>
        <v>41579</v>
      </c>
      <c r="H10" s="21">
        <f t="shared" si="2"/>
        <v>41608</v>
      </c>
      <c r="I10" s="24">
        <f t="shared" si="0"/>
        <v>752.8</v>
      </c>
    </row>
    <row r="11" spans="1:9" x14ac:dyDescent="0.3">
      <c r="A11" s="26">
        <v>41592</v>
      </c>
      <c r="B11" s="5" t="s">
        <v>34</v>
      </c>
      <c r="C11" s="5" t="s">
        <v>45</v>
      </c>
      <c r="D11" s="5" t="s">
        <v>28</v>
      </c>
      <c r="E11" s="22">
        <v>1.8</v>
      </c>
      <c r="G11" s="21">
        <f>H10+1</f>
        <v>41609</v>
      </c>
      <c r="H11" s="21">
        <f>EOMONTH(G11,0)</f>
        <v>41639</v>
      </c>
      <c r="I11" s="24">
        <f t="shared" si="0"/>
        <v>1120.4999999999998</v>
      </c>
    </row>
    <row r="12" spans="1:9" x14ac:dyDescent="0.3">
      <c r="A12" s="26">
        <v>41498</v>
      </c>
      <c r="B12" s="5" t="s">
        <v>31</v>
      </c>
      <c r="C12" s="5" t="s">
        <v>49</v>
      </c>
      <c r="D12" s="5" t="s">
        <v>30</v>
      </c>
      <c r="E12" s="22">
        <v>75</v>
      </c>
      <c r="G12" s="27"/>
      <c r="H12" s="27"/>
    </row>
    <row r="13" spans="1:9" x14ac:dyDescent="0.3">
      <c r="A13" s="26">
        <v>41582</v>
      </c>
      <c r="B13" s="5" t="s">
        <v>33</v>
      </c>
      <c r="C13" s="5" t="s">
        <v>52</v>
      </c>
      <c r="D13" s="5" t="s">
        <v>28</v>
      </c>
      <c r="E13" s="22">
        <v>0.4</v>
      </c>
      <c r="G13" s="28"/>
    </row>
    <row r="14" spans="1:9" x14ac:dyDescent="0.3">
      <c r="A14" s="26">
        <v>41505</v>
      </c>
      <c r="B14" s="5" t="s">
        <v>31</v>
      </c>
      <c r="C14" s="5" t="s">
        <v>49</v>
      </c>
      <c r="D14" s="5" t="s">
        <v>54</v>
      </c>
      <c r="E14" s="22">
        <v>9</v>
      </c>
      <c r="G14" s="28"/>
    </row>
    <row r="15" spans="1:9" x14ac:dyDescent="0.3">
      <c r="A15" s="26">
        <v>41629</v>
      </c>
      <c r="B15" s="5" t="s">
        <v>35</v>
      </c>
      <c r="C15" s="5" t="s">
        <v>45</v>
      </c>
      <c r="D15" s="5" t="s">
        <v>54</v>
      </c>
      <c r="E15" s="22">
        <v>9</v>
      </c>
      <c r="G15" s="28"/>
    </row>
    <row r="16" spans="1:9" x14ac:dyDescent="0.3">
      <c r="A16" s="26">
        <v>41439</v>
      </c>
      <c r="B16" s="5" t="s">
        <v>35</v>
      </c>
      <c r="C16" s="5" t="s">
        <v>52</v>
      </c>
      <c r="D16" s="5" t="s">
        <v>55</v>
      </c>
      <c r="E16" s="22">
        <v>36</v>
      </c>
      <c r="G16" s="28"/>
    </row>
    <row r="17" spans="1:7" x14ac:dyDescent="0.3">
      <c r="A17" s="26">
        <v>41443</v>
      </c>
      <c r="B17" s="5" t="s">
        <v>35</v>
      </c>
      <c r="C17" s="5" t="s">
        <v>52</v>
      </c>
      <c r="D17" s="5" t="s">
        <v>30</v>
      </c>
      <c r="E17" s="22">
        <v>10</v>
      </c>
      <c r="G17" s="28"/>
    </row>
    <row r="18" spans="1:7" x14ac:dyDescent="0.3">
      <c r="A18" s="26">
        <v>41572</v>
      </c>
      <c r="B18" s="5" t="s">
        <v>34</v>
      </c>
      <c r="C18" s="5" t="s">
        <v>49</v>
      </c>
      <c r="D18" s="5" t="s">
        <v>55</v>
      </c>
      <c r="E18" s="22">
        <v>22</v>
      </c>
      <c r="G18" s="28"/>
    </row>
    <row r="19" spans="1:7" x14ac:dyDescent="0.3">
      <c r="A19" s="26">
        <v>41544</v>
      </c>
      <c r="B19" s="5" t="s">
        <v>32</v>
      </c>
      <c r="C19" s="5" t="s">
        <v>47</v>
      </c>
      <c r="D19" s="5" t="s">
        <v>54</v>
      </c>
      <c r="E19" s="22">
        <v>18</v>
      </c>
      <c r="G19" s="28"/>
    </row>
    <row r="20" spans="1:7" x14ac:dyDescent="0.3">
      <c r="A20" s="26">
        <v>41563</v>
      </c>
      <c r="B20" s="5" t="s">
        <v>33</v>
      </c>
      <c r="C20" s="5" t="s">
        <v>52</v>
      </c>
      <c r="D20" s="5" t="s">
        <v>54</v>
      </c>
      <c r="E20" s="22">
        <v>1.5</v>
      </c>
      <c r="G20" s="28"/>
    </row>
    <row r="21" spans="1:7" x14ac:dyDescent="0.3">
      <c r="A21" s="26">
        <v>41595</v>
      </c>
      <c r="B21" s="5" t="s">
        <v>34</v>
      </c>
      <c r="C21" s="5" t="s">
        <v>49</v>
      </c>
      <c r="D21" s="5" t="s">
        <v>29</v>
      </c>
      <c r="E21" s="22">
        <v>2</v>
      </c>
      <c r="G21" s="28"/>
    </row>
    <row r="22" spans="1:7" x14ac:dyDescent="0.3">
      <c r="A22" s="26">
        <v>41589</v>
      </c>
      <c r="B22" s="5" t="s">
        <v>35</v>
      </c>
      <c r="C22" s="5" t="s">
        <v>53</v>
      </c>
      <c r="D22" s="5" t="s">
        <v>48</v>
      </c>
      <c r="E22" s="22">
        <v>56</v>
      </c>
      <c r="G22" s="28"/>
    </row>
    <row r="23" spans="1:7" x14ac:dyDescent="0.3">
      <c r="A23" s="26">
        <v>41479</v>
      </c>
      <c r="B23" s="5" t="s">
        <v>34</v>
      </c>
      <c r="C23" s="5" t="s">
        <v>53</v>
      </c>
      <c r="D23" s="5" t="s">
        <v>28</v>
      </c>
      <c r="E23" s="22">
        <v>1.4000000000000001</v>
      </c>
      <c r="G23" s="28"/>
    </row>
    <row r="24" spans="1:7" x14ac:dyDescent="0.3">
      <c r="A24" s="26">
        <v>41523</v>
      </c>
      <c r="B24" s="5" t="s">
        <v>31</v>
      </c>
      <c r="C24" s="5" t="s">
        <v>49</v>
      </c>
      <c r="D24" s="5" t="s">
        <v>54</v>
      </c>
      <c r="E24" s="22">
        <v>19.5</v>
      </c>
      <c r="G24" s="28"/>
    </row>
    <row r="25" spans="1:7" x14ac:dyDescent="0.3">
      <c r="A25" s="26">
        <v>41507</v>
      </c>
      <c r="B25" s="5" t="s">
        <v>31</v>
      </c>
      <c r="C25" s="5" t="s">
        <v>47</v>
      </c>
      <c r="D25" s="5" t="s">
        <v>29</v>
      </c>
      <c r="E25" s="22">
        <v>2.6</v>
      </c>
      <c r="G25" s="28"/>
    </row>
    <row r="26" spans="1:7" x14ac:dyDescent="0.3">
      <c r="A26" s="26">
        <v>41430</v>
      </c>
      <c r="B26" s="5" t="s">
        <v>31</v>
      </c>
      <c r="C26" s="5" t="s">
        <v>45</v>
      </c>
      <c r="D26" s="5" t="s">
        <v>29</v>
      </c>
      <c r="E26" s="22">
        <v>0.8</v>
      </c>
      <c r="G26" s="28"/>
    </row>
    <row r="27" spans="1:7" x14ac:dyDescent="0.3">
      <c r="A27" s="26">
        <v>41629</v>
      </c>
      <c r="B27" s="5" t="s">
        <v>31</v>
      </c>
      <c r="C27" s="5" t="s">
        <v>45</v>
      </c>
      <c r="D27" s="5" t="s">
        <v>48</v>
      </c>
      <c r="E27" s="22">
        <v>12</v>
      </c>
      <c r="G27" s="28"/>
    </row>
    <row r="28" spans="1:7" x14ac:dyDescent="0.3">
      <c r="A28" s="26">
        <v>41567</v>
      </c>
      <c r="B28" s="5" t="s">
        <v>34</v>
      </c>
      <c r="C28" s="5" t="s">
        <v>49</v>
      </c>
      <c r="D28" s="5" t="s">
        <v>28</v>
      </c>
      <c r="E28" s="22">
        <v>1.7000000000000002</v>
      </c>
      <c r="G28" s="28"/>
    </row>
    <row r="29" spans="1:7" x14ac:dyDescent="0.3">
      <c r="A29" s="26">
        <v>41592</v>
      </c>
      <c r="B29" s="5" t="s">
        <v>32</v>
      </c>
      <c r="C29" s="5" t="s">
        <v>52</v>
      </c>
      <c r="D29" s="5" t="s">
        <v>29</v>
      </c>
      <c r="E29" s="22">
        <v>3.6</v>
      </c>
      <c r="G29" s="28"/>
    </row>
    <row r="30" spans="1:7" x14ac:dyDescent="0.3">
      <c r="A30" s="26">
        <v>41559</v>
      </c>
      <c r="B30" s="5" t="s">
        <v>34</v>
      </c>
      <c r="C30" s="5" t="s">
        <v>47</v>
      </c>
      <c r="D30" s="5" t="s">
        <v>55</v>
      </c>
      <c r="E30" s="22">
        <v>8</v>
      </c>
      <c r="G30" s="28"/>
    </row>
    <row r="31" spans="1:7" x14ac:dyDescent="0.3">
      <c r="A31" s="26">
        <v>41576</v>
      </c>
      <c r="B31" s="5" t="s">
        <v>34</v>
      </c>
      <c r="C31" s="5" t="s">
        <v>45</v>
      </c>
      <c r="D31" s="5" t="s">
        <v>30</v>
      </c>
      <c r="E31" s="22">
        <v>65</v>
      </c>
      <c r="G31" s="28"/>
    </row>
    <row r="32" spans="1:7" x14ac:dyDescent="0.3">
      <c r="A32" s="26">
        <v>41431</v>
      </c>
      <c r="B32" s="5" t="s">
        <v>34</v>
      </c>
      <c r="C32" s="5" t="s">
        <v>53</v>
      </c>
      <c r="D32" s="5" t="s">
        <v>54</v>
      </c>
      <c r="E32" s="22">
        <v>1.5</v>
      </c>
      <c r="G32" s="28"/>
    </row>
    <row r="33" spans="1:7" x14ac:dyDescent="0.3">
      <c r="A33" s="26">
        <v>41477</v>
      </c>
      <c r="B33" s="5" t="s">
        <v>35</v>
      </c>
      <c r="C33" s="5" t="s">
        <v>45</v>
      </c>
      <c r="D33" s="5" t="s">
        <v>48</v>
      </c>
      <c r="E33" s="22">
        <v>24</v>
      </c>
      <c r="G33" s="28"/>
    </row>
    <row r="34" spans="1:7" x14ac:dyDescent="0.3">
      <c r="A34" s="26">
        <v>41590</v>
      </c>
      <c r="B34" s="5" t="s">
        <v>31</v>
      </c>
      <c r="C34" s="5" t="s">
        <v>56</v>
      </c>
      <c r="D34" s="5" t="s">
        <v>28</v>
      </c>
      <c r="E34" s="22">
        <v>1.3</v>
      </c>
      <c r="G34" s="28"/>
    </row>
    <row r="35" spans="1:7" x14ac:dyDescent="0.3">
      <c r="A35" s="26">
        <v>41467</v>
      </c>
      <c r="B35" s="5" t="s">
        <v>31</v>
      </c>
      <c r="C35" s="5" t="s">
        <v>52</v>
      </c>
      <c r="D35" s="5" t="s">
        <v>29</v>
      </c>
      <c r="E35" s="22">
        <v>2.2000000000000002</v>
      </c>
      <c r="G35" s="28"/>
    </row>
    <row r="36" spans="1:7" x14ac:dyDescent="0.3">
      <c r="A36" s="26">
        <v>41600</v>
      </c>
      <c r="B36" s="5" t="s">
        <v>33</v>
      </c>
      <c r="C36" s="5" t="s">
        <v>52</v>
      </c>
      <c r="D36" s="5" t="s">
        <v>55</v>
      </c>
      <c r="E36" s="22">
        <v>20</v>
      </c>
      <c r="G36" s="28"/>
    </row>
    <row r="37" spans="1:7" x14ac:dyDescent="0.3">
      <c r="A37" s="26">
        <v>41573</v>
      </c>
      <c r="B37" s="5" t="s">
        <v>35</v>
      </c>
      <c r="C37" s="5" t="s">
        <v>45</v>
      </c>
      <c r="D37" s="5" t="s">
        <v>54</v>
      </c>
      <c r="E37" s="22">
        <v>19.5</v>
      </c>
      <c r="G37" s="28"/>
    </row>
    <row r="38" spans="1:7" x14ac:dyDescent="0.3">
      <c r="A38" s="26">
        <v>41591</v>
      </c>
      <c r="B38" s="5" t="s">
        <v>33</v>
      </c>
      <c r="C38" s="5" t="s">
        <v>45</v>
      </c>
      <c r="D38" s="5" t="s">
        <v>28</v>
      </c>
      <c r="E38" s="22">
        <v>0.2</v>
      </c>
      <c r="G38" s="28"/>
    </row>
    <row r="39" spans="1:7" x14ac:dyDescent="0.3">
      <c r="A39" s="26">
        <v>41484</v>
      </c>
      <c r="B39" s="5" t="s">
        <v>35</v>
      </c>
      <c r="C39" s="5" t="s">
        <v>47</v>
      </c>
      <c r="D39" s="5" t="s">
        <v>30</v>
      </c>
      <c r="E39" s="22">
        <v>35</v>
      </c>
      <c r="G39" s="28"/>
    </row>
    <row r="40" spans="1:7" x14ac:dyDescent="0.3">
      <c r="A40" s="26">
        <v>41600</v>
      </c>
      <c r="B40" s="5" t="s">
        <v>33</v>
      </c>
      <c r="C40" s="5" t="s">
        <v>52</v>
      </c>
      <c r="D40" s="5" t="s">
        <v>28</v>
      </c>
      <c r="E40" s="22">
        <v>0.70000000000000007</v>
      </c>
      <c r="G40" s="28"/>
    </row>
    <row r="41" spans="1:7" x14ac:dyDescent="0.3">
      <c r="A41" s="26">
        <v>41451</v>
      </c>
      <c r="B41" s="5" t="s">
        <v>31</v>
      </c>
      <c r="C41" s="5" t="s">
        <v>53</v>
      </c>
      <c r="D41" s="5" t="s">
        <v>54</v>
      </c>
      <c r="E41" s="22">
        <v>27</v>
      </c>
      <c r="G41" s="28"/>
    </row>
    <row r="42" spans="1:7" x14ac:dyDescent="0.3">
      <c r="A42" s="26">
        <v>41444</v>
      </c>
      <c r="B42" s="5" t="s">
        <v>31</v>
      </c>
      <c r="C42" s="5" t="s">
        <v>49</v>
      </c>
      <c r="D42" s="5" t="s">
        <v>48</v>
      </c>
      <c r="E42" s="22">
        <v>36</v>
      </c>
      <c r="G42" s="28"/>
    </row>
    <row r="43" spans="1:7" x14ac:dyDescent="0.3">
      <c r="A43" s="26">
        <v>41534</v>
      </c>
      <c r="B43" s="5" t="s">
        <v>33</v>
      </c>
      <c r="C43" s="5" t="s">
        <v>52</v>
      </c>
      <c r="D43" s="5" t="s">
        <v>48</v>
      </c>
      <c r="E43" s="22">
        <v>20</v>
      </c>
      <c r="G43" s="28"/>
    </row>
    <row r="44" spans="1:7" x14ac:dyDescent="0.3">
      <c r="A44" s="26">
        <v>41571</v>
      </c>
      <c r="B44" s="5" t="s">
        <v>34</v>
      </c>
      <c r="C44" s="5" t="s">
        <v>56</v>
      </c>
      <c r="D44" s="5" t="s">
        <v>28</v>
      </c>
      <c r="E44" s="22">
        <v>1.2000000000000002</v>
      </c>
      <c r="G44" s="28"/>
    </row>
    <row r="45" spans="1:7" x14ac:dyDescent="0.3">
      <c r="A45" s="26">
        <v>41628</v>
      </c>
      <c r="B45" s="5" t="s">
        <v>34</v>
      </c>
      <c r="C45" s="5" t="s">
        <v>47</v>
      </c>
      <c r="D45" s="5" t="s">
        <v>29</v>
      </c>
      <c r="E45" s="22">
        <v>2.2000000000000002</v>
      </c>
      <c r="G45" s="28"/>
    </row>
    <row r="46" spans="1:7" x14ac:dyDescent="0.3">
      <c r="A46" s="26">
        <v>41625</v>
      </c>
      <c r="B46" s="5" t="s">
        <v>33</v>
      </c>
      <c r="C46" s="5" t="s">
        <v>52</v>
      </c>
      <c r="D46" s="5" t="s">
        <v>30</v>
      </c>
      <c r="E46" s="22">
        <v>30</v>
      </c>
      <c r="G46" s="28"/>
    </row>
    <row r="47" spans="1:7" x14ac:dyDescent="0.3">
      <c r="A47" s="26">
        <v>41445</v>
      </c>
      <c r="B47" s="5" t="s">
        <v>34</v>
      </c>
      <c r="C47" s="5" t="s">
        <v>45</v>
      </c>
      <c r="D47" s="5" t="s">
        <v>48</v>
      </c>
      <c r="E47" s="22">
        <v>36</v>
      </c>
      <c r="G47" s="28"/>
    </row>
    <row r="48" spans="1:7" x14ac:dyDescent="0.3">
      <c r="A48" s="26">
        <v>41589</v>
      </c>
      <c r="B48" s="5" t="s">
        <v>34</v>
      </c>
      <c r="C48" s="5" t="s">
        <v>45</v>
      </c>
      <c r="D48" s="5" t="s">
        <v>48</v>
      </c>
      <c r="E48" s="22">
        <v>80</v>
      </c>
      <c r="G48" s="28"/>
    </row>
    <row r="49" spans="1:7" x14ac:dyDescent="0.3">
      <c r="A49" s="26">
        <v>41613</v>
      </c>
      <c r="B49" s="5" t="s">
        <v>34</v>
      </c>
      <c r="C49" s="5" t="s">
        <v>45</v>
      </c>
      <c r="D49" s="5" t="s">
        <v>28</v>
      </c>
      <c r="E49" s="22">
        <v>0.60000000000000009</v>
      </c>
      <c r="G49" s="28"/>
    </row>
    <row r="50" spans="1:7" x14ac:dyDescent="0.3">
      <c r="A50" s="26">
        <v>41567</v>
      </c>
      <c r="B50" s="5" t="s">
        <v>33</v>
      </c>
      <c r="C50" s="5" t="s">
        <v>49</v>
      </c>
      <c r="D50" s="5" t="s">
        <v>25</v>
      </c>
      <c r="E50" s="22">
        <v>40</v>
      </c>
      <c r="G50" s="28"/>
    </row>
    <row r="51" spans="1:7" x14ac:dyDescent="0.3">
      <c r="A51" s="26">
        <v>41595</v>
      </c>
      <c r="B51" s="5" t="s">
        <v>32</v>
      </c>
      <c r="C51" s="5" t="s">
        <v>45</v>
      </c>
      <c r="D51" s="5" t="s">
        <v>29</v>
      </c>
      <c r="E51" s="22">
        <v>2.8000000000000003</v>
      </c>
      <c r="G51" s="28"/>
    </row>
    <row r="52" spans="1:7" x14ac:dyDescent="0.3">
      <c r="A52" s="26">
        <v>41494</v>
      </c>
      <c r="B52" s="5" t="s">
        <v>32</v>
      </c>
      <c r="C52" s="5" t="s">
        <v>47</v>
      </c>
      <c r="D52" s="5" t="s">
        <v>55</v>
      </c>
      <c r="E52" s="22">
        <v>28</v>
      </c>
      <c r="G52" s="28"/>
    </row>
    <row r="53" spans="1:7" x14ac:dyDescent="0.3">
      <c r="A53" s="26">
        <v>41631</v>
      </c>
      <c r="B53" s="5" t="s">
        <v>32</v>
      </c>
      <c r="C53" s="5" t="s">
        <v>45</v>
      </c>
      <c r="D53" s="5" t="s">
        <v>29</v>
      </c>
      <c r="E53" s="22">
        <v>0.8</v>
      </c>
      <c r="G53" s="28"/>
    </row>
    <row r="54" spans="1:7" x14ac:dyDescent="0.3">
      <c r="A54" s="26">
        <v>41467</v>
      </c>
      <c r="B54" s="5" t="s">
        <v>34</v>
      </c>
      <c r="C54" s="5" t="s">
        <v>52</v>
      </c>
      <c r="D54" s="5" t="s">
        <v>55</v>
      </c>
      <c r="E54" s="22">
        <v>10</v>
      </c>
      <c r="G54" s="28"/>
    </row>
    <row r="55" spans="1:7" x14ac:dyDescent="0.3">
      <c r="A55" s="26">
        <v>41555</v>
      </c>
      <c r="B55" s="5" t="s">
        <v>32</v>
      </c>
      <c r="C55" s="5" t="s">
        <v>47</v>
      </c>
      <c r="D55" s="5" t="s">
        <v>54</v>
      </c>
      <c r="E55" s="22">
        <v>9</v>
      </c>
      <c r="G55" s="28"/>
    </row>
    <row r="56" spans="1:7" x14ac:dyDescent="0.3">
      <c r="A56" s="26">
        <v>41544</v>
      </c>
      <c r="B56" s="5" t="s">
        <v>32</v>
      </c>
      <c r="C56" s="5" t="s">
        <v>53</v>
      </c>
      <c r="D56" s="5" t="s">
        <v>26</v>
      </c>
      <c r="E56" s="22">
        <v>9</v>
      </c>
      <c r="G56" s="28"/>
    </row>
    <row r="57" spans="1:7" x14ac:dyDescent="0.3">
      <c r="A57" s="26">
        <v>41433</v>
      </c>
      <c r="B57" s="5" t="s">
        <v>31</v>
      </c>
      <c r="C57" s="5" t="s">
        <v>52</v>
      </c>
      <c r="D57" s="5" t="s">
        <v>28</v>
      </c>
      <c r="E57" s="22">
        <v>1.2000000000000002</v>
      </c>
      <c r="G57" s="28"/>
    </row>
    <row r="58" spans="1:7" x14ac:dyDescent="0.3">
      <c r="A58" s="26">
        <v>41497</v>
      </c>
      <c r="B58" s="5" t="s">
        <v>35</v>
      </c>
      <c r="C58" s="5" t="s">
        <v>45</v>
      </c>
      <c r="D58" s="5" t="s">
        <v>28</v>
      </c>
      <c r="E58" s="22">
        <v>1.9000000000000001</v>
      </c>
      <c r="G58" s="28"/>
    </row>
    <row r="59" spans="1:7" x14ac:dyDescent="0.3">
      <c r="A59" s="26">
        <v>41583</v>
      </c>
      <c r="B59" s="5" t="s">
        <v>33</v>
      </c>
      <c r="C59" s="5" t="s">
        <v>49</v>
      </c>
      <c r="D59" s="5" t="s">
        <v>29</v>
      </c>
      <c r="E59" s="22">
        <v>0.4</v>
      </c>
      <c r="G59" s="28"/>
    </row>
    <row r="60" spans="1:7" x14ac:dyDescent="0.3">
      <c r="A60" s="26">
        <v>41473</v>
      </c>
      <c r="B60" s="5" t="s">
        <v>35</v>
      </c>
      <c r="C60" s="5" t="s">
        <v>49</v>
      </c>
      <c r="D60" s="5" t="s">
        <v>48</v>
      </c>
      <c r="E60" s="22">
        <v>72</v>
      </c>
      <c r="G60" s="28"/>
    </row>
    <row r="61" spans="1:7" x14ac:dyDescent="0.3">
      <c r="A61" s="26">
        <v>41616</v>
      </c>
      <c r="B61" s="5" t="s">
        <v>31</v>
      </c>
      <c r="C61" s="5" t="s">
        <v>56</v>
      </c>
      <c r="D61" s="5" t="s">
        <v>54</v>
      </c>
      <c r="E61" s="22">
        <v>27</v>
      </c>
      <c r="G61" s="28"/>
    </row>
    <row r="62" spans="1:7" x14ac:dyDescent="0.3">
      <c r="A62" s="26">
        <v>41613</v>
      </c>
      <c r="B62" s="5" t="s">
        <v>33</v>
      </c>
      <c r="C62" s="5" t="s">
        <v>45</v>
      </c>
      <c r="D62" s="5" t="s">
        <v>30</v>
      </c>
      <c r="E62" s="22">
        <v>90</v>
      </c>
      <c r="G62" s="28"/>
    </row>
    <row r="63" spans="1:7" x14ac:dyDescent="0.3">
      <c r="A63" s="26">
        <v>41629</v>
      </c>
      <c r="B63" s="5" t="s">
        <v>35</v>
      </c>
      <c r="C63" s="5" t="s">
        <v>47</v>
      </c>
      <c r="D63" s="5" t="s">
        <v>26</v>
      </c>
      <c r="E63" s="22">
        <v>2.5</v>
      </c>
      <c r="G63" s="28"/>
    </row>
    <row r="64" spans="1:7" x14ac:dyDescent="0.3">
      <c r="A64" s="26">
        <v>41621</v>
      </c>
      <c r="B64" s="5" t="s">
        <v>33</v>
      </c>
      <c r="C64" s="5" t="s">
        <v>56</v>
      </c>
      <c r="D64" s="5" t="s">
        <v>48</v>
      </c>
      <c r="E64" s="22">
        <v>76</v>
      </c>
      <c r="G64" s="28"/>
    </row>
    <row r="65" spans="1:7" x14ac:dyDescent="0.3">
      <c r="A65" s="26">
        <v>41457</v>
      </c>
      <c r="B65" s="5" t="s">
        <v>35</v>
      </c>
      <c r="C65" s="5" t="s">
        <v>53</v>
      </c>
      <c r="D65" s="5" t="s">
        <v>30</v>
      </c>
      <c r="E65" s="22">
        <v>95</v>
      </c>
      <c r="G65" s="28"/>
    </row>
    <row r="66" spans="1:7" x14ac:dyDescent="0.3">
      <c r="A66" s="26">
        <v>41553</v>
      </c>
      <c r="B66" s="5" t="s">
        <v>34</v>
      </c>
      <c r="C66" s="5" t="s">
        <v>53</v>
      </c>
      <c r="D66" s="5" t="s">
        <v>29</v>
      </c>
      <c r="E66" s="22">
        <v>1</v>
      </c>
      <c r="G66" s="28"/>
    </row>
    <row r="67" spans="1:7" x14ac:dyDescent="0.3">
      <c r="A67" s="26">
        <v>41500</v>
      </c>
      <c r="B67" s="5" t="s">
        <v>32</v>
      </c>
      <c r="C67" s="5" t="s">
        <v>49</v>
      </c>
      <c r="D67" s="5" t="s">
        <v>28</v>
      </c>
      <c r="E67" s="22">
        <v>0.5</v>
      </c>
      <c r="G67" s="28"/>
    </row>
    <row r="68" spans="1:7" x14ac:dyDescent="0.3">
      <c r="A68" s="26">
        <v>41584</v>
      </c>
      <c r="B68" s="5" t="s">
        <v>31</v>
      </c>
      <c r="C68" s="5" t="s">
        <v>52</v>
      </c>
      <c r="D68" s="5" t="s">
        <v>25</v>
      </c>
      <c r="E68" s="22">
        <v>15</v>
      </c>
      <c r="G68" s="28"/>
    </row>
    <row r="69" spans="1:7" x14ac:dyDescent="0.3">
      <c r="A69" s="26">
        <v>41529</v>
      </c>
      <c r="B69" s="5" t="s">
        <v>35</v>
      </c>
      <c r="C69" s="5" t="s">
        <v>52</v>
      </c>
      <c r="D69" s="5" t="s">
        <v>54</v>
      </c>
      <c r="E69" s="22">
        <v>25.5</v>
      </c>
      <c r="G69" s="28"/>
    </row>
    <row r="70" spans="1:7" x14ac:dyDescent="0.3">
      <c r="A70" s="26">
        <v>41524</v>
      </c>
      <c r="B70" s="5" t="s">
        <v>32</v>
      </c>
      <c r="C70" s="5" t="s">
        <v>47</v>
      </c>
      <c r="D70" s="5" t="s">
        <v>55</v>
      </c>
      <c r="E70" s="22">
        <v>26</v>
      </c>
      <c r="G70" s="28"/>
    </row>
    <row r="71" spans="1:7" x14ac:dyDescent="0.3">
      <c r="A71" s="26">
        <v>41514</v>
      </c>
      <c r="B71" s="5" t="s">
        <v>32</v>
      </c>
      <c r="C71" s="5" t="s">
        <v>56</v>
      </c>
      <c r="D71" s="5" t="s">
        <v>55</v>
      </c>
      <c r="E71" s="22">
        <v>30</v>
      </c>
      <c r="G71" s="28"/>
    </row>
    <row r="72" spans="1:7" x14ac:dyDescent="0.3">
      <c r="A72" s="26">
        <v>41533</v>
      </c>
      <c r="B72" s="5" t="s">
        <v>31</v>
      </c>
      <c r="C72" s="5" t="s">
        <v>47</v>
      </c>
      <c r="D72" s="5" t="s">
        <v>25</v>
      </c>
      <c r="E72" s="22">
        <v>12.5</v>
      </c>
      <c r="G72" s="28"/>
    </row>
    <row r="73" spans="1:7" x14ac:dyDescent="0.3">
      <c r="A73" s="26">
        <v>41438</v>
      </c>
      <c r="B73" s="5" t="s">
        <v>31</v>
      </c>
      <c r="C73" s="5" t="s">
        <v>49</v>
      </c>
      <c r="D73" s="5" t="s">
        <v>54</v>
      </c>
      <c r="E73" s="22">
        <v>22.5</v>
      </c>
      <c r="G73" s="28"/>
    </row>
    <row r="74" spans="1:7" x14ac:dyDescent="0.3">
      <c r="A74" s="26">
        <v>41511</v>
      </c>
      <c r="B74" s="5" t="s">
        <v>31</v>
      </c>
      <c r="C74" s="5" t="s">
        <v>53</v>
      </c>
      <c r="D74" s="5" t="s">
        <v>48</v>
      </c>
      <c r="E74" s="22">
        <v>44</v>
      </c>
      <c r="G74" s="28"/>
    </row>
    <row r="75" spans="1:7" x14ac:dyDescent="0.3">
      <c r="A75" s="26">
        <v>41435</v>
      </c>
      <c r="B75" s="5" t="s">
        <v>34</v>
      </c>
      <c r="C75" s="5" t="s">
        <v>49</v>
      </c>
      <c r="D75" s="5" t="s">
        <v>25</v>
      </c>
      <c r="E75" s="22">
        <v>12.5</v>
      </c>
      <c r="G75" s="28"/>
    </row>
    <row r="76" spans="1:7" x14ac:dyDescent="0.3">
      <c r="A76" s="26">
        <v>41521</v>
      </c>
      <c r="B76" s="5" t="s">
        <v>33</v>
      </c>
      <c r="C76" s="5" t="s">
        <v>45</v>
      </c>
      <c r="D76" s="5" t="s">
        <v>55</v>
      </c>
      <c r="E76" s="22">
        <v>22</v>
      </c>
      <c r="G76" s="28"/>
    </row>
    <row r="77" spans="1:7" x14ac:dyDescent="0.3">
      <c r="A77" s="26">
        <v>41441</v>
      </c>
      <c r="B77" s="5" t="s">
        <v>35</v>
      </c>
      <c r="C77" s="5" t="s">
        <v>45</v>
      </c>
      <c r="D77" s="5" t="s">
        <v>48</v>
      </c>
      <c r="E77" s="22">
        <v>56</v>
      </c>
      <c r="G77" s="28"/>
    </row>
    <row r="78" spans="1:7" x14ac:dyDescent="0.3">
      <c r="A78" s="26">
        <v>41466</v>
      </c>
      <c r="B78" s="5" t="s">
        <v>35</v>
      </c>
      <c r="C78" s="5" t="s">
        <v>56</v>
      </c>
      <c r="D78" s="5" t="s">
        <v>30</v>
      </c>
      <c r="E78" s="22">
        <v>65</v>
      </c>
      <c r="G78" s="28"/>
    </row>
    <row r="79" spans="1:7" x14ac:dyDescent="0.3">
      <c r="A79" s="26">
        <v>41568</v>
      </c>
      <c r="B79" s="5" t="s">
        <v>31</v>
      </c>
      <c r="C79" s="5" t="s">
        <v>45</v>
      </c>
      <c r="D79" s="5" t="s">
        <v>26</v>
      </c>
      <c r="E79" s="22">
        <v>9.5</v>
      </c>
      <c r="G79" s="28"/>
    </row>
    <row r="80" spans="1:7" x14ac:dyDescent="0.3">
      <c r="A80" s="26">
        <v>41630</v>
      </c>
      <c r="B80" s="5" t="s">
        <v>33</v>
      </c>
      <c r="C80" s="5" t="s">
        <v>47</v>
      </c>
      <c r="D80" s="5" t="s">
        <v>29</v>
      </c>
      <c r="E80" s="22">
        <v>0.4</v>
      </c>
      <c r="G80" s="28"/>
    </row>
    <row r="81" spans="1:7" x14ac:dyDescent="0.3">
      <c r="A81" s="26">
        <v>41555</v>
      </c>
      <c r="B81" s="5" t="s">
        <v>35</v>
      </c>
      <c r="C81" s="5" t="s">
        <v>52</v>
      </c>
      <c r="D81" s="5" t="s">
        <v>54</v>
      </c>
      <c r="E81" s="22">
        <v>6</v>
      </c>
      <c r="G81" s="28"/>
    </row>
    <row r="82" spans="1:7" x14ac:dyDescent="0.3">
      <c r="A82" s="26">
        <v>41476</v>
      </c>
      <c r="B82" s="5" t="s">
        <v>31</v>
      </c>
      <c r="C82" s="5" t="s">
        <v>47</v>
      </c>
      <c r="D82" s="5" t="s">
        <v>48</v>
      </c>
      <c r="E82" s="22">
        <v>68</v>
      </c>
      <c r="G82" s="28"/>
    </row>
    <row r="83" spans="1:7" x14ac:dyDescent="0.3">
      <c r="A83" s="26">
        <v>41465</v>
      </c>
      <c r="B83" s="5" t="s">
        <v>33</v>
      </c>
      <c r="C83" s="5" t="s">
        <v>52</v>
      </c>
      <c r="D83" s="5" t="s">
        <v>55</v>
      </c>
      <c r="E83" s="22">
        <v>6</v>
      </c>
      <c r="G83" s="28"/>
    </row>
    <row r="84" spans="1:7" x14ac:dyDescent="0.3">
      <c r="A84" s="26">
        <v>41596</v>
      </c>
      <c r="B84" s="5" t="s">
        <v>34</v>
      </c>
      <c r="C84" s="5" t="s">
        <v>53</v>
      </c>
      <c r="D84" s="5" t="s">
        <v>54</v>
      </c>
      <c r="E84" s="22">
        <v>13.5</v>
      </c>
      <c r="G84" s="28"/>
    </row>
    <row r="85" spans="1:7" x14ac:dyDescent="0.3">
      <c r="A85" s="26">
        <v>41454</v>
      </c>
      <c r="B85" s="5" t="s">
        <v>32</v>
      </c>
      <c r="C85" s="5" t="s">
        <v>45</v>
      </c>
      <c r="D85" s="5" t="s">
        <v>28</v>
      </c>
      <c r="E85" s="22">
        <v>1.1000000000000001</v>
      </c>
      <c r="G85" s="28"/>
    </row>
    <row r="86" spans="1:7" x14ac:dyDescent="0.3">
      <c r="A86" s="26">
        <v>41618</v>
      </c>
      <c r="B86" s="5" t="s">
        <v>34</v>
      </c>
      <c r="C86" s="5" t="s">
        <v>52</v>
      </c>
      <c r="D86" s="5" t="s">
        <v>28</v>
      </c>
      <c r="E86" s="22">
        <v>0.30000000000000004</v>
      </c>
      <c r="G86" s="28"/>
    </row>
    <row r="87" spans="1:7" x14ac:dyDescent="0.3">
      <c r="A87" s="26">
        <v>41613</v>
      </c>
      <c r="B87" s="5" t="s">
        <v>31</v>
      </c>
      <c r="C87" s="5" t="s">
        <v>45</v>
      </c>
      <c r="D87" s="5" t="s">
        <v>54</v>
      </c>
      <c r="E87" s="22">
        <v>25.5</v>
      </c>
      <c r="G87" s="28"/>
    </row>
    <row r="88" spans="1:7" x14ac:dyDescent="0.3">
      <c r="A88" s="26">
        <v>41466</v>
      </c>
      <c r="B88" s="5" t="s">
        <v>32</v>
      </c>
      <c r="C88" s="5" t="s">
        <v>45</v>
      </c>
      <c r="D88" s="5" t="s">
        <v>28</v>
      </c>
      <c r="E88" s="22">
        <v>2</v>
      </c>
      <c r="G88" s="28"/>
    </row>
    <row r="89" spans="1:7" x14ac:dyDescent="0.3">
      <c r="A89" s="26">
        <v>41618</v>
      </c>
      <c r="B89" s="5" t="s">
        <v>31</v>
      </c>
      <c r="C89" s="5" t="s">
        <v>49</v>
      </c>
      <c r="D89" s="5" t="s">
        <v>54</v>
      </c>
      <c r="E89" s="22">
        <v>7.5</v>
      </c>
      <c r="G89" s="28"/>
    </row>
    <row r="90" spans="1:7" x14ac:dyDescent="0.3">
      <c r="A90" s="26">
        <v>41459</v>
      </c>
      <c r="B90" s="5" t="s">
        <v>35</v>
      </c>
      <c r="C90" s="5" t="s">
        <v>52</v>
      </c>
      <c r="D90" s="5" t="s">
        <v>48</v>
      </c>
      <c r="E90" s="22">
        <v>20</v>
      </c>
      <c r="G90" s="28"/>
    </row>
    <row r="91" spans="1:7" x14ac:dyDescent="0.3">
      <c r="A91" s="26">
        <v>41614</v>
      </c>
      <c r="B91" s="5" t="s">
        <v>33</v>
      </c>
      <c r="C91" s="5" t="s">
        <v>52</v>
      </c>
      <c r="D91" s="5" t="s">
        <v>30</v>
      </c>
      <c r="E91" s="22">
        <v>65</v>
      </c>
      <c r="G91" s="28"/>
    </row>
    <row r="92" spans="1:7" x14ac:dyDescent="0.3">
      <c r="A92" s="26">
        <v>41586</v>
      </c>
      <c r="B92" s="5" t="s">
        <v>32</v>
      </c>
      <c r="C92" s="5" t="s">
        <v>56</v>
      </c>
      <c r="D92" s="5" t="s">
        <v>28</v>
      </c>
      <c r="E92" s="22">
        <v>1.9000000000000001</v>
      </c>
      <c r="G92" s="28"/>
    </row>
    <row r="93" spans="1:7" x14ac:dyDescent="0.3">
      <c r="A93" s="26">
        <v>41485</v>
      </c>
      <c r="B93" s="5" t="s">
        <v>32</v>
      </c>
      <c r="C93" s="5" t="s">
        <v>52</v>
      </c>
      <c r="D93" s="5" t="s">
        <v>28</v>
      </c>
      <c r="E93" s="22">
        <v>0.30000000000000004</v>
      </c>
      <c r="G93" s="28"/>
    </row>
    <row r="94" spans="1:7" x14ac:dyDescent="0.3">
      <c r="A94" s="26">
        <v>41433</v>
      </c>
      <c r="B94" s="5" t="s">
        <v>31</v>
      </c>
      <c r="C94" s="5" t="s">
        <v>49</v>
      </c>
      <c r="D94" s="5" t="s">
        <v>28</v>
      </c>
      <c r="E94" s="22">
        <v>0.1</v>
      </c>
      <c r="G94" s="28"/>
    </row>
    <row r="95" spans="1:7" x14ac:dyDescent="0.3">
      <c r="A95" s="26">
        <v>41598</v>
      </c>
      <c r="B95" s="5" t="s">
        <v>31</v>
      </c>
      <c r="C95" s="5" t="s">
        <v>47</v>
      </c>
      <c r="D95" s="5" t="s">
        <v>28</v>
      </c>
      <c r="E95" s="22">
        <v>1.1000000000000001</v>
      </c>
      <c r="G95" s="28"/>
    </row>
    <row r="96" spans="1:7" x14ac:dyDescent="0.3">
      <c r="A96" s="26">
        <v>41536</v>
      </c>
      <c r="B96" s="5" t="s">
        <v>32</v>
      </c>
      <c r="C96" s="5" t="s">
        <v>45</v>
      </c>
      <c r="D96" s="5" t="s">
        <v>28</v>
      </c>
      <c r="E96" s="22">
        <v>1</v>
      </c>
      <c r="G96" s="28"/>
    </row>
    <row r="97" spans="1:7" x14ac:dyDescent="0.3">
      <c r="A97" s="26">
        <v>41443</v>
      </c>
      <c r="B97" s="5" t="s">
        <v>31</v>
      </c>
      <c r="C97" s="5" t="s">
        <v>52</v>
      </c>
      <c r="D97" s="5" t="s">
        <v>30</v>
      </c>
      <c r="E97" s="22">
        <v>15</v>
      </c>
      <c r="G97" s="28"/>
    </row>
    <row r="98" spans="1:7" x14ac:dyDescent="0.3">
      <c r="A98" s="26">
        <v>41505</v>
      </c>
      <c r="B98" s="5" t="s">
        <v>31</v>
      </c>
      <c r="C98" s="5" t="s">
        <v>49</v>
      </c>
      <c r="D98" s="5" t="s">
        <v>28</v>
      </c>
      <c r="E98" s="22">
        <v>0.9</v>
      </c>
      <c r="G98" s="28"/>
    </row>
    <row r="99" spans="1:7" x14ac:dyDescent="0.3">
      <c r="A99" s="26">
        <v>41490</v>
      </c>
      <c r="B99" s="5" t="s">
        <v>35</v>
      </c>
      <c r="C99" s="5" t="s">
        <v>52</v>
      </c>
      <c r="D99" s="5" t="s">
        <v>25</v>
      </c>
      <c r="E99" s="22">
        <v>12.5</v>
      </c>
      <c r="G99" s="28"/>
    </row>
    <row r="100" spans="1:7" x14ac:dyDescent="0.3">
      <c r="A100" s="26">
        <v>41547</v>
      </c>
      <c r="B100" s="5" t="s">
        <v>35</v>
      </c>
      <c r="C100" s="5" t="s">
        <v>53</v>
      </c>
      <c r="D100" s="5" t="s">
        <v>30</v>
      </c>
      <c r="E100" s="22">
        <v>90</v>
      </c>
      <c r="G100" s="28"/>
    </row>
    <row r="101" spans="1:7" x14ac:dyDescent="0.3">
      <c r="A101" s="26">
        <v>41563</v>
      </c>
      <c r="B101" s="5" t="s">
        <v>32</v>
      </c>
      <c r="C101" s="5" t="s">
        <v>45</v>
      </c>
      <c r="D101" s="5" t="s">
        <v>54</v>
      </c>
      <c r="E101" s="22">
        <v>19.5</v>
      </c>
      <c r="G101" s="28"/>
    </row>
    <row r="102" spans="1:7" x14ac:dyDescent="0.3">
      <c r="A102" s="26">
        <v>41446</v>
      </c>
      <c r="B102" s="5" t="s">
        <v>34</v>
      </c>
      <c r="C102" s="5" t="s">
        <v>49</v>
      </c>
      <c r="D102" s="5" t="s">
        <v>29</v>
      </c>
      <c r="E102" s="22">
        <v>2.4000000000000004</v>
      </c>
      <c r="G102" s="28"/>
    </row>
    <row r="103" spans="1:7" x14ac:dyDescent="0.3">
      <c r="A103" s="26">
        <v>41472</v>
      </c>
      <c r="B103" s="5" t="s">
        <v>32</v>
      </c>
      <c r="C103" s="5" t="s">
        <v>53</v>
      </c>
      <c r="D103" s="5" t="s">
        <v>29</v>
      </c>
      <c r="E103" s="22">
        <v>2.4000000000000004</v>
      </c>
      <c r="G103" s="28"/>
    </row>
    <row r="104" spans="1:7" x14ac:dyDescent="0.3">
      <c r="A104" s="26">
        <v>41537</v>
      </c>
      <c r="B104" s="5" t="s">
        <v>31</v>
      </c>
      <c r="C104" s="5" t="s">
        <v>52</v>
      </c>
      <c r="D104" s="5" t="s">
        <v>28</v>
      </c>
      <c r="E104" s="22">
        <v>0.8</v>
      </c>
      <c r="G104" s="28"/>
    </row>
    <row r="105" spans="1:7" x14ac:dyDescent="0.3">
      <c r="A105" s="26">
        <v>41499</v>
      </c>
      <c r="B105" s="5" t="s">
        <v>35</v>
      </c>
      <c r="C105" s="5" t="s">
        <v>52</v>
      </c>
      <c r="D105" s="5" t="s">
        <v>26</v>
      </c>
      <c r="E105" s="22">
        <v>1</v>
      </c>
      <c r="G105" s="28"/>
    </row>
    <row r="106" spans="1:7" x14ac:dyDescent="0.3">
      <c r="A106" s="26">
        <v>41620</v>
      </c>
      <c r="B106" s="5" t="s">
        <v>31</v>
      </c>
      <c r="C106" s="5" t="s">
        <v>49</v>
      </c>
      <c r="D106" s="5" t="s">
        <v>25</v>
      </c>
      <c r="E106" s="22">
        <v>45</v>
      </c>
      <c r="G106" s="28"/>
    </row>
    <row r="107" spans="1:7" x14ac:dyDescent="0.3">
      <c r="A107" s="26">
        <v>41444</v>
      </c>
      <c r="B107" s="5" t="s">
        <v>34</v>
      </c>
      <c r="C107" s="5" t="s">
        <v>45</v>
      </c>
      <c r="D107" s="5" t="s">
        <v>26</v>
      </c>
      <c r="E107" s="22">
        <v>7</v>
      </c>
      <c r="G107" s="28"/>
    </row>
    <row r="108" spans="1:7" x14ac:dyDescent="0.3">
      <c r="A108" s="26">
        <v>41619</v>
      </c>
      <c r="B108" s="5" t="s">
        <v>33</v>
      </c>
      <c r="C108" s="5" t="s">
        <v>52</v>
      </c>
      <c r="D108" s="5" t="s">
        <v>55</v>
      </c>
      <c r="E108" s="22">
        <v>34</v>
      </c>
      <c r="G108" s="28"/>
    </row>
    <row r="109" spans="1:7" x14ac:dyDescent="0.3">
      <c r="A109" s="26">
        <v>41483</v>
      </c>
      <c r="B109" s="5" t="s">
        <v>31</v>
      </c>
      <c r="C109" s="5" t="s">
        <v>49</v>
      </c>
      <c r="D109" s="5" t="s">
        <v>55</v>
      </c>
      <c r="E109" s="22">
        <v>4</v>
      </c>
      <c r="G109" s="28"/>
    </row>
    <row r="110" spans="1:7" x14ac:dyDescent="0.3">
      <c r="A110" s="26">
        <v>41433</v>
      </c>
      <c r="B110" s="5" t="s">
        <v>32</v>
      </c>
      <c r="C110" s="5" t="s">
        <v>53</v>
      </c>
      <c r="D110" s="5" t="s">
        <v>26</v>
      </c>
      <c r="E110" s="22">
        <v>3.5</v>
      </c>
      <c r="G110" s="28"/>
    </row>
    <row r="111" spans="1:7" x14ac:dyDescent="0.3">
      <c r="A111" s="26">
        <v>41630</v>
      </c>
      <c r="B111" s="5" t="s">
        <v>31</v>
      </c>
      <c r="C111" s="5" t="s">
        <v>53</v>
      </c>
      <c r="D111" s="5" t="s">
        <v>29</v>
      </c>
      <c r="E111" s="22">
        <v>2</v>
      </c>
      <c r="G111" s="28"/>
    </row>
    <row r="112" spans="1:7" x14ac:dyDescent="0.3">
      <c r="A112" s="26">
        <v>41522</v>
      </c>
      <c r="B112" s="5" t="s">
        <v>32</v>
      </c>
      <c r="C112" s="5" t="s">
        <v>52</v>
      </c>
      <c r="D112" s="5" t="s">
        <v>55</v>
      </c>
      <c r="E112" s="22">
        <v>34</v>
      </c>
      <c r="G112" s="28"/>
    </row>
    <row r="113" spans="1:7" x14ac:dyDescent="0.3">
      <c r="A113" s="26">
        <v>41508</v>
      </c>
      <c r="B113" s="5" t="s">
        <v>35</v>
      </c>
      <c r="C113" s="5" t="s">
        <v>49</v>
      </c>
      <c r="D113" s="5" t="s">
        <v>55</v>
      </c>
      <c r="E113" s="22">
        <v>10</v>
      </c>
      <c r="G113" s="28"/>
    </row>
    <row r="114" spans="1:7" x14ac:dyDescent="0.3">
      <c r="A114" s="26">
        <v>41612</v>
      </c>
      <c r="B114" s="5" t="s">
        <v>32</v>
      </c>
      <c r="C114" s="5" t="s">
        <v>53</v>
      </c>
      <c r="D114" s="5" t="s">
        <v>30</v>
      </c>
      <c r="E114" s="22">
        <v>10</v>
      </c>
      <c r="G114" s="28"/>
    </row>
    <row r="115" spans="1:7" x14ac:dyDescent="0.3">
      <c r="A115" s="26">
        <v>41505</v>
      </c>
      <c r="B115" s="5" t="s">
        <v>33</v>
      </c>
      <c r="C115" s="5" t="s">
        <v>45</v>
      </c>
      <c r="D115" s="5" t="s">
        <v>28</v>
      </c>
      <c r="E115" s="22">
        <v>1.1000000000000001</v>
      </c>
      <c r="G115" s="28"/>
    </row>
    <row r="116" spans="1:7" x14ac:dyDescent="0.3">
      <c r="A116" s="26">
        <v>41617</v>
      </c>
      <c r="B116" s="5" t="s">
        <v>33</v>
      </c>
      <c r="C116" s="5" t="s">
        <v>53</v>
      </c>
      <c r="D116" s="5" t="s">
        <v>29</v>
      </c>
      <c r="E116" s="22">
        <v>2.8000000000000003</v>
      </c>
      <c r="G116" s="28"/>
    </row>
    <row r="117" spans="1:7" x14ac:dyDescent="0.3">
      <c r="A117" s="26">
        <v>41565</v>
      </c>
      <c r="B117" s="5" t="s">
        <v>33</v>
      </c>
      <c r="C117" s="5" t="s">
        <v>53</v>
      </c>
      <c r="D117" s="5" t="s">
        <v>55</v>
      </c>
      <c r="E117" s="22">
        <v>18</v>
      </c>
      <c r="G117" s="28"/>
    </row>
    <row r="118" spans="1:7" x14ac:dyDescent="0.3">
      <c r="A118" s="26">
        <v>41527</v>
      </c>
      <c r="B118" s="5" t="s">
        <v>34</v>
      </c>
      <c r="C118" s="5" t="s">
        <v>56</v>
      </c>
      <c r="D118" s="5" t="s">
        <v>26</v>
      </c>
      <c r="E118" s="22">
        <v>8.5</v>
      </c>
      <c r="G118" s="28"/>
    </row>
    <row r="119" spans="1:7" x14ac:dyDescent="0.3">
      <c r="A119" s="26">
        <v>41580</v>
      </c>
      <c r="B119" s="5" t="s">
        <v>31</v>
      </c>
      <c r="C119" s="5" t="s">
        <v>53</v>
      </c>
      <c r="D119" s="5" t="s">
        <v>29</v>
      </c>
      <c r="E119" s="22">
        <v>0.4</v>
      </c>
      <c r="G119" s="28"/>
    </row>
    <row r="120" spans="1:7" x14ac:dyDescent="0.3">
      <c r="A120" s="26">
        <v>41498</v>
      </c>
      <c r="B120" s="5" t="s">
        <v>35</v>
      </c>
      <c r="C120" s="5" t="s">
        <v>49</v>
      </c>
      <c r="D120" s="5" t="s">
        <v>29</v>
      </c>
      <c r="E120" s="22">
        <v>1.8</v>
      </c>
      <c r="G120" s="28"/>
    </row>
    <row r="121" spans="1:7" x14ac:dyDescent="0.3">
      <c r="A121" s="26">
        <v>41441</v>
      </c>
      <c r="B121" s="5" t="s">
        <v>31</v>
      </c>
      <c r="C121" s="5" t="s">
        <v>56</v>
      </c>
      <c r="D121" s="5" t="s">
        <v>48</v>
      </c>
      <c r="E121" s="22">
        <v>44</v>
      </c>
      <c r="G121" s="28"/>
    </row>
    <row r="122" spans="1:7" x14ac:dyDescent="0.3">
      <c r="A122" s="26">
        <v>41434</v>
      </c>
      <c r="B122" s="5" t="s">
        <v>35</v>
      </c>
      <c r="C122" s="5" t="s">
        <v>52</v>
      </c>
      <c r="D122" s="5" t="s">
        <v>25</v>
      </c>
      <c r="E122" s="22">
        <v>42.5</v>
      </c>
      <c r="G122" s="28"/>
    </row>
    <row r="123" spans="1:7" x14ac:dyDescent="0.3">
      <c r="A123" s="26">
        <v>41561</v>
      </c>
      <c r="B123" s="5" t="s">
        <v>31</v>
      </c>
      <c r="C123" s="5" t="s">
        <v>52</v>
      </c>
      <c r="D123" s="5" t="s">
        <v>55</v>
      </c>
      <c r="E123" s="22">
        <v>8</v>
      </c>
      <c r="G123" s="28"/>
    </row>
    <row r="124" spans="1:7" x14ac:dyDescent="0.3">
      <c r="A124" s="26">
        <v>41624</v>
      </c>
      <c r="B124" s="5" t="s">
        <v>32</v>
      </c>
      <c r="C124" s="5" t="s">
        <v>45</v>
      </c>
      <c r="D124" s="5" t="s">
        <v>48</v>
      </c>
      <c r="E124" s="22">
        <v>68</v>
      </c>
      <c r="G124" s="28"/>
    </row>
    <row r="125" spans="1:7" x14ac:dyDescent="0.3">
      <c r="A125" s="26">
        <v>41521</v>
      </c>
      <c r="B125" s="5" t="s">
        <v>34</v>
      </c>
      <c r="C125" s="5" t="s">
        <v>45</v>
      </c>
      <c r="D125" s="5" t="s">
        <v>28</v>
      </c>
      <c r="E125" s="22">
        <v>0.70000000000000007</v>
      </c>
      <c r="G125" s="28"/>
    </row>
    <row r="126" spans="1:7" x14ac:dyDescent="0.3">
      <c r="A126" s="26">
        <v>41569</v>
      </c>
      <c r="B126" s="5" t="s">
        <v>34</v>
      </c>
      <c r="C126" s="5" t="s">
        <v>45</v>
      </c>
      <c r="D126" s="5" t="s">
        <v>54</v>
      </c>
      <c r="E126" s="22">
        <v>13.5</v>
      </c>
      <c r="G126" s="28"/>
    </row>
    <row r="127" spans="1:7" x14ac:dyDescent="0.3">
      <c r="A127" s="26">
        <v>41541</v>
      </c>
      <c r="B127" s="5" t="s">
        <v>34</v>
      </c>
      <c r="C127" s="5" t="s">
        <v>47</v>
      </c>
      <c r="D127" s="5" t="s">
        <v>28</v>
      </c>
      <c r="E127" s="22">
        <v>1.5</v>
      </c>
      <c r="G127" s="28"/>
    </row>
    <row r="128" spans="1:7" x14ac:dyDescent="0.3">
      <c r="A128" s="26">
        <v>41542</v>
      </c>
      <c r="B128" s="5" t="s">
        <v>34</v>
      </c>
      <c r="C128" s="5" t="s">
        <v>56</v>
      </c>
      <c r="D128" s="5" t="s">
        <v>26</v>
      </c>
      <c r="E128" s="22">
        <v>3.5</v>
      </c>
      <c r="G128" s="28"/>
    </row>
    <row r="129" spans="1:7" x14ac:dyDescent="0.3">
      <c r="A129" s="26">
        <v>41513</v>
      </c>
      <c r="B129" s="5" t="s">
        <v>33</v>
      </c>
      <c r="C129" s="5" t="s">
        <v>49</v>
      </c>
      <c r="D129" s="5" t="s">
        <v>29</v>
      </c>
      <c r="E129" s="22">
        <v>2.4000000000000004</v>
      </c>
      <c r="G129" s="28"/>
    </row>
    <row r="130" spans="1:7" x14ac:dyDescent="0.3">
      <c r="A130" s="26">
        <v>41577</v>
      </c>
      <c r="B130" s="5" t="s">
        <v>34</v>
      </c>
      <c r="C130" s="5" t="s">
        <v>47</v>
      </c>
      <c r="D130" s="5" t="s">
        <v>29</v>
      </c>
      <c r="E130" s="22">
        <v>2.4000000000000004</v>
      </c>
      <c r="G130" s="28"/>
    </row>
    <row r="131" spans="1:7" x14ac:dyDescent="0.3">
      <c r="A131" s="26">
        <v>41615</v>
      </c>
      <c r="B131" s="5" t="s">
        <v>31</v>
      </c>
      <c r="C131" s="5" t="s">
        <v>47</v>
      </c>
      <c r="D131" s="5" t="s">
        <v>55</v>
      </c>
      <c r="E131" s="22">
        <v>16</v>
      </c>
      <c r="G131" s="28"/>
    </row>
    <row r="132" spans="1:7" x14ac:dyDescent="0.3">
      <c r="A132" s="26">
        <v>41477</v>
      </c>
      <c r="B132" s="5" t="s">
        <v>34</v>
      </c>
      <c r="C132" s="5" t="s">
        <v>56</v>
      </c>
      <c r="D132" s="5" t="s">
        <v>25</v>
      </c>
      <c r="E132" s="22">
        <v>2.5</v>
      </c>
      <c r="G132" s="28"/>
    </row>
    <row r="133" spans="1:7" x14ac:dyDescent="0.3">
      <c r="A133" s="26">
        <v>41585</v>
      </c>
      <c r="B133" s="5" t="s">
        <v>31</v>
      </c>
      <c r="C133" s="5" t="s">
        <v>45</v>
      </c>
      <c r="D133" s="5" t="s">
        <v>26</v>
      </c>
      <c r="E133" s="22">
        <v>1.5</v>
      </c>
      <c r="G133" s="28"/>
    </row>
    <row r="134" spans="1:7" x14ac:dyDescent="0.3">
      <c r="A134" s="26">
        <v>41528</v>
      </c>
      <c r="B134" s="5" t="s">
        <v>32</v>
      </c>
      <c r="C134" s="5" t="s">
        <v>45</v>
      </c>
      <c r="D134" s="5" t="s">
        <v>25</v>
      </c>
      <c r="E134" s="22">
        <v>47.5</v>
      </c>
      <c r="G134" s="28"/>
    </row>
    <row r="135" spans="1:7" x14ac:dyDescent="0.3">
      <c r="A135" s="26">
        <v>41586</v>
      </c>
      <c r="B135" s="5" t="s">
        <v>31</v>
      </c>
      <c r="C135" s="5" t="s">
        <v>45</v>
      </c>
      <c r="D135" s="5" t="s">
        <v>29</v>
      </c>
      <c r="E135" s="22">
        <v>3.4000000000000004</v>
      </c>
      <c r="G135" s="28"/>
    </row>
    <row r="136" spans="1:7" x14ac:dyDescent="0.3">
      <c r="A136" s="26">
        <v>41555</v>
      </c>
      <c r="B136" s="5" t="s">
        <v>35</v>
      </c>
      <c r="C136" s="5" t="s">
        <v>53</v>
      </c>
      <c r="D136" s="5" t="s">
        <v>29</v>
      </c>
      <c r="E136" s="22">
        <v>0.60000000000000009</v>
      </c>
      <c r="G136" s="28"/>
    </row>
    <row r="137" spans="1:7" x14ac:dyDescent="0.3">
      <c r="A137" s="26">
        <v>41559</v>
      </c>
      <c r="B137" s="5" t="s">
        <v>33</v>
      </c>
      <c r="C137" s="5" t="s">
        <v>45</v>
      </c>
      <c r="D137" s="5" t="s">
        <v>28</v>
      </c>
      <c r="E137" s="22">
        <v>1.3</v>
      </c>
      <c r="G137" s="28"/>
    </row>
    <row r="138" spans="1:7" x14ac:dyDescent="0.3">
      <c r="A138" s="26">
        <v>41619</v>
      </c>
      <c r="B138" s="5" t="s">
        <v>34</v>
      </c>
      <c r="C138" s="5" t="s">
        <v>52</v>
      </c>
      <c r="D138" s="5" t="s">
        <v>48</v>
      </c>
      <c r="E138" s="22">
        <v>48</v>
      </c>
      <c r="G138" s="28"/>
    </row>
    <row r="139" spans="1:7" x14ac:dyDescent="0.3">
      <c r="A139" s="26">
        <v>41603</v>
      </c>
      <c r="B139" s="5" t="s">
        <v>31</v>
      </c>
      <c r="C139" s="5" t="s">
        <v>49</v>
      </c>
      <c r="D139" s="5" t="s">
        <v>54</v>
      </c>
      <c r="E139" s="22">
        <v>4.5</v>
      </c>
      <c r="G139" s="28"/>
    </row>
    <row r="140" spans="1:7" x14ac:dyDescent="0.3">
      <c r="A140" s="26">
        <v>41574</v>
      </c>
      <c r="B140" s="5" t="s">
        <v>34</v>
      </c>
      <c r="C140" s="5" t="s">
        <v>56</v>
      </c>
      <c r="D140" s="5" t="s">
        <v>29</v>
      </c>
      <c r="E140" s="22">
        <v>0.4</v>
      </c>
      <c r="G140" s="28"/>
    </row>
    <row r="141" spans="1:7" x14ac:dyDescent="0.3">
      <c r="A141" s="26">
        <v>41429</v>
      </c>
      <c r="B141" s="5" t="s">
        <v>33</v>
      </c>
      <c r="C141" s="5" t="s">
        <v>52</v>
      </c>
      <c r="D141" s="5" t="s">
        <v>54</v>
      </c>
      <c r="E141" s="22">
        <v>30</v>
      </c>
      <c r="G141" s="28"/>
    </row>
    <row r="142" spans="1:7" x14ac:dyDescent="0.3">
      <c r="A142" s="26">
        <v>41473</v>
      </c>
      <c r="B142" s="5" t="s">
        <v>33</v>
      </c>
      <c r="C142" s="5" t="s">
        <v>56</v>
      </c>
      <c r="D142" s="5" t="s">
        <v>30</v>
      </c>
      <c r="E142" s="22">
        <v>30</v>
      </c>
      <c r="G142" s="28"/>
    </row>
    <row r="143" spans="1:7" x14ac:dyDescent="0.3">
      <c r="A143" s="26">
        <v>41523</v>
      </c>
      <c r="B143" s="5" t="s">
        <v>33</v>
      </c>
      <c r="C143" s="5" t="s">
        <v>47</v>
      </c>
      <c r="D143" s="5" t="s">
        <v>48</v>
      </c>
      <c r="E143" s="22">
        <v>44</v>
      </c>
      <c r="G143" s="28"/>
    </row>
    <row r="144" spans="1:7" x14ac:dyDescent="0.3">
      <c r="A144" s="26">
        <v>41497</v>
      </c>
      <c r="B144" s="5" t="s">
        <v>32</v>
      </c>
      <c r="C144" s="5" t="s">
        <v>49</v>
      </c>
      <c r="D144" s="5" t="s">
        <v>55</v>
      </c>
      <c r="E144" s="22">
        <v>10</v>
      </c>
      <c r="G144" s="28"/>
    </row>
    <row r="145" spans="1:7" x14ac:dyDescent="0.3">
      <c r="A145" s="26">
        <v>41619</v>
      </c>
      <c r="B145" s="5" t="s">
        <v>34</v>
      </c>
      <c r="C145" s="5" t="s">
        <v>53</v>
      </c>
      <c r="D145" s="5" t="s">
        <v>26</v>
      </c>
      <c r="E145" s="22">
        <v>4</v>
      </c>
      <c r="G145" s="28"/>
    </row>
    <row r="146" spans="1:7" x14ac:dyDescent="0.3">
      <c r="A146" s="26">
        <v>41583</v>
      </c>
      <c r="B146" s="5" t="s">
        <v>35</v>
      </c>
      <c r="C146" s="5" t="s">
        <v>49</v>
      </c>
      <c r="D146" s="5" t="s">
        <v>26</v>
      </c>
      <c r="E146" s="22">
        <v>3.5</v>
      </c>
      <c r="G146" s="28"/>
    </row>
    <row r="147" spans="1:7" x14ac:dyDescent="0.3">
      <c r="A147" s="26">
        <v>41519</v>
      </c>
      <c r="B147" s="5" t="s">
        <v>34</v>
      </c>
      <c r="C147" s="5" t="s">
        <v>45</v>
      </c>
      <c r="D147" s="5" t="s">
        <v>55</v>
      </c>
      <c r="E147" s="22">
        <v>2</v>
      </c>
      <c r="G147" s="28"/>
    </row>
    <row r="148" spans="1:7" x14ac:dyDescent="0.3">
      <c r="A148" s="26">
        <v>41479</v>
      </c>
      <c r="B148" s="5" t="s">
        <v>35</v>
      </c>
      <c r="C148" s="5" t="s">
        <v>49</v>
      </c>
      <c r="D148" s="5" t="s">
        <v>29</v>
      </c>
      <c r="E148" s="22">
        <v>2.6</v>
      </c>
      <c r="G148" s="28"/>
    </row>
    <row r="149" spans="1:7" x14ac:dyDescent="0.3">
      <c r="A149" s="26">
        <v>41489</v>
      </c>
      <c r="B149" s="5" t="s">
        <v>33</v>
      </c>
      <c r="C149" s="5" t="s">
        <v>45</v>
      </c>
      <c r="D149" s="5" t="s">
        <v>48</v>
      </c>
      <c r="E149" s="22">
        <v>16</v>
      </c>
      <c r="G149" s="28"/>
    </row>
    <row r="150" spans="1:7" x14ac:dyDescent="0.3">
      <c r="A150" s="26">
        <v>41582</v>
      </c>
      <c r="B150" s="5" t="s">
        <v>35</v>
      </c>
      <c r="C150" s="5" t="s">
        <v>49</v>
      </c>
      <c r="D150" s="5" t="s">
        <v>48</v>
      </c>
      <c r="E150" s="22">
        <v>80</v>
      </c>
      <c r="G150" s="28"/>
    </row>
    <row r="151" spans="1:7" x14ac:dyDescent="0.3">
      <c r="A151" s="26">
        <v>41467</v>
      </c>
      <c r="B151" s="5" t="s">
        <v>32</v>
      </c>
      <c r="C151" s="5" t="s">
        <v>53</v>
      </c>
      <c r="D151" s="5" t="s">
        <v>26</v>
      </c>
      <c r="E151" s="22">
        <v>2.5</v>
      </c>
      <c r="G151" s="28"/>
    </row>
    <row r="152" spans="1:7" x14ac:dyDescent="0.3">
      <c r="A152" s="26">
        <v>41602</v>
      </c>
      <c r="B152" s="5" t="s">
        <v>31</v>
      </c>
      <c r="C152" s="5" t="s">
        <v>49</v>
      </c>
      <c r="D152" s="5" t="s">
        <v>28</v>
      </c>
      <c r="E152" s="22">
        <v>0.60000000000000009</v>
      </c>
      <c r="G152" s="28"/>
    </row>
    <row r="153" spans="1:7" x14ac:dyDescent="0.3">
      <c r="A153" s="26">
        <v>41582</v>
      </c>
      <c r="B153" s="5" t="s">
        <v>33</v>
      </c>
      <c r="C153" s="5" t="s">
        <v>45</v>
      </c>
      <c r="D153" s="5" t="s">
        <v>29</v>
      </c>
      <c r="E153" s="22">
        <v>2.2000000000000002</v>
      </c>
      <c r="G153" s="28"/>
    </row>
    <row r="154" spans="1:7" x14ac:dyDescent="0.3">
      <c r="A154" s="26">
        <v>41466</v>
      </c>
      <c r="B154" s="5" t="s">
        <v>33</v>
      </c>
      <c r="C154" s="5" t="s">
        <v>56</v>
      </c>
      <c r="D154" s="5" t="s">
        <v>25</v>
      </c>
      <c r="E154" s="22">
        <v>47.5</v>
      </c>
      <c r="G154" s="28"/>
    </row>
    <row r="155" spans="1:7" x14ac:dyDescent="0.3">
      <c r="A155" s="26">
        <v>41595</v>
      </c>
      <c r="B155" s="5" t="s">
        <v>31</v>
      </c>
      <c r="C155" s="5" t="s">
        <v>49</v>
      </c>
      <c r="D155" s="5" t="s">
        <v>55</v>
      </c>
      <c r="E155" s="22">
        <v>40</v>
      </c>
      <c r="G155" s="28"/>
    </row>
    <row r="156" spans="1:7" x14ac:dyDescent="0.3">
      <c r="A156" s="26">
        <v>41503</v>
      </c>
      <c r="B156" s="5" t="s">
        <v>34</v>
      </c>
      <c r="C156" s="5" t="s">
        <v>56</v>
      </c>
      <c r="D156" s="5" t="s">
        <v>48</v>
      </c>
      <c r="E156" s="22">
        <v>76</v>
      </c>
      <c r="G156" s="28"/>
    </row>
    <row r="157" spans="1:7" x14ac:dyDescent="0.3">
      <c r="A157" s="26">
        <v>41468</v>
      </c>
      <c r="B157" s="5" t="s">
        <v>34</v>
      </c>
      <c r="C157" s="5" t="s">
        <v>52</v>
      </c>
      <c r="D157" s="5" t="s">
        <v>30</v>
      </c>
      <c r="E157" s="22">
        <v>15</v>
      </c>
      <c r="G157" s="28"/>
    </row>
    <row r="158" spans="1:7" x14ac:dyDescent="0.3">
      <c r="A158" s="26">
        <v>41569</v>
      </c>
      <c r="B158" s="5" t="s">
        <v>33</v>
      </c>
      <c r="C158" s="5" t="s">
        <v>49</v>
      </c>
      <c r="D158" s="5" t="s">
        <v>26</v>
      </c>
      <c r="E158" s="22">
        <v>10</v>
      </c>
      <c r="G158" s="28"/>
    </row>
    <row r="159" spans="1:7" x14ac:dyDescent="0.3">
      <c r="A159" s="26">
        <v>41445</v>
      </c>
      <c r="B159" s="5" t="s">
        <v>35</v>
      </c>
      <c r="C159" s="5" t="s">
        <v>49</v>
      </c>
      <c r="D159" s="5" t="s">
        <v>54</v>
      </c>
      <c r="E159" s="22">
        <v>3</v>
      </c>
      <c r="G159" s="28"/>
    </row>
    <row r="160" spans="1:7" x14ac:dyDescent="0.3">
      <c r="A160" s="26">
        <v>41570</v>
      </c>
      <c r="B160" s="5" t="s">
        <v>33</v>
      </c>
      <c r="C160" s="5" t="s">
        <v>45</v>
      </c>
      <c r="D160" s="5" t="s">
        <v>28</v>
      </c>
      <c r="E160" s="22">
        <v>1.3</v>
      </c>
      <c r="G160" s="28"/>
    </row>
    <row r="161" spans="1:7" x14ac:dyDescent="0.3">
      <c r="A161" s="26">
        <v>41458</v>
      </c>
      <c r="B161" s="5" t="s">
        <v>31</v>
      </c>
      <c r="C161" s="5" t="s">
        <v>56</v>
      </c>
      <c r="D161" s="5" t="s">
        <v>29</v>
      </c>
      <c r="E161" s="22">
        <v>0.4</v>
      </c>
      <c r="G161" s="28"/>
    </row>
    <row r="162" spans="1:7" x14ac:dyDescent="0.3">
      <c r="A162" s="26">
        <v>41436</v>
      </c>
      <c r="B162" s="5" t="s">
        <v>35</v>
      </c>
      <c r="C162" s="5" t="s">
        <v>49</v>
      </c>
      <c r="D162" s="5" t="s">
        <v>28</v>
      </c>
      <c r="E162" s="22">
        <v>1</v>
      </c>
      <c r="G162" s="28"/>
    </row>
    <row r="163" spans="1:7" x14ac:dyDescent="0.3">
      <c r="A163" s="26">
        <v>41474</v>
      </c>
      <c r="B163" s="5" t="s">
        <v>33</v>
      </c>
      <c r="C163" s="5" t="s">
        <v>47</v>
      </c>
      <c r="D163" s="5" t="s">
        <v>26</v>
      </c>
      <c r="E163" s="22">
        <v>0.5</v>
      </c>
      <c r="G163" s="28"/>
    </row>
    <row r="164" spans="1:7" x14ac:dyDescent="0.3">
      <c r="A164" s="26">
        <v>41546</v>
      </c>
      <c r="B164" s="5" t="s">
        <v>31</v>
      </c>
      <c r="C164" s="5" t="s">
        <v>53</v>
      </c>
      <c r="D164" s="5" t="s">
        <v>54</v>
      </c>
      <c r="E164" s="22">
        <v>13.5</v>
      </c>
      <c r="G164" s="28"/>
    </row>
    <row r="165" spans="1:7" x14ac:dyDescent="0.3">
      <c r="A165" s="26">
        <v>41469</v>
      </c>
      <c r="B165" s="5" t="s">
        <v>35</v>
      </c>
      <c r="C165" s="5" t="s">
        <v>45</v>
      </c>
      <c r="D165" s="5" t="s">
        <v>55</v>
      </c>
      <c r="E165" s="22">
        <v>14</v>
      </c>
      <c r="G165" s="28"/>
    </row>
    <row r="166" spans="1:7" x14ac:dyDescent="0.3">
      <c r="A166" s="26">
        <v>41615</v>
      </c>
      <c r="B166" s="5" t="s">
        <v>32</v>
      </c>
      <c r="C166" s="5" t="s">
        <v>47</v>
      </c>
      <c r="D166" s="5" t="s">
        <v>28</v>
      </c>
      <c r="E166" s="22">
        <v>1.6</v>
      </c>
      <c r="G166" s="28"/>
    </row>
    <row r="167" spans="1:7" x14ac:dyDescent="0.3">
      <c r="A167" s="26">
        <v>41529</v>
      </c>
      <c r="B167" s="5" t="s">
        <v>31</v>
      </c>
      <c r="C167" s="5" t="s">
        <v>45</v>
      </c>
      <c r="D167" s="5" t="s">
        <v>25</v>
      </c>
      <c r="E167" s="22">
        <v>12.5</v>
      </c>
      <c r="G167" s="28"/>
    </row>
    <row r="168" spans="1:7" x14ac:dyDescent="0.3">
      <c r="A168" s="26">
        <v>41481</v>
      </c>
      <c r="B168" s="5" t="s">
        <v>34</v>
      </c>
      <c r="C168" s="5" t="s">
        <v>47</v>
      </c>
      <c r="D168" s="5" t="s">
        <v>48</v>
      </c>
      <c r="E168" s="22">
        <v>32</v>
      </c>
      <c r="G168" s="28"/>
    </row>
    <row r="169" spans="1:7" x14ac:dyDescent="0.3">
      <c r="A169" s="26">
        <v>41623</v>
      </c>
      <c r="B169" s="5" t="s">
        <v>32</v>
      </c>
      <c r="C169" s="5" t="s">
        <v>47</v>
      </c>
      <c r="D169" s="5" t="s">
        <v>25</v>
      </c>
      <c r="E169" s="22">
        <v>12.5</v>
      </c>
      <c r="G169" s="28"/>
    </row>
    <row r="170" spans="1:7" x14ac:dyDescent="0.3">
      <c r="A170" s="26">
        <v>41608</v>
      </c>
      <c r="B170" s="5" t="s">
        <v>31</v>
      </c>
      <c r="C170" s="5" t="s">
        <v>49</v>
      </c>
      <c r="D170" s="5" t="s">
        <v>28</v>
      </c>
      <c r="E170" s="22">
        <v>0.4</v>
      </c>
      <c r="G170" s="28"/>
    </row>
    <row r="171" spans="1:7" x14ac:dyDescent="0.3">
      <c r="A171" s="26">
        <v>41535</v>
      </c>
      <c r="B171" s="5" t="s">
        <v>33</v>
      </c>
      <c r="C171" s="5" t="s">
        <v>45</v>
      </c>
      <c r="D171" s="5" t="s">
        <v>48</v>
      </c>
      <c r="E171" s="22">
        <v>68</v>
      </c>
      <c r="G171" s="28"/>
    </row>
    <row r="172" spans="1:7" x14ac:dyDescent="0.3">
      <c r="A172" s="26">
        <v>41551</v>
      </c>
      <c r="B172" s="5" t="s">
        <v>35</v>
      </c>
      <c r="C172" s="5" t="s">
        <v>56</v>
      </c>
      <c r="D172" s="5" t="s">
        <v>29</v>
      </c>
      <c r="E172" s="22">
        <v>3.6</v>
      </c>
      <c r="G172" s="28"/>
    </row>
    <row r="173" spans="1:7" x14ac:dyDescent="0.3">
      <c r="A173" s="26">
        <v>41445</v>
      </c>
      <c r="B173" s="5" t="s">
        <v>35</v>
      </c>
      <c r="C173" s="5" t="s">
        <v>53</v>
      </c>
      <c r="D173" s="5" t="s">
        <v>54</v>
      </c>
      <c r="E173" s="22">
        <v>21</v>
      </c>
      <c r="G173" s="28"/>
    </row>
    <row r="174" spans="1:7" x14ac:dyDescent="0.3">
      <c r="A174" s="26">
        <v>41605</v>
      </c>
      <c r="B174" s="5" t="s">
        <v>33</v>
      </c>
      <c r="C174" s="5" t="s">
        <v>45</v>
      </c>
      <c r="D174" s="5" t="s">
        <v>30</v>
      </c>
      <c r="E174" s="22">
        <v>10</v>
      </c>
    </row>
    <row r="175" spans="1:7" x14ac:dyDescent="0.3">
      <c r="A175" s="26">
        <v>41527</v>
      </c>
      <c r="B175" s="5" t="s">
        <v>32</v>
      </c>
      <c r="C175" s="5" t="s">
        <v>52</v>
      </c>
      <c r="D175" s="5" t="s">
        <v>30</v>
      </c>
      <c r="E175" s="22">
        <v>30</v>
      </c>
    </row>
    <row r="176" spans="1:7" x14ac:dyDescent="0.3">
      <c r="A176" s="26">
        <v>41503</v>
      </c>
      <c r="B176" s="5" t="s">
        <v>31</v>
      </c>
      <c r="C176" s="5" t="s">
        <v>45</v>
      </c>
      <c r="D176" s="5" t="s">
        <v>25</v>
      </c>
      <c r="E176" s="22">
        <v>10</v>
      </c>
    </row>
    <row r="177" spans="1:5" x14ac:dyDescent="0.3">
      <c r="A177" s="26">
        <v>41511</v>
      </c>
      <c r="B177" s="5" t="s">
        <v>34</v>
      </c>
      <c r="C177" s="5" t="s">
        <v>56</v>
      </c>
      <c r="D177" s="5" t="s">
        <v>25</v>
      </c>
      <c r="E177" s="22">
        <v>25</v>
      </c>
    </row>
    <row r="178" spans="1:5" x14ac:dyDescent="0.3">
      <c r="A178" s="26">
        <v>41479</v>
      </c>
      <c r="B178" s="5" t="s">
        <v>34</v>
      </c>
      <c r="C178" s="5" t="s">
        <v>52</v>
      </c>
      <c r="D178" s="5" t="s">
        <v>55</v>
      </c>
      <c r="E178" s="22">
        <v>6</v>
      </c>
    </row>
    <row r="179" spans="1:5" x14ac:dyDescent="0.3">
      <c r="A179" s="26">
        <v>41608</v>
      </c>
      <c r="B179" s="5" t="s">
        <v>31</v>
      </c>
      <c r="C179" s="5" t="s">
        <v>52</v>
      </c>
      <c r="D179" s="5" t="s">
        <v>29</v>
      </c>
      <c r="E179" s="22">
        <v>1.8</v>
      </c>
    </row>
    <row r="180" spans="1:5" x14ac:dyDescent="0.3">
      <c r="A180" s="26">
        <v>41552</v>
      </c>
      <c r="B180" s="5" t="s">
        <v>33</v>
      </c>
      <c r="C180" s="5" t="s">
        <v>53</v>
      </c>
      <c r="D180" s="5" t="s">
        <v>48</v>
      </c>
      <c r="E180" s="22">
        <v>12</v>
      </c>
    </row>
    <row r="181" spans="1:5" x14ac:dyDescent="0.3">
      <c r="A181" s="26">
        <v>41476</v>
      </c>
      <c r="B181" s="5" t="s">
        <v>35</v>
      </c>
      <c r="C181" s="5" t="s">
        <v>52</v>
      </c>
      <c r="D181" s="5" t="s">
        <v>29</v>
      </c>
      <c r="E181" s="22">
        <v>1.2000000000000002</v>
      </c>
    </row>
    <row r="182" spans="1:5" x14ac:dyDescent="0.3">
      <c r="A182" s="26">
        <v>41515</v>
      </c>
      <c r="B182" s="5" t="s">
        <v>33</v>
      </c>
      <c r="C182" s="5" t="s">
        <v>45</v>
      </c>
      <c r="D182" s="5" t="s">
        <v>55</v>
      </c>
      <c r="E182" s="22">
        <v>30</v>
      </c>
    </row>
    <row r="183" spans="1:5" x14ac:dyDescent="0.3">
      <c r="A183" s="26">
        <v>41619</v>
      </c>
      <c r="B183" s="5" t="s">
        <v>32</v>
      </c>
      <c r="C183" s="5" t="s">
        <v>49</v>
      </c>
      <c r="D183" s="5" t="s">
        <v>25</v>
      </c>
      <c r="E183" s="22">
        <v>42.5</v>
      </c>
    </row>
    <row r="184" spans="1:5" x14ac:dyDescent="0.3">
      <c r="A184" s="26">
        <v>41474</v>
      </c>
      <c r="B184" s="5" t="s">
        <v>32</v>
      </c>
      <c r="C184" s="5" t="s">
        <v>52</v>
      </c>
      <c r="D184" s="5" t="s">
        <v>48</v>
      </c>
      <c r="E184" s="22">
        <v>44</v>
      </c>
    </row>
    <row r="185" spans="1:5" x14ac:dyDescent="0.3">
      <c r="A185" s="26">
        <v>41499</v>
      </c>
      <c r="B185" s="5" t="s">
        <v>35</v>
      </c>
      <c r="C185" s="5" t="s">
        <v>52</v>
      </c>
      <c r="D185" s="5" t="s">
        <v>25</v>
      </c>
      <c r="E185" s="22">
        <v>25</v>
      </c>
    </row>
    <row r="186" spans="1:5" x14ac:dyDescent="0.3">
      <c r="A186" s="26">
        <v>41585</v>
      </c>
      <c r="B186" s="5" t="s">
        <v>35</v>
      </c>
      <c r="C186" s="5" t="s">
        <v>49</v>
      </c>
      <c r="D186" s="5" t="s">
        <v>29</v>
      </c>
      <c r="E186" s="22">
        <v>3.2</v>
      </c>
    </row>
    <row r="187" spans="1:5" x14ac:dyDescent="0.3">
      <c r="A187" s="26">
        <v>41542</v>
      </c>
      <c r="B187" s="5" t="s">
        <v>32</v>
      </c>
      <c r="C187" s="5" t="s">
        <v>52</v>
      </c>
      <c r="D187" s="5" t="s">
        <v>30</v>
      </c>
      <c r="E187" s="22">
        <v>80</v>
      </c>
    </row>
    <row r="188" spans="1:5" x14ac:dyDescent="0.3">
      <c r="A188" s="26">
        <v>41632</v>
      </c>
      <c r="B188" s="5" t="s">
        <v>32</v>
      </c>
      <c r="C188" s="5" t="s">
        <v>52</v>
      </c>
      <c r="D188" s="5" t="s">
        <v>48</v>
      </c>
      <c r="E188" s="22">
        <v>80</v>
      </c>
    </row>
    <row r="189" spans="1:5" x14ac:dyDescent="0.3">
      <c r="A189" s="26">
        <v>41503</v>
      </c>
      <c r="B189" s="5" t="s">
        <v>34</v>
      </c>
      <c r="C189" s="5" t="s">
        <v>47</v>
      </c>
      <c r="D189" s="5" t="s">
        <v>48</v>
      </c>
      <c r="E189" s="22">
        <v>16</v>
      </c>
    </row>
    <row r="190" spans="1:5" x14ac:dyDescent="0.3">
      <c r="A190" s="26">
        <v>41630</v>
      </c>
      <c r="B190" s="5" t="s">
        <v>33</v>
      </c>
      <c r="C190" s="5" t="s">
        <v>52</v>
      </c>
      <c r="D190" s="5" t="s">
        <v>29</v>
      </c>
      <c r="E190" s="22">
        <v>4</v>
      </c>
    </row>
    <row r="191" spans="1:5" x14ac:dyDescent="0.3">
      <c r="A191" s="26">
        <v>41519</v>
      </c>
      <c r="B191" s="5" t="s">
        <v>34</v>
      </c>
      <c r="C191" s="5" t="s">
        <v>56</v>
      </c>
      <c r="D191" s="5" t="s">
        <v>25</v>
      </c>
      <c r="E191" s="22">
        <v>2.5</v>
      </c>
    </row>
    <row r="192" spans="1:5" x14ac:dyDescent="0.3">
      <c r="A192" s="26">
        <v>41604</v>
      </c>
      <c r="B192" s="5" t="s">
        <v>33</v>
      </c>
      <c r="C192" s="5" t="s">
        <v>52</v>
      </c>
      <c r="D192" s="5" t="s">
        <v>54</v>
      </c>
      <c r="E192" s="22">
        <v>1.5</v>
      </c>
    </row>
    <row r="193" spans="1:5" x14ac:dyDescent="0.3">
      <c r="A193" s="26">
        <v>41467</v>
      </c>
      <c r="B193" s="5" t="s">
        <v>34</v>
      </c>
      <c r="C193" s="5" t="s">
        <v>49</v>
      </c>
      <c r="D193" s="5" t="s">
        <v>30</v>
      </c>
      <c r="E193" s="22">
        <v>50</v>
      </c>
    </row>
    <row r="194" spans="1:5" x14ac:dyDescent="0.3">
      <c r="A194" s="26">
        <v>41495</v>
      </c>
      <c r="B194" s="5" t="s">
        <v>33</v>
      </c>
      <c r="C194" s="5" t="s">
        <v>52</v>
      </c>
      <c r="D194" s="5" t="s">
        <v>25</v>
      </c>
      <c r="E194" s="22">
        <v>15</v>
      </c>
    </row>
    <row r="195" spans="1:5" x14ac:dyDescent="0.3">
      <c r="A195" s="26">
        <v>41527</v>
      </c>
      <c r="B195" s="5" t="s">
        <v>35</v>
      </c>
      <c r="C195" s="5" t="s">
        <v>45</v>
      </c>
      <c r="D195" s="5" t="s">
        <v>29</v>
      </c>
      <c r="E195" s="22">
        <v>3.4000000000000004</v>
      </c>
    </row>
    <row r="196" spans="1:5" x14ac:dyDescent="0.3">
      <c r="A196" s="26">
        <v>41629</v>
      </c>
      <c r="B196" s="5" t="s">
        <v>35</v>
      </c>
      <c r="C196" s="5" t="s">
        <v>45</v>
      </c>
      <c r="D196" s="5" t="s">
        <v>25</v>
      </c>
      <c r="E196" s="22">
        <v>45</v>
      </c>
    </row>
    <row r="197" spans="1:5" x14ac:dyDescent="0.3">
      <c r="A197" s="26">
        <v>41631</v>
      </c>
      <c r="B197" s="5" t="s">
        <v>35</v>
      </c>
      <c r="C197" s="5" t="s">
        <v>53</v>
      </c>
      <c r="D197" s="5" t="s">
        <v>25</v>
      </c>
      <c r="E197" s="22">
        <v>5</v>
      </c>
    </row>
    <row r="198" spans="1:5" x14ac:dyDescent="0.3">
      <c r="A198" s="26">
        <v>41467</v>
      </c>
      <c r="B198" s="5" t="s">
        <v>35</v>
      </c>
      <c r="C198" s="5" t="s">
        <v>52</v>
      </c>
      <c r="D198" s="5" t="s">
        <v>28</v>
      </c>
      <c r="E198" s="22">
        <v>0.8</v>
      </c>
    </row>
    <row r="199" spans="1:5" x14ac:dyDescent="0.3">
      <c r="A199" s="26">
        <v>41536</v>
      </c>
      <c r="B199" s="5" t="s">
        <v>34</v>
      </c>
      <c r="C199" s="5" t="s">
        <v>45</v>
      </c>
      <c r="D199" s="5" t="s">
        <v>26</v>
      </c>
      <c r="E199" s="22">
        <v>2</v>
      </c>
    </row>
    <row r="200" spans="1:5" x14ac:dyDescent="0.3">
      <c r="A200" s="26">
        <v>41548</v>
      </c>
      <c r="B200" s="5" t="s">
        <v>34</v>
      </c>
      <c r="C200" s="5" t="s">
        <v>52</v>
      </c>
      <c r="D200" s="5" t="s">
        <v>29</v>
      </c>
      <c r="E200" s="22">
        <v>1.6</v>
      </c>
    </row>
    <row r="201" spans="1:5" x14ac:dyDescent="0.3">
      <c r="A201" s="26">
        <v>41459</v>
      </c>
      <c r="B201" s="5" t="s">
        <v>31</v>
      </c>
      <c r="C201" s="5" t="s">
        <v>53</v>
      </c>
      <c r="D201" s="5" t="s">
        <v>26</v>
      </c>
      <c r="E201" s="22">
        <v>9.5</v>
      </c>
    </row>
    <row r="202" spans="1:5" x14ac:dyDescent="0.3">
      <c r="A202" s="26">
        <v>41619</v>
      </c>
      <c r="B202" s="5" t="s">
        <v>33</v>
      </c>
      <c r="C202" s="5" t="s">
        <v>53</v>
      </c>
      <c r="D202" s="5" t="s">
        <v>29</v>
      </c>
      <c r="E202" s="22">
        <v>2.8000000000000003</v>
      </c>
    </row>
    <row r="203" spans="1:5" x14ac:dyDescent="0.3">
      <c r="A203" s="26">
        <v>41445</v>
      </c>
      <c r="B203" s="5" t="s">
        <v>33</v>
      </c>
      <c r="C203" s="5" t="s">
        <v>53</v>
      </c>
      <c r="D203" s="5" t="s">
        <v>48</v>
      </c>
      <c r="E203" s="22">
        <v>8</v>
      </c>
    </row>
    <row r="204" spans="1:5" x14ac:dyDescent="0.3">
      <c r="A204" s="26">
        <v>41571</v>
      </c>
      <c r="B204" s="5" t="s">
        <v>32</v>
      </c>
      <c r="C204" s="5" t="s">
        <v>52</v>
      </c>
      <c r="D204" s="5" t="s">
        <v>48</v>
      </c>
      <c r="E204" s="22">
        <v>24</v>
      </c>
    </row>
    <row r="205" spans="1:5" x14ac:dyDescent="0.3">
      <c r="A205" s="26">
        <v>41600</v>
      </c>
      <c r="B205" s="5" t="s">
        <v>32</v>
      </c>
      <c r="C205" s="5" t="s">
        <v>52</v>
      </c>
      <c r="D205" s="5" t="s">
        <v>26</v>
      </c>
      <c r="E205" s="22">
        <v>2</v>
      </c>
    </row>
    <row r="206" spans="1:5" x14ac:dyDescent="0.3">
      <c r="A206" s="26">
        <v>41463</v>
      </c>
      <c r="B206" s="5" t="s">
        <v>35</v>
      </c>
      <c r="C206" s="5" t="s">
        <v>52</v>
      </c>
      <c r="D206" s="5" t="s">
        <v>25</v>
      </c>
      <c r="E206" s="22">
        <v>35</v>
      </c>
    </row>
    <row r="207" spans="1:5" x14ac:dyDescent="0.3">
      <c r="A207" s="26">
        <v>41530</v>
      </c>
      <c r="B207" s="5" t="s">
        <v>34</v>
      </c>
      <c r="C207" s="5" t="s">
        <v>45</v>
      </c>
      <c r="D207" s="5" t="s">
        <v>48</v>
      </c>
      <c r="E207" s="22">
        <v>16</v>
      </c>
    </row>
    <row r="208" spans="1:5" x14ac:dyDescent="0.3">
      <c r="A208" s="26">
        <v>41507</v>
      </c>
      <c r="B208" s="5" t="s">
        <v>31</v>
      </c>
      <c r="C208" s="5" t="s">
        <v>53</v>
      </c>
      <c r="D208" s="5" t="s">
        <v>54</v>
      </c>
      <c r="E208" s="22">
        <v>22.5</v>
      </c>
    </row>
    <row r="209" spans="1:5" x14ac:dyDescent="0.3">
      <c r="A209" s="26">
        <v>41496</v>
      </c>
      <c r="B209" s="5" t="s">
        <v>35</v>
      </c>
      <c r="C209" s="5" t="s">
        <v>45</v>
      </c>
      <c r="D209" s="5" t="s">
        <v>54</v>
      </c>
      <c r="E209" s="22">
        <v>12</v>
      </c>
    </row>
    <row r="210" spans="1:5" x14ac:dyDescent="0.3">
      <c r="A210" s="26">
        <v>41627</v>
      </c>
      <c r="B210" s="5" t="s">
        <v>35</v>
      </c>
      <c r="C210" s="5" t="s">
        <v>53</v>
      </c>
      <c r="D210" s="5" t="s">
        <v>30</v>
      </c>
      <c r="E210" s="22">
        <v>40</v>
      </c>
    </row>
    <row r="211" spans="1:5" x14ac:dyDescent="0.3">
      <c r="A211" s="26">
        <v>41616</v>
      </c>
      <c r="B211" s="5" t="s">
        <v>35</v>
      </c>
      <c r="C211" s="5" t="s">
        <v>49</v>
      </c>
      <c r="D211" s="5" t="s">
        <v>48</v>
      </c>
      <c r="E211" s="22">
        <v>40</v>
      </c>
    </row>
    <row r="212" spans="1:5" x14ac:dyDescent="0.3">
      <c r="A212" s="26">
        <v>41487</v>
      </c>
      <c r="B212" s="5" t="s">
        <v>33</v>
      </c>
      <c r="C212" s="5" t="s">
        <v>53</v>
      </c>
      <c r="D212" s="5" t="s">
        <v>48</v>
      </c>
      <c r="E212" s="22">
        <v>44</v>
      </c>
    </row>
    <row r="213" spans="1:5" x14ac:dyDescent="0.3">
      <c r="A213" s="26">
        <v>41612</v>
      </c>
      <c r="B213" s="5" t="s">
        <v>34</v>
      </c>
      <c r="C213" s="5" t="s">
        <v>56</v>
      </c>
      <c r="D213" s="5" t="s">
        <v>54</v>
      </c>
      <c r="E213" s="22">
        <v>12</v>
      </c>
    </row>
    <row r="214" spans="1:5" x14ac:dyDescent="0.3">
      <c r="A214" s="26">
        <v>41503</v>
      </c>
      <c r="B214" s="5" t="s">
        <v>31</v>
      </c>
      <c r="C214" s="5" t="s">
        <v>49</v>
      </c>
      <c r="D214" s="5" t="s">
        <v>28</v>
      </c>
      <c r="E214" s="22">
        <v>0.60000000000000009</v>
      </c>
    </row>
    <row r="215" spans="1:5" x14ac:dyDescent="0.3">
      <c r="A215" s="26">
        <v>41480</v>
      </c>
      <c r="B215" s="5" t="s">
        <v>31</v>
      </c>
      <c r="C215" s="5" t="s">
        <v>52</v>
      </c>
      <c r="D215" s="5" t="s">
        <v>25</v>
      </c>
      <c r="E215" s="22">
        <v>35</v>
      </c>
    </row>
    <row r="216" spans="1:5" x14ac:dyDescent="0.3">
      <c r="A216" s="26">
        <v>41494</v>
      </c>
      <c r="B216" s="5" t="s">
        <v>32</v>
      </c>
      <c r="C216" s="5" t="s">
        <v>52</v>
      </c>
      <c r="D216" s="5" t="s">
        <v>28</v>
      </c>
      <c r="E216" s="22">
        <v>1.9000000000000001</v>
      </c>
    </row>
    <row r="217" spans="1:5" x14ac:dyDescent="0.3">
      <c r="A217" s="26">
        <v>41578</v>
      </c>
      <c r="B217" s="5" t="s">
        <v>31</v>
      </c>
      <c r="C217" s="5" t="s">
        <v>52</v>
      </c>
      <c r="D217" s="5" t="s">
        <v>48</v>
      </c>
      <c r="E217" s="22">
        <v>64</v>
      </c>
    </row>
    <row r="218" spans="1:5" x14ac:dyDescent="0.3">
      <c r="A218" s="26">
        <v>41453</v>
      </c>
      <c r="B218" s="5" t="s">
        <v>33</v>
      </c>
      <c r="C218" s="5" t="s">
        <v>53</v>
      </c>
      <c r="D218" s="5" t="s">
        <v>25</v>
      </c>
      <c r="E218" s="22">
        <v>22.5</v>
      </c>
    </row>
    <row r="219" spans="1:5" x14ac:dyDescent="0.3">
      <c r="A219" s="26">
        <v>41595</v>
      </c>
      <c r="B219" s="5" t="s">
        <v>31</v>
      </c>
      <c r="C219" s="5" t="s">
        <v>49</v>
      </c>
      <c r="D219" s="5" t="s">
        <v>25</v>
      </c>
      <c r="E219" s="22">
        <v>27.5</v>
      </c>
    </row>
    <row r="220" spans="1:5" x14ac:dyDescent="0.3">
      <c r="A220" s="26">
        <v>41582</v>
      </c>
      <c r="B220" s="5" t="s">
        <v>32</v>
      </c>
      <c r="C220" s="5" t="s">
        <v>52</v>
      </c>
      <c r="D220" s="5" t="s">
        <v>48</v>
      </c>
      <c r="E220" s="22">
        <v>20</v>
      </c>
    </row>
    <row r="221" spans="1:5" x14ac:dyDescent="0.3">
      <c r="A221" s="26">
        <v>41609</v>
      </c>
      <c r="B221" s="5" t="s">
        <v>34</v>
      </c>
      <c r="C221" s="5" t="s">
        <v>53</v>
      </c>
      <c r="D221" s="5" t="s">
        <v>25</v>
      </c>
      <c r="E221" s="22">
        <v>35</v>
      </c>
    </row>
    <row r="222" spans="1:5" x14ac:dyDescent="0.3">
      <c r="A222" s="26">
        <v>41453</v>
      </c>
      <c r="B222" s="5" t="s">
        <v>34</v>
      </c>
      <c r="C222" s="5" t="s">
        <v>52</v>
      </c>
      <c r="D222" s="5" t="s">
        <v>25</v>
      </c>
      <c r="E222" s="22">
        <v>20</v>
      </c>
    </row>
    <row r="223" spans="1:5" x14ac:dyDescent="0.3">
      <c r="A223" s="26">
        <v>41495</v>
      </c>
      <c r="B223" s="5" t="s">
        <v>32</v>
      </c>
      <c r="C223" s="5" t="s">
        <v>47</v>
      </c>
      <c r="D223" s="5" t="s">
        <v>28</v>
      </c>
      <c r="E223" s="22">
        <v>1.2000000000000002</v>
      </c>
    </row>
    <row r="224" spans="1:5" x14ac:dyDescent="0.3">
      <c r="A224" s="26">
        <v>41569</v>
      </c>
      <c r="B224" s="5" t="s">
        <v>35</v>
      </c>
      <c r="C224" s="5" t="s">
        <v>49</v>
      </c>
      <c r="D224" s="5" t="s">
        <v>25</v>
      </c>
      <c r="E224" s="22">
        <v>42.5</v>
      </c>
    </row>
    <row r="225" spans="1:5" x14ac:dyDescent="0.3">
      <c r="A225" s="26">
        <v>41487</v>
      </c>
      <c r="B225" s="5" t="s">
        <v>34</v>
      </c>
      <c r="C225" s="5" t="s">
        <v>47</v>
      </c>
      <c r="D225" s="5" t="s">
        <v>25</v>
      </c>
      <c r="E225" s="22">
        <v>27.5</v>
      </c>
    </row>
    <row r="226" spans="1:5" x14ac:dyDescent="0.3">
      <c r="A226" s="26">
        <v>41576</v>
      </c>
      <c r="B226" s="5" t="s">
        <v>35</v>
      </c>
      <c r="C226" s="5" t="s">
        <v>47</v>
      </c>
      <c r="D226" s="5" t="s">
        <v>25</v>
      </c>
      <c r="E226" s="22">
        <v>5</v>
      </c>
    </row>
    <row r="227" spans="1:5" x14ac:dyDescent="0.3">
      <c r="A227" s="26">
        <v>41471</v>
      </c>
      <c r="B227" s="5" t="s">
        <v>31</v>
      </c>
      <c r="C227" s="5" t="s">
        <v>56</v>
      </c>
      <c r="D227" s="5" t="s">
        <v>30</v>
      </c>
      <c r="E227" s="22">
        <v>100</v>
      </c>
    </row>
    <row r="228" spans="1:5" x14ac:dyDescent="0.3">
      <c r="A228" s="26">
        <v>41437</v>
      </c>
      <c r="B228" s="5" t="s">
        <v>33</v>
      </c>
      <c r="C228" s="5" t="s">
        <v>47</v>
      </c>
      <c r="D228" s="5" t="s">
        <v>48</v>
      </c>
      <c r="E228" s="22">
        <v>72</v>
      </c>
    </row>
    <row r="229" spans="1:5" x14ac:dyDescent="0.3">
      <c r="A229" s="26">
        <v>41482</v>
      </c>
      <c r="B229" s="5" t="s">
        <v>35</v>
      </c>
      <c r="C229" s="5" t="s">
        <v>47</v>
      </c>
      <c r="D229" s="5" t="s">
        <v>55</v>
      </c>
      <c r="E229" s="22">
        <v>30</v>
      </c>
    </row>
    <row r="230" spans="1:5" x14ac:dyDescent="0.3">
      <c r="A230" s="26">
        <v>41456</v>
      </c>
      <c r="B230" s="5" t="s">
        <v>35</v>
      </c>
      <c r="C230" s="5" t="s">
        <v>49</v>
      </c>
      <c r="D230" s="5" t="s">
        <v>29</v>
      </c>
      <c r="E230" s="22">
        <v>0.4</v>
      </c>
    </row>
    <row r="231" spans="1:5" x14ac:dyDescent="0.3">
      <c r="A231" s="26">
        <v>41588</v>
      </c>
      <c r="B231" s="5" t="s">
        <v>32</v>
      </c>
      <c r="C231" s="5" t="s">
        <v>52</v>
      </c>
      <c r="D231" s="5" t="s">
        <v>54</v>
      </c>
      <c r="E231" s="22">
        <v>13.5</v>
      </c>
    </row>
    <row r="232" spans="1:5" x14ac:dyDescent="0.3">
      <c r="A232" s="26">
        <v>41522</v>
      </c>
      <c r="B232" s="5" t="s">
        <v>32</v>
      </c>
      <c r="C232" s="5" t="s">
        <v>49</v>
      </c>
      <c r="D232" s="5" t="s">
        <v>25</v>
      </c>
      <c r="E232" s="22">
        <v>12.5</v>
      </c>
    </row>
    <row r="233" spans="1:5" x14ac:dyDescent="0.3">
      <c r="A233" s="26">
        <v>41458</v>
      </c>
      <c r="B233" s="5" t="s">
        <v>35</v>
      </c>
      <c r="C233" s="5" t="s">
        <v>45</v>
      </c>
      <c r="D233" s="5" t="s">
        <v>29</v>
      </c>
      <c r="E233" s="22">
        <v>1.4000000000000001</v>
      </c>
    </row>
    <row r="234" spans="1:5" x14ac:dyDescent="0.3">
      <c r="A234" s="26">
        <v>41529</v>
      </c>
      <c r="B234" s="5" t="s">
        <v>35</v>
      </c>
      <c r="C234" s="5" t="s">
        <v>47</v>
      </c>
      <c r="D234" s="5" t="s">
        <v>54</v>
      </c>
      <c r="E234" s="22">
        <v>7.5</v>
      </c>
    </row>
    <row r="235" spans="1:5" x14ac:dyDescent="0.3">
      <c r="A235" s="26">
        <v>41524</v>
      </c>
      <c r="B235" s="5" t="s">
        <v>33</v>
      </c>
      <c r="C235" s="5" t="s">
        <v>49</v>
      </c>
      <c r="D235" s="5" t="s">
        <v>54</v>
      </c>
      <c r="E235" s="22">
        <v>30</v>
      </c>
    </row>
    <row r="236" spans="1:5" x14ac:dyDescent="0.3">
      <c r="A236" s="26">
        <v>41512</v>
      </c>
      <c r="B236" s="5" t="s">
        <v>31</v>
      </c>
      <c r="C236" s="5" t="s">
        <v>52</v>
      </c>
      <c r="D236" s="5" t="s">
        <v>54</v>
      </c>
      <c r="E236" s="22">
        <v>15</v>
      </c>
    </row>
    <row r="237" spans="1:5" x14ac:dyDescent="0.3">
      <c r="A237" s="26">
        <v>41551</v>
      </c>
      <c r="B237" s="5" t="s">
        <v>35</v>
      </c>
      <c r="C237" s="5" t="s">
        <v>53</v>
      </c>
      <c r="D237" s="5" t="s">
        <v>29</v>
      </c>
      <c r="E237" s="22">
        <v>2.6</v>
      </c>
    </row>
    <row r="238" spans="1:5" x14ac:dyDescent="0.3">
      <c r="A238" s="26">
        <v>41573</v>
      </c>
      <c r="B238" s="5" t="s">
        <v>32</v>
      </c>
      <c r="C238" s="5" t="s">
        <v>52</v>
      </c>
      <c r="D238" s="5" t="s">
        <v>28</v>
      </c>
      <c r="E238" s="22">
        <v>0.60000000000000009</v>
      </c>
    </row>
    <row r="239" spans="1:5" x14ac:dyDescent="0.3">
      <c r="A239" s="26">
        <v>41566</v>
      </c>
      <c r="B239" s="5" t="s">
        <v>35</v>
      </c>
      <c r="C239" s="5" t="s">
        <v>53</v>
      </c>
      <c r="D239" s="5" t="s">
        <v>30</v>
      </c>
      <c r="E239" s="22">
        <v>90</v>
      </c>
    </row>
    <row r="240" spans="1:5" x14ac:dyDescent="0.3">
      <c r="A240" s="26">
        <v>41594</v>
      </c>
      <c r="B240" s="5" t="s">
        <v>34</v>
      </c>
      <c r="C240" s="5" t="s">
        <v>56</v>
      </c>
      <c r="D240" s="5" t="s">
        <v>54</v>
      </c>
      <c r="E240" s="22">
        <v>9</v>
      </c>
    </row>
    <row r="241" spans="1:5" x14ac:dyDescent="0.3">
      <c r="A241" s="26">
        <v>41495</v>
      </c>
      <c r="B241" s="5" t="s">
        <v>31</v>
      </c>
      <c r="C241" s="5" t="s">
        <v>52</v>
      </c>
      <c r="D241" s="5" t="s">
        <v>29</v>
      </c>
      <c r="E241" s="22">
        <v>1.4000000000000001</v>
      </c>
    </row>
    <row r="242" spans="1:5" x14ac:dyDescent="0.3">
      <c r="A242" s="26">
        <v>41444</v>
      </c>
      <c r="B242" s="5" t="s">
        <v>31</v>
      </c>
      <c r="C242" s="5" t="s">
        <v>47</v>
      </c>
      <c r="D242" s="5" t="s">
        <v>26</v>
      </c>
      <c r="E242" s="22">
        <v>0.5</v>
      </c>
    </row>
    <row r="243" spans="1:5" x14ac:dyDescent="0.3">
      <c r="A243" s="26">
        <v>41517</v>
      </c>
      <c r="B243" s="5" t="s">
        <v>34</v>
      </c>
      <c r="C243" s="5" t="s">
        <v>45</v>
      </c>
      <c r="D243" s="5" t="s">
        <v>48</v>
      </c>
      <c r="E243" s="22">
        <v>20</v>
      </c>
    </row>
    <row r="244" spans="1:5" x14ac:dyDescent="0.3">
      <c r="A244" s="26">
        <v>41623</v>
      </c>
      <c r="B244" s="5" t="s">
        <v>31</v>
      </c>
      <c r="C244" s="5" t="s">
        <v>52</v>
      </c>
      <c r="D244" s="5" t="s">
        <v>29</v>
      </c>
      <c r="E244" s="22">
        <v>0.8</v>
      </c>
    </row>
    <row r="245" spans="1:5" x14ac:dyDescent="0.3">
      <c r="A245" s="26">
        <v>41559</v>
      </c>
      <c r="B245" s="5" t="s">
        <v>33</v>
      </c>
      <c r="C245" s="5" t="s">
        <v>47</v>
      </c>
      <c r="D245" s="5" t="s">
        <v>25</v>
      </c>
      <c r="E245" s="22">
        <v>32.5</v>
      </c>
    </row>
    <row r="246" spans="1:5" x14ac:dyDescent="0.3">
      <c r="A246" s="26">
        <v>41604</v>
      </c>
      <c r="B246" s="5" t="s">
        <v>31</v>
      </c>
      <c r="C246" s="5" t="s">
        <v>52</v>
      </c>
      <c r="D246" s="5" t="s">
        <v>55</v>
      </c>
      <c r="E246" s="22">
        <v>16</v>
      </c>
    </row>
    <row r="247" spans="1:5" x14ac:dyDescent="0.3">
      <c r="A247" s="26">
        <v>41518</v>
      </c>
      <c r="B247" s="5" t="s">
        <v>35</v>
      </c>
      <c r="C247" s="5" t="s">
        <v>52</v>
      </c>
      <c r="D247" s="5" t="s">
        <v>29</v>
      </c>
      <c r="E247" s="22">
        <v>4</v>
      </c>
    </row>
    <row r="248" spans="1:5" x14ac:dyDescent="0.3">
      <c r="A248" s="26">
        <v>41516</v>
      </c>
      <c r="B248" s="5" t="s">
        <v>31</v>
      </c>
      <c r="C248" s="5" t="s">
        <v>52</v>
      </c>
      <c r="D248" s="5" t="s">
        <v>54</v>
      </c>
      <c r="E248" s="22">
        <v>19.5</v>
      </c>
    </row>
    <row r="249" spans="1:5" x14ac:dyDescent="0.3">
      <c r="A249" s="26">
        <v>41433</v>
      </c>
      <c r="B249" s="5" t="s">
        <v>34</v>
      </c>
      <c r="C249" s="5" t="s">
        <v>52</v>
      </c>
      <c r="D249" s="5" t="s">
        <v>29</v>
      </c>
      <c r="E249" s="22">
        <v>3.8000000000000003</v>
      </c>
    </row>
    <row r="250" spans="1:5" x14ac:dyDescent="0.3">
      <c r="A250" s="26">
        <v>41553</v>
      </c>
      <c r="B250" s="5" t="s">
        <v>31</v>
      </c>
      <c r="C250" s="5" t="s">
        <v>49</v>
      </c>
      <c r="D250" s="5" t="s">
        <v>28</v>
      </c>
      <c r="E250" s="22">
        <v>0.5</v>
      </c>
    </row>
    <row r="251" spans="1:5" x14ac:dyDescent="0.3">
      <c r="A251" s="26">
        <v>41574</v>
      </c>
      <c r="B251" s="5" t="s">
        <v>34</v>
      </c>
      <c r="C251" s="5" t="s">
        <v>47</v>
      </c>
      <c r="D251" s="5" t="s">
        <v>25</v>
      </c>
      <c r="E251" s="22">
        <v>35</v>
      </c>
    </row>
    <row r="252" spans="1:5" x14ac:dyDescent="0.3">
      <c r="A252" s="26">
        <v>41613</v>
      </c>
      <c r="B252" s="5" t="s">
        <v>34</v>
      </c>
      <c r="C252" s="5" t="s">
        <v>45</v>
      </c>
      <c r="D252" s="5" t="s">
        <v>26</v>
      </c>
      <c r="E252" s="22">
        <v>9</v>
      </c>
    </row>
    <row r="253" spans="1:5" x14ac:dyDescent="0.3">
      <c r="A253" s="26">
        <v>41483</v>
      </c>
      <c r="B253" s="5" t="s">
        <v>34</v>
      </c>
      <c r="C253" s="5" t="s">
        <v>53</v>
      </c>
      <c r="D253" s="5" t="s">
        <v>25</v>
      </c>
      <c r="E253" s="22">
        <v>25</v>
      </c>
    </row>
    <row r="254" spans="1:5" x14ac:dyDescent="0.3">
      <c r="A254" s="26">
        <v>41447</v>
      </c>
      <c r="B254" s="5" t="s">
        <v>31</v>
      </c>
      <c r="C254" s="5" t="s">
        <v>56</v>
      </c>
      <c r="D254" s="5" t="s">
        <v>54</v>
      </c>
      <c r="E254" s="22">
        <v>25.5</v>
      </c>
    </row>
    <row r="255" spans="1:5" x14ac:dyDescent="0.3">
      <c r="A255" s="26">
        <v>41549</v>
      </c>
      <c r="B255" s="5" t="s">
        <v>33</v>
      </c>
      <c r="C255" s="5" t="s">
        <v>49</v>
      </c>
      <c r="D255" s="5" t="s">
        <v>54</v>
      </c>
      <c r="E255" s="22">
        <v>25.5</v>
      </c>
    </row>
    <row r="256" spans="1:5" x14ac:dyDescent="0.3">
      <c r="A256" s="26">
        <v>41584</v>
      </c>
      <c r="B256" s="5" t="s">
        <v>32</v>
      </c>
      <c r="C256" s="5" t="s">
        <v>53</v>
      </c>
      <c r="D256" s="5" t="s">
        <v>29</v>
      </c>
      <c r="E256" s="22">
        <v>0.8</v>
      </c>
    </row>
    <row r="257" spans="1:5" x14ac:dyDescent="0.3">
      <c r="A257" s="26">
        <v>41569</v>
      </c>
      <c r="B257" s="5" t="s">
        <v>31</v>
      </c>
      <c r="C257" s="5" t="s">
        <v>47</v>
      </c>
      <c r="D257" s="5" t="s">
        <v>25</v>
      </c>
      <c r="E257" s="22">
        <v>32.5</v>
      </c>
    </row>
    <row r="258" spans="1:5" x14ac:dyDescent="0.3">
      <c r="A258" s="26">
        <v>41561</v>
      </c>
      <c r="B258" s="5" t="s">
        <v>33</v>
      </c>
      <c r="C258" s="5" t="s">
        <v>47</v>
      </c>
      <c r="D258" s="5" t="s">
        <v>55</v>
      </c>
      <c r="E258" s="22">
        <v>18</v>
      </c>
    </row>
    <row r="259" spans="1:5" x14ac:dyDescent="0.3">
      <c r="A259" s="26">
        <v>41602</v>
      </c>
      <c r="B259" s="5" t="s">
        <v>35</v>
      </c>
      <c r="C259" s="5" t="s">
        <v>52</v>
      </c>
      <c r="D259" s="5" t="s">
        <v>30</v>
      </c>
      <c r="E259" s="22">
        <v>75</v>
      </c>
    </row>
    <row r="260" spans="1:5" x14ac:dyDescent="0.3">
      <c r="A260" s="26">
        <v>41603</v>
      </c>
      <c r="B260" s="5" t="s">
        <v>32</v>
      </c>
      <c r="C260" s="5" t="s">
        <v>56</v>
      </c>
      <c r="D260" s="5" t="s">
        <v>30</v>
      </c>
      <c r="E260" s="22">
        <v>90</v>
      </c>
    </row>
    <row r="261" spans="1:5" x14ac:dyDescent="0.3">
      <c r="A261" s="26">
        <v>41614</v>
      </c>
      <c r="B261" s="5" t="s">
        <v>33</v>
      </c>
      <c r="C261" s="5" t="s">
        <v>45</v>
      </c>
      <c r="D261" s="5" t="s">
        <v>29</v>
      </c>
      <c r="E261" s="22">
        <v>3.6</v>
      </c>
    </row>
    <row r="262" spans="1:5" x14ac:dyDescent="0.3">
      <c r="A262" s="26">
        <v>41505</v>
      </c>
      <c r="B262" s="5" t="s">
        <v>31</v>
      </c>
      <c r="C262" s="5" t="s">
        <v>53</v>
      </c>
      <c r="D262" s="5" t="s">
        <v>25</v>
      </c>
      <c r="E262" s="22">
        <v>42.5</v>
      </c>
    </row>
    <row r="263" spans="1:5" x14ac:dyDescent="0.3">
      <c r="A263" s="26">
        <v>41460</v>
      </c>
      <c r="B263" s="5" t="s">
        <v>33</v>
      </c>
      <c r="C263" s="5" t="s">
        <v>49</v>
      </c>
      <c r="D263" s="5" t="s">
        <v>54</v>
      </c>
      <c r="E263" s="22">
        <v>12</v>
      </c>
    </row>
    <row r="264" spans="1:5" x14ac:dyDescent="0.3">
      <c r="A264" s="26">
        <v>41576</v>
      </c>
      <c r="B264" s="5" t="s">
        <v>35</v>
      </c>
      <c r="C264" s="5" t="s">
        <v>53</v>
      </c>
      <c r="D264" s="5" t="s">
        <v>55</v>
      </c>
      <c r="E264" s="22">
        <v>4</v>
      </c>
    </row>
    <row r="265" spans="1:5" x14ac:dyDescent="0.3">
      <c r="A265" s="26">
        <v>41625</v>
      </c>
      <c r="B265" s="5" t="s">
        <v>35</v>
      </c>
      <c r="C265" s="5" t="s">
        <v>56</v>
      </c>
      <c r="D265" s="5" t="s">
        <v>29</v>
      </c>
      <c r="E265" s="22">
        <v>2.2000000000000002</v>
      </c>
    </row>
    <row r="266" spans="1:5" x14ac:dyDescent="0.3">
      <c r="A266" s="26">
        <v>41440</v>
      </c>
      <c r="B266" s="5" t="s">
        <v>35</v>
      </c>
      <c r="C266" s="5" t="s">
        <v>45</v>
      </c>
      <c r="D266" s="5" t="s">
        <v>26</v>
      </c>
      <c r="E266" s="22">
        <v>1</v>
      </c>
    </row>
    <row r="267" spans="1:5" x14ac:dyDescent="0.3">
      <c r="A267" s="26">
        <v>41573</v>
      </c>
      <c r="B267" s="5" t="s">
        <v>32</v>
      </c>
      <c r="C267" s="5" t="s">
        <v>45</v>
      </c>
      <c r="D267" s="5" t="s">
        <v>26</v>
      </c>
      <c r="E267" s="22">
        <v>7</v>
      </c>
    </row>
    <row r="268" spans="1:5" x14ac:dyDescent="0.3">
      <c r="A268" s="26">
        <v>41555</v>
      </c>
      <c r="B268" s="5" t="s">
        <v>31</v>
      </c>
      <c r="C268" s="5" t="s">
        <v>45</v>
      </c>
      <c r="D268" s="5" t="s">
        <v>48</v>
      </c>
      <c r="E268" s="22">
        <v>56</v>
      </c>
    </row>
    <row r="269" spans="1:5" x14ac:dyDescent="0.3">
      <c r="A269" s="26">
        <v>41494</v>
      </c>
      <c r="B269" s="5" t="s">
        <v>31</v>
      </c>
      <c r="C269" s="5" t="s">
        <v>45</v>
      </c>
      <c r="D269" s="5" t="s">
        <v>48</v>
      </c>
      <c r="E269" s="22">
        <v>32</v>
      </c>
    </row>
    <row r="270" spans="1:5" x14ac:dyDescent="0.3">
      <c r="A270" s="26">
        <v>41577</v>
      </c>
      <c r="B270" s="5" t="s">
        <v>32</v>
      </c>
      <c r="C270" s="5" t="s">
        <v>49</v>
      </c>
      <c r="D270" s="5" t="s">
        <v>28</v>
      </c>
      <c r="E270" s="22">
        <v>1</v>
      </c>
    </row>
    <row r="271" spans="1:5" x14ac:dyDescent="0.3">
      <c r="A271" s="26">
        <v>41596</v>
      </c>
      <c r="B271" s="5" t="s">
        <v>32</v>
      </c>
      <c r="C271" s="5" t="s">
        <v>56</v>
      </c>
      <c r="D271" s="5" t="s">
        <v>29</v>
      </c>
      <c r="E271" s="22">
        <v>1.8</v>
      </c>
    </row>
    <row r="272" spans="1:5" x14ac:dyDescent="0.3">
      <c r="A272" s="26">
        <v>41454</v>
      </c>
      <c r="B272" s="5" t="s">
        <v>32</v>
      </c>
      <c r="C272" s="5" t="s">
        <v>56</v>
      </c>
      <c r="D272" s="5" t="s">
        <v>55</v>
      </c>
      <c r="E272" s="22">
        <v>34</v>
      </c>
    </row>
    <row r="273" spans="1:5" x14ac:dyDescent="0.3">
      <c r="A273" s="26">
        <v>41545</v>
      </c>
      <c r="B273" s="5" t="s">
        <v>31</v>
      </c>
      <c r="C273" s="5" t="s">
        <v>45</v>
      </c>
      <c r="D273" s="5" t="s">
        <v>30</v>
      </c>
      <c r="E273" s="22">
        <v>100</v>
      </c>
    </row>
    <row r="274" spans="1:5" x14ac:dyDescent="0.3">
      <c r="A274" s="26">
        <v>41553</v>
      </c>
      <c r="B274" s="5" t="s">
        <v>33</v>
      </c>
      <c r="C274" s="5" t="s">
        <v>45</v>
      </c>
      <c r="D274" s="5" t="s">
        <v>25</v>
      </c>
      <c r="E274" s="22">
        <v>35</v>
      </c>
    </row>
    <row r="275" spans="1:5" x14ac:dyDescent="0.3">
      <c r="A275" s="26">
        <v>41468</v>
      </c>
      <c r="B275" s="5" t="s">
        <v>33</v>
      </c>
      <c r="C275" s="5" t="s">
        <v>52</v>
      </c>
      <c r="D275" s="5" t="s">
        <v>29</v>
      </c>
      <c r="E275" s="22">
        <v>2.2000000000000002</v>
      </c>
    </row>
    <row r="276" spans="1:5" x14ac:dyDescent="0.3">
      <c r="A276" s="26">
        <v>41552</v>
      </c>
      <c r="B276" s="5" t="s">
        <v>32</v>
      </c>
      <c r="C276" s="5" t="s">
        <v>47</v>
      </c>
      <c r="D276" s="5" t="s">
        <v>28</v>
      </c>
      <c r="E276" s="22">
        <v>0.2</v>
      </c>
    </row>
    <row r="277" spans="1:5" x14ac:dyDescent="0.3">
      <c r="A277" s="26">
        <v>41526</v>
      </c>
      <c r="B277" s="5" t="s">
        <v>35</v>
      </c>
      <c r="C277" s="5" t="s">
        <v>56</v>
      </c>
      <c r="D277" s="5" t="s">
        <v>28</v>
      </c>
      <c r="E277" s="22">
        <v>1.8</v>
      </c>
    </row>
    <row r="278" spans="1:5" x14ac:dyDescent="0.3">
      <c r="A278" s="26">
        <v>41452</v>
      </c>
      <c r="B278" s="5" t="s">
        <v>32</v>
      </c>
      <c r="C278" s="5" t="s">
        <v>47</v>
      </c>
      <c r="D278" s="5" t="s">
        <v>26</v>
      </c>
      <c r="E278" s="22">
        <v>4.5</v>
      </c>
    </row>
    <row r="279" spans="1:5" x14ac:dyDescent="0.3">
      <c r="A279" s="26">
        <v>41627</v>
      </c>
      <c r="B279" s="5" t="s">
        <v>32</v>
      </c>
      <c r="C279" s="5" t="s">
        <v>53</v>
      </c>
      <c r="D279" s="5" t="s">
        <v>48</v>
      </c>
      <c r="E279" s="22">
        <v>24</v>
      </c>
    </row>
    <row r="280" spans="1:5" x14ac:dyDescent="0.3">
      <c r="A280" s="26">
        <v>41547</v>
      </c>
      <c r="B280" s="5" t="s">
        <v>34</v>
      </c>
      <c r="C280" s="5" t="s">
        <v>49</v>
      </c>
      <c r="D280" s="5" t="s">
        <v>25</v>
      </c>
      <c r="E280" s="22">
        <v>27.5</v>
      </c>
    </row>
    <row r="281" spans="1:5" x14ac:dyDescent="0.3">
      <c r="A281" s="26">
        <v>41615</v>
      </c>
      <c r="B281" s="5" t="s">
        <v>33</v>
      </c>
      <c r="C281" s="5" t="s">
        <v>52</v>
      </c>
      <c r="D281" s="5" t="s">
        <v>30</v>
      </c>
      <c r="E281" s="22">
        <v>95</v>
      </c>
    </row>
    <row r="282" spans="1:5" x14ac:dyDescent="0.3">
      <c r="A282" s="26">
        <v>41553</v>
      </c>
      <c r="B282" s="5" t="s">
        <v>34</v>
      </c>
      <c r="C282" s="5" t="s">
        <v>45</v>
      </c>
      <c r="D282" s="5" t="s">
        <v>26</v>
      </c>
      <c r="E282" s="22">
        <v>9.5</v>
      </c>
    </row>
    <row r="283" spans="1:5" x14ac:dyDescent="0.3">
      <c r="A283" s="26">
        <v>41602</v>
      </c>
      <c r="B283" s="5" t="s">
        <v>34</v>
      </c>
      <c r="C283" s="5" t="s">
        <v>53</v>
      </c>
      <c r="D283" s="5" t="s">
        <v>25</v>
      </c>
      <c r="E283" s="22">
        <v>37.5</v>
      </c>
    </row>
    <row r="284" spans="1:5" x14ac:dyDescent="0.3">
      <c r="A284" s="26">
        <v>41554</v>
      </c>
      <c r="B284" s="5" t="s">
        <v>33</v>
      </c>
      <c r="C284" s="5" t="s">
        <v>49</v>
      </c>
      <c r="D284" s="5" t="s">
        <v>48</v>
      </c>
      <c r="E284" s="22">
        <v>36</v>
      </c>
    </row>
    <row r="285" spans="1:5" x14ac:dyDescent="0.3">
      <c r="A285" s="26">
        <v>41479</v>
      </c>
      <c r="B285" s="5" t="s">
        <v>34</v>
      </c>
      <c r="C285" s="5" t="s">
        <v>53</v>
      </c>
      <c r="D285" s="5" t="s">
        <v>54</v>
      </c>
      <c r="E285" s="22">
        <v>22.5</v>
      </c>
    </row>
    <row r="286" spans="1:5" x14ac:dyDescent="0.3">
      <c r="A286" s="26">
        <v>41573</v>
      </c>
      <c r="B286" s="5" t="s">
        <v>33</v>
      </c>
      <c r="C286" s="5" t="s">
        <v>45</v>
      </c>
      <c r="D286" s="5" t="s">
        <v>30</v>
      </c>
      <c r="E286" s="22">
        <v>85</v>
      </c>
    </row>
    <row r="287" spans="1:5" x14ac:dyDescent="0.3">
      <c r="A287" s="26">
        <v>41601</v>
      </c>
      <c r="B287" s="5" t="s">
        <v>31</v>
      </c>
      <c r="C287" s="5" t="s">
        <v>45</v>
      </c>
      <c r="D287" s="5" t="s">
        <v>26</v>
      </c>
      <c r="E287" s="22">
        <v>1</v>
      </c>
    </row>
    <row r="288" spans="1:5" x14ac:dyDescent="0.3">
      <c r="A288" s="26">
        <v>41526</v>
      </c>
      <c r="B288" s="5" t="s">
        <v>33</v>
      </c>
      <c r="C288" s="5" t="s">
        <v>53</v>
      </c>
      <c r="D288" s="5" t="s">
        <v>30</v>
      </c>
      <c r="E288" s="22">
        <v>65</v>
      </c>
    </row>
    <row r="289" spans="1:5" x14ac:dyDescent="0.3">
      <c r="A289" s="26">
        <v>41579</v>
      </c>
      <c r="B289" s="5" t="s">
        <v>33</v>
      </c>
      <c r="C289" s="5" t="s">
        <v>56</v>
      </c>
      <c r="D289" s="5" t="s">
        <v>25</v>
      </c>
      <c r="E289" s="22">
        <v>2.5</v>
      </c>
    </row>
    <row r="290" spans="1:5" x14ac:dyDescent="0.3">
      <c r="A290" s="26">
        <v>41433</v>
      </c>
      <c r="B290" s="5" t="s">
        <v>33</v>
      </c>
      <c r="C290" s="5" t="s">
        <v>45</v>
      </c>
      <c r="D290" s="5" t="s">
        <v>55</v>
      </c>
      <c r="E290" s="22">
        <v>24</v>
      </c>
    </row>
    <row r="291" spans="1:5" x14ac:dyDescent="0.3">
      <c r="A291" s="26">
        <v>41568</v>
      </c>
      <c r="B291" s="5" t="s">
        <v>34</v>
      </c>
      <c r="C291" s="5" t="s">
        <v>49</v>
      </c>
      <c r="D291" s="5" t="s">
        <v>55</v>
      </c>
      <c r="E291" s="22">
        <v>38</v>
      </c>
    </row>
    <row r="292" spans="1:5" x14ac:dyDescent="0.3">
      <c r="A292" s="26">
        <v>41551</v>
      </c>
      <c r="B292" s="5" t="s">
        <v>33</v>
      </c>
      <c r="C292" s="5" t="s">
        <v>49</v>
      </c>
      <c r="D292" s="5" t="s">
        <v>48</v>
      </c>
      <c r="E292" s="22">
        <v>40</v>
      </c>
    </row>
    <row r="293" spans="1:5" x14ac:dyDescent="0.3">
      <c r="A293" s="26">
        <v>41441</v>
      </c>
      <c r="B293" s="5" t="s">
        <v>31</v>
      </c>
      <c r="C293" s="5" t="s">
        <v>45</v>
      </c>
      <c r="D293" s="5" t="s">
        <v>28</v>
      </c>
      <c r="E293" s="22">
        <v>0.30000000000000004</v>
      </c>
    </row>
    <row r="294" spans="1:5" x14ac:dyDescent="0.3">
      <c r="A294" s="26">
        <v>41503</v>
      </c>
      <c r="B294" s="5" t="s">
        <v>33</v>
      </c>
      <c r="C294" s="5" t="s">
        <v>52</v>
      </c>
      <c r="D294" s="5" t="s">
        <v>55</v>
      </c>
      <c r="E294" s="22">
        <v>32</v>
      </c>
    </row>
    <row r="295" spans="1:5" x14ac:dyDescent="0.3">
      <c r="A295" s="26">
        <v>41586</v>
      </c>
      <c r="B295" s="5" t="s">
        <v>33</v>
      </c>
      <c r="C295" s="5" t="s">
        <v>53</v>
      </c>
      <c r="D295" s="5" t="s">
        <v>26</v>
      </c>
      <c r="E295" s="22">
        <v>6.5</v>
      </c>
    </row>
    <row r="296" spans="1:5" x14ac:dyDescent="0.3">
      <c r="A296" s="26">
        <v>41542</v>
      </c>
      <c r="B296" s="5" t="s">
        <v>32</v>
      </c>
      <c r="C296" s="5" t="s">
        <v>53</v>
      </c>
      <c r="D296" s="5" t="s">
        <v>30</v>
      </c>
      <c r="E296" s="22">
        <v>10</v>
      </c>
    </row>
    <row r="297" spans="1:5" x14ac:dyDescent="0.3">
      <c r="A297" s="26">
        <v>41619</v>
      </c>
      <c r="B297" s="5" t="s">
        <v>32</v>
      </c>
      <c r="C297" s="5" t="s">
        <v>52</v>
      </c>
      <c r="D297" s="5" t="s">
        <v>55</v>
      </c>
      <c r="E297" s="22">
        <v>16</v>
      </c>
    </row>
    <row r="298" spans="1:5" x14ac:dyDescent="0.3">
      <c r="A298" s="26">
        <v>41563</v>
      </c>
      <c r="B298" s="5" t="s">
        <v>34</v>
      </c>
      <c r="C298" s="5" t="s">
        <v>52</v>
      </c>
      <c r="D298" s="5" t="s">
        <v>26</v>
      </c>
      <c r="E298" s="22">
        <v>5</v>
      </c>
    </row>
    <row r="299" spans="1:5" x14ac:dyDescent="0.3">
      <c r="A299" s="26">
        <v>41622</v>
      </c>
      <c r="B299" s="5" t="s">
        <v>32</v>
      </c>
      <c r="C299" s="5" t="s">
        <v>45</v>
      </c>
      <c r="D299" s="5" t="s">
        <v>26</v>
      </c>
      <c r="E299" s="22">
        <v>3.5</v>
      </c>
    </row>
    <row r="300" spans="1:5" x14ac:dyDescent="0.3">
      <c r="A300" s="26">
        <v>41619</v>
      </c>
      <c r="B300" s="5" t="s">
        <v>35</v>
      </c>
      <c r="C300" s="5" t="s">
        <v>49</v>
      </c>
      <c r="D300" s="5" t="s">
        <v>54</v>
      </c>
      <c r="E300" s="22">
        <v>6</v>
      </c>
    </row>
    <row r="301" spans="1:5" x14ac:dyDescent="0.3">
      <c r="A301" s="26">
        <v>41475</v>
      </c>
      <c r="B301" s="5" t="s">
        <v>33</v>
      </c>
      <c r="C301" s="5" t="s">
        <v>45</v>
      </c>
      <c r="D301" s="5" t="s">
        <v>30</v>
      </c>
      <c r="E301" s="22">
        <v>25</v>
      </c>
    </row>
    <row r="302" spans="1:5" x14ac:dyDescent="0.3">
      <c r="A302" s="26">
        <v>41515</v>
      </c>
      <c r="B302" s="5" t="s">
        <v>33</v>
      </c>
      <c r="C302" s="5" t="s">
        <v>56</v>
      </c>
      <c r="D302" s="5" t="s">
        <v>48</v>
      </c>
      <c r="E302" s="22">
        <v>64</v>
      </c>
    </row>
    <row r="303" spans="1:5" x14ac:dyDescent="0.3">
      <c r="A303" s="26">
        <v>41457</v>
      </c>
      <c r="B303" s="5" t="s">
        <v>31</v>
      </c>
      <c r="C303" s="5" t="s">
        <v>53</v>
      </c>
      <c r="D303" s="5" t="s">
        <v>48</v>
      </c>
      <c r="E303" s="22">
        <v>8</v>
      </c>
    </row>
    <row r="304" spans="1:5" x14ac:dyDescent="0.3">
      <c r="A304" s="26">
        <v>41604</v>
      </c>
      <c r="B304" s="5" t="s">
        <v>35</v>
      </c>
      <c r="C304" s="5" t="s">
        <v>47</v>
      </c>
      <c r="D304" s="5" t="s">
        <v>54</v>
      </c>
      <c r="E304" s="22">
        <v>22.5</v>
      </c>
    </row>
    <row r="305" spans="1:5" x14ac:dyDescent="0.3">
      <c r="A305" s="26">
        <v>41440</v>
      </c>
      <c r="B305" s="5" t="s">
        <v>32</v>
      </c>
      <c r="C305" s="5" t="s">
        <v>53</v>
      </c>
      <c r="D305" s="5" t="s">
        <v>28</v>
      </c>
      <c r="E305" s="22">
        <v>1.2000000000000002</v>
      </c>
    </row>
    <row r="306" spans="1:5" x14ac:dyDescent="0.3">
      <c r="A306" s="26">
        <v>41611</v>
      </c>
      <c r="B306" s="5" t="s">
        <v>33</v>
      </c>
      <c r="C306" s="5" t="s">
        <v>45</v>
      </c>
      <c r="D306" s="5" t="s">
        <v>28</v>
      </c>
      <c r="E306" s="22">
        <v>1.6</v>
      </c>
    </row>
    <row r="307" spans="1:5" x14ac:dyDescent="0.3">
      <c r="A307" s="26">
        <v>41511</v>
      </c>
      <c r="B307" s="5" t="s">
        <v>31</v>
      </c>
      <c r="C307" s="5" t="s">
        <v>56</v>
      </c>
      <c r="D307" s="5" t="s">
        <v>55</v>
      </c>
      <c r="E307" s="22">
        <v>2</v>
      </c>
    </row>
    <row r="308" spans="1:5" x14ac:dyDescent="0.3">
      <c r="A308" s="26">
        <v>41527</v>
      </c>
      <c r="B308" s="5" t="s">
        <v>32</v>
      </c>
      <c r="C308" s="5" t="s">
        <v>52</v>
      </c>
      <c r="D308" s="5" t="s">
        <v>25</v>
      </c>
      <c r="E308" s="22">
        <v>47.5</v>
      </c>
    </row>
    <row r="309" spans="1:5" x14ac:dyDescent="0.3">
      <c r="A309" s="26">
        <v>41511</v>
      </c>
      <c r="B309" s="5" t="s">
        <v>35</v>
      </c>
      <c r="C309" s="5" t="s">
        <v>56</v>
      </c>
      <c r="D309" s="5" t="s">
        <v>25</v>
      </c>
      <c r="E309" s="22">
        <v>25</v>
      </c>
    </row>
    <row r="310" spans="1:5" x14ac:dyDescent="0.3">
      <c r="A310" s="26">
        <v>41594</v>
      </c>
      <c r="B310" s="5" t="s">
        <v>32</v>
      </c>
      <c r="C310" s="5" t="s">
        <v>45</v>
      </c>
      <c r="D310" s="5" t="s">
        <v>26</v>
      </c>
      <c r="E310" s="22">
        <v>1</v>
      </c>
    </row>
    <row r="311" spans="1:5" x14ac:dyDescent="0.3">
      <c r="A311" s="26">
        <v>41507</v>
      </c>
      <c r="B311" s="5" t="s">
        <v>34</v>
      </c>
      <c r="C311" s="5" t="s">
        <v>52</v>
      </c>
      <c r="D311" s="5" t="s">
        <v>26</v>
      </c>
      <c r="E311" s="22">
        <v>7.5</v>
      </c>
    </row>
    <row r="312" spans="1:5" x14ac:dyDescent="0.3">
      <c r="A312" s="26">
        <v>41434</v>
      </c>
      <c r="B312" s="5" t="s">
        <v>33</v>
      </c>
      <c r="C312" s="5" t="s">
        <v>52</v>
      </c>
      <c r="D312" s="5" t="s">
        <v>25</v>
      </c>
      <c r="E312" s="22">
        <v>2.5</v>
      </c>
    </row>
    <row r="313" spans="1:5" x14ac:dyDescent="0.3">
      <c r="A313" s="26">
        <v>41631</v>
      </c>
      <c r="B313" s="5" t="s">
        <v>31</v>
      </c>
      <c r="C313" s="5" t="s">
        <v>49</v>
      </c>
      <c r="D313" s="5" t="s">
        <v>29</v>
      </c>
      <c r="E313" s="22">
        <v>3.8000000000000003</v>
      </c>
    </row>
    <row r="314" spans="1:5" x14ac:dyDescent="0.3">
      <c r="A314" s="26">
        <v>41602</v>
      </c>
      <c r="B314" s="5" t="s">
        <v>34</v>
      </c>
      <c r="C314" s="5" t="s">
        <v>49</v>
      </c>
      <c r="D314" s="5" t="s">
        <v>25</v>
      </c>
      <c r="E314" s="22">
        <v>42.5</v>
      </c>
    </row>
    <row r="315" spans="1:5" x14ac:dyDescent="0.3">
      <c r="A315" s="26">
        <v>41619</v>
      </c>
      <c r="B315" s="5" t="s">
        <v>32</v>
      </c>
      <c r="C315" s="5" t="s">
        <v>45</v>
      </c>
      <c r="D315" s="5" t="s">
        <v>48</v>
      </c>
      <c r="E315" s="22">
        <v>16</v>
      </c>
    </row>
    <row r="316" spans="1:5" x14ac:dyDescent="0.3">
      <c r="A316" s="26">
        <v>41429</v>
      </c>
      <c r="B316" s="5" t="s">
        <v>35</v>
      </c>
      <c r="C316" s="5" t="s">
        <v>49</v>
      </c>
      <c r="D316" s="5" t="s">
        <v>28</v>
      </c>
      <c r="E316" s="22">
        <v>1.5</v>
      </c>
    </row>
    <row r="317" spans="1:5" x14ac:dyDescent="0.3">
      <c r="A317" s="26">
        <v>41501</v>
      </c>
      <c r="B317" s="5" t="s">
        <v>34</v>
      </c>
      <c r="C317" s="5" t="s">
        <v>45</v>
      </c>
      <c r="D317" s="5" t="s">
        <v>26</v>
      </c>
      <c r="E317" s="22">
        <v>1</v>
      </c>
    </row>
    <row r="318" spans="1:5" x14ac:dyDescent="0.3">
      <c r="A318" s="26">
        <v>41440</v>
      </c>
      <c r="B318" s="5" t="s">
        <v>33</v>
      </c>
      <c r="C318" s="5" t="s">
        <v>49</v>
      </c>
      <c r="D318" s="5" t="s">
        <v>54</v>
      </c>
      <c r="E318" s="22">
        <v>18</v>
      </c>
    </row>
    <row r="319" spans="1:5" x14ac:dyDescent="0.3">
      <c r="A319" s="26">
        <v>41569</v>
      </c>
      <c r="B319" s="5" t="s">
        <v>33</v>
      </c>
      <c r="C319" s="5" t="s">
        <v>52</v>
      </c>
      <c r="D319" s="5" t="s">
        <v>29</v>
      </c>
      <c r="E319" s="22">
        <v>0.8</v>
      </c>
    </row>
    <row r="320" spans="1:5" x14ac:dyDescent="0.3">
      <c r="A320" s="26">
        <v>41454</v>
      </c>
      <c r="B320" s="5" t="s">
        <v>31</v>
      </c>
      <c r="C320" s="5" t="s">
        <v>52</v>
      </c>
      <c r="D320" s="5" t="s">
        <v>26</v>
      </c>
      <c r="E320" s="22">
        <v>7.5</v>
      </c>
    </row>
    <row r="321" spans="1:5" x14ac:dyDescent="0.3">
      <c r="A321" s="26">
        <v>41587</v>
      </c>
      <c r="B321" s="5" t="s">
        <v>35</v>
      </c>
      <c r="C321" s="5" t="s">
        <v>45</v>
      </c>
      <c r="D321" s="5" t="s">
        <v>54</v>
      </c>
      <c r="E321" s="22">
        <v>30</v>
      </c>
    </row>
    <row r="322" spans="1:5" x14ac:dyDescent="0.3">
      <c r="A322" s="26">
        <v>41524</v>
      </c>
      <c r="B322" s="5" t="s">
        <v>35</v>
      </c>
      <c r="C322" s="5" t="s">
        <v>45</v>
      </c>
      <c r="D322" s="5" t="s">
        <v>55</v>
      </c>
      <c r="E322" s="22">
        <v>10</v>
      </c>
    </row>
    <row r="323" spans="1:5" x14ac:dyDescent="0.3">
      <c r="A323" s="26">
        <v>41435</v>
      </c>
      <c r="B323" s="5" t="s">
        <v>35</v>
      </c>
      <c r="C323" s="5" t="s">
        <v>47</v>
      </c>
      <c r="D323" s="5" t="s">
        <v>48</v>
      </c>
      <c r="E323" s="22">
        <v>68</v>
      </c>
    </row>
    <row r="324" spans="1:5" x14ac:dyDescent="0.3">
      <c r="A324" s="26">
        <v>41482</v>
      </c>
      <c r="B324" s="5" t="s">
        <v>35</v>
      </c>
      <c r="C324" s="5" t="s">
        <v>45</v>
      </c>
      <c r="D324" s="5" t="s">
        <v>48</v>
      </c>
      <c r="E324" s="22">
        <v>56</v>
      </c>
    </row>
    <row r="325" spans="1:5" x14ac:dyDescent="0.3">
      <c r="A325" s="26">
        <v>41554</v>
      </c>
      <c r="B325" s="5" t="s">
        <v>32</v>
      </c>
      <c r="C325" s="5" t="s">
        <v>45</v>
      </c>
      <c r="D325" s="5" t="s">
        <v>25</v>
      </c>
      <c r="E325" s="22">
        <v>17.5</v>
      </c>
    </row>
  </sheetData>
  <hyperlinks>
    <hyperlink ref="A1" r:id="rId1" display="https://svn-epodatki.sygnity.pl:8443/svn/epodatki-doc/Produkty/Wydanie" xr:uid="{00000000-0004-0000-02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5">
    <tabColor rgb="FF1E73BE"/>
  </sheetPr>
  <dimension ref="A1:H325"/>
  <sheetViews>
    <sheetView zoomScale="130" zoomScaleNormal="130" workbookViewId="0">
      <selection activeCell="A10" sqref="A10"/>
    </sheetView>
  </sheetViews>
  <sheetFormatPr defaultColWidth="9.109375" defaultRowHeight="14.4" x14ac:dyDescent="0.3"/>
  <cols>
    <col min="1" max="1" width="11.109375" style="3" bestFit="1" customWidth="1"/>
    <col min="2" max="2" width="22.109375" style="3" customWidth="1"/>
    <col min="3" max="3" width="14.33203125" style="3" hidden="1" customWidth="1"/>
    <col min="4" max="4" width="11.109375" style="3" hidden="1" customWidth="1"/>
    <col min="5" max="5" width="11.109375" style="3" bestFit="1" customWidth="1"/>
    <col min="6" max="6" width="2.88671875" style="3" customWidth="1"/>
    <col min="7" max="7" width="19.5546875" style="3" bestFit="1" customWidth="1"/>
    <col min="8" max="8" width="11.109375" style="3" bestFit="1" customWidth="1"/>
    <col min="9" max="16384" width="9.109375" style="3"/>
  </cols>
  <sheetData>
    <row r="1" spans="1:8" x14ac:dyDescent="0.3">
      <c r="A1" s="19" t="s">
        <v>41</v>
      </c>
      <c r="B1" s="19" t="s">
        <v>42</v>
      </c>
      <c r="C1" s="19" t="s">
        <v>38</v>
      </c>
      <c r="D1" s="19" t="s">
        <v>39</v>
      </c>
      <c r="E1" s="19" t="s">
        <v>43</v>
      </c>
      <c r="G1" s="19" t="s">
        <v>42</v>
      </c>
      <c r="H1" s="20" t="s">
        <v>57</v>
      </c>
    </row>
    <row r="2" spans="1:8" x14ac:dyDescent="0.3">
      <c r="A2" s="21">
        <v>41510</v>
      </c>
      <c r="B2" s="5" t="s">
        <v>60</v>
      </c>
      <c r="C2" s="5" t="s">
        <v>35</v>
      </c>
      <c r="D2" s="5" t="s">
        <v>30</v>
      </c>
      <c r="E2" s="22">
        <v>25</v>
      </c>
      <c r="G2" s="23" t="s">
        <v>58</v>
      </c>
      <c r="H2" s="24">
        <f t="shared" ref="H2:H7" si="0">SUMIF($B$2:$B$325,G2,$E$2:$E$325)</f>
        <v>864.80000000000007</v>
      </c>
    </row>
    <row r="3" spans="1:8" x14ac:dyDescent="0.3">
      <c r="A3" s="21">
        <v>41560</v>
      </c>
      <c r="B3" s="5" t="s">
        <v>59</v>
      </c>
      <c r="C3" s="5" t="s">
        <v>35</v>
      </c>
      <c r="D3" s="5" t="s">
        <v>48</v>
      </c>
      <c r="E3" s="22">
        <v>76</v>
      </c>
      <c r="G3" s="23" t="s">
        <v>59</v>
      </c>
      <c r="H3" s="24">
        <f t="shared" si="0"/>
        <v>1226.3999999999999</v>
      </c>
    </row>
    <row r="4" spans="1:8" x14ac:dyDescent="0.3">
      <c r="A4" s="21">
        <v>41452</v>
      </c>
      <c r="B4" s="5" t="s">
        <v>62</v>
      </c>
      <c r="C4" s="5" t="s">
        <v>32</v>
      </c>
      <c r="D4" s="5" t="s">
        <v>29</v>
      </c>
      <c r="E4" s="22">
        <v>4</v>
      </c>
      <c r="G4" s="23" t="s">
        <v>65</v>
      </c>
      <c r="H4" s="24">
        <f t="shared" si="0"/>
        <v>1094.0999999999997</v>
      </c>
    </row>
    <row r="5" spans="1:8" x14ac:dyDescent="0.3">
      <c r="A5" s="21">
        <v>41455</v>
      </c>
      <c r="B5" s="5" t="s">
        <v>60</v>
      </c>
      <c r="C5" s="5" t="s">
        <v>33</v>
      </c>
      <c r="D5" s="5" t="s">
        <v>48</v>
      </c>
      <c r="E5" s="22">
        <v>48</v>
      </c>
      <c r="G5" s="23" t="s">
        <v>60</v>
      </c>
      <c r="H5" s="24">
        <f t="shared" si="0"/>
        <v>912.5</v>
      </c>
    </row>
    <row r="6" spans="1:8" x14ac:dyDescent="0.3">
      <c r="A6" s="21">
        <v>41456</v>
      </c>
      <c r="B6" s="5" t="s">
        <v>59</v>
      </c>
      <c r="C6" s="5" t="s">
        <v>34</v>
      </c>
      <c r="D6" s="5" t="s">
        <v>48</v>
      </c>
      <c r="E6" s="22">
        <v>80</v>
      </c>
      <c r="G6" s="23" t="s">
        <v>61</v>
      </c>
      <c r="H6" s="24">
        <f t="shared" si="0"/>
        <v>1105.5999999999999</v>
      </c>
    </row>
    <row r="7" spans="1:8" x14ac:dyDescent="0.3">
      <c r="A7" s="21">
        <v>41609</v>
      </c>
      <c r="B7" s="5" t="s">
        <v>61</v>
      </c>
      <c r="C7" s="5" t="s">
        <v>33</v>
      </c>
      <c r="D7" s="5" t="s">
        <v>25</v>
      </c>
      <c r="E7" s="22">
        <v>40</v>
      </c>
      <c r="G7" s="23" t="s">
        <v>62</v>
      </c>
      <c r="H7" s="24">
        <f t="shared" si="0"/>
        <v>1393.4</v>
      </c>
    </row>
    <row r="8" spans="1:8" x14ac:dyDescent="0.3">
      <c r="A8" s="21">
        <v>41427</v>
      </c>
      <c r="B8" s="5" t="s">
        <v>65</v>
      </c>
      <c r="C8" s="5" t="s">
        <v>32</v>
      </c>
      <c r="D8" s="5" t="s">
        <v>30</v>
      </c>
      <c r="E8" s="22">
        <v>10</v>
      </c>
      <c r="H8" s="25"/>
    </row>
    <row r="9" spans="1:8" x14ac:dyDescent="0.3">
      <c r="A9" s="21">
        <v>41496</v>
      </c>
      <c r="B9" s="5" t="s">
        <v>58</v>
      </c>
      <c r="C9" s="5" t="s">
        <v>33</v>
      </c>
      <c r="D9" s="5" t="s">
        <v>54</v>
      </c>
      <c r="E9" s="22">
        <v>6</v>
      </c>
      <c r="H9" s="25"/>
    </row>
    <row r="10" spans="1:8" x14ac:dyDescent="0.3">
      <c r="A10" s="21">
        <v>41507</v>
      </c>
      <c r="B10" s="5" t="s">
        <v>65</v>
      </c>
      <c r="C10" s="5" t="s">
        <v>34</v>
      </c>
      <c r="D10" s="5" t="s">
        <v>26</v>
      </c>
      <c r="E10" s="22">
        <v>2</v>
      </c>
      <c r="H10" s="25"/>
    </row>
    <row r="11" spans="1:8" x14ac:dyDescent="0.3">
      <c r="A11" s="21">
        <v>41592</v>
      </c>
      <c r="B11" s="5" t="s">
        <v>61</v>
      </c>
      <c r="C11" s="5" t="s">
        <v>34</v>
      </c>
      <c r="D11" s="5" t="s">
        <v>28</v>
      </c>
      <c r="E11" s="22">
        <v>1.8</v>
      </c>
      <c r="H11" s="25"/>
    </row>
    <row r="12" spans="1:8" x14ac:dyDescent="0.3">
      <c r="A12" s="21">
        <v>41498</v>
      </c>
      <c r="B12" s="5" t="s">
        <v>65</v>
      </c>
      <c r="C12" s="5" t="s">
        <v>31</v>
      </c>
      <c r="D12" s="5" t="s">
        <v>30</v>
      </c>
      <c r="E12" s="22">
        <v>75</v>
      </c>
    </row>
    <row r="13" spans="1:8" x14ac:dyDescent="0.3">
      <c r="A13" s="21">
        <v>41582</v>
      </c>
      <c r="B13" s="5" t="s">
        <v>59</v>
      </c>
      <c r="C13" s="5" t="s">
        <v>33</v>
      </c>
      <c r="D13" s="5" t="s">
        <v>28</v>
      </c>
      <c r="E13" s="22">
        <v>0.4</v>
      </c>
    </row>
    <row r="14" spans="1:8" x14ac:dyDescent="0.3">
      <c r="A14" s="21">
        <v>41505</v>
      </c>
      <c r="B14" s="5" t="s">
        <v>65</v>
      </c>
      <c r="C14" s="5" t="s">
        <v>31</v>
      </c>
      <c r="D14" s="5" t="s">
        <v>54</v>
      </c>
      <c r="E14" s="22">
        <v>9</v>
      </c>
    </row>
    <row r="15" spans="1:8" x14ac:dyDescent="0.3">
      <c r="A15" s="21">
        <v>41629</v>
      </c>
      <c r="B15" s="5" t="s">
        <v>58</v>
      </c>
      <c r="C15" s="5" t="s">
        <v>35</v>
      </c>
      <c r="D15" s="5" t="s">
        <v>54</v>
      </c>
      <c r="E15" s="22">
        <v>9</v>
      </c>
    </row>
    <row r="16" spans="1:8" x14ac:dyDescent="0.3">
      <c r="A16" s="21">
        <v>41439</v>
      </c>
      <c r="B16" s="5" t="s">
        <v>61</v>
      </c>
      <c r="C16" s="5" t="s">
        <v>35</v>
      </c>
      <c r="D16" s="5" t="s">
        <v>55</v>
      </c>
      <c r="E16" s="22">
        <v>36</v>
      </c>
    </row>
    <row r="17" spans="1:5" x14ac:dyDescent="0.3">
      <c r="A17" s="21">
        <v>41443</v>
      </c>
      <c r="B17" s="5" t="s">
        <v>61</v>
      </c>
      <c r="C17" s="5" t="s">
        <v>35</v>
      </c>
      <c r="D17" s="5" t="s">
        <v>30</v>
      </c>
      <c r="E17" s="22">
        <v>10</v>
      </c>
    </row>
    <row r="18" spans="1:5" x14ac:dyDescent="0.3">
      <c r="A18" s="21">
        <v>41572</v>
      </c>
      <c r="B18" s="5" t="s">
        <v>62</v>
      </c>
      <c r="C18" s="5" t="s">
        <v>34</v>
      </c>
      <c r="D18" s="5" t="s">
        <v>55</v>
      </c>
      <c r="E18" s="22">
        <v>22</v>
      </c>
    </row>
    <row r="19" spans="1:5" x14ac:dyDescent="0.3">
      <c r="A19" s="21">
        <v>41544</v>
      </c>
      <c r="B19" s="5" t="s">
        <v>61</v>
      </c>
      <c r="C19" s="5" t="s">
        <v>32</v>
      </c>
      <c r="D19" s="5" t="s">
        <v>54</v>
      </c>
      <c r="E19" s="22">
        <v>18</v>
      </c>
    </row>
    <row r="20" spans="1:5" x14ac:dyDescent="0.3">
      <c r="A20" s="21">
        <v>41563</v>
      </c>
      <c r="B20" s="5" t="s">
        <v>62</v>
      </c>
      <c r="C20" s="5" t="s">
        <v>33</v>
      </c>
      <c r="D20" s="5" t="s">
        <v>54</v>
      </c>
      <c r="E20" s="22">
        <v>1.5</v>
      </c>
    </row>
    <row r="21" spans="1:5" x14ac:dyDescent="0.3">
      <c r="A21" s="21">
        <v>41595</v>
      </c>
      <c r="B21" s="5" t="s">
        <v>61</v>
      </c>
      <c r="C21" s="5" t="s">
        <v>34</v>
      </c>
      <c r="D21" s="5" t="s">
        <v>29</v>
      </c>
      <c r="E21" s="22">
        <v>2</v>
      </c>
    </row>
    <row r="22" spans="1:5" x14ac:dyDescent="0.3">
      <c r="A22" s="21">
        <v>41589</v>
      </c>
      <c r="B22" s="5" t="s">
        <v>65</v>
      </c>
      <c r="C22" s="5" t="s">
        <v>35</v>
      </c>
      <c r="D22" s="5" t="s">
        <v>48</v>
      </c>
      <c r="E22" s="22">
        <v>56</v>
      </c>
    </row>
    <row r="23" spans="1:5" x14ac:dyDescent="0.3">
      <c r="A23" s="21">
        <v>41479</v>
      </c>
      <c r="B23" s="5" t="s">
        <v>61</v>
      </c>
      <c r="C23" s="5" t="s">
        <v>34</v>
      </c>
      <c r="D23" s="5" t="s">
        <v>28</v>
      </c>
      <c r="E23" s="22">
        <v>1.4000000000000001</v>
      </c>
    </row>
    <row r="24" spans="1:5" x14ac:dyDescent="0.3">
      <c r="A24" s="21">
        <v>41523</v>
      </c>
      <c r="B24" s="5" t="s">
        <v>65</v>
      </c>
      <c r="C24" s="5" t="s">
        <v>31</v>
      </c>
      <c r="D24" s="5" t="s">
        <v>54</v>
      </c>
      <c r="E24" s="22">
        <v>19.5</v>
      </c>
    </row>
    <row r="25" spans="1:5" x14ac:dyDescent="0.3">
      <c r="A25" s="21">
        <v>41507</v>
      </c>
      <c r="B25" s="5" t="s">
        <v>59</v>
      </c>
      <c r="C25" s="5" t="s">
        <v>31</v>
      </c>
      <c r="D25" s="5" t="s">
        <v>29</v>
      </c>
      <c r="E25" s="22">
        <v>2.6</v>
      </c>
    </row>
    <row r="26" spans="1:5" x14ac:dyDescent="0.3">
      <c r="A26" s="21">
        <v>41430</v>
      </c>
      <c r="B26" s="5" t="s">
        <v>59</v>
      </c>
      <c r="C26" s="5" t="s">
        <v>31</v>
      </c>
      <c r="D26" s="5" t="s">
        <v>29</v>
      </c>
      <c r="E26" s="22">
        <v>0.8</v>
      </c>
    </row>
    <row r="27" spans="1:5" x14ac:dyDescent="0.3">
      <c r="A27" s="21">
        <v>41629</v>
      </c>
      <c r="B27" s="5" t="s">
        <v>65</v>
      </c>
      <c r="C27" s="5" t="s">
        <v>31</v>
      </c>
      <c r="D27" s="5" t="s">
        <v>48</v>
      </c>
      <c r="E27" s="22">
        <v>12</v>
      </c>
    </row>
    <row r="28" spans="1:5" x14ac:dyDescent="0.3">
      <c r="A28" s="21">
        <v>41567</v>
      </c>
      <c r="B28" s="5" t="s">
        <v>59</v>
      </c>
      <c r="C28" s="5" t="s">
        <v>34</v>
      </c>
      <c r="D28" s="5" t="s">
        <v>28</v>
      </c>
      <c r="E28" s="22">
        <v>1.7000000000000002</v>
      </c>
    </row>
    <row r="29" spans="1:5" x14ac:dyDescent="0.3">
      <c r="A29" s="21">
        <v>41592</v>
      </c>
      <c r="B29" s="5" t="s">
        <v>58</v>
      </c>
      <c r="C29" s="5" t="s">
        <v>32</v>
      </c>
      <c r="D29" s="5" t="s">
        <v>29</v>
      </c>
      <c r="E29" s="22">
        <v>3.6</v>
      </c>
    </row>
    <row r="30" spans="1:5" x14ac:dyDescent="0.3">
      <c r="A30" s="21">
        <v>41559</v>
      </c>
      <c r="B30" s="5" t="s">
        <v>62</v>
      </c>
      <c r="C30" s="5" t="s">
        <v>34</v>
      </c>
      <c r="D30" s="5" t="s">
        <v>55</v>
      </c>
      <c r="E30" s="22">
        <v>8</v>
      </c>
    </row>
    <row r="31" spans="1:5" x14ac:dyDescent="0.3">
      <c r="A31" s="21">
        <v>41576</v>
      </c>
      <c r="B31" s="5" t="s">
        <v>58</v>
      </c>
      <c r="C31" s="5" t="s">
        <v>34</v>
      </c>
      <c r="D31" s="5" t="s">
        <v>30</v>
      </c>
      <c r="E31" s="22">
        <v>65</v>
      </c>
    </row>
    <row r="32" spans="1:5" x14ac:dyDescent="0.3">
      <c r="A32" s="21">
        <v>41431</v>
      </c>
      <c r="B32" s="5" t="s">
        <v>62</v>
      </c>
      <c r="C32" s="5" t="s">
        <v>34</v>
      </c>
      <c r="D32" s="5" t="s">
        <v>54</v>
      </c>
      <c r="E32" s="22">
        <v>1.5</v>
      </c>
    </row>
    <row r="33" spans="1:5" x14ac:dyDescent="0.3">
      <c r="A33" s="21">
        <v>41477</v>
      </c>
      <c r="B33" s="5" t="s">
        <v>59</v>
      </c>
      <c r="C33" s="5" t="s">
        <v>35</v>
      </c>
      <c r="D33" s="5" t="s">
        <v>48</v>
      </c>
      <c r="E33" s="22">
        <v>24</v>
      </c>
    </row>
    <row r="34" spans="1:5" x14ac:dyDescent="0.3">
      <c r="A34" s="21">
        <v>41590</v>
      </c>
      <c r="B34" s="5" t="s">
        <v>65</v>
      </c>
      <c r="C34" s="5" t="s">
        <v>31</v>
      </c>
      <c r="D34" s="5" t="s">
        <v>28</v>
      </c>
      <c r="E34" s="22">
        <v>1.3</v>
      </c>
    </row>
    <row r="35" spans="1:5" x14ac:dyDescent="0.3">
      <c r="A35" s="21">
        <v>41467</v>
      </c>
      <c r="B35" s="5" t="s">
        <v>62</v>
      </c>
      <c r="C35" s="5" t="s">
        <v>31</v>
      </c>
      <c r="D35" s="5" t="s">
        <v>29</v>
      </c>
      <c r="E35" s="22">
        <v>2.2000000000000002</v>
      </c>
    </row>
    <row r="36" spans="1:5" x14ac:dyDescent="0.3">
      <c r="A36" s="21">
        <v>41600</v>
      </c>
      <c r="B36" s="5" t="s">
        <v>60</v>
      </c>
      <c r="C36" s="5" t="s">
        <v>33</v>
      </c>
      <c r="D36" s="5" t="s">
        <v>55</v>
      </c>
      <c r="E36" s="22">
        <v>20</v>
      </c>
    </row>
    <row r="37" spans="1:5" x14ac:dyDescent="0.3">
      <c r="A37" s="21">
        <v>41573</v>
      </c>
      <c r="B37" s="5" t="s">
        <v>60</v>
      </c>
      <c r="C37" s="5" t="s">
        <v>35</v>
      </c>
      <c r="D37" s="5" t="s">
        <v>54</v>
      </c>
      <c r="E37" s="22">
        <v>19.5</v>
      </c>
    </row>
    <row r="38" spans="1:5" x14ac:dyDescent="0.3">
      <c r="A38" s="21">
        <v>41591</v>
      </c>
      <c r="B38" s="5" t="s">
        <v>65</v>
      </c>
      <c r="C38" s="5" t="s">
        <v>33</v>
      </c>
      <c r="D38" s="5" t="s">
        <v>28</v>
      </c>
      <c r="E38" s="22">
        <v>0.2</v>
      </c>
    </row>
    <row r="39" spans="1:5" x14ac:dyDescent="0.3">
      <c r="A39" s="21">
        <v>41484</v>
      </c>
      <c r="B39" s="5" t="s">
        <v>65</v>
      </c>
      <c r="C39" s="5" t="s">
        <v>35</v>
      </c>
      <c r="D39" s="5" t="s">
        <v>30</v>
      </c>
      <c r="E39" s="22">
        <v>35</v>
      </c>
    </row>
    <row r="40" spans="1:5" x14ac:dyDescent="0.3">
      <c r="A40" s="21">
        <v>41600</v>
      </c>
      <c r="B40" s="5" t="s">
        <v>61</v>
      </c>
      <c r="C40" s="5" t="s">
        <v>33</v>
      </c>
      <c r="D40" s="5" t="s">
        <v>28</v>
      </c>
      <c r="E40" s="22">
        <v>0.70000000000000007</v>
      </c>
    </row>
    <row r="41" spans="1:5" x14ac:dyDescent="0.3">
      <c r="A41" s="21">
        <v>41451</v>
      </c>
      <c r="B41" s="5" t="s">
        <v>61</v>
      </c>
      <c r="C41" s="5" t="s">
        <v>31</v>
      </c>
      <c r="D41" s="5" t="s">
        <v>54</v>
      </c>
      <c r="E41" s="22">
        <v>27</v>
      </c>
    </row>
    <row r="42" spans="1:5" x14ac:dyDescent="0.3">
      <c r="A42" s="21">
        <v>41444</v>
      </c>
      <c r="B42" s="5" t="s">
        <v>61</v>
      </c>
      <c r="C42" s="5" t="s">
        <v>31</v>
      </c>
      <c r="D42" s="5" t="s">
        <v>48</v>
      </c>
      <c r="E42" s="22">
        <v>36</v>
      </c>
    </row>
    <row r="43" spans="1:5" x14ac:dyDescent="0.3">
      <c r="A43" s="21">
        <v>41534</v>
      </c>
      <c r="B43" s="5" t="s">
        <v>65</v>
      </c>
      <c r="C43" s="5" t="s">
        <v>33</v>
      </c>
      <c r="D43" s="5" t="s">
        <v>48</v>
      </c>
      <c r="E43" s="22">
        <v>20</v>
      </c>
    </row>
    <row r="44" spans="1:5" x14ac:dyDescent="0.3">
      <c r="A44" s="21">
        <v>41571</v>
      </c>
      <c r="B44" s="5" t="s">
        <v>60</v>
      </c>
      <c r="C44" s="5" t="s">
        <v>34</v>
      </c>
      <c r="D44" s="5" t="s">
        <v>28</v>
      </c>
      <c r="E44" s="22">
        <v>1.2000000000000002</v>
      </c>
    </row>
    <row r="45" spans="1:5" x14ac:dyDescent="0.3">
      <c r="A45" s="21">
        <v>41628</v>
      </c>
      <c r="B45" s="5" t="s">
        <v>58</v>
      </c>
      <c r="C45" s="5" t="s">
        <v>34</v>
      </c>
      <c r="D45" s="5" t="s">
        <v>29</v>
      </c>
      <c r="E45" s="22">
        <v>2.2000000000000002</v>
      </c>
    </row>
    <row r="46" spans="1:5" x14ac:dyDescent="0.3">
      <c r="A46" s="21">
        <v>41625</v>
      </c>
      <c r="B46" s="5" t="s">
        <v>58</v>
      </c>
      <c r="C46" s="5" t="s">
        <v>33</v>
      </c>
      <c r="D46" s="5" t="s">
        <v>30</v>
      </c>
      <c r="E46" s="22">
        <v>30</v>
      </c>
    </row>
    <row r="47" spans="1:5" x14ac:dyDescent="0.3">
      <c r="A47" s="21">
        <v>41445</v>
      </c>
      <c r="B47" s="5" t="s">
        <v>65</v>
      </c>
      <c r="C47" s="5" t="s">
        <v>34</v>
      </c>
      <c r="D47" s="5" t="s">
        <v>48</v>
      </c>
      <c r="E47" s="22">
        <v>36</v>
      </c>
    </row>
    <row r="48" spans="1:5" x14ac:dyDescent="0.3">
      <c r="A48" s="21">
        <v>41589</v>
      </c>
      <c r="B48" s="5" t="s">
        <v>65</v>
      </c>
      <c r="C48" s="5" t="s">
        <v>34</v>
      </c>
      <c r="D48" s="5" t="s">
        <v>48</v>
      </c>
      <c r="E48" s="22">
        <v>80</v>
      </c>
    </row>
    <row r="49" spans="1:5" x14ac:dyDescent="0.3">
      <c r="A49" s="21">
        <v>41613</v>
      </c>
      <c r="B49" s="5" t="s">
        <v>61</v>
      </c>
      <c r="C49" s="5" t="s">
        <v>34</v>
      </c>
      <c r="D49" s="5" t="s">
        <v>28</v>
      </c>
      <c r="E49" s="22">
        <v>0.60000000000000009</v>
      </c>
    </row>
    <row r="50" spans="1:5" x14ac:dyDescent="0.3">
      <c r="A50" s="21">
        <v>41567</v>
      </c>
      <c r="B50" s="5" t="s">
        <v>62</v>
      </c>
      <c r="C50" s="5" t="s">
        <v>33</v>
      </c>
      <c r="D50" s="5" t="s">
        <v>25</v>
      </c>
      <c r="E50" s="22">
        <v>40</v>
      </c>
    </row>
    <row r="51" spans="1:5" x14ac:dyDescent="0.3">
      <c r="A51" s="21">
        <v>41595</v>
      </c>
      <c r="B51" s="5" t="s">
        <v>60</v>
      </c>
      <c r="C51" s="5" t="s">
        <v>32</v>
      </c>
      <c r="D51" s="5" t="s">
        <v>29</v>
      </c>
      <c r="E51" s="22">
        <v>2.8000000000000003</v>
      </c>
    </row>
    <row r="52" spans="1:5" x14ac:dyDescent="0.3">
      <c r="A52" s="21">
        <v>41494</v>
      </c>
      <c r="B52" s="5" t="s">
        <v>58</v>
      </c>
      <c r="C52" s="5" t="s">
        <v>32</v>
      </c>
      <c r="D52" s="5" t="s">
        <v>55</v>
      </c>
      <c r="E52" s="22">
        <v>28</v>
      </c>
    </row>
    <row r="53" spans="1:5" x14ac:dyDescent="0.3">
      <c r="A53" s="21">
        <v>41638</v>
      </c>
      <c r="B53" s="5" t="s">
        <v>60</v>
      </c>
      <c r="C53" s="5" t="s">
        <v>32</v>
      </c>
      <c r="D53" s="5" t="s">
        <v>29</v>
      </c>
      <c r="E53" s="22">
        <v>0.8</v>
      </c>
    </row>
    <row r="54" spans="1:5" x14ac:dyDescent="0.3">
      <c r="A54" s="21">
        <v>41467</v>
      </c>
      <c r="B54" s="5" t="s">
        <v>61</v>
      </c>
      <c r="C54" s="5" t="s">
        <v>34</v>
      </c>
      <c r="D54" s="5" t="s">
        <v>55</v>
      </c>
      <c r="E54" s="22">
        <v>10</v>
      </c>
    </row>
    <row r="55" spans="1:5" x14ac:dyDescent="0.3">
      <c r="A55" s="21">
        <v>41555</v>
      </c>
      <c r="B55" s="5" t="s">
        <v>65</v>
      </c>
      <c r="C55" s="5" t="s">
        <v>32</v>
      </c>
      <c r="D55" s="5" t="s">
        <v>54</v>
      </c>
      <c r="E55" s="22">
        <v>9</v>
      </c>
    </row>
    <row r="56" spans="1:5" x14ac:dyDescent="0.3">
      <c r="A56" s="21">
        <v>41544</v>
      </c>
      <c r="B56" s="5" t="s">
        <v>60</v>
      </c>
      <c r="C56" s="5" t="s">
        <v>32</v>
      </c>
      <c r="D56" s="5" t="s">
        <v>26</v>
      </c>
      <c r="E56" s="22">
        <v>9</v>
      </c>
    </row>
    <row r="57" spans="1:5" x14ac:dyDescent="0.3">
      <c r="A57" s="21">
        <v>41433</v>
      </c>
      <c r="B57" s="5" t="s">
        <v>61</v>
      </c>
      <c r="C57" s="5" t="s">
        <v>31</v>
      </c>
      <c r="D57" s="5" t="s">
        <v>28</v>
      </c>
      <c r="E57" s="22">
        <v>1.2000000000000002</v>
      </c>
    </row>
    <row r="58" spans="1:5" x14ac:dyDescent="0.3">
      <c r="A58" s="21">
        <v>41497</v>
      </c>
      <c r="B58" s="5" t="s">
        <v>65</v>
      </c>
      <c r="C58" s="5" t="s">
        <v>35</v>
      </c>
      <c r="D58" s="5" t="s">
        <v>28</v>
      </c>
      <c r="E58" s="22">
        <v>1.9000000000000001</v>
      </c>
    </row>
    <row r="59" spans="1:5" x14ac:dyDescent="0.3">
      <c r="A59" s="21">
        <v>41583</v>
      </c>
      <c r="B59" s="5" t="s">
        <v>61</v>
      </c>
      <c r="C59" s="5" t="s">
        <v>33</v>
      </c>
      <c r="D59" s="5" t="s">
        <v>29</v>
      </c>
      <c r="E59" s="22">
        <v>0.4</v>
      </c>
    </row>
    <row r="60" spans="1:5" x14ac:dyDescent="0.3">
      <c r="A60" s="21">
        <v>41473</v>
      </c>
      <c r="B60" s="5" t="s">
        <v>59</v>
      </c>
      <c r="C60" s="5" t="s">
        <v>35</v>
      </c>
      <c r="D60" s="5" t="s">
        <v>48</v>
      </c>
      <c r="E60" s="22">
        <v>72</v>
      </c>
    </row>
    <row r="61" spans="1:5" x14ac:dyDescent="0.3">
      <c r="A61" s="21">
        <v>41616</v>
      </c>
      <c r="B61" s="5" t="s">
        <v>62</v>
      </c>
      <c r="C61" s="5" t="s">
        <v>31</v>
      </c>
      <c r="D61" s="5" t="s">
        <v>54</v>
      </c>
      <c r="E61" s="22">
        <v>27</v>
      </c>
    </row>
    <row r="62" spans="1:5" x14ac:dyDescent="0.3">
      <c r="A62" s="21">
        <v>41613</v>
      </c>
      <c r="B62" s="5" t="s">
        <v>65</v>
      </c>
      <c r="C62" s="5" t="s">
        <v>33</v>
      </c>
      <c r="D62" s="5" t="s">
        <v>30</v>
      </c>
      <c r="E62" s="22">
        <v>90</v>
      </c>
    </row>
    <row r="63" spans="1:5" x14ac:dyDescent="0.3">
      <c r="A63" s="21">
        <v>41635</v>
      </c>
      <c r="B63" s="5" t="s">
        <v>59</v>
      </c>
      <c r="C63" s="5" t="s">
        <v>35</v>
      </c>
      <c r="D63" s="5" t="s">
        <v>26</v>
      </c>
      <c r="E63" s="22">
        <v>2.5</v>
      </c>
    </row>
    <row r="64" spans="1:5" x14ac:dyDescent="0.3">
      <c r="A64" s="21">
        <v>41621</v>
      </c>
      <c r="B64" s="5" t="s">
        <v>60</v>
      </c>
      <c r="C64" s="5" t="s">
        <v>33</v>
      </c>
      <c r="D64" s="5" t="s">
        <v>48</v>
      </c>
      <c r="E64" s="22">
        <v>76</v>
      </c>
    </row>
    <row r="65" spans="1:5" x14ac:dyDescent="0.3">
      <c r="A65" s="21">
        <v>41457</v>
      </c>
      <c r="B65" s="5" t="s">
        <v>62</v>
      </c>
      <c r="C65" s="5" t="s">
        <v>35</v>
      </c>
      <c r="D65" s="5" t="s">
        <v>30</v>
      </c>
      <c r="E65" s="22">
        <v>95</v>
      </c>
    </row>
    <row r="66" spans="1:5" x14ac:dyDescent="0.3">
      <c r="A66" s="21">
        <v>41553</v>
      </c>
      <c r="B66" s="5" t="s">
        <v>61</v>
      </c>
      <c r="C66" s="5" t="s">
        <v>34</v>
      </c>
      <c r="D66" s="5" t="s">
        <v>29</v>
      </c>
      <c r="E66" s="22">
        <v>1</v>
      </c>
    </row>
    <row r="67" spans="1:5" x14ac:dyDescent="0.3">
      <c r="A67" s="21">
        <v>41500</v>
      </c>
      <c r="B67" s="5" t="s">
        <v>58</v>
      </c>
      <c r="C67" s="5" t="s">
        <v>32</v>
      </c>
      <c r="D67" s="5" t="s">
        <v>28</v>
      </c>
      <c r="E67" s="22">
        <v>0.5</v>
      </c>
    </row>
    <row r="68" spans="1:5" x14ac:dyDescent="0.3">
      <c r="A68" s="21">
        <v>41584</v>
      </c>
      <c r="B68" s="5" t="s">
        <v>60</v>
      </c>
      <c r="C68" s="5" t="s">
        <v>31</v>
      </c>
      <c r="D68" s="5" t="s">
        <v>25</v>
      </c>
      <c r="E68" s="22">
        <v>15</v>
      </c>
    </row>
    <row r="69" spans="1:5" x14ac:dyDescent="0.3">
      <c r="A69" s="21">
        <v>41529</v>
      </c>
      <c r="B69" s="5" t="s">
        <v>61</v>
      </c>
      <c r="C69" s="5" t="s">
        <v>35</v>
      </c>
      <c r="D69" s="5" t="s">
        <v>54</v>
      </c>
      <c r="E69" s="22">
        <v>25.5</v>
      </c>
    </row>
    <row r="70" spans="1:5" x14ac:dyDescent="0.3">
      <c r="A70" s="21">
        <v>41524</v>
      </c>
      <c r="B70" s="5" t="s">
        <v>61</v>
      </c>
      <c r="C70" s="5" t="s">
        <v>32</v>
      </c>
      <c r="D70" s="5" t="s">
        <v>55</v>
      </c>
      <c r="E70" s="22">
        <v>26</v>
      </c>
    </row>
    <row r="71" spans="1:5" x14ac:dyDescent="0.3">
      <c r="A71" s="21">
        <v>41514</v>
      </c>
      <c r="B71" s="5" t="s">
        <v>62</v>
      </c>
      <c r="C71" s="5" t="s">
        <v>32</v>
      </c>
      <c r="D71" s="5" t="s">
        <v>55</v>
      </c>
      <c r="E71" s="22">
        <v>30</v>
      </c>
    </row>
    <row r="72" spans="1:5" x14ac:dyDescent="0.3">
      <c r="A72" s="21">
        <v>41533</v>
      </c>
      <c r="B72" s="5" t="s">
        <v>59</v>
      </c>
      <c r="C72" s="5" t="s">
        <v>31</v>
      </c>
      <c r="D72" s="5" t="s">
        <v>25</v>
      </c>
      <c r="E72" s="22">
        <v>12.5</v>
      </c>
    </row>
    <row r="73" spans="1:5" x14ac:dyDescent="0.3">
      <c r="A73" s="21">
        <v>41438</v>
      </c>
      <c r="B73" s="5" t="s">
        <v>60</v>
      </c>
      <c r="C73" s="5" t="s">
        <v>31</v>
      </c>
      <c r="D73" s="5" t="s">
        <v>54</v>
      </c>
      <c r="E73" s="22">
        <v>22.5</v>
      </c>
    </row>
    <row r="74" spans="1:5" x14ac:dyDescent="0.3">
      <c r="A74" s="21">
        <v>41511</v>
      </c>
      <c r="B74" s="5" t="s">
        <v>58</v>
      </c>
      <c r="C74" s="5" t="s">
        <v>31</v>
      </c>
      <c r="D74" s="5" t="s">
        <v>48</v>
      </c>
      <c r="E74" s="22">
        <v>44</v>
      </c>
    </row>
    <row r="75" spans="1:5" x14ac:dyDescent="0.3">
      <c r="A75" s="21">
        <v>41435</v>
      </c>
      <c r="B75" s="5" t="s">
        <v>60</v>
      </c>
      <c r="C75" s="5" t="s">
        <v>34</v>
      </c>
      <c r="D75" s="5" t="s">
        <v>25</v>
      </c>
      <c r="E75" s="22">
        <v>12.5</v>
      </c>
    </row>
    <row r="76" spans="1:5" x14ac:dyDescent="0.3">
      <c r="A76" s="21">
        <v>41521</v>
      </c>
      <c r="B76" s="5" t="s">
        <v>60</v>
      </c>
      <c r="C76" s="5" t="s">
        <v>33</v>
      </c>
      <c r="D76" s="5" t="s">
        <v>55</v>
      </c>
      <c r="E76" s="22">
        <v>22</v>
      </c>
    </row>
    <row r="77" spans="1:5" x14ac:dyDescent="0.3">
      <c r="A77" s="21">
        <v>41441</v>
      </c>
      <c r="B77" s="5" t="s">
        <v>62</v>
      </c>
      <c r="C77" s="5" t="s">
        <v>35</v>
      </c>
      <c r="D77" s="5" t="s">
        <v>48</v>
      </c>
      <c r="E77" s="22">
        <v>56</v>
      </c>
    </row>
    <row r="78" spans="1:5" x14ac:dyDescent="0.3">
      <c r="A78" s="21">
        <v>41466</v>
      </c>
      <c r="B78" s="5" t="s">
        <v>65</v>
      </c>
      <c r="C78" s="5" t="s">
        <v>35</v>
      </c>
      <c r="D78" s="5" t="s">
        <v>30</v>
      </c>
      <c r="E78" s="22">
        <v>65</v>
      </c>
    </row>
    <row r="79" spans="1:5" x14ac:dyDescent="0.3">
      <c r="A79" s="21">
        <v>41568</v>
      </c>
      <c r="B79" s="5" t="s">
        <v>58</v>
      </c>
      <c r="C79" s="5" t="s">
        <v>31</v>
      </c>
      <c r="D79" s="5" t="s">
        <v>26</v>
      </c>
      <c r="E79" s="22">
        <v>9.5</v>
      </c>
    </row>
    <row r="80" spans="1:5" x14ac:dyDescent="0.3">
      <c r="A80" s="21">
        <v>41635</v>
      </c>
      <c r="B80" s="5" t="s">
        <v>62</v>
      </c>
      <c r="C80" s="5" t="s">
        <v>33</v>
      </c>
      <c r="D80" s="5" t="s">
        <v>29</v>
      </c>
      <c r="E80" s="22">
        <v>0.4</v>
      </c>
    </row>
    <row r="81" spans="1:5" x14ac:dyDescent="0.3">
      <c r="A81" s="21">
        <v>41555</v>
      </c>
      <c r="B81" s="5" t="s">
        <v>61</v>
      </c>
      <c r="C81" s="5" t="s">
        <v>35</v>
      </c>
      <c r="D81" s="5" t="s">
        <v>54</v>
      </c>
      <c r="E81" s="22">
        <v>6</v>
      </c>
    </row>
    <row r="82" spans="1:5" x14ac:dyDescent="0.3">
      <c r="A82" s="21">
        <v>41476</v>
      </c>
      <c r="B82" s="5" t="s">
        <v>65</v>
      </c>
      <c r="C82" s="5" t="s">
        <v>31</v>
      </c>
      <c r="D82" s="5" t="s">
        <v>48</v>
      </c>
      <c r="E82" s="22">
        <v>68</v>
      </c>
    </row>
    <row r="83" spans="1:5" x14ac:dyDescent="0.3">
      <c r="A83" s="21">
        <v>41465</v>
      </c>
      <c r="B83" s="5" t="s">
        <v>59</v>
      </c>
      <c r="C83" s="5" t="s">
        <v>33</v>
      </c>
      <c r="D83" s="5" t="s">
        <v>55</v>
      </c>
      <c r="E83" s="22">
        <v>6</v>
      </c>
    </row>
    <row r="84" spans="1:5" x14ac:dyDescent="0.3">
      <c r="A84" s="21">
        <v>41596</v>
      </c>
      <c r="B84" s="5" t="s">
        <v>60</v>
      </c>
      <c r="C84" s="5" t="s">
        <v>34</v>
      </c>
      <c r="D84" s="5" t="s">
        <v>54</v>
      </c>
      <c r="E84" s="22">
        <v>13.5</v>
      </c>
    </row>
    <row r="85" spans="1:5" x14ac:dyDescent="0.3">
      <c r="A85" s="21">
        <v>41454</v>
      </c>
      <c r="B85" s="5" t="s">
        <v>59</v>
      </c>
      <c r="C85" s="5" t="s">
        <v>32</v>
      </c>
      <c r="D85" s="5" t="s">
        <v>28</v>
      </c>
      <c r="E85" s="22">
        <v>1.1000000000000001</v>
      </c>
    </row>
    <row r="86" spans="1:5" x14ac:dyDescent="0.3">
      <c r="A86" s="21">
        <v>41618</v>
      </c>
      <c r="B86" s="5" t="s">
        <v>60</v>
      </c>
      <c r="C86" s="5" t="s">
        <v>34</v>
      </c>
      <c r="D86" s="5" t="s">
        <v>28</v>
      </c>
      <c r="E86" s="22">
        <v>0.30000000000000004</v>
      </c>
    </row>
    <row r="87" spans="1:5" x14ac:dyDescent="0.3">
      <c r="A87" s="21">
        <v>41613</v>
      </c>
      <c r="B87" s="5" t="s">
        <v>65</v>
      </c>
      <c r="C87" s="5" t="s">
        <v>31</v>
      </c>
      <c r="D87" s="5" t="s">
        <v>54</v>
      </c>
      <c r="E87" s="22">
        <v>25.5</v>
      </c>
    </row>
    <row r="88" spans="1:5" x14ac:dyDescent="0.3">
      <c r="A88" s="21">
        <v>41466</v>
      </c>
      <c r="B88" s="5" t="s">
        <v>58</v>
      </c>
      <c r="C88" s="5" t="s">
        <v>32</v>
      </c>
      <c r="D88" s="5" t="s">
        <v>28</v>
      </c>
      <c r="E88" s="22">
        <v>2</v>
      </c>
    </row>
    <row r="89" spans="1:5" x14ac:dyDescent="0.3">
      <c r="A89" s="21">
        <v>41618</v>
      </c>
      <c r="B89" s="5" t="s">
        <v>60</v>
      </c>
      <c r="C89" s="5" t="s">
        <v>31</v>
      </c>
      <c r="D89" s="5" t="s">
        <v>54</v>
      </c>
      <c r="E89" s="22">
        <v>7.5</v>
      </c>
    </row>
    <row r="90" spans="1:5" x14ac:dyDescent="0.3">
      <c r="A90" s="21">
        <v>41459</v>
      </c>
      <c r="B90" s="5" t="s">
        <v>61</v>
      </c>
      <c r="C90" s="5" t="s">
        <v>35</v>
      </c>
      <c r="D90" s="5" t="s">
        <v>48</v>
      </c>
      <c r="E90" s="22">
        <v>20</v>
      </c>
    </row>
    <row r="91" spans="1:5" x14ac:dyDescent="0.3">
      <c r="A91" s="21">
        <v>41614</v>
      </c>
      <c r="B91" s="5" t="s">
        <v>62</v>
      </c>
      <c r="C91" s="5" t="s">
        <v>33</v>
      </c>
      <c r="D91" s="5" t="s">
        <v>30</v>
      </c>
      <c r="E91" s="22">
        <v>65</v>
      </c>
    </row>
    <row r="92" spans="1:5" x14ac:dyDescent="0.3">
      <c r="A92" s="21">
        <v>41586</v>
      </c>
      <c r="B92" s="5" t="s">
        <v>61</v>
      </c>
      <c r="C92" s="5" t="s">
        <v>32</v>
      </c>
      <c r="D92" s="5" t="s">
        <v>28</v>
      </c>
      <c r="E92" s="22">
        <v>1.9000000000000001</v>
      </c>
    </row>
    <row r="93" spans="1:5" x14ac:dyDescent="0.3">
      <c r="A93" s="21">
        <v>41485</v>
      </c>
      <c r="B93" s="5" t="s">
        <v>65</v>
      </c>
      <c r="C93" s="5" t="s">
        <v>32</v>
      </c>
      <c r="D93" s="5" t="s">
        <v>28</v>
      </c>
      <c r="E93" s="22">
        <v>0.30000000000000004</v>
      </c>
    </row>
    <row r="94" spans="1:5" x14ac:dyDescent="0.3">
      <c r="A94" s="21">
        <v>41433</v>
      </c>
      <c r="B94" s="5" t="s">
        <v>60</v>
      </c>
      <c r="C94" s="5" t="s">
        <v>31</v>
      </c>
      <c r="D94" s="5" t="s">
        <v>28</v>
      </c>
      <c r="E94" s="22">
        <v>0.1</v>
      </c>
    </row>
    <row r="95" spans="1:5" x14ac:dyDescent="0.3">
      <c r="A95" s="21">
        <v>41598</v>
      </c>
      <c r="B95" s="5" t="s">
        <v>61</v>
      </c>
      <c r="C95" s="5" t="s">
        <v>31</v>
      </c>
      <c r="D95" s="5" t="s">
        <v>28</v>
      </c>
      <c r="E95" s="22">
        <v>1.1000000000000001</v>
      </c>
    </row>
    <row r="96" spans="1:5" x14ac:dyDescent="0.3">
      <c r="A96" s="21">
        <v>41536</v>
      </c>
      <c r="B96" s="5" t="s">
        <v>58</v>
      </c>
      <c r="C96" s="5" t="s">
        <v>32</v>
      </c>
      <c r="D96" s="5" t="s">
        <v>28</v>
      </c>
      <c r="E96" s="22">
        <v>1</v>
      </c>
    </row>
    <row r="97" spans="1:5" x14ac:dyDescent="0.3">
      <c r="A97" s="21">
        <v>41443</v>
      </c>
      <c r="B97" s="5" t="s">
        <v>60</v>
      </c>
      <c r="C97" s="5" t="s">
        <v>31</v>
      </c>
      <c r="D97" s="5" t="s">
        <v>30</v>
      </c>
      <c r="E97" s="22">
        <v>15</v>
      </c>
    </row>
    <row r="98" spans="1:5" x14ac:dyDescent="0.3">
      <c r="A98" s="21">
        <v>41505</v>
      </c>
      <c r="B98" s="5" t="s">
        <v>58</v>
      </c>
      <c r="C98" s="5" t="s">
        <v>31</v>
      </c>
      <c r="D98" s="5" t="s">
        <v>28</v>
      </c>
      <c r="E98" s="22">
        <v>0.9</v>
      </c>
    </row>
    <row r="99" spans="1:5" x14ac:dyDescent="0.3">
      <c r="A99" s="21">
        <v>41490</v>
      </c>
      <c r="B99" s="5" t="s">
        <v>62</v>
      </c>
      <c r="C99" s="5" t="s">
        <v>35</v>
      </c>
      <c r="D99" s="5" t="s">
        <v>25</v>
      </c>
      <c r="E99" s="22">
        <v>12.5</v>
      </c>
    </row>
    <row r="100" spans="1:5" x14ac:dyDescent="0.3">
      <c r="A100" s="21">
        <v>41547</v>
      </c>
      <c r="B100" s="5" t="s">
        <v>61</v>
      </c>
      <c r="C100" s="5" t="s">
        <v>35</v>
      </c>
      <c r="D100" s="5" t="s">
        <v>30</v>
      </c>
      <c r="E100" s="22">
        <v>90</v>
      </c>
    </row>
    <row r="101" spans="1:5" x14ac:dyDescent="0.3">
      <c r="A101" s="21">
        <v>41563</v>
      </c>
      <c r="B101" s="5" t="s">
        <v>60</v>
      </c>
      <c r="C101" s="5" t="s">
        <v>32</v>
      </c>
      <c r="D101" s="5" t="s">
        <v>54</v>
      </c>
      <c r="E101" s="22">
        <v>19.5</v>
      </c>
    </row>
    <row r="102" spans="1:5" x14ac:dyDescent="0.3">
      <c r="A102" s="21">
        <v>41446</v>
      </c>
      <c r="B102" s="5" t="s">
        <v>58</v>
      </c>
      <c r="C102" s="5" t="s">
        <v>34</v>
      </c>
      <c r="D102" s="5" t="s">
        <v>29</v>
      </c>
      <c r="E102" s="22">
        <v>2.4000000000000004</v>
      </c>
    </row>
    <row r="103" spans="1:5" x14ac:dyDescent="0.3">
      <c r="A103" s="21">
        <v>41472</v>
      </c>
      <c r="B103" s="5" t="s">
        <v>59</v>
      </c>
      <c r="C103" s="5" t="s">
        <v>32</v>
      </c>
      <c r="D103" s="5" t="s">
        <v>29</v>
      </c>
      <c r="E103" s="22">
        <v>2.4000000000000004</v>
      </c>
    </row>
    <row r="104" spans="1:5" x14ac:dyDescent="0.3">
      <c r="A104" s="21">
        <v>41537</v>
      </c>
      <c r="B104" s="5" t="s">
        <v>61</v>
      </c>
      <c r="C104" s="5" t="s">
        <v>31</v>
      </c>
      <c r="D104" s="5" t="s">
        <v>28</v>
      </c>
      <c r="E104" s="22">
        <v>0.8</v>
      </c>
    </row>
    <row r="105" spans="1:5" x14ac:dyDescent="0.3">
      <c r="A105" s="21">
        <v>41499</v>
      </c>
      <c r="B105" s="5" t="s">
        <v>61</v>
      </c>
      <c r="C105" s="5" t="s">
        <v>35</v>
      </c>
      <c r="D105" s="5" t="s">
        <v>26</v>
      </c>
      <c r="E105" s="22">
        <v>1</v>
      </c>
    </row>
    <row r="106" spans="1:5" x14ac:dyDescent="0.3">
      <c r="A106" s="21">
        <v>41620</v>
      </c>
      <c r="B106" s="5" t="s">
        <v>65</v>
      </c>
      <c r="C106" s="5" t="s">
        <v>31</v>
      </c>
      <c r="D106" s="5" t="s">
        <v>25</v>
      </c>
      <c r="E106" s="22">
        <v>45</v>
      </c>
    </row>
    <row r="107" spans="1:5" x14ac:dyDescent="0.3">
      <c r="A107" s="21">
        <v>41444</v>
      </c>
      <c r="B107" s="5" t="s">
        <v>61</v>
      </c>
      <c r="C107" s="5" t="s">
        <v>34</v>
      </c>
      <c r="D107" s="5" t="s">
        <v>26</v>
      </c>
      <c r="E107" s="22">
        <v>7</v>
      </c>
    </row>
    <row r="108" spans="1:5" x14ac:dyDescent="0.3">
      <c r="A108" s="21">
        <v>41619</v>
      </c>
      <c r="B108" s="5" t="s">
        <v>58</v>
      </c>
      <c r="C108" s="5" t="s">
        <v>33</v>
      </c>
      <c r="D108" s="5" t="s">
        <v>55</v>
      </c>
      <c r="E108" s="22">
        <v>34</v>
      </c>
    </row>
    <row r="109" spans="1:5" x14ac:dyDescent="0.3">
      <c r="A109" s="21">
        <v>41483</v>
      </c>
      <c r="B109" s="5" t="s">
        <v>60</v>
      </c>
      <c r="C109" s="5" t="s">
        <v>31</v>
      </c>
      <c r="D109" s="5" t="s">
        <v>55</v>
      </c>
      <c r="E109" s="22">
        <v>4</v>
      </c>
    </row>
    <row r="110" spans="1:5" x14ac:dyDescent="0.3">
      <c r="A110" s="21">
        <v>41433</v>
      </c>
      <c r="B110" s="5" t="s">
        <v>62</v>
      </c>
      <c r="C110" s="5" t="s">
        <v>32</v>
      </c>
      <c r="D110" s="5" t="s">
        <v>26</v>
      </c>
      <c r="E110" s="22">
        <v>3.5</v>
      </c>
    </row>
    <row r="111" spans="1:5" x14ac:dyDescent="0.3">
      <c r="A111" s="21">
        <v>41630</v>
      </c>
      <c r="B111" s="5" t="s">
        <v>65</v>
      </c>
      <c r="C111" s="5" t="s">
        <v>31</v>
      </c>
      <c r="D111" s="5" t="s">
        <v>29</v>
      </c>
      <c r="E111" s="22">
        <v>2</v>
      </c>
    </row>
    <row r="112" spans="1:5" x14ac:dyDescent="0.3">
      <c r="A112" s="21">
        <v>41522</v>
      </c>
      <c r="B112" s="5" t="s">
        <v>59</v>
      </c>
      <c r="C112" s="5" t="s">
        <v>32</v>
      </c>
      <c r="D112" s="5" t="s">
        <v>55</v>
      </c>
      <c r="E112" s="22">
        <v>34</v>
      </c>
    </row>
    <row r="113" spans="1:5" x14ac:dyDescent="0.3">
      <c r="A113" s="21">
        <v>41508</v>
      </c>
      <c r="B113" s="5" t="s">
        <v>58</v>
      </c>
      <c r="C113" s="5" t="s">
        <v>35</v>
      </c>
      <c r="D113" s="5" t="s">
        <v>55</v>
      </c>
      <c r="E113" s="22">
        <v>10</v>
      </c>
    </row>
    <row r="114" spans="1:5" x14ac:dyDescent="0.3">
      <c r="A114" s="21">
        <v>41612</v>
      </c>
      <c r="B114" s="5" t="s">
        <v>58</v>
      </c>
      <c r="C114" s="5" t="s">
        <v>32</v>
      </c>
      <c r="D114" s="5" t="s">
        <v>30</v>
      </c>
      <c r="E114" s="22">
        <v>10</v>
      </c>
    </row>
    <row r="115" spans="1:5" x14ac:dyDescent="0.3">
      <c r="A115" s="21">
        <v>41505</v>
      </c>
      <c r="B115" s="5" t="s">
        <v>59</v>
      </c>
      <c r="C115" s="5" t="s">
        <v>33</v>
      </c>
      <c r="D115" s="5" t="s">
        <v>28</v>
      </c>
      <c r="E115" s="22">
        <v>1.1000000000000001</v>
      </c>
    </row>
    <row r="116" spans="1:5" x14ac:dyDescent="0.3">
      <c r="A116" s="21">
        <v>41617</v>
      </c>
      <c r="B116" s="5" t="s">
        <v>61</v>
      </c>
      <c r="C116" s="5" t="s">
        <v>33</v>
      </c>
      <c r="D116" s="5" t="s">
        <v>29</v>
      </c>
      <c r="E116" s="22">
        <v>2.8000000000000003</v>
      </c>
    </row>
    <row r="117" spans="1:5" x14ac:dyDescent="0.3">
      <c r="A117" s="21">
        <v>41565</v>
      </c>
      <c r="B117" s="5" t="s">
        <v>61</v>
      </c>
      <c r="C117" s="5" t="s">
        <v>33</v>
      </c>
      <c r="D117" s="5" t="s">
        <v>55</v>
      </c>
      <c r="E117" s="22">
        <v>18</v>
      </c>
    </row>
    <row r="118" spans="1:5" x14ac:dyDescent="0.3">
      <c r="A118" s="21">
        <v>41527</v>
      </c>
      <c r="B118" s="5" t="s">
        <v>59</v>
      </c>
      <c r="C118" s="5" t="s">
        <v>34</v>
      </c>
      <c r="D118" s="5" t="s">
        <v>26</v>
      </c>
      <c r="E118" s="22">
        <v>8.5</v>
      </c>
    </row>
    <row r="119" spans="1:5" x14ac:dyDescent="0.3">
      <c r="A119" s="21">
        <v>41580</v>
      </c>
      <c r="B119" s="5" t="s">
        <v>62</v>
      </c>
      <c r="C119" s="5" t="s">
        <v>31</v>
      </c>
      <c r="D119" s="5" t="s">
        <v>29</v>
      </c>
      <c r="E119" s="22">
        <v>0.4</v>
      </c>
    </row>
    <row r="120" spans="1:5" x14ac:dyDescent="0.3">
      <c r="A120" s="21">
        <v>41498</v>
      </c>
      <c r="B120" s="5" t="s">
        <v>59</v>
      </c>
      <c r="C120" s="5" t="s">
        <v>35</v>
      </c>
      <c r="D120" s="5" t="s">
        <v>29</v>
      </c>
      <c r="E120" s="22">
        <v>1.8</v>
      </c>
    </row>
    <row r="121" spans="1:5" x14ac:dyDescent="0.3">
      <c r="A121" s="21">
        <v>41441</v>
      </c>
      <c r="B121" s="5" t="s">
        <v>62</v>
      </c>
      <c r="C121" s="5" t="s">
        <v>31</v>
      </c>
      <c r="D121" s="5" t="s">
        <v>48</v>
      </c>
      <c r="E121" s="22">
        <v>44</v>
      </c>
    </row>
    <row r="122" spans="1:5" x14ac:dyDescent="0.3">
      <c r="A122" s="21">
        <v>41434</v>
      </c>
      <c r="B122" s="5" t="s">
        <v>62</v>
      </c>
      <c r="C122" s="5" t="s">
        <v>35</v>
      </c>
      <c r="D122" s="5" t="s">
        <v>25</v>
      </c>
      <c r="E122" s="22">
        <v>42.5</v>
      </c>
    </row>
    <row r="123" spans="1:5" x14ac:dyDescent="0.3">
      <c r="A123" s="21">
        <v>41561</v>
      </c>
      <c r="B123" s="5" t="s">
        <v>61</v>
      </c>
      <c r="C123" s="5" t="s">
        <v>31</v>
      </c>
      <c r="D123" s="5" t="s">
        <v>55</v>
      </c>
      <c r="E123" s="22">
        <v>8</v>
      </c>
    </row>
    <row r="124" spans="1:5" x14ac:dyDescent="0.3">
      <c r="A124" s="21">
        <v>41624</v>
      </c>
      <c r="B124" s="5" t="s">
        <v>62</v>
      </c>
      <c r="C124" s="5" t="s">
        <v>32</v>
      </c>
      <c r="D124" s="5" t="s">
        <v>48</v>
      </c>
      <c r="E124" s="22">
        <v>68</v>
      </c>
    </row>
    <row r="125" spans="1:5" x14ac:dyDescent="0.3">
      <c r="A125" s="21">
        <v>41521</v>
      </c>
      <c r="B125" s="5" t="s">
        <v>58</v>
      </c>
      <c r="C125" s="5" t="s">
        <v>34</v>
      </c>
      <c r="D125" s="5" t="s">
        <v>28</v>
      </c>
      <c r="E125" s="22">
        <v>0.70000000000000007</v>
      </c>
    </row>
    <row r="126" spans="1:5" x14ac:dyDescent="0.3">
      <c r="A126" s="21">
        <v>41569</v>
      </c>
      <c r="B126" s="5" t="s">
        <v>61</v>
      </c>
      <c r="C126" s="5" t="s">
        <v>34</v>
      </c>
      <c r="D126" s="5" t="s">
        <v>54</v>
      </c>
      <c r="E126" s="22">
        <v>13.5</v>
      </c>
    </row>
    <row r="127" spans="1:5" x14ac:dyDescent="0.3">
      <c r="A127" s="21">
        <v>41541</v>
      </c>
      <c r="B127" s="5" t="s">
        <v>62</v>
      </c>
      <c r="C127" s="5" t="s">
        <v>34</v>
      </c>
      <c r="D127" s="5" t="s">
        <v>28</v>
      </c>
      <c r="E127" s="22">
        <v>1.5</v>
      </c>
    </row>
    <row r="128" spans="1:5" x14ac:dyDescent="0.3">
      <c r="A128" s="21">
        <v>41542</v>
      </c>
      <c r="B128" s="5" t="s">
        <v>59</v>
      </c>
      <c r="C128" s="5" t="s">
        <v>34</v>
      </c>
      <c r="D128" s="5" t="s">
        <v>26</v>
      </c>
      <c r="E128" s="22">
        <v>3.5</v>
      </c>
    </row>
    <row r="129" spans="1:5" x14ac:dyDescent="0.3">
      <c r="A129" s="21">
        <v>41513</v>
      </c>
      <c r="B129" s="5" t="s">
        <v>58</v>
      </c>
      <c r="C129" s="5" t="s">
        <v>33</v>
      </c>
      <c r="D129" s="5" t="s">
        <v>29</v>
      </c>
      <c r="E129" s="22">
        <v>2.4000000000000004</v>
      </c>
    </row>
    <row r="130" spans="1:5" x14ac:dyDescent="0.3">
      <c r="A130" s="21">
        <v>41577</v>
      </c>
      <c r="B130" s="5" t="s">
        <v>65</v>
      </c>
      <c r="C130" s="5" t="s">
        <v>34</v>
      </c>
      <c r="D130" s="5" t="s">
        <v>29</v>
      </c>
      <c r="E130" s="22">
        <v>2.4000000000000004</v>
      </c>
    </row>
    <row r="131" spans="1:5" x14ac:dyDescent="0.3">
      <c r="A131" s="21">
        <v>41615</v>
      </c>
      <c r="B131" s="5" t="s">
        <v>59</v>
      </c>
      <c r="C131" s="5" t="s">
        <v>31</v>
      </c>
      <c r="D131" s="5" t="s">
        <v>55</v>
      </c>
      <c r="E131" s="22">
        <v>16</v>
      </c>
    </row>
    <row r="132" spans="1:5" x14ac:dyDescent="0.3">
      <c r="A132" s="21">
        <v>41477</v>
      </c>
      <c r="B132" s="5" t="s">
        <v>59</v>
      </c>
      <c r="C132" s="5" t="s">
        <v>34</v>
      </c>
      <c r="D132" s="5" t="s">
        <v>25</v>
      </c>
      <c r="E132" s="22">
        <v>2.5</v>
      </c>
    </row>
    <row r="133" spans="1:5" x14ac:dyDescent="0.3">
      <c r="A133" s="21">
        <v>41585</v>
      </c>
      <c r="B133" s="5" t="s">
        <v>65</v>
      </c>
      <c r="C133" s="5" t="s">
        <v>31</v>
      </c>
      <c r="D133" s="5" t="s">
        <v>26</v>
      </c>
      <c r="E133" s="22">
        <v>1.5</v>
      </c>
    </row>
    <row r="134" spans="1:5" x14ac:dyDescent="0.3">
      <c r="A134" s="21">
        <v>41528</v>
      </c>
      <c r="B134" s="5" t="s">
        <v>59</v>
      </c>
      <c r="C134" s="5" t="s">
        <v>32</v>
      </c>
      <c r="D134" s="5" t="s">
        <v>25</v>
      </c>
      <c r="E134" s="22">
        <v>47.5</v>
      </c>
    </row>
    <row r="135" spans="1:5" x14ac:dyDescent="0.3">
      <c r="A135" s="21">
        <v>41586</v>
      </c>
      <c r="B135" s="5" t="s">
        <v>60</v>
      </c>
      <c r="C135" s="5" t="s">
        <v>31</v>
      </c>
      <c r="D135" s="5" t="s">
        <v>29</v>
      </c>
      <c r="E135" s="22">
        <v>3.4000000000000004</v>
      </c>
    </row>
    <row r="136" spans="1:5" x14ac:dyDescent="0.3">
      <c r="A136" s="21">
        <v>41555</v>
      </c>
      <c r="B136" s="5" t="s">
        <v>60</v>
      </c>
      <c r="C136" s="5" t="s">
        <v>35</v>
      </c>
      <c r="D136" s="5" t="s">
        <v>29</v>
      </c>
      <c r="E136" s="22">
        <v>0.60000000000000009</v>
      </c>
    </row>
    <row r="137" spans="1:5" x14ac:dyDescent="0.3">
      <c r="A137" s="21">
        <v>41559</v>
      </c>
      <c r="B137" s="5" t="s">
        <v>60</v>
      </c>
      <c r="C137" s="5" t="s">
        <v>33</v>
      </c>
      <c r="D137" s="5" t="s">
        <v>28</v>
      </c>
      <c r="E137" s="22">
        <v>1.3</v>
      </c>
    </row>
    <row r="138" spans="1:5" x14ac:dyDescent="0.3">
      <c r="A138" s="21">
        <v>41619</v>
      </c>
      <c r="B138" s="5" t="s">
        <v>65</v>
      </c>
      <c r="C138" s="5" t="s">
        <v>34</v>
      </c>
      <c r="D138" s="5" t="s">
        <v>48</v>
      </c>
      <c r="E138" s="22">
        <v>48</v>
      </c>
    </row>
    <row r="139" spans="1:5" x14ac:dyDescent="0.3">
      <c r="A139" s="21">
        <v>41603</v>
      </c>
      <c r="B139" s="5" t="s">
        <v>65</v>
      </c>
      <c r="C139" s="5" t="s">
        <v>31</v>
      </c>
      <c r="D139" s="5" t="s">
        <v>54</v>
      </c>
      <c r="E139" s="22">
        <v>4.5</v>
      </c>
    </row>
    <row r="140" spans="1:5" x14ac:dyDescent="0.3">
      <c r="A140" s="21">
        <v>41574</v>
      </c>
      <c r="B140" s="5" t="s">
        <v>65</v>
      </c>
      <c r="C140" s="5" t="s">
        <v>34</v>
      </c>
      <c r="D140" s="5" t="s">
        <v>29</v>
      </c>
      <c r="E140" s="22">
        <v>0.4</v>
      </c>
    </row>
    <row r="141" spans="1:5" x14ac:dyDescent="0.3">
      <c r="A141" s="21">
        <v>41426</v>
      </c>
      <c r="B141" s="5" t="s">
        <v>62</v>
      </c>
      <c r="C141" s="5" t="s">
        <v>33</v>
      </c>
      <c r="D141" s="5" t="s">
        <v>54</v>
      </c>
      <c r="E141" s="22">
        <v>30</v>
      </c>
    </row>
    <row r="142" spans="1:5" x14ac:dyDescent="0.3">
      <c r="A142" s="21">
        <v>41473</v>
      </c>
      <c r="B142" s="5" t="s">
        <v>60</v>
      </c>
      <c r="C142" s="5" t="s">
        <v>33</v>
      </c>
      <c r="D142" s="5" t="s">
        <v>30</v>
      </c>
      <c r="E142" s="22">
        <v>30</v>
      </c>
    </row>
    <row r="143" spans="1:5" x14ac:dyDescent="0.3">
      <c r="A143" s="21">
        <v>41523</v>
      </c>
      <c r="B143" s="5" t="s">
        <v>62</v>
      </c>
      <c r="C143" s="5" t="s">
        <v>33</v>
      </c>
      <c r="D143" s="5" t="s">
        <v>48</v>
      </c>
      <c r="E143" s="22">
        <v>44</v>
      </c>
    </row>
    <row r="144" spans="1:5" x14ac:dyDescent="0.3">
      <c r="A144" s="21">
        <v>41497</v>
      </c>
      <c r="B144" s="5" t="s">
        <v>58</v>
      </c>
      <c r="C144" s="5" t="s">
        <v>32</v>
      </c>
      <c r="D144" s="5" t="s">
        <v>55</v>
      </c>
      <c r="E144" s="22">
        <v>10</v>
      </c>
    </row>
    <row r="145" spans="1:5" x14ac:dyDescent="0.3">
      <c r="A145" s="21">
        <v>41619</v>
      </c>
      <c r="B145" s="5" t="s">
        <v>60</v>
      </c>
      <c r="C145" s="5" t="s">
        <v>34</v>
      </c>
      <c r="D145" s="5" t="s">
        <v>26</v>
      </c>
      <c r="E145" s="22">
        <v>4</v>
      </c>
    </row>
    <row r="146" spans="1:5" x14ac:dyDescent="0.3">
      <c r="A146" s="21">
        <v>41583</v>
      </c>
      <c r="B146" s="5" t="s">
        <v>65</v>
      </c>
      <c r="C146" s="5" t="s">
        <v>35</v>
      </c>
      <c r="D146" s="5" t="s">
        <v>26</v>
      </c>
      <c r="E146" s="22">
        <v>3.5</v>
      </c>
    </row>
    <row r="147" spans="1:5" x14ac:dyDescent="0.3">
      <c r="A147" s="21">
        <v>41519</v>
      </c>
      <c r="B147" s="5" t="s">
        <v>59</v>
      </c>
      <c r="C147" s="5" t="s">
        <v>34</v>
      </c>
      <c r="D147" s="5" t="s">
        <v>55</v>
      </c>
      <c r="E147" s="22">
        <v>2</v>
      </c>
    </row>
    <row r="148" spans="1:5" x14ac:dyDescent="0.3">
      <c r="A148" s="21">
        <v>41479</v>
      </c>
      <c r="B148" s="5" t="s">
        <v>58</v>
      </c>
      <c r="C148" s="5" t="s">
        <v>35</v>
      </c>
      <c r="D148" s="5" t="s">
        <v>29</v>
      </c>
      <c r="E148" s="22">
        <v>2.6</v>
      </c>
    </row>
    <row r="149" spans="1:5" x14ac:dyDescent="0.3">
      <c r="A149" s="21">
        <v>41489</v>
      </c>
      <c r="B149" s="5" t="s">
        <v>61</v>
      </c>
      <c r="C149" s="5" t="s">
        <v>33</v>
      </c>
      <c r="D149" s="5" t="s">
        <v>48</v>
      </c>
      <c r="E149" s="22">
        <v>16</v>
      </c>
    </row>
    <row r="150" spans="1:5" x14ac:dyDescent="0.3">
      <c r="A150" s="21">
        <v>41582</v>
      </c>
      <c r="B150" s="5" t="s">
        <v>58</v>
      </c>
      <c r="C150" s="5" t="s">
        <v>35</v>
      </c>
      <c r="D150" s="5" t="s">
        <v>48</v>
      </c>
      <c r="E150" s="22">
        <v>80</v>
      </c>
    </row>
    <row r="151" spans="1:5" x14ac:dyDescent="0.3">
      <c r="A151" s="21">
        <v>41467</v>
      </c>
      <c r="B151" s="5" t="s">
        <v>61</v>
      </c>
      <c r="C151" s="5" t="s">
        <v>32</v>
      </c>
      <c r="D151" s="5" t="s">
        <v>26</v>
      </c>
      <c r="E151" s="22">
        <v>2.5</v>
      </c>
    </row>
    <row r="152" spans="1:5" x14ac:dyDescent="0.3">
      <c r="A152" s="21">
        <v>41602</v>
      </c>
      <c r="B152" s="5" t="s">
        <v>59</v>
      </c>
      <c r="C152" s="5" t="s">
        <v>31</v>
      </c>
      <c r="D152" s="5" t="s">
        <v>28</v>
      </c>
      <c r="E152" s="22">
        <v>0.60000000000000009</v>
      </c>
    </row>
    <row r="153" spans="1:5" x14ac:dyDescent="0.3">
      <c r="A153" s="21">
        <v>41582</v>
      </c>
      <c r="B153" s="5" t="s">
        <v>61</v>
      </c>
      <c r="C153" s="5" t="s">
        <v>33</v>
      </c>
      <c r="D153" s="5" t="s">
        <v>29</v>
      </c>
      <c r="E153" s="22">
        <v>2.2000000000000002</v>
      </c>
    </row>
    <row r="154" spans="1:5" x14ac:dyDescent="0.3">
      <c r="A154" s="21">
        <v>41466</v>
      </c>
      <c r="B154" s="5" t="s">
        <v>62</v>
      </c>
      <c r="C154" s="5" t="s">
        <v>33</v>
      </c>
      <c r="D154" s="5" t="s">
        <v>25</v>
      </c>
      <c r="E154" s="22">
        <v>47.5</v>
      </c>
    </row>
    <row r="155" spans="1:5" x14ac:dyDescent="0.3">
      <c r="A155" s="21">
        <v>41595</v>
      </c>
      <c r="B155" s="5" t="s">
        <v>58</v>
      </c>
      <c r="C155" s="5" t="s">
        <v>31</v>
      </c>
      <c r="D155" s="5" t="s">
        <v>55</v>
      </c>
      <c r="E155" s="22">
        <v>40</v>
      </c>
    </row>
    <row r="156" spans="1:5" x14ac:dyDescent="0.3">
      <c r="A156" s="21">
        <v>41503</v>
      </c>
      <c r="B156" s="5" t="s">
        <v>61</v>
      </c>
      <c r="C156" s="5" t="s">
        <v>34</v>
      </c>
      <c r="D156" s="5" t="s">
        <v>48</v>
      </c>
      <c r="E156" s="22">
        <v>76</v>
      </c>
    </row>
    <row r="157" spans="1:5" x14ac:dyDescent="0.3">
      <c r="A157" s="21">
        <v>41468</v>
      </c>
      <c r="B157" s="5" t="s">
        <v>59</v>
      </c>
      <c r="C157" s="5" t="s">
        <v>34</v>
      </c>
      <c r="D157" s="5" t="s">
        <v>30</v>
      </c>
      <c r="E157" s="22">
        <v>15</v>
      </c>
    </row>
    <row r="158" spans="1:5" x14ac:dyDescent="0.3">
      <c r="A158" s="21">
        <v>41569</v>
      </c>
      <c r="B158" s="5" t="s">
        <v>65</v>
      </c>
      <c r="C158" s="5" t="s">
        <v>33</v>
      </c>
      <c r="D158" s="5" t="s">
        <v>26</v>
      </c>
      <c r="E158" s="22">
        <v>10</v>
      </c>
    </row>
    <row r="159" spans="1:5" x14ac:dyDescent="0.3">
      <c r="A159" s="21">
        <v>41445</v>
      </c>
      <c r="B159" s="5" t="s">
        <v>59</v>
      </c>
      <c r="C159" s="5" t="s">
        <v>35</v>
      </c>
      <c r="D159" s="5" t="s">
        <v>54</v>
      </c>
      <c r="E159" s="22">
        <v>3</v>
      </c>
    </row>
    <row r="160" spans="1:5" x14ac:dyDescent="0.3">
      <c r="A160" s="21">
        <v>41570</v>
      </c>
      <c r="B160" s="5" t="s">
        <v>61</v>
      </c>
      <c r="C160" s="5" t="s">
        <v>33</v>
      </c>
      <c r="D160" s="5" t="s">
        <v>28</v>
      </c>
      <c r="E160" s="22">
        <v>1.3</v>
      </c>
    </row>
    <row r="161" spans="1:5" x14ac:dyDescent="0.3">
      <c r="A161" s="21">
        <v>41458</v>
      </c>
      <c r="B161" s="5" t="s">
        <v>58</v>
      </c>
      <c r="C161" s="5" t="s">
        <v>31</v>
      </c>
      <c r="D161" s="5" t="s">
        <v>29</v>
      </c>
      <c r="E161" s="22">
        <v>0.4</v>
      </c>
    </row>
    <row r="162" spans="1:5" x14ac:dyDescent="0.3">
      <c r="A162" s="21">
        <v>41436</v>
      </c>
      <c r="B162" s="5" t="s">
        <v>62</v>
      </c>
      <c r="C162" s="5" t="s">
        <v>35</v>
      </c>
      <c r="D162" s="5" t="s">
        <v>28</v>
      </c>
      <c r="E162" s="22">
        <v>1</v>
      </c>
    </row>
    <row r="163" spans="1:5" x14ac:dyDescent="0.3">
      <c r="A163" s="21">
        <v>41474</v>
      </c>
      <c r="B163" s="5" t="s">
        <v>58</v>
      </c>
      <c r="C163" s="5" t="s">
        <v>33</v>
      </c>
      <c r="D163" s="5" t="s">
        <v>26</v>
      </c>
      <c r="E163" s="22">
        <v>0.5</v>
      </c>
    </row>
    <row r="164" spans="1:5" x14ac:dyDescent="0.3">
      <c r="A164" s="21">
        <v>41546</v>
      </c>
      <c r="B164" s="5" t="s">
        <v>62</v>
      </c>
      <c r="C164" s="5" t="s">
        <v>31</v>
      </c>
      <c r="D164" s="5" t="s">
        <v>54</v>
      </c>
      <c r="E164" s="22">
        <v>13.5</v>
      </c>
    </row>
    <row r="165" spans="1:5" x14ac:dyDescent="0.3">
      <c r="A165" s="21">
        <v>41469</v>
      </c>
      <c r="B165" s="5" t="s">
        <v>58</v>
      </c>
      <c r="C165" s="5" t="s">
        <v>35</v>
      </c>
      <c r="D165" s="5" t="s">
        <v>55</v>
      </c>
      <c r="E165" s="22">
        <v>14</v>
      </c>
    </row>
    <row r="166" spans="1:5" x14ac:dyDescent="0.3">
      <c r="A166" s="21">
        <v>41615</v>
      </c>
      <c r="B166" s="5" t="s">
        <v>65</v>
      </c>
      <c r="C166" s="5" t="s">
        <v>32</v>
      </c>
      <c r="D166" s="5" t="s">
        <v>28</v>
      </c>
      <c r="E166" s="22">
        <v>1.6</v>
      </c>
    </row>
    <row r="167" spans="1:5" x14ac:dyDescent="0.3">
      <c r="A167" s="21">
        <v>41529</v>
      </c>
      <c r="B167" s="5" t="s">
        <v>61</v>
      </c>
      <c r="C167" s="5" t="s">
        <v>31</v>
      </c>
      <c r="D167" s="5" t="s">
        <v>25</v>
      </c>
      <c r="E167" s="22">
        <v>12.5</v>
      </c>
    </row>
    <row r="168" spans="1:5" x14ac:dyDescent="0.3">
      <c r="A168" s="21">
        <v>41481</v>
      </c>
      <c r="B168" s="5" t="s">
        <v>59</v>
      </c>
      <c r="C168" s="5" t="s">
        <v>34</v>
      </c>
      <c r="D168" s="5" t="s">
        <v>48</v>
      </c>
      <c r="E168" s="22">
        <v>32</v>
      </c>
    </row>
    <row r="169" spans="1:5" x14ac:dyDescent="0.3">
      <c r="A169" s="21">
        <v>41623</v>
      </c>
      <c r="B169" s="5" t="s">
        <v>61</v>
      </c>
      <c r="C169" s="5" t="s">
        <v>32</v>
      </c>
      <c r="D169" s="5" t="s">
        <v>25</v>
      </c>
      <c r="E169" s="22">
        <v>12.5</v>
      </c>
    </row>
    <row r="170" spans="1:5" x14ac:dyDescent="0.3">
      <c r="A170" s="21">
        <v>41608</v>
      </c>
      <c r="B170" s="5" t="s">
        <v>61</v>
      </c>
      <c r="C170" s="5" t="s">
        <v>31</v>
      </c>
      <c r="D170" s="5" t="s">
        <v>28</v>
      </c>
      <c r="E170" s="22">
        <v>0.4</v>
      </c>
    </row>
    <row r="171" spans="1:5" x14ac:dyDescent="0.3">
      <c r="A171" s="21">
        <v>41535</v>
      </c>
      <c r="B171" s="5" t="s">
        <v>59</v>
      </c>
      <c r="C171" s="5" t="s">
        <v>33</v>
      </c>
      <c r="D171" s="5" t="s">
        <v>48</v>
      </c>
      <c r="E171" s="22">
        <v>68</v>
      </c>
    </row>
    <row r="172" spans="1:5" x14ac:dyDescent="0.3">
      <c r="A172" s="21">
        <v>41551</v>
      </c>
      <c r="B172" s="5" t="s">
        <v>62</v>
      </c>
      <c r="C172" s="5" t="s">
        <v>35</v>
      </c>
      <c r="D172" s="5" t="s">
        <v>29</v>
      </c>
      <c r="E172" s="22">
        <v>3.6</v>
      </c>
    </row>
    <row r="173" spans="1:5" x14ac:dyDescent="0.3">
      <c r="A173" s="21">
        <v>41445</v>
      </c>
      <c r="B173" s="5" t="s">
        <v>62</v>
      </c>
      <c r="C173" s="5" t="s">
        <v>35</v>
      </c>
      <c r="D173" s="5" t="s">
        <v>54</v>
      </c>
      <c r="E173" s="22">
        <v>21</v>
      </c>
    </row>
    <row r="174" spans="1:5" x14ac:dyDescent="0.3">
      <c r="A174" s="21">
        <v>41605</v>
      </c>
      <c r="B174" s="5" t="s">
        <v>60</v>
      </c>
      <c r="C174" s="5" t="s">
        <v>33</v>
      </c>
      <c r="D174" s="5" t="s">
        <v>30</v>
      </c>
      <c r="E174" s="22">
        <v>10</v>
      </c>
    </row>
    <row r="175" spans="1:5" x14ac:dyDescent="0.3">
      <c r="A175" s="21">
        <v>41527</v>
      </c>
      <c r="B175" s="5" t="s">
        <v>65</v>
      </c>
      <c r="C175" s="5" t="s">
        <v>32</v>
      </c>
      <c r="D175" s="5" t="s">
        <v>30</v>
      </c>
      <c r="E175" s="22">
        <v>30</v>
      </c>
    </row>
    <row r="176" spans="1:5" x14ac:dyDescent="0.3">
      <c r="A176" s="21">
        <v>41503</v>
      </c>
      <c r="B176" s="5" t="s">
        <v>61</v>
      </c>
      <c r="C176" s="5" t="s">
        <v>31</v>
      </c>
      <c r="D176" s="5" t="s">
        <v>25</v>
      </c>
      <c r="E176" s="22">
        <v>10</v>
      </c>
    </row>
    <row r="177" spans="1:5" x14ac:dyDescent="0.3">
      <c r="A177" s="21">
        <v>41511</v>
      </c>
      <c r="B177" s="5" t="s">
        <v>58</v>
      </c>
      <c r="C177" s="5" t="s">
        <v>34</v>
      </c>
      <c r="D177" s="5" t="s">
        <v>25</v>
      </c>
      <c r="E177" s="22">
        <v>25</v>
      </c>
    </row>
    <row r="178" spans="1:5" x14ac:dyDescent="0.3">
      <c r="A178" s="21">
        <v>41479</v>
      </c>
      <c r="B178" s="5" t="s">
        <v>61</v>
      </c>
      <c r="C178" s="5" t="s">
        <v>34</v>
      </c>
      <c r="D178" s="5" t="s">
        <v>55</v>
      </c>
      <c r="E178" s="22">
        <v>6</v>
      </c>
    </row>
    <row r="179" spans="1:5" x14ac:dyDescent="0.3">
      <c r="A179" s="21">
        <v>41608</v>
      </c>
      <c r="B179" s="5" t="s">
        <v>62</v>
      </c>
      <c r="C179" s="5" t="s">
        <v>31</v>
      </c>
      <c r="D179" s="5" t="s">
        <v>29</v>
      </c>
      <c r="E179" s="22">
        <v>1.8</v>
      </c>
    </row>
    <row r="180" spans="1:5" x14ac:dyDescent="0.3">
      <c r="A180" s="21">
        <v>41552</v>
      </c>
      <c r="B180" s="5" t="s">
        <v>61</v>
      </c>
      <c r="C180" s="5" t="s">
        <v>33</v>
      </c>
      <c r="D180" s="5" t="s">
        <v>48</v>
      </c>
      <c r="E180" s="22">
        <v>12</v>
      </c>
    </row>
    <row r="181" spans="1:5" x14ac:dyDescent="0.3">
      <c r="A181" s="21">
        <v>41476</v>
      </c>
      <c r="B181" s="5" t="s">
        <v>60</v>
      </c>
      <c r="C181" s="5" t="s">
        <v>35</v>
      </c>
      <c r="D181" s="5" t="s">
        <v>29</v>
      </c>
      <c r="E181" s="22">
        <v>1.2000000000000002</v>
      </c>
    </row>
    <row r="182" spans="1:5" x14ac:dyDescent="0.3">
      <c r="A182" s="21">
        <v>41515</v>
      </c>
      <c r="B182" s="5" t="s">
        <v>59</v>
      </c>
      <c r="C182" s="5" t="s">
        <v>33</v>
      </c>
      <c r="D182" s="5" t="s">
        <v>55</v>
      </c>
      <c r="E182" s="22">
        <v>30</v>
      </c>
    </row>
    <row r="183" spans="1:5" x14ac:dyDescent="0.3">
      <c r="A183" s="21">
        <v>41639</v>
      </c>
      <c r="B183" s="5" t="s">
        <v>59</v>
      </c>
      <c r="C183" s="5" t="s">
        <v>32</v>
      </c>
      <c r="D183" s="5" t="s">
        <v>25</v>
      </c>
      <c r="E183" s="22">
        <v>42.5</v>
      </c>
    </row>
    <row r="184" spans="1:5" x14ac:dyDescent="0.3">
      <c r="A184" s="21">
        <v>41474</v>
      </c>
      <c r="B184" s="5" t="s">
        <v>62</v>
      </c>
      <c r="C184" s="5" t="s">
        <v>32</v>
      </c>
      <c r="D184" s="5" t="s">
        <v>48</v>
      </c>
      <c r="E184" s="22">
        <v>44</v>
      </c>
    </row>
    <row r="185" spans="1:5" x14ac:dyDescent="0.3">
      <c r="A185" s="21">
        <v>41499</v>
      </c>
      <c r="B185" s="5" t="s">
        <v>59</v>
      </c>
      <c r="C185" s="5" t="s">
        <v>35</v>
      </c>
      <c r="D185" s="5" t="s">
        <v>25</v>
      </c>
      <c r="E185" s="22">
        <v>25</v>
      </c>
    </row>
    <row r="186" spans="1:5" x14ac:dyDescent="0.3">
      <c r="A186" s="21">
        <v>41585</v>
      </c>
      <c r="B186" s="5" t="s">
        <v>59</v>
      </c>
      <c r="C186" s="5" t="s">
        <v>35</v>
      </c>
      <c r="D186" s="5" t="s">
        <v>29</v>
      </c>
      <c r="E186" s="22">
        <v>3.2</v>
      </c>
    </row>
    <row r="187" spans="1:5" x14ac:dyDescent="0.3">
      <c r="A187" s="21">
        <v>41542</v>
      </c>
      <c r="B187" s="5" t="s">
        <v>58</v>
      </c>
      <c r="C187" s="5" t="s">
        <v>32</v>
      </c>
      <c r="D187" s="5" t="s">
        <v>30</v>
      </c>
      <c r="E187" s="22">
        <v>80</v>
      </c>
    </row>
    <row r="188" spans="1:5" x14ac:dyDescent="0.3">
      <c r="A188" s="21">
        <v>41632</v>
      </c>
      <c r="B188" s="5" t="s">
        <v>59</v>
      </c>
      <c r="C188" s="5" t="s">
        <v>32</v>
      </c>
      <c r="D188" s="5" t="s">
        <v>48</v>
      </c>
      <c r="E188" s="22">
        <v>80</v>
      </c>
    </row>
    <row r="189" spans="1:5" x14ac:dyDescent="0.3">
      <c r="A189" s="21">
        <v>41503</v>
      </c>
      <c r="B189" s="5" t="s">
        <v>61</v>
      </c>
      <c r="C189" s="5" t="s">
        <v>34</v>
      </c>
      <c r="D189" s="5" t="s">
        <v>48</v>
      </c>
      <c r="E189" s="22">
        <v>16</v>
      </c>
    </row>
    <row r="190" spans="1:5" x14ac:dyDescent="0.3">
      <c r="A190" s="21">
        <v>41633</v>
      </c>
      <c r="B190" s="5" t="s">
        <v>59</v>
      </c>
      <c r="C190" s="5" t="s">
        <v>33</v>
      </c>
      <c r="D190" s="5" t="s">
        <v>29</v>
      </c>
      <c r="E190" s="22">
        <v>4</v>
      </c>
    </row>
    <row r="191" spans="1:5" x14ac:dyDescent="0.3">
      <c r="A191" s="21">
        <v>41519</v>
      </c>
      <c r="B191" s="5" t="s">
        <v>60</v>
      </c>
      <c r="C191" s="5" t="s">
        <v>34</v>
      </c>
      <c r="D191" s="5" t="s">
        <v>25</v>
      </c>
      <c r="E191" s="22">
        <v>2.5</v>
      </c>
    </row>
    <row r="192" spans="1:5" x14ac:dyDescent="0.3">
      <c r="A192" s="21">
        <v>41604</v>
      </c>
      <c r="B192" s="5" t="s">
        <v>65</v>
      </c>
      <c r="C192" s="5" t="s">
        <v>33</v>
      </c>
      <c r="D192" s="5" t="s">
        <v>54</v>
      </c>
      <c r="E192" s="22">
        <v>1.5</v>
      </c>
    </row>
    <row r="193" spans="1:5" x14ac:dyDescent="0.3">
      <c r="A193" s="21">
        <v>41467</v>
      </c>
      <c r="B193" s="5" t="s">
        <v>60</v>
      </c>
      <c r="C193" s="5" t="s">
        <v>34</v>
      </c>
      <c r="D193" s="5" t="s">
        <v>30</v>
      </c>
      <c r="E193" s="22">
        <v>50</v>
      </c>
    </row>
    <row r="194" spans="1:5" x14ac:dyDescent="0.3">
      <c r="A194" s="21">
        <v>41495</v>
      </c>
      <c r="B194" s="5" t="s">
        <v>59</v>
      </c>
      <c r="C194" s="5" t="s">
        <v>33</v>
      </c>
      <c r="D194" s="5" t="s">
        <v>25</v>
      </c>
      <c r="E194" s="22">
        <v>15</v>
      </c>
    </row>
    <row r="195" spans="1:5" x14ac:dyDescent="0.3">
      <c r="A195" s="21">
        <v>41527</v>
      </c>
      <c r="B195" s="5" t="s">
        <v>59</v>
      </c>
      <c r="C195" s="5" t="s">
        <v>35</v>
      </c>
      <c r="D195" s="5" t="s">
        <v>29</v>
      </c>
      <c r="E195" s="22">
        <v>3.4000000000000004</v>
      </c>
    </row>
    <row r="196" spans="1:5" x14ac:dyDescent="0.3">
      <c r="A196" s="21">
        <v>41629</v>
      </c>
      <c r="B196" s="5" t="s">
        <v>59</v>
      </c>
      <c r="C196" s="5" t="s">
        <v>35</v>
      </c>
      <c r="D196" s="5" t="s">
        <v>25</v>
      </c>
      <c r="E196" s="22">
        <v>45</v>
      </c>
    </row>
    <row r="197" spans="1:5" x14ac:dyDescent="0.3">
      <c r="A197" s="21">
        <v>41631</v>
      </c>
      <c r="B197" s="5" t="s">
        <v>62</v>
      </c>
      <c r="C197" s="5" t="s">
        <v>35</v>
      </c>
      <c r="D197" s="5" t="s">
        <v>25</v>
      </c>
      <c r="E197" s="22">
        <v>5</v>
      </c>
    </row>
    <row r="198" spans="1:5" x14ac:dyDescent="0.3">
      <c r="A198" s="21">
        <v>41467</v>
      </c>
      <c r="B198" s="5" t="s">
        <v>65</v>
      </c>
      <c r="C198" s="5" t="s">
        <v>35</v>
      </c>
      <c r="D198" s="5" t="s">
        <v>28</v>
      </c>
      <c r="E198" s="22">
        <v>0.8</v>
      </c>
    </row>
    <row r="199" spans="1:5" x14ac:dyDescent="0.3">
      <c r="A199" s="21">
        <v>41536</v>
      </c>
      <c r="B199" s="5" t="s">
        <v>61</v>
      </c>
      <c r="C199" s="5" t="s">
        <v>34</v>
      </c>
      <c r="D199" s="5" t="s">
        <v>26</v>
      </c>
      <c r="E199" s="22">
        <v>2</v>
      </c>
    </row>
    <row r="200" spans="1:5" x14ac:dyDescent="0.3">
      <c r="A200" s="21">
        <v>41548</v>
      </c>
      <c r="B200" s="5" t="s">
        <v>58</v>
      </c>
      <c r="C200" s="5" t="s">
        <v>34</v>
      </c>
      <c r="D200" s="5" t="s">
        <v>29</v>
      </c>
      <c r="E200" s="22">
        <v>1.6</v>
      </c>
    </row>
    <row r="201" spans="1:5" x14ac:dyDescent="0.3">
      <c r="A201" s="21">
        <v>41459</v>
      </c>
      <c r="B201" s="5" t="s">
        <v>65</v>
      </c>
      <c r="C201" s="5" t="s">
        <v>31</v>
      </c>
      <c r="D201" s="5" t="s">
        <v>26</v>
      </c>
      <c r="E201" s="22">
        <v>9.5</v>
      </c>
    </row>
    <row r="202" spans="1:5" x14ac:dyDescent="0.3">
      <c r="A202" s="21">
        <v>41639</v>
      </c>
      <c r="B202" s="5" t="s">
        <v>58</v>
      </c>
      <c r="C202" s="5" t="s">
        <v>33</v>
      </c>
      <c r="D202" s="5" t="s">
        <v>29</v>
      </c>
      <c r="E202" s="22">
        <v>2.8000000000000003</v>
      </c>
    </row>
    <row r="203" spans="1:5" x14ac:dyDescent="0.3">
      <c r="A203" s="21">
        <v>41445</v>
      </c>
      <c r="B203" s="5" t="s">
        <v>60</v>
      </c>
      <c r="C203" s="5" t="s">
        <v>33</v>
      </c>
      <c r="D203" s="5" t="s">
        <v>48</v>
      </c>
      <c r="E203" s="22">
        <v>8</v>
      </c>
    </row>
    <row r="204" spans="1:5" x14ac:dyDescent="0.3">
      <c r="A204" s="21">
        <v>41571</v>
      </c>
      <c r="B204" s="5" t="s">
        <v>65</v>
      </c>
      <c r="C204" s="5" t="s">
        <v>32</v>
      </c>
      <c r="D204" s="5" t="s">
        <v>48</v>
      </c>
      <c r="E204" s="22">
        <v>24</v>
      </c>
    </row>
    <row r="205" spans="1:5" x14ac:dyDescent="0.3">
      <c r="A205" s="21">
        <v>41600</v>
      </c>
      <c r="B205" s="5" t="s">
        <v>61</v>
      </c>
      <c r="C205" s="5" t="s">
        <v>32</v>
      </c>
      <c r="D205" s="5" t="s">
        <v>26</v>
      </c>
      <c r="E205" s="22">
        <v>2</v>
      </c>
    </row>
    <row r="206" spans="1:5" x14ac:dyDescent="0.3">
      <c r="A206" s="21">
        <v>41463</v>
      </c>
      <c r="B206" s="5" t="s">
        <v>58</v>
      </c>
      <c r="C206" s="5" t="s">
        <v>35</v>
      </c>
      <c r="D206" s="5" t="s">
        <v>25</v>
      </c>
      <c r="E206" s="22">
        <v>35</v>
      </c>
    </row>
    <row r="207" spans="1:5" x14ac:dyDescent="0.3">
      <c r="A207" s="21">
        <v>41530</v>
      </c>
      <c r="B207" s="5" t="s">
        <v>65</v>
      </c>
      <c r="C207" s="5" t="s">
        <v>34</v>
      </c>
      <c r="D207" s="5" t="s">
        <v>48</v>
      </c>
      <c r="E207" s="22">
        <v>16</v>
      </c>
    </row>
    <row r="208" spans="1:5" x14ac:dyDescent="0.3">
      <c r="A208" s="21">
        <v>41507</v>
      </c>
      <c r="B208" s="5" t="s">
        <v>65</v>
      </c>
      <c r="C208" s="5" t="s">
        <v>31</v>
      </c>
      <c r="D208" s="5" t="s">
        <v>54</v>
      </c>
      <c r="E208" s="22">
        <v>22.5</v>
      </c>
    </row>
    <row r="209" spans="1:5" x14ac:dyDescent="0.3">
      <c r="A209" s="21">
        <v>41496</v>
      </c>
      <c r="B209" s="5" t="s">
        <v>60</v>
      </c>
      <c r="C209" s="5" t="s">
        <v>35</v>
      </c>
      <c r="D209" s="5" t="s">
        <v>54</v>
      </c>
      <c r="E209" s="22">
        <v>12</v>
      </c>
    </row>
    <row r="210" spans="1:5" x14ac:dyDescent="0.3">
      <c r="A210" s="21">
        <v>41637</v>
      </c>
      <c r="B210" s="5" t="s">
        <v>61</v>
      </c>
      <c r="C210" s="5" t="s">
        <v>35</v>
      </c>
      <c r="D210" s="5" t="s">
        <v>30</v>
      </c>
      <c r="E210" s="22">
        <v>40</v>
      </c>
    </row>
    <row r="211" spans="1:5" x14ac:dyDescent="0.3">
      <c r="A211" s="21">
        <v>41616</v>
      </c>
      <c r="B211" s="5" t="s">
        <v>60</v>
      </c>
      <c r="C211" s="5" t="s">
        <v>35</v>
      </c>
      <c r="D211" s="5" t="s">
        <v>48</v>
      </c>
      <c r="E211" s="22">
        <v>40</v>
      </c>
    </row>
    <row r="212" spans="1:5" x14ac:dyDescent="0.3">
      <c r="A212" s="21">
        <v>41487</v>
      </c>
      <c r="B212" s="5" t="s">
        <v>65</v>
      </c>
      <c r="C212" s="5" t="s">
        <v>33</v>
      </c>
      <c r="D212" s="5" t="s">
        <v>48</v>
      </c>
      <c r="E212" s="22">
        <v>44</v>
      </c>
    </row>
    <row r="213" spans="1:5" x14ac:dyDescent="0.3">
      <c r="A213" s="21">
        <v>41612</v>
      </c>
      <c r="B213" s="5" t="s">
        <v>65</v>
      </c>
      <c r="C213" s="5" t="s">
        <v>34</v>
      </c>
      <c r="D213" s="5" t="s">
        <v>54</v>
      </c>
      <c r="E213" s="22">
        <v>12</v>
      </c>
    </row>
    <row r="214" spans="1:5" x14ac:dyDescent="0.3">
      <c r="A214" s="21">
        <v>41503</v>
      </c>
      <c r="B214" s="5" t="s">
        <v>61</v>
      </c>
      <c r="C214" s="5" t="s">
        <v>31</v>
      </c>
      <c r="D214" s="5" t="s">
        <v>28</v>
      </c>
      <c r="E214" s="22">
        <v>0.60000000000000009</v>
      </c>
    </row>
    <row r="215" spans="1:5" x14ac:dyDescent="0.3">
      <c r="A215" s="21">
        <v>41480</v>
      </c>
      <c r="B215" s="5" t="s">
        <v>59</v>
      </c>
      <c r="C215" s="5" t="s">
        <v>31</v>
      </c>
      <c r="D215" s="5" t="s">
        <v>25</v>
      </c>
      <c r="E215" s="22">
        <v>35</v>
      </c>
    </row>
    <row r="216" spans="1:5" x14ac:dyDescent="0.3">
      <c r="A216" s="21">
        <v>41494</v>
      </c>
      <c r="B216" s="5" t="s">
        <v>60</v>
      </c>
      <c r="C216" s="5" t="s">
        <v>32</v>
      </c>
      <c r="D216" s="5" t="s">
        <v>28</v>
      </c>
      <c r="E216" s="22">
        <v>1.9000000000000001</v>
      </c>
    </row>
    <row r="217" spans="1:5" x14ac:dyDescent="0.3">
      <c r="A217" s="21">
        <v>41578</v>
      </c>
      <c r="B217" s="5" t="s">
        <v>61</v>
      </c>
      <c r="C217" s="5" t="s">
        <v>31</v>
      </c>
      <c r="D217" s="5" t="s">
        <v>48</v>
      </c>
      <c r="E217" s="22">
        <v>64</v>
      </c>
    </row>
    <row r="218" spans="1:5" x14ac:dyDescent="0.3">
      <c r="A218" s="21">
        <v>41453</v>
      </c>
      <c r="B218" s="5" t="s">
        <v>62</v>
      </c>
      <c r="C218" s="5" t="s">
        <v>33</v>
      </c>
      <c r="D218" s="5" t="s">
        <v>25</v>
      </c>
      <c r="E218" s="22">
        <v>22.5</v>
      </c>
    </row>
    <row r="219" spans="1:5" x14ac:dyDescent="0.3">
      <c r="A219" s="21">
        <v>41595</v>
      </c>
      <c r="B219" s="5" t="s">
        <v>58</v>
      </c>
      <c r="C219" s="5" t="s">
        <v>31</v>
      </c>
      <c r="D219" s="5" t="s">
        <v>25</v>
      </c>
      <c r="E219" s="22">
        <v>27.5</v>
      </c>
    </row>
    <row r="220" spans="1:5" x14ac:dyDescent="0.3">
      <c r="A220" s="21">
        <v>41582</v>
      </c>
      <c r="B220" s="5" t="s">
        <v>65</v>
      </c>
      <c r="C220" s="5" t="s">
        <v>32</v>
      </c>
      <c r="D220" s="5" t="s">
        <v>48</v>
      </c>
      <c r="E220" s="22">
        <v>20</v>
      </c>
    </row>
    <row r="221" spans="1:5" x14ac:dyDescent="0.3">
      <c r="A221" s="21">
        <v>41609</v>
      </c>
      <c r="B221" s="5" t="s">
        <v>60</v>
      </c>
      <c r="C221" s="5" t="s">
        <v>34</v>
      </c>
      <c r="D221" s="5" t="s">
        <v>25</v>
      </c>
      <c r="E221" s="22">
        <v>35</v>
      </c>
    </row>
    <row r="222" spans="1:5" x14ac:dyDescent="0.3">
      <c r="A222" s="21">
        <v>41453</v>
      </c>
      <c r="B222" s="5" t="s">
        <v>60</v>
      </c>
      <c r="C222" s="5" t="s">
        <v>34</v>
      </c>
      <c r="D222" s="5" t="s">
        <v>25</v>
      </c>
      <c r="E222" s="22">
        <v>20</v>
      </c>
    </row>
    <row r="223" spans="1:5" x14ac:dyDescent="0.3">
      <c r="A223" s="21">
        <v>41495</v>
      </c>
      <c r="B223" s="5" t="s">
        <v>58</v>
      </c>
      <c r="C223" s="5" t="s">
        <v>32</v>
      </c>
      <c r="D223" s="5" t="s">
        <v>28</v>
      </c>
      <c r="E223" s="22">
        <v>1.2000000000000002</v>
      </c>
    </row>
    <row r="224" spans="1:5" x14ac:dyDescent="0.3">
      <c r="A224" s="21">
        <v>41569</v>
      </c>
      <c r="B224" s="5" t="s">
        <v>59</v>
      </c>
      <c r="C224" s="5" t="s">
        <v>35</v>
      </c>
      <c r="D224" s="5" t="s">
        <v>25</v>
      </c>
      <c r="E224" s="22">
        <v>42.5</v>
      </c>
    </row>
    <row r="225" spans="1:5" x14ac:dyDescent="0.3">
      <c r="A225" s="21">
        <v>41487</v>
      </c>
      <c r="B225" s="5" t="s">
        <v>65</v>
      </c>
      <c r="C225" s="5" t="s">
        <v>34</v>
      </c>
      <c r="D225" s="5" t="s">
        <v>25</v>
      </c>
      <c r="E225" s="22">
        <v>27.5</v>
      </c>
    </row>
    <row r="226" spans="1:5" x14ac:dyDescent="0.3">
      <c r="A226" s="21">
        <v>41576</v>
      </c>
      <c r="B226" s="5" t="s">
        <v>58</v>
      </c>
      <c r="C226" s="5" t="s">
        <v>35</v>
      </c>
      <c r="D226" s="5" t="s">
        <v>25</v>
      </c>
      <c r="E226" s="22">
        <v>5</v>
      </c>
    </row>
    <row r="227" spans="1:5" x14ac:dyDescent="0.3">
      <c r="A227" s="21">
        <v>41471</v>
      </c>
      <c r="B227" s="5" t="s">
        <v>62</v>
      </c>
      <c r="C227" s="5" t="s">
        <v>31</v>
      </c>
      <c r="D227" s="5" t="s">
        <v>30</v>
      </c>
      <c r="E227" s="22">
        <v>100</v>
      </c>
    </row>
    <row r="228" spans="1:5" x14ac:dyDescent="0.3">
      <c r="A228" s="21">
        <v>41426</v>
      </c>
      <c r="B228" s="5" t="s">
        <v>62</v>
      </c>
      <c r="C228" s="5" t="s">
        <v>33</v>
      </c>
      <c r="D228" s="5" t="s">
        <v>48</v>
      </c>
      <c r="E228" s="22">
        <v>72</v>
      </c>
    </row>
    <row r="229" spans="1:5" x14ac:dyDescent="0.3">
      <c r="A229" s="21">
        <v>41482</v>
      </c>
      <c r="B229" s="5" t="s">
        <v>59</v>
      </c>
      <c r="C229" s="5" t="s">
        <v>35</v>
      </c>
      <c r="D229" s="5" t="s">
        <v>55</v>
      </c>
      <c r="E229" s="22">
        <v>30</v>
      </c>
    </row>
    <row r="230" spans="1:5" x14ac:dyDescent="0.3">
      <c r="A230" s="21">
        <v>41456</v>
      </c>
      <c r="B230" s="5" t="s">
        <v>58</v>
      </c>
      <c r="C230" s="5" t="s">
        <v>35</v>
      </c>
      <c r="D230" s="5" t="s">
        <v>29</v>
      </c>
      <c r="E230" s="22">
        <v>0.4</v>
      </c>
    </row>
    <row r="231" spans="1:5" x14ac:dyDescent="0.3">
      <c r="A231" s="21">
        <v>41588</v>
      </c>
      <c r="B231" s="5" t="s">
        <v>60</v>
      </c>
      <c r="C231" s="5" t="s">
        <v>32</v>
      </c>
      <c r="D231" s="5" t="s">
        <v>54</v>
      </c>
      <c r="E231" s="22">
        <v>13.5</v>
      </c>
    </row>
    <row r="232" spans="1:5" x14ac:dyDescent="0.3">
      <c r="A232" s="21">
        <v>41522</v>
      </c>
      <c r="B232" s="5" t="s">
        <v>62</v>
      </c>
      <c r="C232" s="5" t="s">
        <v>32</v>
      </c>
      <c r="D232" s="5" t="s">
        <v>25</v>
      </c>
      <c r="E232" s="22">
        <v>12.5</v>
      </c>
    </row>
    <row r="233" spans="1:5" x14ac:dyDescent="0.3">
      <c r="A233" s="21">
        <v>41458</v>
      </c>
      <c r="B233" s="5" t="s">
        <v>58</v>
      </c>
      <c r="C233" s="5" t="s">
        <v>35</v>
      </c>
      <c r="D233" s="5" t="s">
        <v>29</v>
      </c>
      <c r="E233" s="22">
        <v>1.4000000000000001</v>
      </c>
    </row>
    <row r="234" spans="1:5" x14ac:dyDescent="0.3">
      <c r="A234" s="21">
        <v>41529</v>
      </c>
      <c r="B234" s="5" t="s">
        <v>58</v>
      </c>
      <c r="C234" s="5" t="s">
        <v>35</v>
      </c>
      <c r="D234" s="5" t="s">
        <v>54</v>
      </c>
      <c r="E234" s="22">
        <v>7.5</v>
      </c>
    </row>
    <row r="235" spans="1:5" x14ac:dyDescent="0.3">
      <c r="A235" s="21">
        <v>41524</v>
      </c>
      <c r="B235" s="5" t="s">
        <v>58</v>
      </c>
      <c r="C235" s="5" t="s">
        <v>33</v>
      </c>
      <c r="D235" s="5" t="s">
        <v>54</v>
      </c>
      <c r="E235" s="22">
        <v>30</v>
      </c>
    </row>
    <row r="236" spans="1:5" x14ac:dyDescent="0.3">
      <c r="A236" s="21">
        <v>41512</v>
      </c>
      <c r="B236" s="5" t="s">
        <v>62</v>
      </c>
      <c r="C236" s="5" t="s">
        <v>31</v>
      </c>
      <c r="D236" s="5" t="s">
        <v>54</v>
      </c>
      <c r="E236" s="22">
        <v>15</v>
      </c>
    </row>
    <row r="237" spans="1:5" x14ac:dyDescent="0.3">
      <c r="A237" s="21">
        <v>41551</v>
      </c>
      <c r="B237" s="5" t="s">
        <v>61</v>
      </c>
      <c r="C237" s="5" t="s">
        <v>35</v>
      </c>
      <c r="D237" s="5" t="s">
        <v>29</v>
      </c>
      <c r="E237" s="22">
        <v>2.6</v>
      </c>
    </row>
    <row r="238" spans="1:5" x14ac:dyDescent="0.3">
      <c r="A238" s="21">
        <v>41573</v>
      </c>
      <c r="B238" s="5" t="s">
        <v>62</v>
      </c>
      <c r="C238" s="5" t="s">
        <v>32</v>
      </c>
      <c r="D238" s="5" t="s">
        <v>28</v>
      </c>
      <c r="E238" s="22">
        <v>0.60000000000000009</v>
      </c>
    </row>
    <row r="239" spans="1:5" x14ac:dyDescent="0.3">
      <c r="A239" s="21">
        <v>41566</v>
      </c>
      <c r="B239" s="5" t="s">
        <v>61</v>
      </c>
      <c r="C239" s="5" t="s">
        <v>35</v>
      </c>
      <c r="D239" s="5" t="s">
        <v>30</v>
      </c>
      <c r="E239" s="22">
        <v>90</v>
      </c>
    </row>
    <row r="240" spans="1:5" x14ac:dyDescent="0.3">
      <c r="A240" s="21">
        <v>41594</v>
      </c>
      <c r="B240" s="5" t="s">
        <v>59</v>
      </c>
      <c r="C240" s="5" t="s">
        <v>34</v>
      </c>
      <c r="D240" s="5" t="s">
        <v>54</v>
      </c>
      <c r="E240" s="22">
        <v>9</v>
      </c>
    </row>
    <row r="241" spans="1:5" x14ac:dyDescent="0.3">
      <c r="A241" s="21">
        <v>41495</v>
      </c>
      <c r="B241" s="5" t="s">
        <v>59</v>
      </c>
      <c r="C241" s="5" t="s">
        <v>31</v>
      </c>
      <c r="D241" s="5" t="s">
        <v>29</v>
      </c>
      <c r="E241" s="22">
        <v>1.4000000000000001</v>
      </c>
    </row>
    <row r="242" spans="1:5" x14ac:dyDescent="0.3">
      <c r="A242" s="21">
        <v>41444</v>
      </c>
      <c r="B242" s="5" t="s">
        <v>58</v>
      </c>
      <c r="C242" s="5" t="s">
        <v>31</v>
      </c>
      <c r="D242" s="5" t="s">
        <v>26</v>
      </c>
      <c r="E242" s="22">
        <v>0.5</v>
      </c>
    </row>
    <row r="243" spans="1:5" x14ac:dyDescent="0.3">
      <c r="A243" s="21">
        <v>41517</v>
      </c>
      <c r="B243" s="5" t="s">
        <v>60</v>
      </c>
      <c r="C243" s="5" t="s">
        <v>34</v>
      </c>
      <c r="D243" s="5" t="s">
        <v>48</v>
      </c>
      <c r="E243" s="22">
        <v>20</v>
      </c>
    </row>
    <row r="244" spans="1:5" x14ac:dyDescent="0.3">
      <c r="A244" s="21">
        <v>41633</v>
      </c>
      <c r="B244" s="5" t="s">
        <v>59</v>
      </c>
      <c r="C244" s="5" t="s">
        <v>31</v>
      </c>
      <c r="D244" s="5" t="s">
        <v>29</v>
      </c>
      <c r="E244" s="22">
        <v>0.8</v>
      </c>
    </row>
    <row r="245" spans="1:5" x14ac:dyDescent="0.3">
      <c r="A245" s="21">
        <v>41559</v>
      </c>
      <c r="B245" s="5" t="s">
        <v>59</v>
      </c>
      <c r="C245" s="5" t="s">
        <v>33</v>
      </c>
      <c r="D245" s="5" t="s">
        <v>25</v>
      </c>
      <c r="E245" s="22">
        <v>32.5</v>
      </c>
    </row>
    <row r="246" spans="1:5" x14ac:dyDescent="0.3">
      <c r="A246" s="21">
        <v>41604</v>
      </c>
      <c r="B246" s="5" t="s">
        <v>65</v>
      </c>
      <c r="C246" s="5" t="s">
        <v>31</v>
      </c>
      <c r="D246" s="5" t="s">
        <v>55</v>
      </c>
      <c r="E246" s="22">
        <v>16</v>
      </c>
    </row>
    <row r="247" spans="1:5" x14ac:dyDescent="0.3">
      <c r="A247" s="21">
        <v>41518</v>
      </c>
      <c r="B247" s="5" t="s">
        <v>61</v>
      </c>
      <c r="C247" s="5" t="s">
        <v>35</v>
      </c>
      <c r="D247" s="5" t="s">
        <v>29</v>
      </c>
      <c r="E247" s="22">
        <v>4</v>
      </c>
    </row>
    <row r="248" spans="1:5" x14ac:dyDescent="0.3">
      <c r="A248" s="21">
        <v>41516</v>
      </c>
      <c r="B248" s="5" t="s">
        <v>58</v>
      </c>
      <c r="C248" s="5" t="s">
        <v>31</v>
      </c>
      <c r="D248" s="5" t="s">
        <v>54</v>
      </c>
      <c r="E248" s="22">
        <v>19.5</v>
      </c>
    </row>
    <row r="249" spans="1:5" x14ac:dyDescent="0.3">
      <c r="A249" s="21">
        <v>41426</v>
      </c>
      <c r="B249" s="5" t="s">
        <v>61</v>
      </c>
      <c r="C249" s="5" t="s">
        <v>34</v>
      </c>
      <c r="D249" s="5" t="s">
        <v>29</v>
      </c>
      <c r="E249" s="22">
        <v>3.8000000000000003</v>
      </c>
    </row>
    <row r="250" spans="1:5" x14ac:dyDescent="0.3">
      <c r="A250" s="21">
        <v>41553</v>
      </c>
      <c r="B250" s="5" t="s">
        <v>58</v>
      </c>
      <c r="C250" s="5" t="s">
        <v>31</v>
      </c>
      <c r="D250" s="5" t="s">
        <v>28</v>
      </c>
      <c r="E250" s="22">
        <v>0.5</v>
      </c>
    </row>
    <row r="251" spans="1:5" x14ac:dyDescent="0.3">
      <c r="A251" s="21">
        <v>41574</v>
      </c>
      <c r="B251" s="5" t="s">
        <v>59</v>
      </c>
      <c r="C251" s="5" t="s">
        <v>34</v>
      </c>
      <c r="D251" s="5" t="s">
        <v>25</v>
      </c>
      <c r="E251" s="22">
        <v>35</v>
      </c>
    </row>
    <row r="252" spans="1:5" x14ac:dyDescent="0.3">
      <c r="A252" s="21">
        <v>41613</v>
      </c>
      <c r="B252" s="5" t="s">
        <v>62</v>
      </c>
      <c r="C252" s="5" t="s">
        <v>34</v>
      </c>
      <c r="D252" s="5" t="s">
        <v>26</v>
      </c>
      <c r="E252" s="22">
        <v>9</v>
      </c>
    </row>
    <row r="253" spans="1:5" x14ac:dyDescent="0.3">
      <c r="A253" s="21">
        <v>41483</v>
      </c>
      <c r="B253" s="5" t="s">
        <v>62</v>
      </c>
      <c r="C253" s="5" t="s">
        <v>34</v>
      </c>
      <c r="D253" s="5" t="s">
        <v>25</v>
      </c>
      <c r="E253" s="22">
        <v>25</v>
      </c>
    </row>
    <row r="254" spans="1:5" x14ac:dyDescent="0.3">
      <c r="A254" s="21">
        <v>41447</v>
      </c>
      <c r="B254" s="5" t="s">
        <v>60</v>
      </c>
      <c r="C254" s="5" t="s">
        <v>31</v>
      </c>
      <c r="D254" s="5" t="s">
        <v>54</v>
      </c>
      <c r="E254" s="22">
        <v>25.5</v>
      </c>
    </row>
    <row r="255" spans="1:5" x14ac:dyDescent="0.3">
      <c r="A255" s="21">
        <v>41549</v>
      </c>
      <c r="B255" s="5" t="s">
        <v>62</v>
      </c>
      <c r="C255" s="5" t="s">
        <v>33</v>
      </c>
      <c r="D255" s="5" t="s">
        <v>54</v>
      </c>
      <c r="E255" s="22">
        <v>25.5</v>
      </c>
    </row>
    <row r="256" spans="1:5" x14ac:dyDescent="0.3">
      <c r="A256" s="21">
        <v>41584</v>
      </c>
      <c r="B256" s="5" t="s">
        <v>65</v>
      </c>
      <c r="C256" s="5" t="s">
        <v>32</v>
      </c>
      <c r="D256" s="5" t="s">
        <v>29</v>
      </c>
      <c r="E256" s="22">
        <v>0.8</v>
      </c>
    </row>
    <row r="257" spans="1:5" x14ac:dyDescent="0.3">
      <c r="A257" s="21">
        <v>41569</v>
      </c>
      <c r="B257" s="5" t="s">
        <v>59</v>
      </c>
      <c r="C257" s="5" t="s">
        <v>31</v>
      </c>
      <c r="D257" s="5" t="s">
        <v>25</v>
      </c>
      <c r="E257" s="22">
        <v>32.5</v>
      </c>
    </row>
    <row r="258" spans="1:5" x14ac:dyDescent="0.3">
      <c r="A258" s="21">
        <v>41561</v>
      </c>
      <c r="B258" s="5" t="s">
        <v>65</v>
      </c>
      <c r="C258" s="5" t="s">
        <v>33</v>
      </c>
      <c r="D258" s="5" t="s">
        <v>55</v>
      </c>
      <c r="E258" s="22">
        <v>18</v>
      </c>
    </row>
    <row r="259" spans="1:5" x14ac:dyDescent="0.3">
      <c r="A259" s="21">
        <v>41602</v>
      </c>
      <c r="B259" s="5" t="s">
        <v>62</v>
      </c>
      <c r="C259" s="5" t="s">
        <v>35</v>
      </c>
      <c r="D259" s="5" t="s">
        <v>30</v>
      </c>
      <c r="E259" s="22">
        <v>75</v>
      </c>
    </row>
    <row r="260" spans="1:5" x14ac:dyDescent="0.3">
      <c r="A260" s="21">
        <v>41603</v>
      </c>
      <c r="B260" s="5" t="s">
        <v>60</v>
      </c>
      <c r="C260" s="5" t="s">
        <v>32</v>
      </c>
      <c r="D260" s="5" t="s">
        <v>30</v>
      </c>
      <c r="E260" s="22">
        <v>90</v>
      </c>
    </row>
    <row r="261" spans="1:5" x14ac:dyDescent="0.3">
      <c r="A261" s="21">
        <v>41614</v>
      </c>
      <c r="B261" s="5" t="s">
        <v>59</v>
      </c>
      <c r="C261" s="5" t="s">
        <v>33</v>
      </c>
      <c r="D261" s="5" t="s">
        <v>29</v>
      </c>
      <c r="E261" s="22">
        <v>3.6</v>
      </c>
    </row>
    <row r="262" spans="1:5" x14ac:dyDescent="0.3">
      <c r="A262" s="21">
        <v>41505</v>
      </c>
      <c r="B262" s="5" t="s">
        <v>60</v>
      </c>
      <c r="C262" s="5" t="s">
        <v>31</v>
      </c>
      <c r="D262" s="5" t="s">
        <v>25</v>
      </c>
      <c r="E262" s="22">
        <v>42.5</v>
      </c>
    </row>
    <row r="263" spans="1:5" x14ac:dyDescent="0.3">
      <c r="A263" s="21">
        <v>41460</v>
      </c>
      <c r="B263" s="5" t="s">
        <v>60</v>
      </c>
      <c r="C263" s="5" t="s">
        <v>33</v>
      </c>
      <c r="D263" s="5" t="s">
        <v>54</v>
      </c>
      <c r="E263" s="22">
        <v>12</v>
      </c>
    </row>
    <row r="264" spans="1:5" x14ac:dyDescent="0.3">
      <c r="A264" s="21">
        <v>41576</v>
      </c>
      <c r="B264" s="5" t="s">
        <v>59</v>
      </c>
      <c r="C264" s="5" t="s">
        <v>35</v>
      </c>
      <c r="D264" s="5" t="s">
        <v>55</v>
      </c>
      <c r="E264" s="22">
        <v>4</v>
      </c>
    </row>
    <row r="265" spans="1:5" x14ac:dyDescent="0.3">
      <c r="A265" s="21">
        <v>41625</v>
      </c>
      <c r="B265" s="5" t="s">
        <v>58</v>
      </c>
      <c r="C265" s="5" t="s">
        <v>35</v>
      </c>
      <c r="D265" s="5" t="s">
        <v>29</v>
      </c>
      <c r="E265" s="22">
        <v>2.2000000000000002</v>
      </c>
    </row>
    <row r="266" spans="1:5" x14ac:dyDescent="0.3">
      <c r="A266" s="21">
        <v>41440</v>
      </c>
      <c r="B266" s="5" t="s">
        <v>59</v>
      </c>
      <c r="C266" s="5" t="s">
        <v>35</v>
      </c>
      <c r="D266" s="5" t="s">
        <v>26</v>
      </c>
      <c r="E266" s="22">
        <v>1</v>
      </c>
    </row>
    <row r="267" spans="1:5" x14ac:dyDescent="0.3">
      <c r="A267" s="21">
        <v>41573</v>
      </c>
      <c r="B267" s="5" t="s">
        <v>60</v>
      </c>
      <c r="C267" s="5" t="s">
        <v>32</v>
      </c>
      <c r="D267" s="5" t="s">
        <v>26</v>
      </c>
      <c r="E267" s="22">
        <v>7</v>
      </c>
    </row>
    <row r="268" spans="1:5" x14ac:dyDescent="0.3">
      <c r="A268" s="21">
        <v>41555</v>
      </c>
      <c r="B268" s="5" t="s">
        <v>58</v>
      </c>
      <c r="C268" s="5" t="s">
        <v>31</v>
      </c>
      <c r="D268" s="5" t="s">
        <v>48</v>
      </c>
      <c r="E268" s="22">
        <v>56</v>
      </c>
    </row>
    <row r="269" spans="1:5" x14ac:dyDescent="0.3">
      <c r="A269" s="21">
        <v>41494</v>
      </c>
      <c r="B269" s="5" t="s">
        <v>61</v>
      </c>
      <c r="C269" s="5" t="s">
        <v>31</v>
      </c>
      <c r="D269" s="5" t="s">
        <v>48</v>
      </c>
      <c r="E269" s="22">
        <v>32</v>
      </c>
    </row>
    <row r="270" spans="1:5" x14ac:dyDescent="0.3">
      <c r="A270" s="21">
        <v>41577</v>
      </c>
      <c r="B270" s="5" t="s">
        <v>58</v>
      </c>
      <c r="C270" s="5" t="s">
        <v>32</v>
      </c>
      <c r="D270" s="5" t="s">
        <v>28</v>
      </c>
      <c r="E270" s="22">
        <v>1</v>
      </c>
    </row>
    <row r="271" spans="1:5" x14ac:dyDescent="0.3">
      <c r="A271" s="21">
        <v>41596</v>
      </c>
      <c r="B271" s="5" t="s">
        <v>65</v>
      </c>
      <c r="C271" s="5" t="s">
        <v>32</v>
      </c>
      <c r="D271" s="5" t="s">
        <v>29</v>
      </c>
      <c r="E271" s="22">
        <v>1.8</v>
      </c>
    </row>
    <row r="272" spans="1:5" x14ac:dyDescent="0.3">
      <c r="A272" s="21">
        <v>41454</v>
      </c>
      <c r="B272" s="5" t="s">
        <v>60</v>
      </c>
      <c r="C272" s="5" t="s">
        <v>32</v>
      </c>
      <c r="D272" s="5" t="s">
        <v>55</v>
      </c>
      <c r="E272" s="22">
        <v>34</v>
      </c>
    </row>
    <row r="273" spans="1:5" x14ac:dyDescent="0.3">
      <c r="A273" s="21">
        <v>41545</v>
      </c>
      <c r="B273" s="5" t="s">
        <v>62</v>
      </c>
      <c r="C273" s="5" t="s">
        <v>31</v>
      </c>
      <c r="D273" s="5" t="s">
        <v>30</v>
      </c>
      <c r="E273" s="22">
        <v>100</v>
      </c>
    </row>
    <row r="274" spans="1:5" x14ac:dyDescent="0.3">
      <c r="A274" s="21">
        <v>41553</v>
      </c>
      <c r="B274" s="5" t="s">
        <v>62</v>
      </c>
      <c r="C274" s="5" t="s">
        <v>33</v>
      </c>
      <c r="D274" s="5" t="s">
        <v>25</v>
      </c>
      <c r="E274" s="22">
        <v>35</v>
      </c>
    </row>
    <row r="275" spans="1:5" x14ac:dyDescent="0.3">
      <c r="A275" s="21">
        <v>41468</v>
      </c>
      <c r="B275" s="5" t="s">
        <v>59</v>
      </c>
      <c r="C275" s="5" t="s">
        <v>33</v>
      </c>
      <c r="D275" s="5" t="s">
        <v>29</v>
      </c>
      <c r="E275" s="22">
        <v>2.2000000000000002</v>
      </c>
    </row>
    <row r="276" spans="1:5" x14ac:dyDescent="0.3">
      <c r="A276" s="21">
        <v>41552</v>
      </c>
      <c r="B276" s="5" t="s">
        <v>62</v>
      </c>
      <c r="C276" s="5" t="s">
        <v>32</v>
      </c>
      <c r="D276" s="5" t="s">
        <v>28</v>
      </c>
      <c r="E276" s="22">
        <v>0.2</v>
      </c>
    </row>
    <row r="277" spans="1:5" x14ac:dyDescent="0.3">
      <c r="A277" s="21">
        <v>41526</v>
      </c>
      <c r="B277" s="5" t="s">
        <v>65</v>
      </c>
      <c r="C277" s="5" t="s">
        <v>35</v>
      </c>
      <c r="D277" s="5" t="s">
        <v>28</v>
      </c>
      <c r="E277" s="22">
        <v>1.8</v>
      </c>
    </row>
    <row r="278" spans="1:5" x14ac:dyDescent="0.3">
      <c r="A278" s="21">
        <v>41452</v>
      </c>
      <c r="B278" s="5" t="s">
        <v>61</v>
      </c>
      <c r="C278" s="5" t="s">
        <v>32</v>
      </c>
      <c r="D278" s="5" t="s">
        <v>26</v>
      </c>
      <c r="E278" s="22">
        <v>4.5</v>
      </c>
    </row>
    <row r="279" spans="1:5" x14ac:dyDescent="0.3">
      <c r="A279" s="21">
        <v>41627</v>
      </c>
      <c r="B279" s="5" t="s">
        <v>61</v>
      </c>
      <c r="C279" s="5" t="s">
        <v>32</v>
      </c>
      <c r="D279" s="5" t="s">
        <v>48</v>
      </c>
      <c r="E279" s="22">
        <v>24</v>
      </c>
    </row>
    <row r="280" spans="1:5" x14ac:dyDescent="0.3">
      <c r="A280" s="21">
        <v>41547</v>
      </c>
      <c r="B280" s="5" t="s">
        <v>59</v>
      </c>
      <c r="C280" s="5" t="s">
        <v>34</v>
      </c>
      <c r="D280" s="5" t="s">
        <v>25</v>
      </c>
      <c r="E280" s="22">
        <v>27.5</v>
      </c>
    </row>
    <row r="281" spans="1:5" x14ac:dyDescent="0.3">
      <c r="A281" s="21">
        <v>41615</v>
      </c>
      <c r="B281" s="5" t="s">
        <v>61</v>
      </c>
      <c r="C281" s="5" t="s">
        <v>33</v>
      </c>
      <c r="D281" s="5" t="s">
        <v>30</v>
      </c>
      <c r="E281" s="22">
        <v>95</v>
      </c>
    </row>
    <row r="282" spans="1:5" x14ac:dyDescent="0.3">
      <c r="A282" s="21">
        <v>41553</v>
      </c>
      <c r="B282" s="5" t="s">
        <v>60</v>
      </c>
      <c r="C282" s="5" t="s">
        <v>34</v>
      </c>
      <c r="D282" s="5" t="s">
        <v>26</v>
      </c>
      <c r="E282" s="22">
        <v>9.5</v>
      </c>
    </row>
    <row r="283" spans="1:5" x14ac:dyDescent="0.3">
      <c r="A283" s="21">
        <v>41602</v>
      </c>
      <c r="B283" s="5" t="s">
        <v>60</v>
      </c>
      <c r="C283" s="5" t="s">
        <v>34</v>
      </c>
      <c r="D283" s="5" t="s">
        <v>25</v>
      </c>
      <c r="E283" s="22">
        <v>37.5</v>
      </c>
    </row>
    <row r="284" spans="1:5" x14ac:dyDescent="0.3">
      <c r="A284" s="21">
        <v>41554</v>
      </c>
      <c r="B284" s="5" t="s">
        <v>58</v>
      </c>
      <c r="C284" s="5" t="s">
        <v>33</v>
      </c>
      <c r="D284" s="5" t="s">
        <v>48</v>
      </c>
      <c r="E284" s="22">
        <v>36</v>
      </c>
    </row>
    <row r="285" spans="1:5" x14ac:dyDescent="0.3">
      <c r="A285" s="21">
        <v>41479</v>
      </c>
      <c r="B285" s="5" t="s">
        <v>62</v>
      </c>
      <c r="C285" s="5" t="s">
        <v>34</v>
      </c>
      <c r="D285" s="5" t="s">
        <v>54</v>
      </c>
      <c r="E285" s="22">
        <v>22.5</v>
      </c>
    </row>
    <row r="286" spans="1:5" x14ac:dyDescent="0.3">
      <c r="A286" s="21">
        <v>41573</v>
      </c>
      <c r="B286" s="5" t="s">
        <v>59</v>
      </c>
      <c r="C286" s="5" t="s">
        <v>33</v>
      </c>
      <c r="D286" s="5" t="s">
        <v>30</v>
      </c>
      <c r="E286" s="22">
        <v>85</v>
      </c>
    </row>
    <row r="287" spans="1:5" x14ac:dyDescent="0.3">
      <c r="A287" s="21">
        <v>41601</v>
      </c>
      <c r="B287" s="5" t="s">
        <v>58</v>
      </c>
      <c r="C287" s="5" t="s">
        <v>31</v>
      </c>
      <c r="D287" s="5" t="s">
        <v>26</v>
      </c>
      <c r="E287" s="22">
        <v>1</v>
      </c>
    </row>
    <row r="288" spans="1:5" x14ac:dyDescent="0.3">
      <c r="A288" s="21">
        <v>41526</v>
      </c>
      <c r="B288" s="5" t="s">
        <v>62</v>
      </c>
      <c r="C288" s="5" t="s">
        <v>33</v>
      </c>
      <c r="D288" s="5" t="s">
        <v>30</v>
      </c>
      <c r="E288" s="22">
        <v>65</v>
      </c>
    </row>
    <row r="289" spans="1:5" x14ac:dyDescent="0.3">
      <c r="A289" s="21">
        <v>41579</v>
      </c>
      <c r="B289" s="5" t="s">
        <v>61</v>
      </c>
      <c r="C289" s="5" t="s">
        <v>33</v>
      </c>
      <c r="D289" s="5" t="s">
        <v>25</v>
      </c>
      <c r="E289" s="22">
        <v>2.5</v>
      </c>
    </row>
    <row r="290" spans="1:5" x14ac:dyDescent="0.3">
      <c r="A290" s="21">
        <v>41433</v>
      </c>
      <c r="B290" s="5" t="s">
        <v>61</v>
      </c>
      <c r="C290" s="5" t="s">
        <v>33</v>
      </c>
      <c r="D290" s="5" t="s">
        <v>55</v>
      </c>
      <c r="E290" s="22">
        <v>24</v>
      </c>
    </row>
    <row r="291" spans="1:5" x14ac:dyDescent="0.3">
      <c r="A291" s="21">
        <v>41568</v>
      </c>
      <c r="B291" s="5" t="s">
        <v>58</v>
      </c>
      <c r="C291" s="5" t="s">
        <v>34</v>
      </c>
      <c r="D291" s="5" t="s">
        <v>55</v>
      </c>
      <c r="E291" s="22">
        <v>38</v>
      </c>
    </row>
    <row r="292" spans="1:5" x14ac:dyDescent="0.3">
      <c r="A292" s="21">
        <v>41551</v>
      </c>
      <c r="B292" s="5" t="s">
        <v>65</v>
      </c>
      <c r="C292" s="5" t="s">
        <v>33</v>
      </c>
      <c r="D292" s="5" t="s">
        <v>48</v>
      </c>
      <c r="E292" s="22">
        <v>40</v>
      </c>
    </row>
    <row r="293" spans="1:5" x14ac:dyDescent="0.3">
      <c r="A293" s="21">
        <v>41441</v>
      </c>
      <c r="B293" s="5" t="s">
        <v>59</v>
      </c>
      <c r="C293" s="5" t="s">
        <v>31</v>
      </c>
      <c r="D293" s="5" t="s">
        <v>28</v>
      </c>
      <c r="E293" s="22">
        <v>0.30000000000000004</v>
      </c>
    </row>
    <row r="294" spans="1:5" x14ac:dyDescent="0.3">
      <c r="A294" s="21">
        <v>41503</v>
      </c>
      <c r="B294" s="5" t="s">
        <v>59</v>
      </c>
      <c r="C294" s="5" t="s">
        <v>33</v>
      </c>
      <c r="D294" s="5" t="s">
        <v>55</v>
      </c>
      <c r="E294" s="22">
        <v>32</v>
      </c>
    </row>
    <row r="295" spans="1:5" x14ac:dyDescent="0.3">
      <c r="A295" s="21">
        <v>41586</v>
      </c>
      <c r="B295" s="5" t="s">
        <v>61</v>
      </c>
      <c r="C295" s="5" t="s">
        <v>33</v>
      </c>
      <c r="D295" s="5" t="s">
        <v>26</v>
      </c>
      <c r="E295" s="22">
        <v>6.5</v>
      </c>
    </row>
    <row r="296" spans="1:5" x14ac:dyDescent="0.3">
      <c r="A296" s="21">
        <v>41542</v>
      </c>
      <c r="B296" s="5" t="s">
        <v>59</v>
      </c>
      <c r="C296" s="5" t="s">
        <v>32</v>
      </c>
      <c r="D296" s="5" t="s">
        <v>30</v>
      </c>
      <c r="E296" s="22">
        <v>10</v>
      </c>
    </row>
    <row r="297" spans="1:5" x14ac:dyDescent="0.3">
      <c r="A297" s="21">
        <v>41619</v>
      </c>
      <c r="B297" s="5" t="s">
        <v>65</v>
      </c>
      <c r="C297" s="5" t="s">
        <v>32</v>
      </c>
      <c r="D297" s="5" t="s">
        <v>55</v>
      </c>
      <c r="E297" s="22">
        <v>16</v>
      </c>
    </row>
    <row r="298" spans="1:5" x14ac:dyDescent="0.3">
      <c r="A298" s="21">
        <v>41563</v>
      </c>
      <c r="B298" s="5" t="s">
        <v>58</v>
      </c>
      <c r="C298" s="5" t="s">
        <v>34</v>
      </c>
      <c r="D298" s="5" t="s">
        <v>26</v>
      </c>
      <c r="E298" s="22">
        <v>5</v>
      </c>
    </row>
    <row r="299" spans="1:5" x14ac:dyDescent="0.3">
      <c r="A299" s="21">
        <v>41622</v>
      </c>
      <c r="B299" s="5" t="s">
        <v>59</v>
      </c>
      <c r="C299" s="5" t="s">
        <v>32</v>
      </c>
      <c r="D299" s="5" t="s">
        <v>26</v>
      </c>
      <c r="E299" s="22">
        <v>3.5</v>
      </c>
    </row>
    <row r="300" spans="1:5" x14ac:dyDescent="0.3">
      <c r="A300" s="21">
        <v>41619</v>
      </c>
      <c r="B300" s="5" t="s">
        <v>58</v>
      </c>
      <c r="C300" s="5" t="s">
        <v>35</v>
      </c>
      <c r="D300" s="5" t="s">
        <v>54</v>
      </c>
      <c r="E300" s="22">
        <v>6</v>
      </c>
    </row>
    <row r="301" spans="1:5" x14ac:dyDescent="0.3">
      <c r="A301" s="21">
        <v>41475</v>
      </c>
      <c r="B301" s="5" t="s">
        <v>58</v>
      </c>
      <c r="C301" s="5" t="s">
        <v>33</v>
      </c>
      <c r="D301" s="5" t="s">
        <v>30</v>
      </c>
      <c r="E301" s="22">
        <v>25</v>
      </c>
    </row>
    <row r="302" spans="1:5" x14ac:dyDescent="0.3">
      <c r="A302" s="21">
        <v>41515</v>
      </c>
      <c r="B302" s="5" t="s">
        <v>59</v>
      </c>
      <c r="C302" s="5" t="s">
        <v>33</v>
      </c>
      <c r="D302" s="5" t="s">
        <v>48</v>
      </c>
      <c r="E302" s="22">
        <v>64</v>
      </c>
    </row>
    <row r="303" spans="1:5" x14ac:dyDescent="0.3">
      <c r="A303" s="21">
        <v>41457</v>
      </c>
      <c r="B303" s="5" t="s">
        <v>62</v>
      </c>
      <c r="C303" s="5" t="s">
        <v>31</v>
      </c>
      <c r="D303" s="5" t="s">
        <v>48</v>
      </c>
      <c r="E303" s="22">
        <v>8</v>
      </c>
    </row>
    <row r="304" spans="1:5" x14ac:dyDescent="0.3">
      <c r="A304" s="21">
        <v>41604</v>
      </c>
      <c r="B304" s="5" t="s">
        <v>61</v>
      </c>
      <c r="C304" s="5" t="s">
        <v>35</v>
      </c>
      <c r="D304" s="5" t="s">
        <v>54</v>
      </c>
      <c r="E304" s="22">
        <v>22.5</v>
      </c>
    </row>
    <row r="305" spans="1:5" x14ac:dyDescent="0.3">
      <c r="A305" s="21">
        <v>41440</v>
      </c>
      <c r="B305" s="5" t="s">
        <v>62</v>
      </c>
      <c r="C305" s="5" t="s">
        <v>32</v>
      </c>
      <c r="D305" s="5" t="s">
        <v>28</v>
      </c>
      <c r="E305" s="22">
        <v>1.2000000000000002</v>
      </c>
    </row>
    <row r="306" spans="1:5" x14ac:dyDescent="0.3">
      <c r="A306" s="21">
        <v>41611</v>
      </c>
      <c r="B306" s="5" t="s">
        <v>60</v>
      </c>
      <c r="C306" s="5" t="s">
        <v>33</v>
      </c>
      <c r="D306" s="5" t="s">
        <v>28</v>
      </c>
      <c r="E306" s="22">
        <v>1.6</v>
      </c>
    </row>
    <row r="307" spans="1:5" x14ac:dyDescent="0.3">
      <c r="A307" s="21">
        <v>41511</v>
      </c>
      <c r="B307" s="5" t="s">
        <v>61</v>
      </c>
      <c r="C307" s="5" t="s">
        <v>31</v>
      </c>
      <c r="D307" s="5" t="s">
        <v>55</v>
      </c>
      <c r="E307" s="22">
        <v>2</v>
      </c>
    </row>
    <row r="308" spans="1:5" x14ac:dyDescent="0.3">
      <c r="A308" s="21">
        <v>41527</v>
      </c>
      <c r="B308" s="5" t="s">
        <v>61</v>
      </c>
      <c r="C308" s="5" t="s">
        <v>32</v>
      </c>
      <c r="D308" s="5" t="s">
        <v>25</v>
      </c>
      <c r="E308" s="22">
        <v>47.5</v>
      </c>
    </row>
    <row r="309" spans="1:5" x14ac:dyDescent="0.3">
      <c r="A309" s="21">
        <v>41511</v>
      </c>
      <c r="B309" s="5" t="s">
        <v>65</v>
      </c>
      <c r="C309" s="5" t="s">
        <v>35</v>
      </c>
      <c r="D309" s="5" t="s">
        <v>25</v>
      </c>
      <c r="E309" s="22">
        <v>25</v>
      </c>
    </row>
    <row r="310" spans="1:5" x14ac:dyDescent="0.3">
      <c r="A310" s="21">
        <v>41594</v>
      </c>
      <c r="B310" s="5" t="s">
        <v>60</v>
      </c>
      <c r="C310" s="5" t="s">
        <v>32</v>
      </c>
      <c r="D310" s="5" t="s">
        <v>26</v>
      </c>
      <c r="E310" s="22">
        <v>1</v>
      </c>
    </row>
    <row r="311" spans="1:5" x14ac:dyDescent="0.3">
      <c r="A311" s="21">
        <v>41507</v>
      </c>
      <c r="B311" s="5" t="s">
        <v>59</v>
      </c>
      <c r="C311" s="5" t="s">
        <v>34</v>
      </c>
      <c r="D311" s="5" t="s">
        <v>26</v>
      </c>
      <c r="E311" s="22">
        <v>7.5</v>
      </c>
    </row>
    <row r="312" spans="1:5" x14ac:dyDescent="0.3">
      <c r="A312" s="21">
        <v>41434</v>
      </c>
      <c r="B312" s="5" t="s">
        <v>65</v>
      </c>
      <c r="C312" s="5" t="s">
        <v>33</v>
      </c>
      <c r="D312" s="5" t="s">
        <v>25</v>
      </c>
      <c r="E312" s="22">
        <v>2.5</v>
      </c>
    </row>
    <row r="313" spans="1:5" x14ac:dyDescent="0.3">
      <c r="A313" s="21">
        <v>41637</v>
      </c>
      <c r="B313" s="5" t="s">
        <v>65</v>
      </c>
      <c r="C313" s="5" t="s">
        <v>31</v>
      </c>
      <c r="D313" s="5" t="s">
        <v>29</v>
      </c>
      <c r="E313" s="22">
        <v>3.8000000000000003</v>
      </c>
    </row>
    <row r="314" spans="1:5" x14ac:dyDescent="0.3">
      <c r="A314" s="21">
        <v>41602</v>
      </c>
      <c r="B314" s="5" t="s">
        <v>61</v>
      </c>
      <c r="C314" s="5" t="s">
        <v>34</v>
      </c>
      <c r="D314" s="5" t="s">
        <v>25</v>
      </c>
      <c r="E314" s="22">
        <v>42.5</v>
      </c>
    </row>
    <row r="315" spans="1:5" x14ac:dyDescent="0.3">
      <c r="A315" s="21">
        <v>41619</v>
      </c>
      <c r="B315" s="5" t="s">
        <v>65</v>
      </c>
      <c r="C315" s="5" t="s">
        <v>32</v>
      </c>
      <c r="D315" s="5" t="s">
        <v>48</v>
      </c>
      <c r="E315" s="22">
        <v>16</v>
      </c>
    </row>
    <row r="316" spans="1:5" x14ac:dyDescent="0.3">
      <c r="A316" s="21">
        <v>41430</v>
      </c>
      <c r="B316" s="5" t="s">
        <v>59</v>
      </c>
      <c r="C316" s="5" t="s">
        <v>35</v>
      </c>
      <c r="D316" s="5" t="s">
        <v>28</v>
      </c>
      <c r="E316" s="22">
        <v>1.5</v>
      </c>
    </row>
    <row r="317" spans="1:5" x14ac:dyDescent="0.3">
      <c r="A317" s="21">
        <v>41501</v>
      </c>
      <c r="B317" s="5" t="s">
        <v>61</v>
      </c>
      <c r="C317" s="5" t="s">
        <v>34</v>
      </c>
      <c r="D317" s="5" t="s">
        <v>26</v>
      </c>
      <c r="E317" s="22">
        <v>1</v>
      </c>
    </row>
    <row r="318" spans="1:5" x14ac:dyDescent="0.3">
      <c r="A318" s="21">
        <v>41440</v>
      </c>
      <c r="B318" s="5" t="s">
        <v>58</v>
      </c>
      <c r="C318" s="5" t="s">
        <v>33</v>
      </c>
      <c r="D318" s="5" t="s">
        <v>54</v>
      </c>
      <c r="E318" s="22">
        <v>18</v>
      </c>
    </row>
    <row r="319" spans="1:5" x14ac:dyDescent="0.3">
      <c r="A319" s="21">
        <v>41569</v>
      </c>
      <c r="B319" s="5" t="s">
        <v>60</v>
      </c>
      <c r="C319" s="5" t="s">
        <v>33</v>
      </c>
      <c r="D319" s="5" t="s">
        <v>29</v>
      </c>
      <c r="E319" s="22">
        <v>0.8</v>
      </c>
    </row>
    <row r="320" spans="1:5" x14ac:dyDescent="0.3">
      <c r="A320" s="21">
        <v>41454</v>
      </c>
      <c r="B320" s="5" t="s">
        <v>60</v>
      </c>
      <c r="C320" s="5" t="s">
        <v>31</v>
      </c>
      <c r="D320" s="5" t="s">
        <v>26</v>
      </c>
      <c r="E320" s="22">
        <v>7.5</v>
      </c>
    </row>
    <row r="321" spans="1:5" x14ac:dyDescent="0.3">
      <c r="A321" s="21">
        <v>41587</v>
      </c>
      <c r="B321" s="5" t="s">
        <v>58</v>
      </c>
      <c r="C321" s="5" t="s">
        <v>35</v>
      </c>
      <c r="D321" s="5" t="s">
        <v>54</v>
      </c>
      <c r="E321" s="22">
        <v>30</v>
      </c>
    </row>
    <row r="322" spans="1:5" x14ac:dyDescent="0.3">
      <c r="A322" s="21">
        <v>41524</v>
      </c>
      <c r="B322" s="5" t="s">
        <v>65</v>
      </c>
      <c r="C322" s="5" t="s">
        <v>35</v>
      </c>
      <c r="D322" s="5" t="s">
        <v>55</v>
      </c>
      <c r="E322" s="22">
        <v>10</v>
      </c>
    </row>
    <row r="323" spans="1:5" x14ac:dyDescent="0.3">
      <c r="A323" s="21">
        <v>41435</v>
      </c>
      <c r="B323" s="5" t="s">
        <v>62</v>
      </c>
      <c r="C323" s="5" t="s">
        <v>35</v>
      </c>
      <c r="D323" s="5" t="s">
        <v>48</v>
      </c>
      <c r="E323" s="22">
        <v>68</v>
      </c>
    </row>
    <row r="324" spans="1:5" x14ac:dyDescent="0.3">
      <c r="A324" s="21">
        <v>41482</v>
      </c>
      <c r="B324" s="5" t="s">
        <v>60</v>
      </c>
      <c r="C324" s="5" t="s">
        <v>35</v>
      </c>
      <c r="D324" s="5" t="s">
        <v>48</v>
      </c>
      <c r="E324" s="22">
        <v>56</v>
      </c>
    </row>
    <row r="325" spans="1:5" x14ac:dyDescent="0.3">
      <c r="A325" s="21">
        <v>41554</v>
      </c>
      <c r="B325" s="5" t="s">
        <v>61</v>
      </c>
      <c r="C325" s="5" t="s">
        <v>32</v>
      </c>
      <c r="D325" s="5" t="s">
        <v>25</v>
      </c>
      <c r="E325" s="22">
        <v>17.5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ExceliAdam</vt:lpstr>
      <vt:lpstr>Rodzaje</vt:lpstr>
      <vt:lpstr>Formuła</vt:lpstr>
      <vt:lpstr>Czarne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LENOVO</cp:lastModifiedBy>
  <dcterms:created xsi:type="dcterms:W3CDTF">2015-10-25T07:29:10Z</dcterms:created>
  <dcterms:modified xsi:type="dcterms:W3CDTF">2019-05-13T08:02:16Z</dcterms:modified>
</cp:coreProperties>
</file>