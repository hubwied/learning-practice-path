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AFA1AC9F-7245-4F9B-9376-9CBCE697DF81}" xr6:coauthVersionLast="43" xr6:coauthVersionMax="43" xr10:uidLastSave="{00000000-0000-0000-0000-000000000000}"/>
  <bookViews>
    <workbookView xWindow="-108" yWindow="-108" windowWidth="23256" windowHeight="12576" tabRatio="825" xr2:uid="{00000000-000D-0000-FFFF-FFFF00000000}"/>
  </bookViews>
  <sheets>
    <sheet name="ExceliAdam" sheetId="253" r:id="rId1"/>
    <sheet name="Spis treści" sheetId="252" r:id="rId2"/>
    <sheet name="BłędySpacje" sheetId="229" r:id="rId3"/>
    <sheet name="BłędyFormatowanie" sheetId="239" r:id="rId4"/>
    <sheet name="BłędyLiczbaTekst" sheetId="230" r:id="rId5"/>
    <sheet name="Zamówienie" sheetId="249" r:id="rId6"/>
    <sheet name="PierwszaWartość" sheetId="231" r:id="rId7"/>
    <sheet name="Wyszukaj vs Jeżeli" sheetId="233" r:id="rId8"/>
    <sheet name="Poziomo" sheetId="232" r:id="rId9"/>
    <sheet name="Wieloznaczne" sheetId="248" state="hidden" r:id="rId10"/>
    <sheet name="2Warunki" sheetId="237" r:id="rId11"/>
    <sheet name="RóżneKolumny" sheetId="236" r:id="rId12"/>
    <sheet name="POZYCJA" sheetId="240" state="hidden" r:id="rId13"/>
    <sheet name="WLewo" sheetId="241" state="hidden" r:id="rId14"/>
    <sheet name="2D" sheetId="238" r:id="rId15"/>
    <sheet name="SumaWierszKolumna" sheetId="243" state="hidden" r:id="rId16"/>
    <sheet name="INDEKS_LOS" sheetId="242" state="hidden" r:id="rId17"/>
    <sheet name="Znajdź" sheetId="245" r:id="rId18"/>
    <sheet name="Zamień" sheetId="246" r:id="rId19"/>
    <sheet name="ZamieńFormuły" sheetId="247" r:id="rId20"/>
    <sheet name="Suma" sheetId="251" r:id="rId21"/>
  </sheets>
  <definedNames>
    <definedName name="_xlnm._FilterDatabase" localSheetId="12" hidden="1">POZYCJA!#REF!</definedName>
    <definedName name="_xlnm._FilterDatabase" localSheetId="15" hidden="1">SumaWierszKolumna!$A$2:$D$7</definedName>
    <definedName name="_xlnm._FilterDatabase" localSheetId="18" hidden="1">Zamień!#REF!</definedName>
    <definedName name="_xlnm._FilterDatabase" localSheetId="19" hidden="1">ZamieńFormuły!$A$1:$C$1</definedName>
    <definedName name="_xlnm._FilterDatabase" localSheetId="17" hidden="1">Znajdź!#REF!</definedName>
    <definedName name="ksiazki_helion" localSheetId="17">Znajdź!#REF!</definedName>
    <definedName name="ksiazki_onepress_1" localSheetId="18">Zamień!#REF!</definedName>
    <definedName name="plik_z_danymi_2" localSheetId="18">Zamień!$A$1:$E$334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251" l="1"/>
  <c r="C6" i="251"/>
  <c r="B6" i="251"/>
  <c r="E6" i="251" s="1"/>
  <c r="E5" i="251"/>
  <c r="E4" i="251"/>
  <c r="E3" i="251"/>
  <c r="E2" i="251"/>
  <c r="C24" i="238"/>
  <c r="C23" i="238"/>
  <c r="B25" i="238" s="1"/>
  <c r="B12" i="238"/>
  <c r="B18" i="236"/>
  <c r="C18" i="236"/>
  <c r="D18" i="236"/>
  <c r="B19" i="236"/>
  <c r="C19" i="236"/>
  <c r="D19" i="236"/>
  <c r="B20" i="236"/>
  <c r="C20" i="236"/>
  <c r="D20" i="236"/>
  <c r="C17" i="236"/>
  <c r="D17" i="236"/>
  <c r="B17" i="236"/>
  <c r="B4" i="236"/>
  <c r="C4" i="236"/>
  <c r="D4" i="236"/>
  <c r="E4" i="236"/>
  <c r="C3" i="236"/>
  <c r="D3" i="236"/>
  <c r="E3" i="236"/>
  <c r="B3" i="236"/>
  <c r="G3" i="237" a="1"/>
  <c r="G3" i="237" s="1"/>
  <c r="G4" i="237" a="1"/>
  <c r="G4" i="237" s="1"/>
  <c r="G2" i="237" a="1"/>
  <c r="G2" i="237" s="1"/>
  <c r="E3" i="237"/>
  <c r="E4" i="237"/>
  <c r="E2" i="237"/>
  <c r="C8" i="237"/>
  <c r="C9" i="237"/>
  <c r="F4" i="237" s="1"/>
  <c r="C10" i="237"/>
  <c r="C11" i="237"/>
  <c r="C12" i="237"/>
  <c r="C13" i="237"/>
  <c r="C14" i="237"/>
  <c r="C15" i="237"/>
  <c r="C16" i="237"/>
  <c r="C17" i="237"/>
  <c r="C18" i="237"/>
  <c r="C19" i="237"/>
  <c r="C20" i="237"/>
  <c r="C7" i="237"/>
  <c r="D3" i="237" s="1"/>
  <c r="C8" i="232"/>
  <c r="D8" i="232"/>
  <c r="E8" i="232"/>
  <c r="F8" i="232"/>
  <c r="G8" i="232"/>
  <c r="B8" i="232"/>
  <c r="D3" i="233"/>
  <c r="D4" i="233"/>
  <c r="D5" i="233"/>
  <c r="D6" i="233"/>
  <c r="D7" i="233"/>
  <c r="D8" i="233"/>
  <c r="D9" i="233"/>
  <c r="D10" i="233"/>
  <c r="D11" i="233"/>
  <c r="D12" i="233"/>
  <c r="D13" i="233"/>
  <c r="D14" i="233"/>
  <c r="D15" i="233"/>
  <c r="D16" i="233"/>
  <c r="D17" i="233"/>
  <c r="D18" i="233"/>
  <c r="D19" i="233"/>
  <c r="D20" i="233"/>
  <c r="D21" i="233"/>
  <c r="D22" i="233"/>
  <c r="D23" i="233"/>
  <c r="D24" i="233"/>
  <c r="D25" i="233"/>
  <c r="D26" i="233"/>
  <c r="D27" i="233"/>
  <c r="D28" i="233"/>
  <c r="D29" i="233"/>
  <c r="D30" i="233"/>
  <c r="D31" i="233"/>
  <c r="D32" i="233"/>
  <c r="D33" i="233"/>
  <c r="D34" i="233"/>
  <c r="D35" i="233"/>
  <c r="D36" i="233"/>
  <c r="D37" i="233"/>
  <c r="D38" i="233"/>
  <c r="D39" i="233"/>
  <c r="D40" i="233"/>
  <c r="D41" i="233"/>
  <c r="D42" i="233"/>
  <c r="D43" i="233"/>
  <c r="D44" i="233"/>
  <c r="D45" i="233"/>
  <c r="D46" i="233"/>
  <c r="D47" i="233"/>
  <c r="D48" i="233"/>
  <c r="D49" i="233"/>
  <c r="D50" i="233"/>
  <c r="D51" i="233"/>
  <c r="D52" i="233"/>
  <c r="D53" i="233"/>
  <c r="D54" i="233"/>
  <c r="D55" i="233"/>
  <c r="D56" i="233"/>
  <c r="D57" i="233"/>
  <c r="D58" i="233"/>
  <c r="D2" i="233"/>
  <c r="G3" i="231"/>
  <c r="G4" i="231"/>
  <c r="G5" i="231"/>
  <c r="G6" i="231"/>
  <c r="G2" i="231"/>
  <c r="F3" i="231"/>
  <c r="F4" i="231"/>
  <c r="F5" i="231"/>
  <c r="F6" i="231"/>
  <c r="F2" i="231"/>
  <c r="D4" i="249"/>
  <c r="C3" i="249"/>
  <c r="D3" i="249" s="1"/>
  <c r="C4" i="249"/>
  <c r="C5" i="249"/>
  <c r="D5" i="249" s="1"/>
  <c r="C6" i="249"/>
  <c r="D6" i="249" s="1"/>
  <c r="C2" i="249"/>
  <c r="D2" i="249" s="1"/>
  <c r="G10" i="230"/>
  <c r="G9" i="230"/>
  <c r="D3" i="230"/>
  <c r="D4" i="230"/>
  <c r="D5" i="230"/>
  <c r="D6" i="230"/>
  <c r="D7" i="230"/>
  <c r="D8" i="230"/>
  <c r="D9" i="230"/>
  <c r="D10" i="230"/>
  <c r="D11" i="230"/>
  <c r="D12" i="230"/>
  <c r="D13" i="230"/>
  <c r="D2" i="230"/>
  <c r="C3" i="239"/>
  <c r="C4" i="239"/>
  <c r="C5" i="239"/>
  <c r="C6" i="239"/>
  <c r="C2" i="239"/>
  <c r="D3" i="229"/>
  <c r="D4" i="229"/>
  <c r="D5" i="229"/>
  <c r="D6" i="229"/>
  <c r="D7" i="229"/>
  <c r="D8" i="229"/>
  <c r="D9" i="229"/>
  <c r="D10" i="229"/>
  <c r="D11" i="229"/>
  <c r="D12" i="229"/>
  <c r="D13" i="229"/>
  <c r="D14" i="229"/>
  <c r="D15" i="229"/>
  <c r="D16" i="229"/>
  <c r="D17" i="229"/>
  <c r="D18" i="229"/>
  <c r="D19" i="229"/>
  <c r="D20" i="229"/>
  <c r="D21" i="229"/>
  <c r="D22" i="229"/>
  <c r="D23" i="229"/>
  <c r="D24" i="229"/>
  <c r="D25" i="229"/>
  <c r="D2" i="229"/>
  <c r="E2" i="252"/>
  <c r="D2" i="237" l="1"/>
  <c r="F2" i="237"/>
  <c r="F3" i="237"/>
  <c r="D4" i="237"/>
  <c r="C12" i="243"/>
  <c r="G10" i="243"/>
  <c r="F10" i="243"/>
  <c r="E10" i="243"/>
  <c r="D10" i="243"/>
  <c r="C10" i="243"/>
  <c r="B10" i="243"/>
  <c r="H9" i="243"/>
  <c r="H8" i="243"/>
  <c r="H7" i="243"/>
  <c r="H6" i="243"/>
  <c r="H5" i="243"/>
  <c r="H4" i="243"/>
  <c r="H3" i="243"/>
  <c r="H10" i="243" l="1"/>
  <c r="D7" i="249"/>
  <c r="C7" i="247"/>
  <c r="C6" i="247"/>
  <c r="C5" i="247"/>
  <c r="C4" i="247"/>
  <c r="C3" i="247"/>
  <c r="C2" i="247"/>
  <c r="E7" i="241"/>
  <c r="E6" i="241"/>
  <c r="E5" i="241"/>
  <c r="E4" i="241"/>
  <c r="E3" i="241"/>
  <c r="E2" i="241"/>
  <c r="C58" i="233" l="1"/>
  <c r="C57" i="233"/>
  <c r="C56" i="233"/>
  <c r="C55" i="233"/>
  <c r="C54" i="233"/>
  <c r="C53" i="233"/>
  <c r="C52" i="233"/>
  <c r="C51" i="233"/>
  <c r="C50" i="233"/>
  <c r="C49" i="233"/>
  <c r="C48" i="233"/>
  <c r="C47" i="233"/>
  <c r="C46" i="233"/>
  <c r="C45" i="233"/>
  <c r="C44" i="233"/>
  <c r="C43" i="233"/>
  <c r="C42" i="233"/>
  <c r="C41" i="233"/>
  <c r="C40" i="233"/>
  <c r="C39" i="233"/>
  <c r="C38" i="233"/>
  <c r="C37" i="233"/>
  <c r="C36" i="233"/>
  <c r="C35" i="233"/>
  <c r="C34" i="233"/>
  <c r="C33" i="233"/>
  <c r="C32" i="233"/>
  <c r="C31" i="233"/>
  <c r="C30" i="233"/>
  <c r="C29" i="233"/>
  <c r="C28" i="233"/>
  <c r="C27" i="233"/>
  <c r="C26" i="233"/>
  <c r="C25" i="233"/>
  <c r="C24" i="233"/>
  <c r="C23" i="233"/>
  <c r="C22" i="233"/>
  <c r="C21" i="233"/>
  <c r="C20" i="233"/>
  <c r="C19" i="233"/>
  <c r="C18" i="233"/>
  <c r="C17" i="233"/>
  <c r="C16" i="233"/>
  <c r="C15" i="233"/>
  <c r="C14" i="233"/>
  <c r="C13" i="233"/>
  <c r="C12" i="233"/>
  <c r="C11" i="233"/>
  <c r="C10" i="233"/>
  <c r="C9" i="233"/>
  <c r="C8" i="233"/>
  <c r="C7" i="233"/>
  <c r="C6" i="233"/>
  <c r="C5" i="233"/>
  <c r="C4" i="233"/>
  <c r="C3" i="233"/>
  <c r="C2" i="23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lik z danymi_2" type="6" refreshedVersion="5" deleted="1" background="1" saveData="1">
    <textPr codePage="852" sourceFile="C:\Users\PC\Dysk Google\ksiazka na googledrive\plik z danymi_2.csv" decimal="," thousands=" 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<sst xmlns="http://schemas.openxmlformats.org/spreadsheetml/2006/main" count="2476" uniqueCount="1608">
  <si>
    <t>Sprzedawca</t>
  </si>
  <si>
    <t>Chmura</t>
  </si>
  <si>
    <t>Deszcz</t>
  </si>
  <si>
    <t>Alex</t>
  </si>
  <si>
    <t>Atylla</t>
  </si>
  <si>
    <t>Julian</t>
  </si>
  <si>
    <t>Marlena</t>
  </si>
  <si>
    <t>Gloria</t>
  </si>
  <si>
    <t>Tęcza</t>
  </si>
  <si>
    <t>Słońce</t>
  </si>
  <si>
    <t>Marlin</t>
  </si>
  <si>
    <t>Nemo</t>
  </si>
  <si>
    <t>Nr ISBN</t>
  </si>
  <si>
    <t>Autor</t>
  </si>
  <si>
    <t>Ilość</t>
  </si>
  <si>
    <t>Tytuł</t>
  </si>
  <si>
    <t>Cena</t>
  </si>
  <si>
    <t>Suma</t>
  </si>
  <si>
    <t>Kod</t>
  </si>
  <si>
    <t>978-83-246-3241-1</t>
  </si>
  <si>
    <t>Michael Alexander, John Walkenbach</t>
  </si>
  <si>
    <t>andaex</t>
  </si>
  <si>
    <t>Analiza i prezentacja danych w Microsoft Excel. Vademecum Walkenbacha</t>
  </si>
  <si>
    <t>83-7361-380-3</t>
  </si>
  <si>
    <t>John Walkenbach</t>
  </si>
  <si>
    <t>978-83-246-3262-6</t>
  </si>
  <si>
    <t>cwex10_e</t>
  </si>
  <si>
    <t>Excel 2010 PL. ćwiczenia praktyczne. eBook. ePub</t>
  </si>
  <si>
    <t>978-83-246-1668-8</t>
  </si>
  <si>
    <t>Denise Etheridge</t>
  </si>
  <si>
    <t>978-83-246-4009-6</t>
  </si>
  <si>
    <t>cwex10_m</t>
  </si>
  <si>
    <t>Excel 2010 PL. ćwiczenia praktyczne. eBook. Mobi</t>
  </si>
  <si>
    <t>978-83-246-3175-9</t>
  </si>
  <si>
    <t>978-83-246-3261-9</t>
  </si>
  <si>
    <t>cwex10_p</t>
  </si>
  <si>
    <t>Excel 2010 PL. ćwiczenia praktyczne. eBook. Pdf</t>
  </si>
  <si>
    <t>978-83-246-1095-2</t>
  </si>
  <si>
    <t xml:space="preserve">Bartosz Gajda </t>
  </si>
  <si>
    <t>83-246-1222-X</t>
  </si>
  <si>
    <t>cwvba</t>
  </si>
  <si>
    <t>Tworzenie makr w VBA dla Excela 2003/2007. ćwiczenia</t>
  </si>
  <si>
    <t>978-83-246-2061-6</t>
  </si>
  <si>
    <t>Michael Price</t>
  </si>
  <si>
    <t>978-83-246-2893-3</t>
  </si>
  <si>
    <t>e21fae</t>
  </si>
  <si>
    <t>Microsoft Excel 2010 PL. Formuły i funkcje. Akademia Excela</t>
  </si>
  <si>
    <t>978-83-246-2903-9</t>
  </si>
  <si>
    <t>Greg Harvey</t>
  </si>
  <si>
    <t>978-83-246-2863-6</t>
  </si>
  <si>
    <t>e21pvb</t>
  </si>
  <si>
    <t>Excel 2010 PL. Programowanie w VBA. Vademecum Walkenbacha</t>
  </si>
  <si>
    <t>978-83-246-3286-2</t>
  </si>
  <si>
    <t>Witold Wrotek</t>
  </si>
  <si>
    <t>978-83-246-2767-7</t>
  </si>
  <si>
    <t>e27aae</t>
  </si>
  <si>
    <t>Microsoft Excel 2007 PL. Analiza danych za pomoc± tabel przestawnych. Akademia Excela</t>
  </si>
  <si>
    <t>ex10ku_p</t>
  </si>
  <si>
    <t>Excel 2010 PL. Kurs. eBook. Pdf</t>
  </si>
  <si>
    <t>Krzysztof Masłowski</t>
  </si>
  <si>
    <t>Excel 2010 PL dla bystrzaków</t>
  </si>
  <si>
    <t>ex23bi</t>
  </si>
  <si>
    <t>Excel 2003 PL. Biblia</t>
  </si>
  <si>
    <t>ex27aw</t>
  </si>
  <si>
    <t>Excel 2007 PL. Analiza danych, wykresy, tabele przestawne. Niebieski podrêcznik</t>
  </si>
  <si>
    <t>83-246-1008-1</t>
  </si>
  <si>
    <t>Sergiusz Flanczewski</t>
  </si>
  <si>
    <t>978-83-246-1376-2</t>
  </si>
  <si>
    <t>ex27b3</t>
  </si>
  <si>
    <t xml:space="preserve">Microsoft Excel 2007 PL. Analizy biznesowe. Rozwi±zania w biznesie. Wydanie III </t>
  </si>
  <si>
    <t>83-7361-875-9</t>
  </si>
  <si>
    <t>Loren Abdulezer</t>
  </si>
  <si>
    <t>ex27bv</t>
  </si>
  <si>
    <t>Excel 2007 PL. Biblia</t>
  </si>
  <si>
    <t>978-83-246-3423-1</t>
  </si>
  <si>
    <t>83-246-1350-1</t>
  </si>
  <si>
    <t>Microsoft Excel 2007 PL. Formuły i funkcje. Rozwi±zania w biznesie</t>
  </si>
  <si>
    <t>Bill Jelen, Michael Alexander</t>
  </si>
  <si>
    <t>ex27pp</t>
  </si>
  <si>
    <t xml:space="preserve">Excel 2007 PL. Pierwsza pomoc </t>
  </si>
  <si>
    <t>Conrad Carlberg</t>
  </si>
  <si>
    <t>ex27sp</t>
  </si>
  <si>
    <t>Excel 2007 PL. Seria praktyk</t>
  </si>
  <si>
    <t>Paul McFedries</t>
  </si>
  <si>
    <t>83-246-1294-7</t>
  </si>
  <si>
    <t>ex27wy</t>
  </si>
  <si>
    <t xml:space="preserve">Microsoft Excel 2007 PL. Wykresy jako wizualna prezentacja informacji. Rozwi±zania w biznesie </t>
  </si>
  <si>
    <t>Bill Jelen</t>
  </si>
  <si>
    <t>Excel z elementami VBA w firmie</t>
  </si>
  <si>
    <t>Excel. Praktyczne zastosowania w biznesie</t>
  </si>
  <si>
    <t>978-83-246-1663-3</t>
  </si>
  <si>
    <t>Excel. Tworzenie zaawansowanych aplikacji</t>
  </si>
  <si>
    <t>Mirosław Lewandowski</t>
  </si>
  <si>
    <t>prex27</t>
  </si>
  <si>
    <t>Programowanie w Excelu 2007 PL. Niebieski podrêcznik</t>
  </si>
  <si>
    <t>978-83-246-1907-8</t>
  </si>
  <si>
    <t>vb27pp</t>
  </si>
  <si>
    <t>VBA dla Excela 2007. 166 praktycznych przykładów</t>
  </si>
  <si>
    <t>83-7361-340-4</t>
  </si>
  <si>
    <t>Mary Jackson, Mike Staunton</t>
  </si>
  <si>
    <t>zmfexc</t>
  </si>
  <si>
    <t>Zaawansowane modele finansowe z wykorzystaniem Excela i VBA</t>
  </si>
  <si>
    <t>Excel 2010 PL. ćwiczenia praktyczne. eBook.  ePub</t>
  </si>
  <si>
    <t>Uczeń</t>
  </si>
  <si>
    <t>Procent</t>
  </si>
  <si>
    <t>Ocena</t>
  </si>
  <si>
    <t>Melman</t>
  </si>
  <si>
    <t>Maurycy</t>
  </si>
  <si>
    <t>Data</t>
  </si>
  <si>
    <t>Produkt ID</t>
  </si>
  <si>
    <t>Nazwa</t>
  </si>
  <si>
    <t>Wiatr</t>
  </si>
  <si>
    <t>Nazwa Produktu</t>
  </si>
  <si>
    <t>Suma końcowa</t>
  </si>
  <si>
    <t>Klient</t>
  </si>
  <si>
    <t>ID Zamówienia</t>
  </si>
  <si>
    <t>Przychód</t>
  </si>
  <si>
    <t>Suma zamówień</t>
  </si>
  <si>
    <t>Sygnity</t>
  </si>
  <si>
    <t>Google</t>
  </si>
  <si>
    <t>Comarch</t>
  </si>
  <si>
    <t>Asseco</t>
  </si>
  <si>
    <t>Waluta</t>
  </si>
  <si>
    <t>USD</t>
  </si>
  <si>
    <t>EURO</t>
  </si>
  <si>
    <t>GBP</t>
  </si>
  <si>
    <t>KCz</t>
  </si>
  <si>
    <t>PLN</t>
  </si>
  <si>
    <t>Organizacja A</t>
  </si>
  <si>
    <t>Organizacja B</t>
  </si>
  <si>
    <t>Organizacja C</t>
  </si>
  <si>
    <t>Organizacja D</t>
  </si>
  <si>
    <t>Organizacja E</t>
  </si>
  <si>
    <t>Organizacja F</t>
  </si>
  <si>
    <t>Kwota</t>
  </si>
  <si>
    <t>Darowizna</t>
  </si>
  <si>
    <t>Pracownik</t>
  </si>
  <si>
    <t>Sprzadaż</t>
  </si>
  <si>
    <t>Premia</t>
  </si>
  <si>
    <t>Marlin Błazenek</t>
  </si>
  <si>
    <t>Nemo Ryba</t>
  </si>
  <si>
    <t>Dory Ultramarynka</t>
  </si>
  <si>
    <t>0 &lt;= Sprzedaż &lt; 2000</t>
  </si>
  <si>
    <t>Idol Pompatyczny</t>
  </si>
  <si>
    <t>2000 &lt;= Sprzedaż &lt; 5000</t>
  </si>
  <si>
    <t>Piotr Pies</t>
  </si>
  <si>
    <t>5000 &lt;= Sprzedaż &lt; 10000</t>
  </si>
  <si>
    <t>Penny Damska</t>
  </si>
  <si>
    <t>10000 &lt;= Sprzedaż &lt; 15000</t>
  </si>
  <si>
    <t>Marlena Kotowska</t>
  </si>
  <si>
    <t>15000 &lt;= Sprzedaż &lt; 20000</t>
  </si>
  <si>
    <t>Atylla Chomik</t>
  </si>
  <si>
    <t>20000 &lt;= Sprzedaż &lt; 25000</t>
  </si>
  <si>
    <t>Mindy Reżyser</t>
  </si>
  <si>
    <t>25000 &lt;= Sprzedaż</t>
  </si>
  <si>
    <t>Melman Chory</t>
  </si>
  <si>
    <t>Gloria Okrągła</t>
  </si>
  <si>
    <t>Marty Pasiasty</t>
  </si>
  <si>
    <t>Julian Ogoniasty</t>
  </si>
  <si>
    <t>Maurycy Poddany</t>
  </si>
  <si>
    <t>Marian Noga</t>
  </si>
  <si>
    <t>Paulina Kot</t>
  </si>
  <si>
    <t>Fiona Ogr</t>
  </si>
  <si>
    <t>Jan Kowalski</t>
  </si>
  <si>
    <t>Ryszard Pingwin</t>
  </si>
  <si>
    <t>Alicja Wesoła</t>
  </si>
  <si>
    <t>Marlena Wydra</t>
  </si>
  <si>
    <t>Ryszard Waleczny</t>
  </si>
  <si>
    <t>Ramona Foka</t>
  </si>
  <si>
    <t>Dorota Delfin</t>
  </si>
  <si>
    <t>Tomasz Wezuwiusz</t>
  </si>
  <si>
    <t>Stefan Wezuwiusz</t>
  </si>
  <si>
    <t>Krzysztof Wituch</t>
  </si>
  <si>
    <t>Cezary Konopka</t>
  </si>
  <si>
    <t>Zbigniew Kwieciński</t>
  </si>
  <si>
    <t>Paweł Tondera</t>
  </si>
  <si>
    <t>Robert Szczesny</t>
  </si>
  <si>
    <t>Jacek Zadura</t>
  </si>
  <si>
    <t>Janusz Lenartowicz</t>
  </si>
  <si>
    <t>Tomasz Pawlak</t>
  </si>
  <si>
    <t>Grzegorz Steciuk</t>
  </si>
  <si>
    <t>Monika Boberek</t>
  </si>
  <si>
    <t>Jarosław Kwiatkowski</t>
  </si>
  <si>
    <t>Tomasz Paszkowski</t>
  </si>
  <si>
    <t>Wojciech Bednarek</t>
  </si>
  <si>
    <t>Joanna Turowska</t>
  </si>
  <si>
    <t>Brygida Węgrzynowska</t>
  </si>
  <si>
    <t>Jakub Kopczyński</t>
  </si>
  <si>
    <t>Jacek Szydłowski</t>
  </si>
  <si>
    <t>Cezary Reczek</t>
  </si>
  <si>
    <t>Mołogost Nowak</t>
  </si>
  <si>
    <t>Jarosław Drojewski</t>
  </si>
  <si>
    <t>Grzegorz Domin</t>
  </si>
  <si>
    <t>Mikołaj Umer</t>
  </si>
  <si>
    <t>Klementyna Klimek</t>
  </si>
  <si>
    <t>Beata Barwińska</t>
  </si>
  <si>
    <t>Waldemar Jankowski</t>
  </si>
  <si>
    <t>Adam Kaufmann</t>
  </si>
  <si>
    <t>Klaudiusz Bauman</t>
  </si>
  <si>
    <t>Krzysztof Iwanicki</t>
  </si>
  <si>
    <t>Paweł Szczerbiński</t>
  </si>
  <si>
    <t>Jacek Wyrąbkiewicz</t>
  </si>
  <si>
    <t>Beata Bończyk</t>
  </si>
  <si>
    <t>ID</t>
  </si>
  <si>
    <t>Nazwisko</t>
  </si>
  <si>
    <t>Imię</t>
  </si>
  <si>
    <t>e-mail</t>
  </si>
  <si>
    <t>Telefon</t>
  </si>
  <si>
    <t>Błazenek</t>
  </si>
  <si>
    <t>MBłazenek@zoo.pl</t>
  </si>
  <si>
    <t>Ryba</t>
  </si>
  <si>
    <t>NRyba@zoo.pl</t>
  </si>
  <si>
    <t>Penny</t>
  </si>
  <si>
    <t>Damska</t>
  </si>
  <si>
    <t>PDamska@zoo.pl</t>
  </si>
  <si>
    <t>Kotowska</t>
  </si>
  <si>
    <t>MKotowska@zoo.pl</t>
  </si>
  <si>
    <t>Chomik</t>
  </si>
  <si>
    <t>AChomik@zoo.pl</t>
  </si>
  <si>
    <t>Chory</t>
  </si>
  <si>
    <t>MChory@zoo.pl</t>
  </si>
  <si>
    <t>Okrągła</t>
  </si>
  <si>
    <t>GOkrągła@zoo.pl</t>
  </si>
  <si>
    <t>Dział</t>
  </si>
  <si>
    <t>Stanowisko</t>
  </si>
  <si>
    <t>Ukryj mnie</t>
  </si>
  <si>
    <t>Pensja</t>
  </si>
  <si>
    <t>Księgowości</t>
  </si>
  <si>
    <t>Księgowa</t>
  </si>
  <si>
    <t>Wsparcia</t>
  </si>
  <si>
    <t>Starsza Pielęgniarka</t>
  </si>
  <si>
    <t>Gospodarczy</t>
  </si>
  <si>
    <t>Zaopatrzeniowiec</t>
  </si>
  <si>
    <t>Główna Księgowa</t>
  </si>
  <si>
    <t>Starsza Księgowa</t>
  </si>
  <si>
    <t>Sprzątaczka</t>
  </si>
  <si>
    <t>Lekarz</t>
  </si>
  <si>
    <t>Starszy Konserwator</t>
  </si>
  <si>
    <t>Robotnik</t>
  </si>
  <si>
    <t>Sprzedaż Konsultantów  2014</t>
  </si>
  <si>
    <t>Sty</t>
  </si>
  <si>
    <t>Lut</t>
  </si>
  <si>
    <t>Mar</t>
  </si>
  <si>
    <t>Kwi</t>
  </si>
  <si>
    <t>Maj</t>
  </si>
  <si>
    <t>Cze</t>
  </si>
  <si>
    <t>Mateusz</t>
  </si>
  <si>
    <t>Zbigniew</t>
  </si>
  <si>
    <t>Stefan</t>
  </si>
  <si>
    <t>Renata</t>
  </si>
  <si>
    <t>Ewa</t>
  </si>
  <si>
    <t>Ola</t>
  </si>
  <si>
    <t>Hanna</t>
  </si>
  <si>
    <t>Miesiąc</t>
  </si>
  <si>
    <t>Sprzedaż</t>
  </si>
  <si>
    <t>pożyczka/lata</t>
  </si>
  <si>
    <t>Pożyczka</t>
  </si>
  <si>
    <t>Lata</t>
  </si>
  <si>
    <t>% pożyczki</t>
  </si>
  <si>
    <t>Lista 1</t>
  </si>
  <si>
    <t>Lista 2</t>
  </si>
  <si>
    <t>Czy 2 jest na 1</t>
  </si>
  <si>
    <t>Czy 2 nie ma na 1</t>
  </si>
  <si>
    <t>Microsoft Excel 2007 PL. Analiza danych za pomoc± tabel przestawnych.</t>
  </si>
  <si>
    <t>E-mail</t>
  </si>
  <si>
    <t>842-7618</t>
  </si>
  <si>
    <t>Suzan</t>
  </si>
  <si>
    <t>Kowalska</t>
  </si>
  <si>
    <t>Nowowiejska 15</t>
  </si>
  <si>
    <t>842-7728</t>
  </si>
  <si>
    <t>Krzystof</t>
  </si>
  <si>
    <t>Fretka</t>
  </si>
  <si>
    <t>Al. Przyjaźni 1</t>
  </si>
  <si>
    <t>842-5556</t>
  </si>
  <si>
    <t>Grzegorz</t>
  </si>
  <si>
    <t>Rozsądny</t>
  </si>
  <si>
    <t>VII Poprzeczna 6</t>
  </si>
  <si>
    <t>842-8395</t>
  </si>
  <si>
    <t>Filip</t>
  </si>
  <si>
    <t>Gram</t>
  </si>
  <si>
    <t>Uniwersytecka 44</t>
  </si>
  <si>
    <t>842-6396</t>
  </si>
  <si>
    <t>Schroniska 1</t>
  </si>
  <si>
    <t>842-4397</t>
  </si>
  <si>
    <t>Dorota</t>
  </si>
  <si>
    <t>Ultramarynka</t>
  </si>
  <si>
    <t>Ciemna 24</t>
  </si>
  <si>
    <t>Kto mieszka pod adresem</t>
  </si>
  <si>
    <t>Losowa lista</t>
  </si>
  <si>
    <t>Fabryka</t>
  </si>
  <si>
    <t>Motylek</t>
  </si>
  <si>
    <t>Ptaszek</t>
  </si>
  <si>
    <t>Stonoga</t>
  </si>
  <si>
    <t>Żuczek</t>
  </si>
  <si>
    <t>Imię i Nazwisko</t>
  </si>
  <si>
    <t>Ryszard;</t>
  </si>
  <si>
    <t>Mały</t>
  </si>
  <si>
    <t>Tomasz;</t>
  </si>
  <si>
    <t>Dziupla</t>
  </si>
  <si>
    <t>Renata;</t>
  </si>
  <si>
    <t>Dzień</t>
  </si>
  <si>
    <t>Ariel;</t>
  </si>
  <si>
    <t>Syrenka</t>
  </si>
  <si>
    <t>Sebastian;</t>
  </si>
  <si>
    <t>Krab</t>
  </si>
  <si>
    <t>Florian;</t>
  </si>
  <si>
    <t>123-qaz-432</t>
  </si>
  <si>
    <t>wsx</t>
  </si>
  <si>
    <t>451-rfv-548</t>
  </si>
  <si>
    <t>edc</t>
  </si>
  <si>
    <t>543-edc-675</t>
  </si>
  <si>
    <t>qaz</t>
  </si>
  <si>
    <t>980-wsx-324</t>
  </si>
  <si>
    <t>432-tgb-432</t>
  </si>
  <si>
    <t>BłędyFormatowanie</t>
  </si>
  <si>
    <t>BłędySpacje</t>
  </si>
  <si>
    <t>BłędyLiczbaTekst</t>
  </si>
  <si>
    <t>Zamówienie</t>
  </si>
  <si>
    <t>Poziomo</t>
  </si>
  <si>
    <t>Wyszukaj vs Jeżeli</t>
  </si>
  <si>
    <t>RóżneKolumny</t>
  </si>
  <si>
    <t>2D</t>
  </si>
  <si>
    <t>Znajdź</t>
  </si>
  <si>
    <t>Zamień</t>
  </si>
  <si>
    <t>ZamieńFormuły</t>
  </si>
  <si>
    <t>ID partia/produkt</t>
  </si>
  <si>
    <t>ID Produkt</t>
  </si>
  <si>
    <t>123-qaz-4</t>
  </si>
  <si>
    <t>451-qaz-548</t>
  </si>
  <si>
    <t>432-wsx-3</t>
  </si>
  <si>
    <t>Adres</t>
  </si>
  <si>
    <t>Lista bez powtórzeń</t>
  </si>
  <si>
    <t>Komputer Świat</t>
  </si>
  <si>
    <t>Data publikacji</t>
  </si>
  <si>
    <t>Słowa kluczowe</t>
  </si>
  <si>
    <t>Niezbędnik 6/2017</t>
  </si>
  <si>
    <t>KN095</t>
  </si>
  <si>
    <t>2017-12-28</t>
  </si>
  <si>
    <t>KŚ 1/2018</t>
  </si>
  <si>
    <t>KS416</t>
  </si>
  <si>
    <t>2017-12-01</t>
  </si>
  <si>
    <t>KŚ 12/2017</t>
  </si>
  <si>
    <t>KS415</t>
  </si>
  <si>
    <t>2017-11-01</t>
  </si>
  <si>
    <t>Niezbędnik 5/2017</t>
  </si>
  <si>
    <t>KN094</t>
  </si>
  <si>
    <t>2017-10-28</t>
  </si>
  <si>
    <t>KŚ 11/2017</t>
  </si>
  <si>
    <t>KS414</t>
  </si>
  <si>
    <t>2017-10-01</t>
  </si>
  <si>
    <t>KŚ 10/2017</t>
  </si>
  <si>
    <t>KS413</t>
  </si>
  <si>
    <t>2017-09-01</t>
  </si>
  <si>
    <t>Niezbędnik 4/2017</t>
  </si>
  <si>
    <t>KN093</t>
  </si>
  <si>
    <t>2017-08-28</t>
  </si>
  <si>
    <t>KŚ 9/2017</t>
  </si>
  <si>
    <t>KS412</t>
  </si>
  <si>
    <t>2017-08-01</t>
  </si>
  <si>
    <t>KŚ 8/2017</t>
  </si>
  <si>
    <t>KS411</t>
  </si>
  <si>
    <t>2017-07-01</t>
  </si>
  <si>
    <t>Niezbędnik 3/2017</t>
  </si>
  <si>
    <t>KN092</t>
  </si>
  <si>
    <t>2017-06-28</t>
  </si>
  <si>
    <t>KŚ 7/2017</t>
  </si>
  <si>
    <t>KS410</t>
  </si>
  <si>
    <t>2017-06-01</t>
  </si>
  <si>
    <t>KŚ 6/2017</t>
  </si>
  <si>
    <t>KS409</t>
  </si>
  <si>
    <t>2017-05-01</t>
  </si>
  <si>
    <t>Niezbędnik 2/2017</t>
  </si>
  <si>
    <t>KN091</t>
  </si>
  <si>
    <t>2017-04-28</t>
  </si>
  <si>
    <t>KŚ 5/2017</t>
  </si>
  <si>
    <t>KS408</t>
  </si>
  <si>
    <t>2017-04-01</t>
  </si>
  <si>
    <t>KŚ 4/2017</t>
  </si>
  <si>
    <t>KS407</t>
  </si>
  <si>
    <t>2017-03-01</t>
  </si>
  <si>
    <t>Niezbędnik 1/2017</t>
  </si>
  <si>
    <t>KN090</t>
  </si>
  <si>
    <t>2017-02-28</t>
  </si>
  <si>
    <t>KŚ 3/2017</t>
  </si>
  <si>
    <t>KS406</t>
  </si>
  <si>
    <t>2017-02-01</t>
  </si>
  <si>
    <t>KŚ 2/2017</t>
  </si>
  <si>
    <t>KS405</t>
  </si>
  <si>
    <t>2017-01-02</t>
  </si>
  <si>
    <t>Niezbędnik 6/2016</t>
  </si>
  <si>
    <t>KN089</t>
  </si>
  <si>
    <t>2016-12-29</t>
  </si>
  <si>
    <t>KŚ 1/2017</t>
  </si>
  <si>
    <t>KS404</t>
  </si>
  <si>
    <t>2016-12-05</t>
  </si>
  <si>
    <t>KŚ 12/2016</t>
  </si>
  <si>
    <t>KS403</t>
  </si>
  <si>
    <t>2016-11-07</t>
  </si>
  <si>
    <t>Niezbędnik 5/2016</t>
  </si>
  <si>
    <t>KN088</t>
  </si>
  <si>
    <t>2016-10-29</t>
  </si>
  <si>
    <t>KŚ 11/2016</t>
  </si>
  <si>
    <t>KS402</t>
  </si>
  <si>
    <t>2016-10-03</t>
  </si>
  <si>
    <t>KŚ 10/2016</t>
  </si>
  <si>
    <t>KS401</t>
  </si>
  <si>
    <t>2016-09-05</t>
  </si>
  <si>
    <t>Niezbędnik 4/2016</t>
  </si>
  <si>
    <t>KN087</t>
  </si>
  <si>
    <t>2016-08-29</t>
  </si>
  <si>
    <t>KŚ 9/2016</t>
  </si>
  <si>
    <t>KS400</t>
  </si>
  <si>
    <t>2016-08-01</t>
  </si>
  <si>
    <t>KŚ 8/2016</t>
  </si>
  <si>
    <t>KS399</t>
  </si>
  <si>
    <t>2016-07-04</t>
  </si>
  <si>
    <t>Niezbędnik 3/2016</t>
  </si>
  <si>
    <t>KN086</t>
  </si>
  <si>
    <t>2016-06-29</t>
  </si>
  <si>
    <t>KŚ 7/2016</t>
  </si>
  <si>
    <t>KS398</t>
  </si>
  <si>
    <t>2016-06-06</t>
  </si>
  <si>
    <t>KŚ 6/2016</t>
  </si>
  <si>
    <t>KS397</t>
  </si>
  <si>
    <t>2016-05-02</t>
  </si>
  <si>
    <t>Niezbędnik 2/2016</t>
  </si>
  <si>
    <t>KN085</t>
  </si>
  <si>
    <t>2016-04-29</t>
  </si>
  <si>
    <t>KŚ 5/2016</t>
  </si>
  <si>
    <t>KS396</t>
  </si>
  <si>
    <t>2016-04-04</t>
  </si>
  <si>
    <t>KŚ 4/2016</t>
  </si>
  <si>
    <t>KS395</t>
  </si>
  <si>
    <t>2016-03-07</t>
  </si>
  <si>
    <t>Rozliczamy PIT-y za 2015 rok</t>
  </si>
  <si>
    <t>prm50</t>
  </si>
  <si>
    <t>2016-02-25</t>
  </si>
  <si>
    <t>epit 2015, e-pity, rozliczenie, PIT</t>
  </si>
  <si>
    <t>Biblioteczka 1/2016</t>
  </si>
  <si>
    <t>kb085</t>
  </si>
  <si>
    <t>2016-02-24</t>
  </si>
  <si>
    <t>Excel tabele przestawne wykresy formuły funkcje zaawansowane</t>
  </si>
  <si>
    <t>Niezbędnik 1/2016</t>
  </si>
  <si>
    <t>KN084</t>
  </si>
  <si>
    <t>2016-02-17</t>
  </si>
  <si>
    <t>pity 2015, zdalny dostęp, szachy, PUP, usuwanie reklam</t>
  </si>
  <si>
    <t>KŚ 3/2016</t>
  </si>
  <si>
    <t>KS394</t>
  </si>
  <si>
    <t>2016-02-01</t>
  </si>
  <si>
    <t>netflix, drukarki, CES 2016, samsung gear s2, test smartfonów</t>
  </si>
  <si>
    <t>KŚ 2/2016</t>
  </si>
  <si>
    <t>KS393</t>
  </si>
  <si>
    <t>2016-01-04</t>
  </si>
  <si>
    <t>Niezbędnik 6/2015</t>
  </si>
  <si>
    <t>KN083</t>
  </si>
  <si>
    <t>2015-12-16</t>
  </si>
  <si>
    <t>programy 2016 multimedia bezpieczeństwo internet biuro narzędzia grafika</t>
  </si>
  <si>
    <t>Biblioteczka 4/2015</t>
  </si>
  <si>
    <t>kb084</t>
  </si>
  <si>
    <t>2015-12-09</t>
  </si>
  <si>
    <t>windows 10 wskazówki instalacja tips triki</t>
  </si>
  <si>
    <t>KŚ 1/2016</t>
  </si>
  <si>
    <t>KS392</t>
  </si>
  <si>
    <t>2015-12-07</t>
  </si>
  <si>
    <t>płyta ratunkowa 2016, testy 2015, test tabletów, Pixlr, office 2016, minikomputery</t>
  </si>
  <si>
    <t>Testy 2015</t>
  </si>
  <si>
    <t>PRM49</t>
  </si>
  <si>
    <t>2015-12-06</t>
  </si>
  <si>
    <t>testy 2015</t>
  </si>
  <si>
    <t>Komputer Świat Special 1/2016 Przewodnik gracza. Wszystko o sprzęcie</t>
  </si>
  <si>
    <t>kss03</t>
  </si>
  <si>
    <t>2015-12-04</t>
  </si>
  <si>
    <t>KŚ 12/2015</t>
  </si>
  <si>
    <t>KS391</t>
  </si>
  <si>
    <t>2015-11-02</t>
  </si>
  <si>
    <t>tapety nagrywanie pulpitu benchmark lauchery testowanie projektor programowanie kickstarter G DATA dzielenie plików deinstalacja ISO</t>
  </si>
  <si>
    <t>Biblioteczka Extra 3/2015</t>
  </si>
  <si>
    <t>kb901</t>
  </si>
  <si>
    <t>2015-10-28</t>
  </si>
  <si>
    <t>YouTube nagrywanie filmów publikacja montaż</t>
  </si>
  <si>
    <t>Niezbędnik 5/2015</t>
  </si>
  <si>
    <t>KN082</t>
  </si>
  <si>
    <t>2015-10-14</t>
  </si>
  <si>
    <t>obróbka zdjęć edytor zarządzanie budżetem radio monitorowanie sieci szpiegowanie optymalizacja Windows odzyskiwanie haseł konwersja PDF</t>
  </si>
  <si>
    <t>Kurs Windows 10</t>
  </si>
  <si>
    <t>prm48</t>
  </si>
  <si>
    <t>2015-10-05</t>
  </si>
  <si>
    <t>KŚ 11/2015</t>
  </si>
  <si>
    <t>KS390</t>
  </si>
  <si>
    <t>telewizory OnePlus 2 zakup komputera test routerów Virtual Reality kurs Windows 10</t>
  </si>
  <si>
    <t>Biblioteczka 3/2015</t>
  </si>
  <si>
    <t>kb083</t>
  </si>
  <si>
    <t>2015-09-09</t>
  </si>
  <si>
    <t>Scratch programowanie algorytmy</t>
  </si>
  <si>
    <t>KŚ 10/2015</t>
  </si>
  <si>
    <t>KS389</t>
  </si>
  <si>
    <t>2015-09-07</t>
  </si>
  <si>
    <t>lektury G DATA ściąganie plików test smartfonów Windows 10 Gamescom streaming dron drukarka 3D obróbka zdjęć tapety Star Wars pokaz slajdów kamery Wi-Fi animacje 3D PDF</t>
  </si>
  <si>
    <t>Niezbędnik 4/2015</t>
  </si>
  <si>
    <t>KN081</t>
  </si>
  <si>
    <t>2015-08-19</t>
  </si>
  <si>
    <t>pakiet biurowy blokowanie reklam odzyskiwanie danych YouTube defragmentacja ukrywanie plików Windows 10 kopia zapasowa antymalware szyfrowanie</t>
  </si>
  <si>
    <t>Bezpiecznie w internecie</t>
  </si>
  <si>
    <t>PRM47</t>
  </si>
  <si>
    <t>2015-08-03</t>
  </si>
  <si>
    <t>G DATA</t>
  </si>
  <si>
    <t>KŚ 9/2015</t>
  </si>
  <si>
    <t>KS388</t>
  </si>
  <si>
    <t>Dragon Ball Windows 10 internet LTE kamery akcji GoPro projektor programy biurowe G DATA Android mobilne czytniki e-booków WhatsApp szpiegowanie słuchawki głośniki kopia zapasowa</t>
  </si>
  <si>
    <t>Ściągaj szybko i legalnie</t>
  </si>
  <si>
    <t>PRM46</t>
  </si>
  <si>
    <t>2015-08-02</t>
  </si>
  <si>
    <t>Rapideo</t>
  </si>
  <si>
    <t>KŚ 8/2015</t>
  </si>
  <si>
    <t>KS387</t>
  </si>
  <si>
    <t>2015-07-06</t>
  </si>
  <si>
    <t>Linux Live tapety E3 Computex test dysków SSD aparaty cyfrowe mobilne komunikatory Google Photos zakupy w Chinach animacje 2D odzyskiwanie danych retusz zdjęć</t>
  </si>
  <si>
    <t>Niezbędnik 3/2015</t>
  </si>
  <si>
    <t>KN080</t>
  </si>
  <si>
    <t>2015-06-17</t>
  </si>
  <si>
    <t>MMO malware antymalware sterowanie odtwarzacz wirtualny napęd CD DVD geotagowanie diagnostyka testowanie odzyskiwanie haseł synchronizacja danych Youtube zdjęcia kamera nagrywanie prawo jazdy</t>
  </si>
  <si>
    <t>KlasaPLUS Uczeń nr 8</t>
  </si>
  <si>
    <t>kpu08</t>
  </si>
  <si>
    <t>2015-06-11</t>
  </si>
  <si>
    <t>Biblioteczka 2/2015</t>
  </si>
  <si>
    <t>kb082</t>
  </si>
  <si>
    <t>2015-06-10</t>
  </si>
  <si>
    <t>minecraft gra gry komputerowe symulacje online</t>
  </si>
  <si>
    <t>KŚ 7/2015</t>
  </si>
  <si>
    <t>KS386</t>
  </si>
  <si>
    <t>2015-06-01</t>
  </si>
  <si>
    <t>NaviExpert MMO test telewizorów MacBook polskie smartfony Wiedźmin 3 Google Carboard aplikacje fitness nawigacja zgrywanie DVD G DATA przyspieszanie optymalizacja Windows defragmentacja audiobook ster</t>
  </si>
  <si>
    <t>e-prenumerata Komputer Swiat (12 wydan) + GData 2014 na rok (STARA)</t>
  </si>
  <si>
    <t>PPM08</t>
  </si>
  <si>
    <t>2015-05-26</t>
  </si>
  <si>
    <t>Komputer Świat Special 2/2015 Domowa sieć</t>
  </si>
  <si>
    <t>kss02</t>
  </si>
  <si>
    <t>2015-05-19</t>
  </si>
  <si>
    <t>KlasaPLUS Uczeń nr 7</t>
  </si>
  <si>
    <t>kpu07</t>
  </si>
  <si>
    <t>2015-05-07</t>
  </si>
  <si>
    <t>KlasaPLUS Nauczyciel nr 7</t>
  </si>
  <si>
    <t>kpn07</t>
  </si>
  <si>
    <t>Hosting bez tajemnic - ZA DARMO</t>
  </si>
  <si>
    <t>PRM45</t>
  </si>
  <si>
    <t>2015-05-04</t>
  </si>
  <si>
    <t>hosting cal.pl cal</t>
  </si>
  <si>
    <t>KŚ 6/2015</t>
  </si>
  <si>
    <t>KS385</t>
  </si>
  <si>
    <t>Niezbędnik 2/2015</t>
  </si>
  <si>
    <t>KN079</t>
  </si>
  <si>
    <t>2015-04-15</t>
  </si>
  <si>
    <t>darmowy antywirus przyspieszanie optymalizacja menedżer plików zarządzanie nagrywanie gier odtwarzacz audio MP3 edycja muzyki kopia zapasowa nagrywanie płyt</t>
  </si>
  <si>
    <t>Twoje prawo jazdy</t>
  </si>
  <si>
    <t>PRM44</t>
  </si>
  <si>
    <t>2015-04-07</t>
  </si>
  <si>
    <t>prawo jazdy auto świat motoryzacja</t>
  </si>
  <si>
    <t>KŚ 5/2015</t>
  </si>
  <si>
    <t>KS384</t>
  </si>
  <si>
    <t>Biblioteczka 1/2015</t>
  </si>
  <si>
    <t>kb081</t>
  </si>
  <si>
    <t>2015-03-25</t>
  </si>
  <si>
    <t>Windows rejestr modyfikacja usługi ustawienia</t>
  </si>
  <si>
    <t>Pakiet książek o fotografii</t>
  </si>
  <si>
    <t>prm43</t>
  </si>
  <si>
    <t>2015-03-20</t>
  </si>
  <si>
    <t>Roczna e-prenumerata  Komputer Świata + Wielkie testy 2014</t>
  </si>
  <si>
    <t>prm42</t>
  </si>
  <si>
    <t>Zestaw książek o Microsoft Office</t>
  </si>
  <si>
    <t>prm41</t>
  </si>
  <si>
    <t>KlasaPLUS Nauczyciel nr 6</t>
  </si>
  <si>
    <t>kpn06</t>
  </si>
  <si>
    <t>2015-03-06</t>
  </si>
  <si>
    <t>KlasaPLUS Uczeń nr 6</t>
  </si>
  <si>
    <t>kpu06</t>
  </si>
  <si>
    <t>2015-03-03</t>
  </si>
  <si>
    <t>Trenuj mózg z Neurogrą</t>
  </si>
  <si>
    <t>PRM40</t>
  </si>
  <si>
    <t>2015-03-02</t>
  </si>
  <si>
    <t>neurogra mózg</t>
  </si>
  <si>
    <t>KŚ 4/2015</t>
  </si>
  <si>
    <t>KS383</t>
  </si>
  <si>
    <t>Niezbędnik 1/2015</t>
  </si>
  <si>
    <t>KN078</t>
  </si>
  <si>
    <t>2015-02-18</t>
  </si>
  <si>
    <t>kompresja archiwum przeglądarka zdjęć czyszczenie systemu deinstalacja konwersja PDF nagrywanie płyt odzyskiwanie danych karta pamięci kalendarze</t>
  </si>
  <si>
    <t>KlasaPLUS Nauczyciel nr 5</t>
  </si>
  <si>
    <t>kpn05</t>
  </si>
  <si>
    <t>2015-02-06</t>
  </si>
  <si>
    <t>KlasaPLUS Uczeń nr 5</t>
  </si>
  <si>
    <t>kpu05</t>
  </si>
  <si>
    <t>2015-02-03</t>
  </si>
  <si>
    <t>Rozlicz PIT przez internet</t>
  </si>
  <si>
    <t>PRM39</t>
  </si>
  <si>
    <t>2015-02-02</t>
  </si>
  <si>
    <t>e-pity, pit, rozliczenie</t>
  </si>
  <si>
    <t>KŚ 3/2015</t>
  </si>
  <si>
    <t>KS382</t>
  </si>
  <si>
    <t>KlasaPLUS Uczeń nr 4</t>
  </si>
  <si>
    <t>kpu04</t>
  </si>
  <si>
    <t>2015-01-05</t>
  </si>
  <si>
    <t>KlasaPLUS Nauczyciel nr 4</t>
  </si>
  <si>
    <t>kpn04</t>
  </si>
  <si>
    <t>KŚ 2/2015</t>
  </si>
  <si>
    <t>KS381</t>
  </si>
  <si>
    <t>Niezbędnik 6/2014</t>
  </si>
  <si>
    <t>KN077</t>
  </si>
  <si>
    <t>2014-12-17</t>
  </si>
  <si>
    <t>optymalizacja tuning przyspieszanie odzyskiwanie plików pokaz slajdów</t>
  </si>
  <si>
    <t>Biblioteczka 4/2014</t>
  </si>
  <si>
    <t>kb080</t>
  </si>
  <si>
    <t>2014-12-03</t>
  </si>
  <si>
    <t>Windows problem naprawa komputer</t>
  </si>
  <si>
    <t>KŚ 1/2015</t>
  </si>
  <si>
    <t>KS380</t>
  </si>
  <si>
    <t>2014-12-01</t>
  </si>
  <si>
    <t>KlasaPLUS Nauczyciel nr 3</t>
  </si>
  <si>
    <t>kpn03</t>
  </si>
  <si>
    <t>2014-11-28</t>
  </si>
  <si>
    <t>KlasaPLUS Uczeń nr 3</t>
  </si>
  <si>
    <t>kpu03</t>
  </si>
  <si>
    <t>Bezpieczeństwo z G Data Internet Security</t>
  </si>
  <si>
    <t>PRM38</t>
  </si>
  <si>
    <t>G data</t>
  </si>
  <si>
    <t>Komputer Świat Special 1/2015 Smartfony i Tablety</t>
  </si>
  <si>
    <t>kss01</t>
  </si>
  <si>
    <t>2014-11-19</t>
  </si>
  <si>
    <t>Kody Rapideo 90 dni</t>
  </si>
  <si>
    <t>PCD01</t>
  </si>
  <si>
    <t>2014-11-05</t>
  </si>
  <si>
    <t>Przedłużenie na 18 miesięcy</t>
  </si>
  <si>
    <t>PPM06</t>
  </si>
  <si>
    <t>2014-11-03</t>
  </si>
  <si>
    <t>Wielkie testy 2014</t>
  </si>
  <si>
    <t>PRM37</t>
  </si>
  <si>
    <t>testy 2014</t>
  </si>
  <si>
    <t>KŚ 12/2014</t>
  </si>
  <si>
    <t>KS379</t>
  </si>
  <si>
    <t>12-miesięczna e-prenumerata i konto w Rapideo na 90 dni</t>
  </si>
  <si>
    <t>PPM07</t>
  </si>
  <si>
    <t>2014-11-02</t>
  </si>
  <si>
    <t>rapideo e-prenumerata prenumerata</t>
  </si>
  <si>
    <t>KlasaPLUS Uczeń nr 2</t>
  </si>
  <si>
    <t>kpu02</t>
  </si>
  <si>
    <t>2014-10-28</t>
  </si>
  <si>
    <t>KlasaPLUS Nauczyciel nr 2</t>
  </si>
  <si>
    <t>kpn02</t>
  </si>
  <si>
    <t>Przedłużenie na 12 miesięcy + antywirus na rok</t>
  </si>
  <si>
    <t>PPM02</t>
  </si>
  <si>
    <t>2014-10-24</t>
  </si>
  <si>
    <t>e-prenumerata, roczna, prenumerata, gdata, g data, przedłużenie</t>
  </si>
  <si>
    <t>Przedłużenie na 12 miesięcy + 25 tutoriali</t>
  </si>
  <si>
    <t>PPM01</t>
  </si>
  <si>
    <t>e-prenumerata, roczna, prenumerata, przedłużenie</t>
  </si>
  <si>
    <t>12-miesięczna e-prenumerata i 25 tutoriali</t>
  </si>
  <si>
    <t>PMM05</t>
  </si>
  <si>
    <t>e-prenumerata, roczna, prenumerata</t>
  </si>
  <si>
    <t>12-miesięczna e-prenumerata KŚ i Niezbędnik na rok</t>
  </si>
  <si>
    <t>PMM04</t>
  </si>
  <si>
    <t>e-prenumerata, prenumerata</t>
  </si>
  <si>
    <t>Przedłużenie na 18 miesięcy + 25 tutoriali</t>
  </si>
  <si>
    <t>PPM12</t>
  </si>
  <si>
    <t>18-miesięczna e-prenumerata + prezent</t>
  </si>
  <si>
    <t>PMM03</t>
  </si>
  <si>
    <t>Tutorial do Adobe Photoshop</t>
  </si>
  <si>
    <t>PRM36</t>
  </si>
  <si>
    <t>2014-10-23</t>
  </si>
  <si>
    <t>Adobe Photoshop tutorial retusz edycja obróbka grafika rastrowa</t>
  </si>
  <si>
    <t>Tutorial do FormatFactory</t>
  </si>
  <si>
    <t>PRM35</t>
  </si>
  <si>
    <t>Tutorial FormatFactory konwersja konwertowanie multimedia muzyka formaty</t>
  </si>
  <si>
    <t>Tutorial do Windows Movie Maker</t>
  </si>
  <si>
    <t>PRM34</t>
  </si>
  <si>
    <t>Tutorial Windows Movie Maker montaż filmy</t>
  </si>
  <si>
    <t>Tutorial do Sony Movie Studio</t>
  </si>
  <si>
    <t>PRM33</t>
  </si>
  <si>
    <t>Tutorial Sony Movie Studio montaż filmy</t>
  </si>
  <si>
    <t>Tutorial do Paint.NET</t>
  </si>
  <si>
    <t>PRM32</t>
  </si>
  <si>
    <t>Tutorial Paint.NET retusz edycja obróbka grafika rastrowa</t>
  </si>
  <si>
    <t>Niezbędnik 5/2014</t>
  </si>
  <si>
    <t>KN076</t>
  </si>
  <si>
    <t>2014-10-15</t>
  </si>
  <si>
    <t>edycja montaż filmów odzyskiwanie danych symulator webmastering edytor WWW outlook synchronizacja plików</t>
  </si>
  <si>
    <t>12-miesięczna e-prenumerata + G Data Internet Security 2015</t>
  </si>
  <si>
    <t>PMM11</t>
  </si>
  <si>
    <t>2014-10-07</t>
  </si>
  <si>
    <t>e-prenumerata, roczna, prenumerata, gdata</t>
  </si>
  <si>
    <t>KŚ 11/2014</t>
  </si>
  <si>
    <t>KS378</t>
  </si>
  <si>
    <t>2014-10-06</t>
  </si>
  <si>
    <t>KlasaPLUS Uczeń nr 1</t>
  </si>
  <si>
    <t>kpu01</t>
  </si>
  <si>
    <t>2014-09-19</t>
  </si>
  <si>
    <t>KlasaPLUS Nauczyciel nr 1</t>
  </si>
  <si>
    <t>kpn01</t>
  </si>
  <si>
    <t>Biblioteczka 3/2014</t>
  </si>
  <si>
    <t>KB079</t>
  </si>
  <si>
    <t>2014-09-03</t>
  </si>
  <si>
    <t>Microsoft Office Word edytor tekstu pakiet biurowy biuro</t>
  </si>
  <si>
    <t>KŚ 10/2014</t>
  </si>
  <si>
    <t>KS377</t>
  </si>
  <si>
    <t>2014-09-01</t>
  </si>
  <si>
    <t>Roczna e-prenumerata Komputer Świata</t>
  </si>
  <si>
    <t>PMM02</t>
  </si>
  <si>
    <t>2014-08-31</t>
  </si>
  <si>
    <t>KŚ 9/2014</t>
  </si>
  <si>
    <t>KS376</t>
  </si>
  <si>
    <t>Niezbędnik 4/2014</t>
  </si>
  <si>
    <t>KN075</t>
  </si>
  <si>
    <t>2014-08-30</t>
  </si>
  <si>
    <t>sterowniki zdjęcia cyfrowe edycja zdjęć program pocztowy e-mail kopia zapasowa deinstalacja nagrywanie DVD</t>
  </si>
  <si>
    <t>Smartfony - Aplikacje mobilne</t>
  </si>
  <si>
    <t>pw075</t>
  </si>
  <si>
    <t>2014-08-27</t>
  </si>
  <si>
    <t>Sprzęt - Budowa komputera</t>
  </si>
  <si>
    <t>pw072</t>
  </si>
  <si>
    <t>1 Programowanie w C++ - Wstęp</t>
  </si>
  <si>
    <t>PW056</t>
  </si>
  <si>
    <t>1 GIMP Podstawy</t>
  </si>
  <si>
    <t>PW031</t>
  </si>
  <si>
    <t>1 PowerPoint Podstawy</t>
  </si>
  <si>
    <t>PW018</t>
  </si>
  <si>
    <t>Sprzęt - Pierwszy komputer dla ucznia</t>
  </si>
  <si>
    <t>pw074</t>
  </si>
  <si>
    <t>2014-08-26</t>
  </si>
  <si>
    <t>Sprzęt - Minikomputer Rasberry Pi</t>
  </si>
  <si>
    <t>pw073</t>
  </si>
  <si>
    <t>Sprzęt - Oszczędzanie prądu</t>
  </si>
  <si>
    <t>pw071</t>
  </si>
  <si>
    <t>Sprzęt - Ekrany dotykowe</t>
  </si>
  <si>
    <t>pw070</t>
  </si>
  <si>
    <t>Sprzęt - Dwa monitory</t>
  </si>
  <si>
    <t>pw069</t>
  </si>
  <si>
    <t>Sprzęt - Drukarki 3D</t>
  </si>
  <si>
    <t>pw068</t>
  </si>
  <si>
    <t>Wiedza - Technologie przyszłości</t>
  </si>
  <si>
    <t>PW067</t>
  </si>
  <si>
    <t>2014-08-25</t>
  </si>
  <si>
    <t>Wiedza - Ciekawostki o internecie</t>
  </si>
  <si>
    <t>PW066</t>
  </si>
  <si>
    <t>2014-08-23</t>
  </si>
  <si>
    <t>Wiedza - Ciekawostki technologiczne</t>
  </si>
  <si>
    <t>PW065</t>
  </si>
  <si>
    <t>Sprzęt - Płyta główna</t>
  </si>
  <si>
    <t>PW064</t>
  </si>
  <si>
    <t>Smartfony - Łączność zbliżeniowa NFC</t>
  </si>
  <si>
    <t>PW063</t>
  </si>
  <si>
    <t>Partycje i systemy plików</t>
  </si>
  <si>
    <t>PW062</t>
  </si>
  <si>
    <t>Jak naprawiać Windows</t>
  </si>
  <si>
    <t>PW061</t>
  </si>
  <si>
    <t>Partycje - EaseUS Partition Master</t>
  </si>
  <si>
    <t>PW060</t>
  </si>
  <si>
    <t>4 Programowanie w C++ - Funkcje</t>
  </si>
  <si>
    <t>PW059</t>
  </si>
  <si>
    <t>3 Programowanie w C++ - Sterowanie</t>
  </si>
  <si>
    <t>PW058</t>
  </si>
  <si>
    <t>2 Programowanie w C++ - Podstawy</t>
  </si>
  <si>
    <t>PW057</t>
  </si>
  <si>
    <t>Programowanie w Batch</t>
  </si>
  <si>
    <t>PW055</t>
  </si>
  <si>
    <t>Programowanie - Jak stworzyć grę</t>
  </si>
  <si>
    <t>PW054</t>
  </si>
  <si>
    <t>Prawo i komputery - Wolno ściągać czy nie wolno?</t>
  </si>
  <si>
    <t>PW053</t>
  </si>
  <si>
    <t>Prawo i komputery - Ochrona wizerunku</t>
  </si>
  <si>
    <t>PW052</t>
  </si>
  <si>
    <t>Prawo i komputery - Dane osobowe</t>
  </si>
  <si>
    <t>PW051</t>
  </si>
  <si>
    <t>Prawo i komputery - Jak zarabiają gracze</t>
  </si>
  <si>
    <t>PW050</t>
  </si>
  <si>
    <t>Prawo i komputery - Cookies</t>
  </si>
  <si>
    <t>PW049</t>
  </si>
  <si>
    <t>Prawo i komputery - Odpowiedzialność admina</t>
  </si>
  <si>
    <t>PW048</t>
  </si>
  <si>
    <t>Muzyka - Serwisy z muzyką</t>
  </si>
  <si>
    <t>PW047</t>
  </si>
  <si>
    <t>Muzyka - Audacity</t>
  </si>
  <si>
    <t>PW046</t>
  </si>
  <si>
    <t>Internet - Thunderbird</t>
  </si>
  <si>
    <t>PW045</t>
  </si>
  <si>
    <t>Internet - Skype</t>
  </si>
  <si>
    <t>PW044</t>
  </si>
  <si>
    <t>Dane - Jak szukać na dysku i w internecie</t>
  </si>
  <si>
    <t>PW043</t>
  </si>
  <si>
    <t>Internet - Edytor wideo YouTube</t>
  </si>
  <si>
    <t>PW042</t>
  </si>
  <si>
    <t>Zdjecia - Jak robić superzdjęcia zimą</t>
  </si>
  <si>
    <t>PW041</t>
  </si>
  <si>
    <t>Picasa Najciekawsze funkcje</t>
  </si>
  <si>
    <t>PW040</t>
  </si>
  <si>
    <t>4 Photoshop CS5 Fotomontaż</t>
  </si>
  <si>
    <t>PW039</t>
  </si>
  <si>
    <t>3 Photoshop CS5 Efekty dla tekstu</t>
  </si>
  <si>
    <t>PW038</t>
  </si>
  <si>
    <t>2 Photoshop CS5 Tekstury</t>
  </si>
  <si>
    <t>PW037</t>
  </si>
  <si>
    <t>1 Photoshop CS5 Podstawy</t>
  </si>
  <si>
    <t>PW036</t>
  </si>
  <si>
    <t>Inkscape. Zabawa z grafiką</t>
  </si>
  <si>
    <t>PW035</t>
  </si>
  <si>
    <t>4 GIMP Narzędzia</t>
  </si>
  <si>
    <t>PW034</t>
  </si>
  <si>
    <t>3 GIMP Sztuczki</t>
  </si>
  <si>
    <t>PW033</t>
  </si>
  <si>
    <t>2 GIMP Operacje</t>
  </si>
  <si>
    <t>PW032</t>
  </si>
  <si>
    <t>3 Ebooki Calibre</t>
  </si>
  <si>
    <t>PW030</t>
  </si>
  <si>
    <t>2 Ebooki Multimedia</t>
  </si>
  <si>
    <t>PW029</t>
  </si>
  <si>
    <t>1 Ebooki wszystko o</t>
  </si>
  <si>
    <t>PW028</t>
  </si>
  <si>
    <t>2 Domowa sieć. Udostępniamy</t>
  </si>
  <si>
    <t>PW027</t>
  </si>
  <si>
    <t>1 Domowa sieć - Tworzymy sieć</t>
  </si>
  <si>
    <t>PW026</t>
  </si>
  <si>
    <t>3 Word Spisy Bibliografie i Indeksy</t>
  </si>
  <si>
    <t>PW025</t>
  </si>
  <si>
    <t>2 Word Profesjonalny dokument w kilka kliknięć</t>
  </si>
  <si>
    <t>PW024</t>
  </si>
  <si>
    <t>1 Word 2013 Co nowego</t>
  </si>
  <si>
    <t>PW023</t>
  </si>
  <si>
    <t>Prezentacje Tips and Tricks</t>
  </si>
  <si>
    <t>PW022</t>
  </si>
  <si>
    <t>4 PowerPoint Pokaz slajdów</t>
  </si>
  <si>
    <t>PW021</t>
  </si>
  <si>
    <t>3 PowerPoint wykresy</t>
  </si>
  <si>
    <t>PW020</t>
  </si>
  <si>
    <t>CoreEditor 2014 Professional</t>
  </si>
  <si>
    <t>PRG01</t>
  </si>
  <si>
    <t>2014-08-22</t>
  </si>
  <si>
    <t>2 PowerPoint Tworzymy prezentacje</t>
  </si>
  <si>
    <t>PW019</t>
  </si>
  <si>
    <t>OpenOffice Podstawy</t>
  </si>
  <si>
    <t>PW017</t>
  </si>
  <si>
    <t>5 Excel wykresy</t>
  </si>
  <si>
    <t>PW016</t>
  </si>
  <si>
    <t>4 Excel formatowanie i tabele</t>
  </si>
  <si>
    <t>PW015</t>
  </si>
  <si>
    <t>3 Excel formuly i funkcje</t>
  </si>
  <si>
    <t>PW014</t>
  </si>
  <si>
    <t>2 Excel Dane</t>
  </si>
  <si>
    <t>PW013</t>
  </si>
  <si>
    <t>1 Excel podstawy</t>
  </si>
  <si>
    <t>PW012</t>
  </si>
  <si>
    <t>Biurowe - Adobe Reader</t>
  </si>
  <si>
    <t>PW011</t>
  </si>
  <si>
    <t>TrueCrypt sejf na dane</t>
  </si>
  <si>
    <t>PW010</t>
  </si>
  <si>
    <t>Prywatność w serwisach społecznościowych</t>
  </si>
  <si>
    <t>PW009</t>
  </si>
  <si>
    <t>LastPass. Bezpieczne hasła</t>
  </si>
  <si>
    <t>PW008</t>
  </si>
  <si>
    <t>Bezpieczny smartfon i tablet</t>
  </si>
  <si>
    <t>PW007</t>
  </si>
  <si>
    <t>Bezpieczne hasła</t>
  </si>
  <si>
    <t>PW006</t>
  </si>
  <si>
    <t>E-mail bez zagrożeń</t>
  </si>
  <si>
    <t>PW005</t>
  </si>
  <si>
    <t>Bezpieczne zakupy w sieci</t>
  </si>
  <si>
    <t>PW004</t>
  </si>
  <si>
    <t>Bezpiecznie online</t>
  </si>
  <si>
    <t>PW003</t>
  </si>
  <si>
    <t>Bezpieczne dane</t>
  </si>
  <si>
    <t>PW002</t>
  </si>
  <si>
    <t>Największe zagrożenia</t>
  </si>
  <si>
    <t>PW001</t>
  </si>
  <si>
    <t>G Data InternetSecurity 2015 - licencja na rok</t>
  </si>
  <si>
    <t>PRG10</t>
  </si>
  <si>
    <t>2014-08-21</t>
  </si>
  <si>
    <t>Pakiet Encyklopedii PWN Kultura</t>
  </si>
  <si>
    <t>PRG09</t>
  </si>
  <si>
    <t>2014-08-20</t>
  </si>
  <si>
    <t>Na południe od Sahary - Encyklopedia PWN Kultura cz. 1</t>
  </si>
  <si>
    <t>PRG06</t>
  </si>
  <si>
    <t>2014-08-19</t>
  </si>
  <si>
    <t>Cywilizacje Dalekiego Wschodu - Encyklopedia PWN Kultura cz. 2</t>
  </si>
  <si>
    <t>PRG03</t>
  </si>
  <si>
    <t>2014-08-18</t>
  </si>
  <si>
    <t>Przedłużenie na 12 miesięcy i Niezbędnik na rok</t>
  </si>
  <si>
    <t>PPM11</t>
  </si>
  <si>
    <t>e-prenumerata, przedłużenie, prenumerata</t>
  </si>
  <si>
    <t>Cywilizacja indyjska - Encyklopedia PWN Kultura cz. 3</t>
  </si>
  <si>
    <t>PRG02</t>
  </si>
  <si>
    <t>2014-08-17</t>
  </si>
  <si>
    <t>Cywilizacje obu Ameryk- Encyklopedia PWN Kultura cz. 4</t>
  </si>
  <si>
    <t>PRG05</t>
  </si>
  <si>
    <t>2014-08-16</t>
  </si>
  <si>
    <t>W kręgu islamu - Encyklopedia PWN Kultura cz. 5</t>
  </si>
  <si>
    <t>PRG08</t>
  </si>
  <si>
    <t>2014-08-15</t>
  </si>
  <si>
    <t>Cywilizacje Europejczyków - Encyklopedia PWN Kultura cz. 6</t>
  </si>
  <si>
    <t>PRG04</t>
  </si>
  <si>
    <t>2014-08-14</t>
  </si>
  <si>
    <t>Świat Starożytny: Encyklopedia PWN Kultura cz. 7</t>
  </si>
  <si>
    <t>PRG07</t>
  </si>
  <si>
    <t>2014-08-13</t>
  </si>
  <si>
    <t>Przedłużenie na 12 miesięcy</t>
  </si>
  <si>
    <t>PPM09</t>
  </si>
  <si>
    <t>2014-08-11</t>
  </si>
  <si>
    <t>KŚ 8/2014</t>
  </si>
  <si>
    <t>KS375</t>
  </si>
  <si>
    <t>2014-07-07</t>
  </si>
  <si>
    <t>Niezbędnik 3/2014</t>
  </si>
  <si>
    <t>KN074</t>
  </si>
  <si>
    <t>2014-06-18</t>
  </si>
  <si>
    <t>muzyka kopiowanie DVD nagrywanie CD DVD blu-ray YouTube odzyskiwanie danych</t>
  </si>
  <si>
    <t>eHOME - nowe technologie w domu</t>
  </si>
  <si>
    <t>PRM31</t>
  </si>
  <si>
    <t>2014-06-13</t>
  </si>
  <si>
    <t>e-home inteligentny dom elektronika</t>
  </si>
  <si>
    <t>Biblioteczka 2/2014</t>
  </si>
  <si>
    <t>KB078</t>
  </si>
  <si>
    <t>2014-06-11</t>
  </si>
  <si>
    <t>Microsoft Office PowerPoint prezentacje szablon pakiet biurowy biuro</t>
  </si>
  <si>
    <t>KŚ 7/2014</t>
  </si>
  <si>
    <t>KS374</t>
  </si>
  <si>
    <t>2014-06-02</t>
  </si>
  <si>
    <t>Tutorial do WinRAR</t>
  </si>
  <si>
    <t>PRM30</t>
  </si>
  <si>
    <t>2014-05-19</t>
  </si>
  <si>
    <t>Tutorial do WinRAR kompresja dekompresja archiwa</t>
  </si>
  <si>
    <t>Tutorial do Skype</t>
  </si>
  <si>
    <t>PRM29</t>
  </si>
  <si>
    <t>Tutorial do Skype VoiP komunikator</t>
  </si>
  <si>
    <t>Tutorial do Mozilla Thunderbird</t>
  </si>
  <si>
    <t>PRM28</t>
  </si>
  <si>
    <t>Tutorial do Mozilla Thunderbird program pocztowy e-mail IMAP</t>
  </si>
  <si>
    <t>Tutorial do LastPass</t>
  </si>
  <si>
    <t>PRM27</t>
  </si>
  <si>
    <t>Tutorial do LastPass hasła menedżer generator</t>
  </si>
  <si>
    <t>Tutorial do Płyty Ratunkowej</t>
  </si>
  <si>
    <t>PRM26</t>
  </si>
  <si>
    <t>tutorial płyta ratunkowa naprawa komputera Windows</t>
  </si>
  <si>
    <t>Pakiet Zdjęcia i grafika</t>
  </si>
  <si>
    <t>SP006</t>
  </si>
  <si>
    <t>2014-05-09</t>
  </si>
  <si>
    <t>Ekspert Biblioteczka 1/2012</t>
  </si>
  <si>
    <t>KE121</t>
  </si>
  <si>
    <t>2014-05-05</t>
  </si>
  <si>
    <t>Photoshop CS5 edycja grafiki program graficzny retusz</t>
  </si>
  <si>
    <t>KŚ 6/2014</t>
  </si>
  <si>
    <t>KS373</t>
  </si>
  <si>
    <t>Niezbędnik 2/2014</t>
  </si>
  <si>
    <t>KN073</t>
  </si>
  <si>
    <t>2014-04-16</t>
  </si>
  <si>
    <t>optymalizacja przyspieszanie tuning płyta ratunkowa MP3 rejestr Windows odzyskiwanie haseł</t>
  </si>
  <si>
    <t>KŚ 5/2014</t>
  </si>
  <si>
    <t>KS372</t>
  </si>
  <si>
    <t>2014-04-07</t>
  </si>
  <si>
    <t>Supertest Galaxy S5</t>
  </si>
  <si>
    <t>SP005</t>
  </si>
  <si>
    <t>2014-03-28</t>
  </si>
  <si>
    <t>Biblioteczka 1/2014</t>
  </si>
  <si>
    <t>KB077</t>
  </si>
  <si>
    <t>2014-03-19</t>
  </si>
  <si>
    <t>Microsoft Office Excel arkusz kalkulacyjny formuły wykresy obliczenia pakiet biurowy biuro</t>
  </si>
  <si>
    <t>3-miesięczna e-prenumerata Komputer Świata</t>
  </si>
  <si>
    <t>PPM03</t>
  </si>
  <si>
    <t>2014-03-18</t>
  </si>
  <si>
    <t>6-miesięczna e-prenumerata Komputer Świata</t>
  </si>
  <si>
    <t>PMM01</t>
  </si>
  <si>
    <t>e-prenumerata, półroczna, prenumerata</t>
  </si>
  <si>
    <t>Tutorial do Audacity</t>
  </si>
  <si>
    <t>PRM21</t>
  </si>
  <si>
    <t>2014-03-14</t>
  </si>
  <si>
    <t>Tutorial do Audacity edycja dźwięku MP3 WAV</t>
  </si>
  <si>
    <t>Tutorial do GameMaker Studio</t>
  </si>
  <si>
    <t>PRM25</t>
  </si>
  <si>
    <t>Tutorial do GameMaker Studio gry</t>
  </si>
  <si>
    <t>Tutorial do GIMP-a</t>
  </si>
  <si>
    <t>PRM24</t>
  </si>
  <si>
    <t>Tutorial do GIMP grafika edytor retusz rastrowa</t>
  </si>
  <si>
    <t>Tutorial do Calibre</t>
  </si>
  <si>
    <t>PRM23</t>
  </si>
  <si>
    <t>Tutorial do Calibre e-booki czytnik</t>
  </si>
  <si>
    <t>Tutorial do OpenOffice</t>
  </si>
  <si>
    <t>PRM22</t>
  </si>
  <si>
    <t>Tutorial do OpenOffice pakiet biurowy biuro</t>
  </si>
  <si>
    <t>Półroczna e-prenumerata Niezbędnika</t>
  </si>
  <si>
    <t>PPM05</t>
  </si>
  <si>
    <t>2014-03-13</t>
  </si>
  <si>
    <t>Roczna e-prenumerata Niezbędnika</t>
  </si>
  <si>
    <t>PPM04</t>
  </si>
  <si>
    <t>Pakiet 15 tutoriali Premium</t>
  </si>
  <si>
    <t>PRM20</t>
  </si>
  <si>
    <t>2014-03-12</t>
  </si>
  <si>
    <t>Technologie w autach dla Onet</t>
  </si>
  <si>
    <t>PRM19</t>
  </si>
  <si>
    <t>2014-03-06</t>
  </si>
  <si>
    <t>KŚ 4/2014</t>
  </si>
  <si>
    <t>KS371</t>
  </si>
  <si>
    <t>2014-03-03</t>
  </si>
  <si>
    <t>Niezbędnik 1/2014</t>
  </si>
  <si>
    <t>KN072</t>
  </si>
  <si>
    <t>2014-02-19</t>
  </si>
  <si>
    <t>optymalizacja przyspieszanie tuning rejestr Windows encyklopedia pokaz slajdów konwersja hasła</t>
  </si>
  <si>
    <t>KŚ 3/2014</t>
  </si>
  <si>
    <t>KS370</t>
  </si>
  <si>
    <t>2014-02-03</t>
  </si>
  <si>
    <t>Technologie w samochodach</t>
  </si>
  <si>
    <t>PRM18</t>
  </si>
  <si>
    <t>2014-01-31</t>
  </si>
  <si>
    <t>motoryzacja</t>
  </si>
  <si>
    <t>KŚ 2/2014</t>
  </si>
  <si>
    <t>KS369</t>
  </si>
  <si>
    <t>2014-01-07</t>
  </si>
  <si>
    <t>Pakiet 10 poradników Premium</t>
  </si>
  <si>
    <t>PRM17</t>
  </si>
  <si>
    <t>2013-12-20</t>
  </si>
  <si>
    <t>Tutorial do VLC media player</t>
  </si>
  <si>
    <t>PRM16</t>
  </si>
  <si>
    <t>2013-12-19</t>
  </si>
  <si>
    <t>Tutorial do VLC media player odtwarzacz filmy odtwarzanie</t>
  </si>
  <si>
    <t>Tutorial do TrueCrypt</t>
  </si>
  <si>
    <t>PRM15</t>
  </si>
  <si>
    <t>Tutorial do TrueCrypt szyfrowanie dysk HDD</t>
  </si>
  <si>
    <t>Tutorial do Picasa</t>
  </si>
  <si>
    <t>PRM14</t>
  </si>
  <si>
    <t>Tutorial do Picasa przeglądarka zdjęcia cyfrowe katalogowanie udostępnianie</t>
  </si>
  <si>
    <t>Tutorial do EaseUS Partition Master</t>
  </si>
  <si>
    <t>PRM13</t>
  </si>
  <si>
    <t>Tutorial do EaseUS Partition Master dysk partycje</t>
  </si>
  <si>
    <t>Tutorial do avast! Free Antivirus</t>
  </si>
  <si>
    <t>PRM12</t>
  </si>
  <si>
    <t>Tutorial do avast! Free Antivirus program antywirusowy wirus malware</t>
  </si>
  <si>
    <t>Niezbędnik 6/2013</t>
  </si>
  <si>
    <t>KN071</t>
  </si>
  <si>
    <t>2013-12-18</t>
  </si>
  <si>
    <t>Biblioteczka 3/2013</t>
  </si>
  <si>
    <t>KB076</t>
  </si>
  <si>
    <t>2013-12-17</t>
  </si>
  <si>
    <t>optymalizacja przyspieszanie Windows komputer pecet tuning RAM karta graficzna Wi-Fi rozbudowa modernizacja</t>
  </si>
  <si>
    <t>Testy 2013</t>
  </si>
  <si>
    <t>PRM11</t>
  </si>
  <si>
    <t>2013-12-02</t>
  </si>
  <si>
    <t>KŚ 1/2014</t>
  </si>
  <si>
    <t>KS368</t>
  </si>
  <si>
    <t>Tutorial do XBMC</t>
  </si>
  <si>
    <t>PRM10</t>
  </si>
  <si>
    <t>2013-11-15</t>
  </si>
  <si>
    <t>Tutorial do XBMC film odtwarzacz multimedia</t>
  </si>
  <si>
    <t>Tutorial do Total Commandera</t>
  </si>
  <si>
    <t>PRM09</t>
  </si>
  <si>
    <t>Tutorial do Total Commander menedżer plików</t>
  </si>
  <si>
    <t>Tutorial do Inkscape</t>
  </si>
  <si>
    <t>PRM08</t>
  </si>
  <si>
    <t>Tutorial do Inkscape grafika wektorowa</t>
  </si>
  <si>
    <t>Tutorial do Google Chrome</t>
  </si>
  <si>
    <t>PRM07</t>
  </si>
  <si>
    <t>Tutorial do Google Chrome przeglądarka</t>
  </si>
  <si>
    <t>Tutorial do Adobe Reader</t>
  </si>
  <si>
    <t>PRM06</t>
  </si>
  <si>
    <t>Tutorial do Adobe Reader PDF przeglądanie</t>
  </si>
  <si>
    <t>KŚ Promocja 3/2013</t>
  </si>
  <si>
    <t>EP003</t>
  </si>
  <si>
    <t>2013-11-04</t>
  </si>
  <si>
    <t>Pakiet testów Premium</t>
  </si>
  <si>
    <t>SP004</t>
  </si>
  <si>
    <t>KŚ 12/2013</t>
  </si>
  <si>
    <t>KS367</t>
  </si>
  <si>
    <t>Niezbędnik 5/2013</t>
  </si>
  <si>
    <t>KN070</t>
  </si>
  <si>
    <t>2013-10-23</t>
  </si>
  <si>
    <t>KŚ 11/2013</t>
  </si>
  <si>
    <t>KS366</t>
  </si>
  <si>
    <t>2013-10-07</t>
  </si>
  <si>
    <t>Test słuchawek nausznych Hi-fi</t>
  </si>
  <si>
    <t>PRM03</t>
  </si>
  <si>
    <t>2013-10-03</t>
  </si>
  <si>
    <t>muzyka słuchawki test</t>
  </si>
  <si>
    <t>Biblioteczka 2/2013</t>
  </si>
  <si>
    <t>KB075</t>
  </si>
  <si>
    <t>2013-09-11</t>
  </si>
  <si>
    <t>prywatność G DATA bezpieczeństwo anonimowość wirusy spam malware haker zabezpieczenia backup</t>
  </si>
  <si>
    <t>KŚ 10/2013</t>
  </si>
  <si>
    <t>KS365</t>
  </si>
  <si>
    <t>2013-09-02</t>
  </si>
  <si>
    <t>Udane zdjęcia - dla Czytelników KŚ 10/13</t>
  </si>
  <si>
    <t>PRM05</t>
  </si>
  <si>
    <t>2013-08-30</t>
  </si>
  <si>
    <t>Test tanich monitorów 24-calowych</t>
  </si>
  <si>
    <t>PRM02</t>
  </si>
  <si>
    <t>2013-08-23</t>
  </si>
  <si>
    <t>E-wydanie do gry DiRT Showdown</t>
  </si>
  <si>
    <t>SE005</t>
  </si>
  <si>
    <t>2013-08-21</t>
  </si>
  <si>
    <t>Niezbędnik 4/2013</t>
  </si>
  <si>
    <t>KN069</t>
  </si>
  <si>
    <t>Test i poradnik: Udane zdjęcia</t>
  </si>
  <si>
    <t>PRM04</t>
  </si>
  <si>
    <t>2013-08-13</t>
  </si>
  <si>
    <t>KŚ 9/2013</t>
  </si>
  <si>
    <t>KS364</t>
  </si>
  <si>
    <t>2013-08-05</t>
  </si>
  <si>
    <t>Test dysków SSD</t>
  </si>
  <si>
    <t>PRM01</t>
  </si>
  <si>
    <t>2013-08-02</t>
  </si>
  <si>
    <t>dysk twardy HDD SSD test</t>
  </si>
  <si>
    <t>Pakiet Optymalizatorów</t>
  </si>
  <si>
    <t>SP003</t>
  </si>
  <si>
    <t>2013-08-01</t>
  </si>
  <si>
    <t>E-wydanie do gry DiRT 3</t>
  </si>
  <si>
    <t>SE004</t>
  </si>
  <si>
    <t>2013-07-31</t>
  </si>
  <si>
    <t>E-wydanie do gry DiRT 2</t>
  </si>
  <si>
    <t>SE003</t>
  </si>
  <si>
    <t>KŚ Promocja 2/2013</t>
  </si>
  <si>
    <t>EP002</t>
  </si>
  <si>
    <t>2013-07-26</t>
  </si>
  <si>
    <t>Pakiet Niezbędników</t>
  </si>
  <si>
    <t>SP002</t>
  </si>
  <si>
    <t>E-wydanie do gry GRID 2</t>
  </si>
  <si>
    <t>SE002</t>
  </si>
  <si>
    <t>2013-07-19</t>
  </si>
  <si>
    <t>E-wydanie do gry GRID</t>
  </si>
  <si>
    <t>SE001</t>
  </si>
  <si>
    <t>Pakiet Fotografa</t>
  </si>
  <si>
    <t>SP001</t>
  </si>
  <si>
    <t>2013-07-11</t>
  </si>
  <si>
    <t>KŚ 8/2013</t>
  </si>
  <si>
    <t>KS363</t>
  </si>
  <si>
    <t>2013-07-01</t>
  </si>
  <si>
    <t>Niezbędnik 3/2013</t>
  </si>
  <si>
    <t>KN068</t>
  </si>
  <si>
    <t>2013-06-19</t>
  </si>
  <si>
    <t>KŚ 7/2013</t>
  </si>
  <si>
    <t>KS362</t>
  </si>
  <si>
    <t>2013-06-03</t>
  </si>
  <si>
    <t>Biblioteczka 1/2013</t>
  </si>
  <si>
    <t>KB074</t>
  </si>
  <si>
    <t>2013-05-29</t>
  </si>
  <si>
    <t>Windows 8 ustawienia konfiguracja obsługa instalacja optymalizacja</t>
  </si>
  <si>
    <t>Prezentacja KŚ</t>
  </si>
  <si>
    <t>PR001</t>
  </si>
  <si>
    <t>2013-05-13</t>
  </si>
  <si>
    <t>KŚ GRY Megahity 2/2013</t>
  </si>
  <si>
    <t>EG002</t>
  </si>
  <si>
    <t>2013-05-10</t>
  </si>
  <si>
    <t>KŚ 6/2013</t>
  </si>
  <si>
    <t>KS361</t>
  </si>
  <si>
    <t>2013-05-06</t>
  </si>
  <si>
    <t>KŚ Promocja 1/2013</t>
  </si>
  <si>
    <t>EP001</t>
  </si>
  <si>
    <t>2013-04-26</t>
  </si>
  <si>
    <t>KŚ GRY Megahity 1/2013</t>
  </si>
  <si>
    <t>EG001</t>
  </si>
  <si>
    <t>2013-04-19</t>
  </si>
  <si>
    <t>Niezbędnik 2/2013</t>
  </si>
  <si>
    <t>KN067</t>
  </si>
  <si>
    <t>2013-04-17</t>
  </si>
  <si>
    <t>KŚ 5/2013</t>
  </si>
  <si>
    <t>KS360</t>
  </si>
  <si>
    <t>2013-04-02</t>
  </si>
  <si>
    <t>KŚ 4/2013</t>
  </si>
  <si>
    <t>KS359</t>
  </si>
  <si>
    <t>2013-03-04</t>
  </si>
  <si>
    <t>Niezbędnik 1/2013</t>
  </si>
  <si>
    <t>KN066</t>
  </si>
  <si>
    <t>2013-02-13</t>
  </si>
  <si>
    <t>KŚ 3/2013</t>
  </si>
  <si>
    <t>KS358</t>
  </si>
  <si>
    <t>2013-02-04</t>
  </si>
  <si>
    <t>KŚ 2/2013</t>
  </si>
  <si>
    <t>KS357</t>
  </si>
  <si>
    <t>2013-01-07</t>
  </si>
  <si>
    <t>Niezbędnik 6/2012</t>
  </si>
  <si>
    <t>KN065</t>
  </si>
  <si>
    <t>2012-12-19</t>
  </si>
  <si>
    <t>KŚ 1/2013</t>
  </si>
  <si>
    <t>KS356</t>
  </si>
  <si>
    <t>2012-12-03</t>
  </si>
  <si>
    <t>Biblioteczka 5/2012</t>
  </si>
  <si>
    <t>KB073</t>
  </si>
  <si>
    <t>2012-11-15</t>
  </si>
  <si>
    <t>GIMP edycja grafiki obróbka edytor malowanie retusz</t>
  </si>
  <si>
    <t>KŚ 12/2012</t>
  </si>
  <si>
    <t>KS355</t>
  </si>
  <si>
    <t>2012-11-05</t>
  </si>
  <si>
    <t>Niezbędnik 5/2012</t>
  </si>
  <si>
    <t>KN064</t>
  </si>
  <si>
    <t>2012-10-17</t>
  </si>
  <si>
    <t>KŚ 11/2012</t>
  </si>
  <si>
    <t>KS354</t>
  </si>
  <si>
    <t>2012-10-01</t>
  </si>
  <si>
    <t>Niezbędnik Extra 3/2012</t>
  </si>
  <si>
    <t>KX023</t>
  </si>
  <si>
    <t>2012-09-19</t>
  </si>
  <si>
    <t>KŚ 10/2012</t>
  </si>
  <si>
    <t>KS353</t>
  </si>
  <si>
    <t>2012-09-03</t>
  </si>
  <si>
    <t>Biblioteczka 4/2012</t>
  </si>
  <si>
    <t>KB072</t>
  </si>
  <si>
    <t>2012-08-29</t>
  </si>
  <si>
    <t>naprawa komputera płyta ratunkowa usterki</t>
  </si>
  <si>
    <t>Niezbędnik 4/2012</t>
  </si>
  <si>
    <t>KN063</t>
  </si>
  <si>
    <t>2012-08-22</t>
  </si>
  <si>
    <t>GRY 5/2012</t>
  </si>
  <si>
    <t>KG125</t>
  </si>
  <si>
    <t>2012-08-14</t>
  </si>
  <si>
    <t>KŚ 9/2012</t>
  </si>
  <si>
    <t>KS352</t>
  </si>
  <si>
    <t>2012-08-06</t>
  </si>
  <si>
    <t>Biblioteczka 3/2012</t>
  </si>
  <si>
    <t>KB071</t>
  </si>
  <si>
    <t>2012-07-11</t>
  </si>
  <si>
    <t>sieć Wi-Fi ethernet router konfiguracja LAN</t>
  </si>
  <si>
    <t>KŚ 8/2012</t>
  </si>
  <si>
    <t>KS351</t>
  </si>
  <si>
    <t>2012-07-02</t>
  </si>
  <si>
    <t>Niezbędnik 3/2012</t>
  </si>
  <si>
    <t>KN062</t>
  </si>
  <si>
    <t>2012-06-20</t>
  </si>
  <si>
    <t>GRY 4/2012</t>
  </si>
  <si>
    <t>KG124</t>
  </si>
  <si>
    <t>2012-06-12</t>
  </si>
  <si>
    <t>KŚ 7/2012</t>
  </si>
  <si>
    <t>KS350</t>
  </si>
  <si>
    <t>2012-06-04</t>
  </si>
  <si>
    <t>Niezbędnik Extra 2/2012</t>
  </si>
  <si>
    <t>KX22</t>
  </si>
  <si>
    <t>2012-05-23</t>
  </si>
  <si>
    <t>Biblioteczka 2/2012</t>
  </si>
  <si>
    <t>KB070</t>
  </si>
  <si>
    <t>2012-04-11</t>
  </si>
  <si>
    <t>ściąganie plików pobieranie download torrent BitTorrent eMule peer-2-peer p2p p2m peer-2-mail p2mail</t>
  </si>
  <si>
    <t>KŚ Instrukcja Obsługi 1/2012</t>
  </si>
  <si>
    <t>IO121</t>
  </si>
  <si>
    <t>2012-03-28</t>
  </si>
  <si>
    <t>aparat cyfrowy fotografia lustrzanka  zdjęcia</t>
  </si>
  <si>
    <t>Biblioteczka 1/2012</t>
  </si>
  <si>
    <t>KB069</t>
  </si>
  <si>
    <t>2012-02-08</t>
  </si>
  <si>
    <t>zakupy</t>
  </si>
  <si>
    <t>Biblioteczka 6/2011</t>
  </si>
  <si>
    <t>KB068</t>
  </si>
  <si>
    <t>2011-12-14</t>
  </si>
  <si>
    <t>Windows XP 7 triki wskazówki porady optymalizacja upiększanie tuning</t>
  </si>
  <si>
    <t>Ekspert Biblioteczka 6/2011</t>
  </si>
  <si>
    <t>KE116</t>
  </si>
  <si>
    <t>2011-11-29</t>
  </si>
  <si>
    <t>KŚ Szkoła Fotografowania 4/2011</t>
  </si>
  <si>
    <t>SF114</t>
  </si>
  <si>
    <t>2011-11-14</t>
  </si>
  <si>
    <t>fotografia cyfrowa zdjęcia fotografowanie wyzwania</t>
  </si>
  <si>
    <t>KŚ Szkoła Fotografowania 3/2011</t>
  </si>
  <si>
    <t>SF113</t>
  </si>
  <si>
    <t>2011-09-14</t>
  </si>
  <si>
    <t>fotografia cyfrowa zdjęcia fotografowanie w ruchu sport</t>
  </si>
  <si>
    <t>KŚ Szkoła Fotografowania 2/2011</t>
  </si>
  <si>
    <t>SF112</t>
  </si>
  <si>
    <t>2011-06-07</t>
  </si>
  <si>
    <t>fotografia cyfrowa zdjęcia fotografowanie zwierzęta natura pejzaże krajobrazy makro</t>
  </si>
  <si>
    <t>KŚ Szkoła Fotografowania 1/2011</t>
  </si>
  <si>
    <t>SF111</t>
  </si>
  <si>
    <t>2011-03-16</t>
  </si>
  <si>
    <t>fotografia cyfrowa zdjęcia fotografowanie portretowe ludzie</t>
  </si>
  <si>
    <t>Biblioteczka 2/2011</t>
  </si>
  <si>
    <t>KB064</t>
  </si>
  <si>
    <t>2011-03-01</t>
  </si>
  <si>
    <t>Biblioteczka 1/2011</t>
  </si>
  <si>
    <t>KB063</t>
  </si>
  <si>
    <t>2011-02-09</t>
  </si>
  <si>
    <t>Biblioteczka EXTRA 4/2010</t>
  </si>
  <si>
    <t>2010-12-10</t>
  </si>
  <si>
    <t>Biblioteczka 6/2010</t>
  </si>
  <si>
    <t>2010-12-01</t>
  </si>
  <si>
    <t>Biblioteczka 5/2010</t>
  </si>
  <si>
    <t>KB061</t>
  </si>
  <si>
    <t>2010-10-06</t>
  </si>
  <si>
    <t>Ekspert Biblioteczka 5/2010</t>
  </si>
  <si>
    <t>KE105</t>
  </si>
  <si>
    <t>2010-07-21</t>
  </si>
  <si>
    <t>Windows 7 instalacja konfiguracja optymalizacja ustawienia</t>
  </si>
  <si>
    <t>Biblioteczka 6/2009</t>
  </si>
  <si>
    <t>KB056</t>
  </si>
  <si>
    <t>2009-12-16</t>
  </si>
  <si>
    <t>Biblioteczka 5/2009</t>
  </si>
  <si>
    <t>2009-10-28</t>
  </si>
  <si>
    <t>Biblioteczka 5/2008</t>
  </si>
  <si>
    <t>KB050</t>
  </si>
  <si>
    <t>2008-12-08</t>
  </si>
  <si>
    <t>filmowanie film montaż nagrywanie</t>
  </si>
  <si>
    <t>Biblioteczka 4/2008</t>
  </si>
  <si>
    <t>KB049</t>
  </si>
  <si>
    <t>2008-09-01</t>
  </si>
  <si>
    <t>VoIP</t>
  </si>
  <si>
    <t>Bilbioteczka 4/2007</t>
  </si>
  <si>
    <t>KB044</t>
  </si>
  <si>
    <t>2007-09-26</t>
  </si>
  <si>
    <t>kurs Office 2007</t>
  </si>
  <si>
    <t>Biblioteczka 1/2007</t>
  </si>
  <si>
    <t>KB041</t>
  </si>
  <si>
    <t>2007-03-21</t>
  </si>
  <si>
    <t>Biblioteczka 4/2006</t>
  </si>
  <si>
    <t>KB039</t>
  </si>
  <si>
    <t>2006-10-01</t>
  </si>
  <si>
    <t>Biblioteczka 1/2005</t>
  </si>
  <si>
    <t>KB030</t>
  </si>
  <si>
    <t>2005-03-16</t>
  </si>
  <si>
    <t>programowanie C++</t>
  </si>
  <si>
    <t>Tytu│</t>
  </si>
  <si>
    <t>S│owa kluczowe</t>
  </si>
  <si>
    <t>Niezbŕdnik 6/2017</t>
  </si>
  <si>
    <t>Kî 1/2018</t>
  </si>
  <si>
    <t>Kî 12/2017</t>
  </si>
  <si>
    <t>Niezbŕdnik 5/2017</t>
  </si>
  <si>
    <t>Kî 11/2017</t>
  </si>
  <si>
    <t>Kî 10/2017</t>
  </si>
  <si>
    <t>Niezbŕdnik 4/2017</t>
  </si>
  <si>
    <t>Kî 9/2017</t>
  </si>
  <si>
    <t>Kî 8/2017</t>
  </si>
  <si>
    <t>Niezbŕdnik 3/2017</t>
  </si>
  <si>
    <t>Kî 7/2017</t>
  </si>
  <si>
    <t>Kî 6/2017</t>
  </si>
  <si>
    <t>Niezbŕdnik 2/2017</t>
  </si>
  <si>
    <t>Kî 5/2017</t>
  </si>
  <si>
    <t>Kî 4/2017</t>
  </si>
  <si>
    <t>Niezbŕdnik 1/2017</t>
  </si>
  <si>
    <t>Kî 3/2017</t>
  </si>
  <si>
    <t>Kî 2/2017</t>
  </si>
  <si>
    <t>Niezbŕdnik 6/2016</t>
  </si>
  <si>
    <t>Kî 1/2017</t>
  </si>
  <si>
    <t>Kî 12/2016</t>
  </si>
  <si>
    <t>Niezbŕdnik 5/2016</t>
  </si>
  <si>
    <t>Kî 11/2016</t>
  </si>
  <si>
    <t>Kî 10/2016</t>
  </si>
  <si>
    <t>Niezbŕdnik 4/2016</t>
  </si>
  <si>
    <t>Kî 9/2016</t>
  </si>
  <si>
    <t>Kî 8/2016</t>
  </si>
  <si>
    <t>Niezbŕdnik 3/2016</t>
  </si>
  <si>
    <t>Kî 7/2016</t>
  </si>
  <si>
    <t>Kî 6/2016</t>
  </si>
  <si>
    <t>Niezbŕdnik 2/2016</t>
  </si>
  <si>
    <t>Kî 5/2016</t>
  </si>
  <si>
    <t>Kî 4/2016</t>
  </si>
  <si>
    <t>Excel tabele przestawne wykresy formu│y funkcje zaawansowane</t>
  </si>
  <si>
    <t>Niezbŕdnik 1/2016</t>
  </si>
  <si>
    <t>pity 2015, zdalny dostŕp, szachy, PUP, usuwanie reklam</t>
  </si>
  <si>
    <t>Kî 3/2016</t>
  </si>
  <si>
    <t>netflix, drukarki, CES 2016, samsung gear s2, test smartfonˇw</t>
  </si>
  <si>
    <t>Kî 2/2016</t>
  </si>
  <si>
    <t>Niezbŕdnik 6/2015</t>
  </si>
  <si>
    <t>programy 2016 multimedia bezpiecze˝stwo internet biuro narzŕdzia grafika</t>
  </si>
  <si>
    <t>windows 10 wskazˇwki instalacja tips triki</t>
  </si>
  <si>
    <t>Kî 1/2016</t>
  </si>
  <si>
    <t>p│yta ratunkowa 2016, testy 2015, test tabletˇw, Pixlr, office 2016, minikomputery</t>
  </si>
  <si>
    <t>Komputer îwiat Special 1/2016 Przewodnik gracza. Wszystko o sprzŕcie</t>
  </si>
  <si>
    <t>Kî 12/2015</t>
  </si>
  <si>
    <t>tapety nagrywanie pulpitu benchmark lauchery testowanie projektor programowanie kickstarter G DATA dzielenie plikˇw deinstalacja ISO</t>
  </si>
  <si>
    <t>YouTube nagrywanie filmˇw publikacja monta┐</t>
  </si>
  <si>
    <t>Niezbŕdnik 5/2015</t>
  </si>
  <si>
    <t>obrˇbka zdjŕŠ edytor zarz╣dzanie bud┐etem radio monitorowanie sieci szpiegowanie optymalizacja Windows odzyskiwanie hase│ konwersja PDF</t>
  </si>
  <si>
    <t>Kî 11/2015</t>
  </si>
  <si>
    <t>telewizory OnePlus 2 zakup komputera test routerˇw Virtual Reality kurs Windows 10</t>
  </si>
  <si>
    <t>Kî 10/2015</t>
  </si>
  <si>
    <t>lektury G DATA ťci╣ganie plikˇw test smartfonˇw Windows 10 Gamescom streaming dron drukarka 3D obrˇbka zdjŕŠ tapety Star Wars pokaz slajdˇw kamery Wi-Fi animacje 3D PDF</t>
  </si>
  <si>
    <t>Niezbŕdnik 4/2015</t>
  </si>
  <si>
    <t>pakiet biurowy blokowanie reklam odzyskiwanie danych YouTube defragmentacja ukrywanie plikˇw Windows 10 kopia zapasowa antymalware szyfrowanie</t>
  </si>
  <si>
    <t>Kî 9/2015</t>
  </si>
  <si>
    <t>Dragon Ball Windows 10 internet LTE kamery akcji GoPro projektor programy biurowe G DATA Android mobilne czytniki e-bookˇw WhatsApp szpiegowanie s│uchawki g│oťniki kopia zapasowa</t>
  </si>
  <si>
    <t>îci╣gaj szybko i legalnie</t>
  </si>
  <si>
    <t>Kî 8/2015</t>
  </si>
  <si>
    <t>Linux Live tapety E3 Computex test dyskˇw SSD aparaty cyfrowe mobilne komunikatory Google Photos zakupy w Chinach animacje 2D odzyskiwanie danych retusz zdjŕŠ</t>
  </si>
  <si>
    <t>Niezbŕdnik 3/2015</t>
  </si>
  <si>
    <t>MMO malware antymalware sterowanie odtwarzacz wirtualny napŕd CD DVD geotagowanie diagnostyka testowanie odzyskiwanie hase│ synchronizacja danych Youtube zdjŕcia kamera nagrywanie prawo jazdy</t>
  </si>
  <si>
    <t>KlasaPLUS Ucze˝ nr 8</t>
  </si>
  <si>
    <t>Kî 7/2015</t>
  </si>
  <si>
    <t>NaviExpert MMO test telewizorˇw MacBook polskie smartfony Wiedčmin 3 Google Carboard aplikacje fitness nawigacja zgrywanie DVD G DATA przyspieszanie optymalizacja Windows defragmentacja audiobook ster</t>
  </si>
  <si>
    <t>Komputer îwiat Special 2/2015 Domowa sieŠ</t>
  </si>
  <si>
    <t>KlasaPLUS Ucze˝ nr 7</t>
  </si>
  <si>
    <t>Kî 6/2015</t>
  </si>
  <si>
    <t>Niezbŕdnik 2/2015</t>
  </si>
  <si>
    <t>darmowy antywirus przyspieszanie optymalizacja mened┐er plikˇw zarz╣dzanie nagrywanie gier odtwarzacz audio MP3 edycja muzyki kopia zapasowa nagrywanie p│yt</t>
  </si>
  <si>
    <t>prawo jazdy auto ťwiat motoryzacja</t>
  </si>
  <si>
    <t>Kî 5/2015</t>
  </si>
  <si>
    <t>Windows rejestr modyfikacja us│ugi ustawienia</t>
  </si>
  <si>
    <t>Pakiet ksi╣┐ek o fotografii</t>
  </si>
  <si>
    <t>Roczna e-prenumerata  Komputer îwiata + Wielkie testy 2014</t>
  </si>
  <si>
    <t>Zestaw ksi╣┐ek o Microsoft Office</t>
  </si>
  <si>
    <t>KlasaPLUS Ucze˝ nr 6</t>
  </si>
  <si>
    <t>Trenuj mˇzg z Neurogr╣</t>
  </si>
  <si>
    <t>neurogra mˇzg</t>
  </si>
  <si>
    <t>Kî 4/2015</t>
  </si>
  <si>
    <t>Niezbŕdnik 1/2015</t>
  </si>
  <si>
    <t>kompresja archiwum przegl╣darka zdjŕŠ czyszczenie systemu deinstalacja konwersja PDF nagrywanie p│yt odzyskiwanie danych karta pamiŕci kalendarze</t>
  </si>
  <si>
    <t>KlasaPLUS Ucze˝ nr 5</t>
  </si>
  <si>
    <t>Kî 3/2015</t>
  </si>
  <si>
    <t>KlasaPLUS Ucze˝ nr 4</t>
  </si>
  <si>
    <t>Kî 2/2015</t>
  </si>
  <si>
    <t>Niezbŕdnik 6/2014</t>
  </si>
  <si>
    <t>optymalizacja tuning przyspieszanie odzyskiwanie plikˇw pokaz slajdˇw</t>
  </si>
  <si>
    <t>Kî 1/2015</t>
  </si>
  <si>
    <t>KlasaPLUS Ucze˝ nr 3</t>
  </si>
  <si>
    <t>Bezpiecze˝stwo z G Data Internet Security</t>
  </si>
  <si>
    <t>Komputer îwiat Special 1/2015 Smartfony i Tablety</t>
  </si>
  <si>
    <t>Przed│u┐enie na 18 miesiŕcy</t>
  </si>
  <si>
    <t>Kî 12/2014</t>
  </si>
  <si>
    <t>12-miesiŕczna e-prenumerata i konto w Rapideo na 90 dni</t>
  </si>
  <si>
    <t>KlasaPLUS Ucze˝ nr 2</t>
  </si>
  <si>
    <t>Przed│u┐enie na 12 miesiŕcy + antywirus na rok</t>
  </si>
  <si>
    <t>e-prenumerata, roczna, prenumerata, gdata, g data, przed│u┐enie</t>
  </si>
  <si>
    <t>Przed│u┐enie na 12 miesiŕcy + 25 tutoriali</t>
  </si>
  <si>
    <t>e-prenumerata, roczna, prenumerata, przed│u┐enie</t>
  </si>
  <si>
    <t>12-miesiŕczna e-prenumerata i 25 tutoriali</t>
  </si>
  <si>
    <t>12-miesiŕczna e-prenumerata Kî i Niezbŕdnik na rok</t>
  </si>
  <si>
    <t>Przed│u┐enie na 18 miesiŕcy + 25 tutoriali</t>
  </si>
  <si>
    <t>18-miesiŕczna e-prenumerata + prezent</t>
  </si>
  <si>
    <t>Adobe Photoshop tutorial retusz edycja obrˇbka grafika rastrowa</t>
  </si>
  <si>
    <t>Tutorial Windows Movie Maker monta┐ filmy</t>
  </si>
  <si>
    <t>Tutorial Sony Movie Studio monta┐ filmy</t>
  </si>
  <si>
    <t>Tutorial Paint.NET retusz edycja obrˇbka grafika rastrowa</t>
  </si>
  <si>
    <t>Niezbŕdnik 5/2014</t>
  </si>
  <si>
    <t>edycja monta┐ filmˇw odzyskiwanie danych symulator webmastering edytor WWW outlook synchronizacja plikˇw</t>
  </si>
  <si>
    <t>12-miesiŕczna e-prenumerata + G Data Internet Security 2015</t>
  </si>
  <si>
    <t>Kî 11/2014</t>
  </si>
  <si>
    <t>KlasaPLUS Ucze˝ nr 1</t>
  </si>
  <si>
    <t>Kî 10/2014</t>
  </si>
  <si>
    <t>Roczna e-prenumerata Komputer îwiata</t>
  </si>
  <si>
    <t>Kî 9/2014</t>
  </si>
  <si>
    <t>Niezbŕdnik 4/2014</t>
  </si>
  <si>
    <t>sterowniki zdjŕcia cyfrowe edycja zdjŕŠ program pocztowy e-mail kopia zapasowa deinstalacja nagrywanie DVD</t>
  </si>
  <si>
    <t>Sprzŕt - Budowa komputera</t>
  </si>
  <si>
    <t>1 Programowanie w C++ - Wstŕp</t>
  </si>
  <si>
    <t>Sprzŕt - Pierwszy komputer dla ucznia</t>
  </si>
  <si>
    <t>Sprzŕt - Minikomputer Rasberry Pi</t>
  </si>
  <si>
    <t>Sprzŕt - Oszczŕdzanie pr╣du</t>
  </si>
  <si>
    <t>Sprzŕt - Ekrany dotykowe</t>
  </si>
  <si>
    <t>Sprzŕt - Dwa monitory</t>
  </si>
  <si>
    <t>Sprzŕt - Drukarki 3D</t>
  </si>
  <si>
    <t>Wiedza - Technologie przysz│oťci</t>
  </si>
  <si>
    <t>Sprzŕt - P│yta g│ˇwna</t>
  </si>
  <si>
    <t>Smartfony - ú╣cznoťŠ zbli┐eniowa NFC</t>
  </si>
  <si>
    <t>Partycje i systemy plikˇw</t>
  </si>
  <si>
    <t>Jak naprawiaŠ Windows</t>
  </si>
  <si>
    <t>Programowanie - Jak stworzyŠ grŕ</t>
  </si>
  <si>
    <t>Prawo i komputery - Wolno ťci╣gaŠ czy nie wolno?</t>
  </si>
  <si>
    <t>Prawo i komputery - Jak zarabiaj╣ gracze</t>
  </si>
  <si>
    <t>Prawo i komputery - OdpowiedzialnoťŠ admina</t>
  </si>
  <si>
    <t>Muzyka - Serwisy z muzyk╣</t>
  </si>
  <si>
    <t>Dane - Jak szukaŠ na dysku i w internecie</t>
  </si>
  <si>
    <t>Zdjecia - Jak robiŠ superzdjŕcia zim╣</t>
  </si>
  <si>
    <t>4 Photoshop CS5 Fotomonta┐</t>
  </si>
  <si>
    <t>Inkscape. Zabawa z grafik╣</t>
  </si>
  <si>
    <t>4 GIMP Narzŕdzia</t>
  </si>
  <si>
    <t>2 Domowa sieŠ. Udostŕpniamy</t>
  </si>
  <si>
    <t>1 Domowa sieŠ - Tworzymy sieŠ</t>
  </si>
  <si>
    <t>2 Word Profesjonalny dokument w kilka klikniŕŠ</t>
  </si>
  <si>
    <t>4 PowerPoint Pokaz slajdˇw</t>
  </si>
  <si>
    <t>PrywatnoťŠ w serwisach spo│ecznoťciowych</t>
  </si>
  <si>
    <t>LastPass. Bezpieczne has│a</t>
  </si>
  <si>
    <t>Bezpieczne has│a</t>
  </si>
  <si>
    <t>E-mail bez zagro┐e˝</t>
  </si>
  <si>
    <t>Najwiŕksze zagro┐enia</t>
  </si>
  <si>
    <t>Na po│udnie od Sahary - Encyklopedia PWN Kultura cz. 1</t>
  </si>
  <si>
    <t>Przed│u┐enie na 12 miesiŕcy i Niezbŕdnik na rok</t>
  </si>
  <si>
    <t>e-prenumerata, przed│u┐enie, prenumerata</t>
  </si>
  <si>
    <t>W krŕgu islamu - Encyklopedia PWN Kultura cz. 5</t>
  </si>
  <si>
    <t>Cywilizacje Europejczykˇw - Encyklopedia PWN Kultura cz. 6</t>
  </si>
  <si>
    <t>îwiat Staro┐ytny: Encyklopedia PWN Kultura cz. 7</t>
  </si>
  <si>
    <t>Przed│u┐enie na 12 miesiŕcy</t>
  </si>
  <si>
    <t>Kî 8/2014</t>
  </si>
  <si>
    <t>Niezbŕdnik 3/2014</t>
  </si>
  <si>
    <t>Kî 7/2014</t>
  </si>
  <si>
    <t>Tutorial do LastPass has│a mened┐er generator</t>
  </si>
  <si>
    <t>Tutorial do P│yty Ratunkowej</t>
  </si>
  <si>
    <t>tutorial p│yta ratunkowa naprawa komputera Windows</t>
  </si>
  <si>
    <t>Pakiet Zdjŕcia i grafika</t>
  </si>
  <si>
    <t>Kî 6/2014</t>
  </si>
  <si>
    <t>Niezbŕdnik 2/2014</t>
  </si>
  <si>
    <t>optymalizacja przyspieszanie tuning p│yta ratunkowa MP3 rejestr Windows odzyskiwanie hase│</t>
  </si>
  <si>
    <t>Kî 5/2014</t>
  </si>
  <si>
    <t>Microsoft Office Excel arkusz kalkulacyjny formu│y wykresy obliczenia pakiet biurowy biuro</t>
  </si>
  <si>
    <t>3-miesiŕczna e-prenumerata Komputer îwiata</t>
  </si>
  <si>
    <t>6-miesiŕczna e-prenumerata Komputer îwiata</t>
  </si>
  <si>
    <t>e-prenumerata, pˇ│roczna, prenumerata</t>
  </si>
  <si>
    <t>Tutorial do Audacity edycja dčwiŕku MP3 WAV</t>
  </si>
  <si>
    <t>Pˇ│roczna e-prenumerata Niezbŕdnika</t>
  </si>
  <si>
    <t>Roczna e-prenumerata Niezbŕdnika</t>
  </si>
  <si>
    <t>Kî 4/2014</t>
  </si>
  <si>
    <t>Niezbŕdnik 1/2014</t>
  </si>
  <si>
    <t>optymalizacja przyspieszanie tuning rejestr Windows encyklopedia pokaz slajdˇw konwersja has│a</t>
  </si>
  <si>
    <t>Kî 3/2014</t>
  </si>
  <si>
    <t>Kî 2/2014</t>
  </si>
  <si>
    <t>Pakiet 10 poradnikˇw Premium</t>
  </si>
  <si>
    <t>Tutorial do Picasa przegl╣darka zdjŕcia cyfrowe katalogowanie udostŕpnianie</t>
  </si>
  <si>
    <t>Niezbŕdnik 6/2013</t>
  </si>
  <si>
    <t>Kî 1/2014</t>
  </si>
  <si>
    <t>Tutorial do Total Commander mened┐er plikˇw</t>
  </si>
  <si>
    <t>Tutorial do Google Chrome przegl╣darka</t>
  </si>
  <si>
    <t>Tutorial do Adobe Reader PDF przegl╣danie</t>
  </si>
  <si>
    <t>Kî Promocja 3/2013</t>
  </si>
  <si>
    <t>Pakiet testˇw Premium</t>
  </si>
  <si>
    <t>Kî 12/2013</t>
  </si>
  <si>
    <t>Niezbŕdnik 5/2013</t>
  </si>
  <si>
    <t>Kî 11/2013</t>
  </si>
  <si>
    <t>Test s│uchawek nausznych Hi-fi</t>
  </si>
  <si>
    <t>muzyka s│uchawki test</t>
  </si>
  <si>
    <t>prywatnoťŠ G DATA bezpiecze˝stwo anonimowoťŠ wirusy spam malware haker zabezpieczenia backup</t>
  </si>
  <si>
    <t>Kî 10/2013</t>
  </si>
  <si>
    <t>Udane zdjŕcia - dla Czytelnikˇw Kî 10/13</t>
  </si>
  <si>
    <t>Test tanich monitorˇw 24-calowych</t>
  </si>
  <si>
    <t>Niezbŕdnik 4/2013</t>
  </si>
  <si>
    <t>Test i poradnik: Udane zdjŕcia</t>
  </si>
  <si>
    <t>Kî 9/2013</t>
  </si>
  <si>
    <t>Test dyskˇw SSD</t>
  </si>
  <si>
    <t>Pakiet Optymalizatorˇw</t>
  </si>
  <si>
    <t>Kî Promocja 2/2013</t>
  </si>
  <si>
    <t>Pakiet Niezbŕdnikˇw</t>
  </si>
  <si>
    <t>Kî 8/2013</t>
  </si>
  <si>
    <t>Niezbŕdnik 3/2013</t>
  </si>
  <si>
    <t>Kî 7/2013</t>
  </si>
  <si>
    <t>Windows 8 ustawienia konfiguracja obs│uga instalacja optymalizacja</t>
  </si>
  <si>
    <t>Prezentacja Kî</t>
  </si>
  <si>
    <t>Kî GRY Megahity 2/2013</t>
  </si>
  <si>
    <t>Kî 6/2013</t>
  </si>
  <si>
    <t>Kî Promocja 1/2013</t>
  </si>
  <si>
    <t>Kî GRY Megahity 1/2013</t>
  </si>
  <si>
    <t>Niezbŕdnik 2/2013</t>
  </si>
  <si>
    <t>Kî 5/2013</t>
  </si>
  <si>
    <t>Kî 4/2013</t>
  </si>
  <si>
    <t>Niezbŕdnik 1/2013</t>
  </si>
  <si>
    <t>Kî 3/2013</t>
  </si>
  <si>
    <t>Kî 2/2013</t>
  </si>
  <si>
    <t>Niezbŕdnik 6/2012</t>
  </si>
  <si>
    <t>Kî 1/2013</t>
  </si>
  <si>
    <t>GIMP edycja grafiki obrˇbka edytor malowanie retusz</t>
  </si>
  <si>
    <t>Kî 12/2012</t>
  </si>
  <si>
    <t>Niezbŕdnik 5/2012</t>
  </si>
  <si>
    <t>Kî 11/2012</t>
  </si>
  <si>
    <t>Niezbŕdnik Extra 3/2012</t>
  </si>
  <si>
    <t>Kî 10/2012</t>
  </si>
  <si>
    <t>naprawa komputera p│yta ratunkowa usterki</t>
  </si>
  <si>
    <t>Niezbŕdnik 4/2012</t>
  </si>
  <si>
    <t>Kî 9/2012</t>
  </si>
  <si>
    <t>sieŠ Wi-Fi ethernet router konfiguracja LAN</t>
  </si>
  <si>
    <t>Kî 8/2012</t>
  </si>
  <si>
    <t>Niezbŕdnik 3/2012</t>
  </si>
  <si>
    <t>Kî 7/2012</t>
  </si>
  <si>
    <t>Niezbŕdnik Extra 2/2012</t>
  </si>
  <si>
    <t>ťci╣ganie plikˇw pobieranie download torrent BitTorrent eMule peer-2-peer p2p p2m peer-2-mail p2mail</t>
  </si>
  <si>
    <t>Kî Instrukcja Obs│ugi 1/2012</t>
  </si>
  <si>
    <t>aparat cyfrowy fotografia lustrzanka  zdjŕcia</t>
  </si>
  <si>
    <t>Windows XP 7 triki wskazˇwki porady optymalizacja upiŕkszanie tuning</t>
  </si>
  <si>
    <t>Kî Szko│a Fotografowania 4/2011</t>
  </si>
  <si>
    <t>fotografia cyfrowa zdjŕcia fotografowanie wyzwania</t>
  </si>
  <si>
    <t>Kî Szko│a Fotografowania 3/2011</t>
  </si>
  <si>
    <t>fotografia cyfrowa zdjŕcia fotografowanie w ruchu sport</t>
  </si>
  <si>
    <t>Kî Szko│a Fotografowania 2/2011</t>
  </si>
  <si>
    <t>fotografia cyfrowa zdjŕcia fotografowanie zwierzŕta natura pejza┐e krajobrazy makro</t>
  </si>
  <si>
    <t>Kî Szko│a Fotografowania 1/2011</t>
  </si>
  <si>
    <t>fotografia cyfrowa zdjŕcia fotografowanie portretowe ludzie</t>
  </si>
  <si>
    <t>filmowanie film monta┐ nagrywanie</t>
  </si>
  <si>
    <t>Windows XP</t>
  </si>
  <si>
    <t>Windows Vista</t>
  </si>
  <si>
    <t>Miesiąc/
Sprzedawca</t>
  </si>
  <si>
    <t>Ryszard</t>
  </si>
  <si>
    <t>Tadeusz</t>
  </si>
  <si>
    <t>Styczeń</t>
  </si>
  <si>
    <t>Luty</t>
  </si>
  <si>
    <t>Marzec</t>
  </si>
  <si>
    <t>Kwiecień</t>
  </si>
  <si>
    <t>Spis arkuszy</t>
  </si>
  <si>
    <t>PierwszaWartość</t>
  </si>
  <si>
    <t>2Warunki</t>
  </si>
  <si>
    <t>Tekst zmieniony</t>
  </si>
  <si>
    <t>Teresa Eliza Hanna</t>
  </si>
  <si>
    <t>ŚREDNIA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</si>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</sst>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#,##0\ &quot;zł&quot;;[Red]\-#,##0\ &quot;zł&quot;"/>
    <numFmt numFmtId="8" formatCode="#,##0.00\ &quot;zł&quot;;[Red]\-#,##0.00\ &quot;zł&quot;"/>
    <numFmt numFmtId="164" formatCode="_(* #,##0.00_);_(* \(#,##0.00\);_(* &quot;-&quot;??_);_(@_)"/>
    <numFmt numFmtId="165" formatCode="&quot;$&quot;#,##0,"/>
    <numFmt numFmtId="166" formatCode="d\-mmm\-yyyy"/>
    <numFmt numFmtId="167" formatCode="0.0%"/>
    <numFmt numFmtId="168" formatCode="000\-000\-000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  <font>
      <b/>
      <sz val="14"/>
      <color theme="0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.5"/>
      <color rgb="FFFFFFFF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charset val="238"/>
      <scheme val="minor"/>
    </font>
    <font>
      <sz val="10.5"/>
      <color theme="1"/>
      <name val="Calibri"/>
      <family val="2"/>
      <charset val="238"/>
      <scheme val="minor"/>
    </font>
    <font>
      <sz val="10.5"/>
      <name val="Calibri"/>
      <family val="2"/>
      <charset val="238"/>
      <scheme val="minor"/>
    </font>
    <font>
      <sz val="10.5"/>
      <color rgb="FF000000"/>
      <name val="Segoe UI"/>
      <family val="2"/>
      <charset val="238"/>
    </font>
    <font>
      <sz val="10.5"/>
      <color rgb="FF008000"/>
      <name val="Segoe UI"/>
      <family val="2"/>
      <charset val="238"/>
    </font>
    <font>
      <sz val="10.5"/>
      <color rgb="FF808080"/>
      <name val="Segoe UI"/>
      <family val="2"/>
      <charset val="238"/>
    </font>
    <font>
      <sz val="10.5"/>
      <color rgb="FF0000FF"/>
      <name val="Segoe UI"/>
      <family val="2"/>
      <charset val="238"/>
    </font>
    <font>
      <b/>
      <sz val="10.5"/>
      <color theme="0"/>
      <name val="Segoe UI"/>
      <family val="2"/>
      <charset val="238"/>
    </font>
    <font>
      <sz val="10.5"/>
      <color theme="0"/>
      <name val="Calibri"/>
      <family val="2"/>
      <scheme val="minor"/>
    </font>
    <font>
      <sz val="10.5"/>
      <color theme="1"/>
      <name val="Czcionka tekstu podstawowego"/>
      <family val="2"/>
      <charset val="238"/>
    </font>
    <font>
      <b/>
      <sz val="10.5"/>
      <color theme="1"/>
      <name val="Calibri"/>
      <family val="2"/>
      <charset val="238"/>
      <scheme val="minor"/>
    </font>
    <font>
      <sz val="10.5"/>
      <color rgb="FF000000"/>
      <name val="Calibri"/>
      <family val="2"/>
      <charset val="238"/>
      <scheme val="minor"/>
    </font>
    <font>
      <sz val="10.5"/>
      <color theme="0"/>
      <name val="Calibri"/>
      <family val="2"/>
      <charset val="238"/>
      <scheme val="minor"/>
    </font>
    <font>
      <u/>
      <sz val="10.5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theme="9"/>
      </patternFill>
    </fill>
    <fill>
      <patternFill patternType="solid">
        <fgColor rgb="FF5FCE77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EA3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FF1D6"/>
        <bgColor rgb="FF000000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4">
    <xf numFmtId="0" fontId="0" fillId="0" borderId="0"/>
    <xf numFmtId="0" fontId="5" fillId="3" borderId="1">
      <alignment wrapText="1"/>
    </xf>
    <xf numFmtId="0" fontId="6" fillId="2" borderId="2" applyBorder="0">
      <alignment horizontal="centerContinuous" wrapText="1"/>
    </xf>
    <xf numFmtId="165" fontId="7" fillId="0" borderId="0"/>
    <xf numFmtId="166" fontId="8" fillId="0" borderId="0" applyFont="0" applyFill="0" applyBorder="0" applyProtection="0">
      <alignment horizontal="center"/>
    </xf>
    <xf numFmtId="0" fontId="9" fillId="0" borderId="0"/>
    <xf numFmtId="0" fontId="9" fillId="0" borderId="0">
      <alignment wrapText="1"/>
    </xf>
    <xf numFmtId="164" fontId="9" fillId="0" borderId="0" applyFont="0" applyFill="0" applyBorder="0" applyAlignment="0" applyProtection="0"/>
    <xf numFmtId="0" fontId="11" fillId="4" borderId="0" applyNumberFormat="0" applyBorder="0" applyAlignment="0" applyProtection="0"/>
    <xf numFmtId="0" fontId="4" fillId="0" borderId="0"/>
    <xf numFmtId="0" fontId="11" fillId="6" borderId="0" applyNumberFormat="0" applyBorder="0" applyAlignment="0" applyProtection="0"/>
    <xf numFmtId="0" fontId="3" fillId="0" borderId="0"/>
    <xf numFmtId="8" fontId="3" fillId="7" borderId="1" applyNumberFormat="0"/>
    <xf numFmtId="8" fontId="14" fillId="6" borderId="1" applyNumberFormat="0" applyAlignment="0"/>
    <xf numFmtId="0" fontId="15" fillId="0" borderId="0"/>
    <xf numFmtId="0" fontId="12" fillId="0" borderId="0"/>
    <xf numFmtId="0" fontId="10" fillId="5" borderId="1">
      <alignment horizontal="center" vertical="center"/>
    </xf>
    <xf numFmtId="0" fontId="18" fillId="0" borderId="0" applyNumberFormat="0" applyFill="0" applyBorder="0" applyAlignment="0" applyProtection="0"/>
    <xf numFmtId="8" fontId="14" fillId="6" borderId="1" applyNumberFormat="0"/>
    <xf numFmtId="8" fontId="2" fillId="5" borderId="1" applyFont="0" applyBorder="0"/>
    <xf numFmtId="0" fontId="1" fillId="0" borderId="0"/>
    <xf numFmtId="0" fontId="1" fillId="0" borderId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61">
    <xf numFmtId="0" fontId="0" fillId="0" borderId="0" xfId="0"/>
    <xf numFmtId="0" fontId="10" fillId="5" borderId="1" xfId="8" applyFont="1" applyFill="1" applyBorder="1" applyAlignment="1">
      <alignment horizontal="center" vertical="center" wrapText="1"/>
    </xf>
    <xf numFmtId="0" fontId="3" fillId="0" borderId="0" xfId="11"/>
    <xf numFmtId="0" fontId="3" fillId="0" borderId="1" xfId="11" applyBorder="1"/>
    <xf numFmtId="14" fontId="3" fillId="0" borderId="1" xfId="11" applyNumberFormat="1" applyBorder="1"/>
    <xf numFmtId="0" fontId="3" fillId="0" borderId="1" xfId="11" quotePrefix="1" applyBorder="1"/>
    <xf numFmtId="0" fontId="3" fillId="0" borderId="1" xfId="11" applyNumberFormat="1" applyBorder="1"/>
    <xf numFmtId="6" fontId="12" fillId="0" borderId="1" xfId="15" applyNumberFormat="1" applyBorder="1"/>
    <xf numFmtId="0" fontId="12" fillId="0" borderId="0" xfId="15"/>
    <xf numFmtId="0" fontId="10" fillId="5" borderId="1" xfId="16">
      <alignment horizontal="center" vertical="center"/>
    </xf>
    <xf numFmtId="0" fontId="3" fillId="0" borderId="1" xfId="11" applyFill="1" applyBorder="1"/>
    <xf numFmtId="0" fontId="3" fillId="0" borderId="1" xfId="11" applyBorder="1" applyAlignment="1">
      <alignment wrapText="1"/>
    </xf>
    <xf numFmtId="0" fontId="16" fillId="11" borderId="2" xfId="15" applyFont="1" applyFill="1" applyBorder="1" applyAlignment="1">
      <alignment horizontal="centerContinuous"/>
    </xf>
    <xf numFmtId="0" fontId="17" fillId="11" borderId="4" xfId="15" applyFont="1" applyFill="1" applyBorder="1" applyAlignment="1">
      <alignment horizontal="centerContinuous" wrapText="1"/>
    </xf>
    <xf numFmtId="0" fontId="12" fillId="0" borderId="1" xfId="15" applyBorder="1"/>
    <xf numFmtId="0" fontId="10" fillId="5" borderId="1" xfId="16" applyBorder="1">
      <alignment horizontal="center" vertical="center"/>
    </xf>
    <xf numFmtId="0" fontId="10" fillId="5" borderId="5" xfId="8" applyFont="1" applyFill="1" applyBorder="1" applyAlignment="1">
      <alignment horizontal="center" vertical="center" wrapText="1"/>
    </xf>
    <xf numFmtId="0" fontId="10" fillId="5" borderId="1" xfId="8" applyFont="1" applyFill="1" applyBorder="1" applyAlignment="1">
      <alignment horizontal="center"/>
    </xf>
    <xf numFmtId="14" fontId="3" fillId="0" borderId="1" xfId="11" applyNumberFormat="1" applyFill="1" applyBorder="1"/>
    <xf numFmtId="0" fontId="10" fillId="5" borderId="2" xfId="16" applyBorder="1">
      <alignment horizontal="center" vertical="center"/>
    </xf>
    <xf numFmtId="0" fontId="10" fillId="5" borderId="6" xfId="16" applyBorder="1">
      <alignment horizontal="center" vertical="center"/>
    </xf>
    <xf numFmtId="6" fontId="12" fillId="0" borderId="2" xfId="15" applyNumberFormat="1" applyBorder="1"/>
    <xf numFmtId="6" fontId="12" fillId="0" borderId="6" xfId="15" applyNumberFormat="1" applyBorder="1"/>
    <xf numFmtId="0" fontId="10" fillId="5" borderId="5" xfId="16" applyBorder="1">
      <alignment horizontal="center" vertical="center"/>
    </xf>
    <xf numFmtId="6" fontId="12" fillId="0" borderId="5" xfId="15" applyNumberFormat="1" applyBorder="1"/>
    <xf numFmtId="6" fontId="12" fillId="0" borderId="7" xfId="15" applyNumberFormat="1" applyBorder="1"/>
    <xf numFmtId="6" fontId="12" fillId="0" borderId="8" xfId="15" applyNumberFormat="1" applyBorder="1"/>
    <xf numFmtId="0" fontId="10" fillId="5" borderId="9" xfId="16" applyBorder="1">
      <alignment horizontal="center" vertical="center"/>
    </xf>
    <xf numFmtId="6" fontId="12" fillId="0" borderId="9" xfId="15" applyNumberFormat="1" applyBorder="1"/>
    <xf numFmtId="6" fontId="12" fillId="0" borderId="10" xfId="15" applyNumberFormat="1" applyBorder="1"/>
    <xf numFmtId="6" fontId="12" fillId="0" borderId="11" xfId="15" applyNumberFormat="1" applyBorder="1"/>
    <xf numFmtId="0" fontId="14" fillId="12" borderId="1" xfId="13" applyNumberFormat="1" applyFill="1"/>
    <xf numFmtId="0" fontId="14" fillId="12" borderId="1" xfId="13" applyNumberFormat="1" applyFill="1" applyBorder="1"/>
    <xf numFmtId="8" fontId="14" fillId="12" borderId="1" xfId="13" applyNumberFormat="1" applyFill="1" applyBorder="1"/>
    <xf numFmtId="8" fontId="14" fillId="12" borderId="1" xfId="13" applyNumberFormat="1" applyFill="1"/>
    <xf numFmtId="0" fontId="19" fillId="14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center" vertical="center"/>
    </xf>
    <xf numFmtId="0" fontId="20" fillId="0" borderId="0" xfId="0" applyFont="1"/>
    <xf numFmtId="9" fontId="21" fillId="5" borderId="1" xfId="8" applyNumberFormat="1" applyFont="1" applyFill="1" applyBorder="1" applyAlignment="1">
      <alignment horizontal="center" vertical="center"/>
    </xf>
    <xf numFmtId="8" fontId="20" fillId="0" borderId="1" xfId="0" applyNumberFormat="1" applyFont="1" applyBorder="1"/>
    <xf numFmtId="8" fontId="22" fillId="0" borderId="1" xfId="19" applyFont="1" applyFill="1" applyBorder="1"/>
    <xf numFmtId="0" fontId="21" fillId="5" borderId="1" xfId="8" applyFont="1" applyFill="1" applyBorder="1" applyAlignment="1">
      <alignment horizontal="center" vertical="center" wrapText="1"/>
    </xf>
    <xf numFmtId="0" fontId="20" fillId="0" borderId="1" xfId="0" applyFont="1" applyBorder="1"/>
    <xf numFmtId="8" fontId="23" fillId="12" borderId="1" xfId="10" applyNumberFormat="1" applyFont="1" applyFill="1" applyBorder="1"/>
    <xf numFmtId="0" fontId="24" fillId="0" borderId="1" xfId="0" applyFont="1" applyBorder="1" applyAlignment="1">
      <alignment horizontal="left" wrapText="1"/>
    </xf>
    <xf numFmtId="0" fontId="24" fillId="0" borderId="1" xfId="0" applyFont="1" applyBorder="1" applyAlignment="1">
      <alignment horizontal="center" wrapText="1"/>
    </xf>
    <xf numFmtId="8" fontId="24" fillId="0" borderId="1" xfId="0" applyNumberFormat="1" applyFont="1" applyBorder="1" applyAlignment="1">
      <alignment horizontal="right" wrapText="1"/>
    </xf>
    <xf numFmtId="0" fontId="24" fillId="0" borderId="1" xfId="0" applyFont="1" applyBorder="1" applyAlignment="1">
      <alignment wrapText="1"/>
    </xf>
    <xf numFmtId="0" fontId="25" fillId="0" borderId="1" xfId="0" applyFont="1" applyBorder="1" applyAlignment="1">
      <alignment horizontal="left" wrapText="1"/>
    </xf>
    <xf numFmtId="0" fontId="25" fillId="0" borderId="1" xfId="0" applyFont="1" applyBorder="1" applyAlignment="1">
      <alignment horizontal="center" wrapText="1"/>
    </xf>
    <xf numFmtId="8" fontId="25" fillId="0" borderId="1" xfId="0" applyNumberFormat="1" applyFont="1" applyBorder="1" applyAlignment="1">
      <alignment horizontal="right" wrapText="1"/>
    </xf>
    <xf numFmtId="0" fontId="25" fillId="0" borderId="1" xfId="0" applyFont="1" applyBorder="1" applyAlignment="1">
      <alignment wrapText="1"/>
    </xf>
    <xf numFmtId="0" fontId="26" fillId="0" borderId="1" xfId="0" applyFont="1" applyBorder="1" applyAlignment="1">
      <alignment horizontal="left" wrapText="1"/>
    </xf>
    <xf numFmtId="0" fontId="26" fillId="0" borderId="1" xfId="0" applyFont="1" applyBorder="1" applyAlignment="1">
      <alignment horizontal="center" wrapText="1"/>
    </xf>
    <xf numFmtId="8" fontId="26" fillId="0" borderId="1" xfId="0" applyNumberFormat="1" applyFont="1" applyBorder="1" applyAlignment="1">
      <alignment horizontal="right" wrapText="1"/>
    </xf>
    <xf numFmtId="0" fontId="26" fillId="0" borderId="1" xfId="0" applyFont="1" applyBorder="1" applyAlignment="1">
      <alignment wrapText="1"/>
    </xf>
    <xf numFmtId="0" fontId="27" fillId="0" borderId="1" xfId="0" applyFont="1" applyBorder="1" applyAlignment="1">
      <alignment horizontal="left" wrapText="1"/>
    </xf>
    <xf numFmtId="0" fontId="27" fillId="0" borderId="1" xfId="0" applyFont="1" applyBorder="1" applyAlignment="1">
      <alignment horizontal="center" wrapText="1"/>
    </xf>
    <xf numFmtId="8" fontId="27" fillId="0" borderId="1" xfId="0" applyNumberFormat="1" applyFont="1" applyBorder="1" applyAlignment="1">
      <alignment horizontal="right" wrapText="1"/>
    </xf>
    <xf numFmtId="0" fontId="27" fillId="0" borderId="1" xfId="0" applyFont="1" applyBorder="1" applyAlignment="1">
      <alignment wrapText="1"/>
    </xf>
    <xf numFmtId="0" fontId="28" fillId="13" borderId="1" xfId="0" applyFont="1" applyFill="1" applyBorder="1" applyAlignment="1">
      <alignment horizontal="left" wrapText="1"/>
    </xf>
    <xf numFmtId="0" fontId="24" fillId="13" borderId="1" xfId="0" applyFont="1" applyFill="1" applyBorder="1" applyAlignment="1">
      <alignment horizontal="left" wrapText="1"/>
    </xf>
    <xf numFmtId="0" fontId="24" fillId="15" borderId="1" xfId="0" applyFont="1" applyFill="1" applyBorder="1" applyAlignment="1">
      <alignment wrapText="1"/>
    </xf>
    <xf numFmtId="0" fontId="24" fillId="15" borderId="1" xfId="0" applyFont="1" applyFill="1" applyBorder="1" applyAlignment="1">
      <alignment horizontal="left" wrapText="1"/>
    </xf>
    <xf numFmtId="0" fontId="20" fillId="0" borderId="0" xfId="0" applyFont="1" applyAlignment="1">
      <alignment wrapText="1"/>
    </xf>
    <xf numFmtId="0" fontId="21" fillId="11" borderId="2" xfId="15" applyFont="1" applyFill="1" applyBorder="1" applyAlignment="1">
      <alignment horizontal="centerContinuous"/>
    </xf>
    <xf numFmtId="0" fontId="29" fillId="11" borderId="4" xfId="15" applyFont="1" applyFill="1" applyBorder="1" applyAlignment="1">
      <alignment horizontal="centerContinuous" wrapText="1"/>
    </xf>
    <xf numFmtId="0" fontId="22" fillId="0" borderId="0" xfId="11" applyFont="1"/>
    <xf numFmtId="0" fontId="21" fillId="5" borderId="1" xfId="16" applyFont="1">
      <alignment horizontal="center" vertical="center"/>
    </xf>
    <xf numFmtId="6" fontId="20" fillId="0" borderId="1" xfId="15" applyNumberFormat="1" applyFont="1" applyBorder="1"/>
    <xf numFmtId="0" fontId="20" fillId="0" borderId="1" xfId="15" applyFont="1" applyBorder="1"/>
    <xf numFmtId="0" fontId="23" fillId="12" borderId="1" xfId="13" applyNumberFormat="1" applyFont="1" applyFill="1" applyBorder="1"/>
    <xf numFmtId="0" fontId="22" fillId="0" borderId="0" xfId="11" quotePrefix="1" applyFont="1"/>
    <xf numFmtId="0" fontId="21" fillId="5" borderId="1" xfId="16" applyFont="1" applyBorder="1">
      <alignment horizontal="center" vertical="center"/>
    </xf>
    <xf numFmtId="0" fontId="23" fillId="16" borderId="1" xfId="0" applyFont="1" applyFill="1" applyBorder="1"/>
    <xf numFmtId="6" fontId="23" fillId="12" borderId="1" xfId="13" applyNumberFormat="1" applyFont="1" applyFill="1" applyBorder="1"/>
    <xf numFmtId="6" fontId="21" fillId="5" borderId="1" xfId="16" applyNumberFormat="1" applyFont="1">
      <alignment horizontal="center" vertical="center"/>
    </xf>
    <xf numFmtId="167" fontId="20" fillId="0" borderId="1" xfId="15" applyNumberFormat="1" applyFont="1" applyBorder="1"/>
    <xf numFmtId="167" fontId="23" fillId="12" borderId="1" xfId="13" applyNumberFormat="1" applyFont="1" applyFill="1" applyBorder="1"/>
    <xf numFmtId="0" fontId="21" fillId="5" borderId="0" xfId="8" applyFont="1" applyFill="1" applyBorder="1" applyAlignment="1">
      <alignment horizontal="center" vertical="center" wrapText="1"/>
    </xf>
    <xf numFmtId="0" fontId="22" fillId="0" borderId="0" xfId="11" applyFont="1" applyBorder="1"/>
    <xf numFmtId="0" fontId="30" fillId="0" borderId="1" xfId="14" applyNumberFormat="1" applyFont="1" applyBorder="1" applyAlignment="1">
      <alignment horizontal="center"/>
    </xf>
    <xf numFmtId="0" fontId="23" fillId="12" borderId="1" xfId="13" applyNumberFormat="1" applyFont="1" applyFill="1" applyAlignment="1"/>
    <xf numFmtId="0" fontId="30" fillId="0" borderId="12" xfId="14" applyNumberFormat="1" applyFont="1" applyBorder="1" applyAlignment="1">
      <alignment horizontal="center"/>
    </xf>
    <xf numFmtId="0" fontId="22" fillId="0" borderId="1" xfId="11" applyFont="1" applyFill="1" applyBorder="1" applyAlignment="1"/>
    <xf numFmtId="0" fontId="30" fillId="0" borderId="1" xfId="14" applyNumberFormat="1" applyFont="1" applyBorder="1" applyAlignment="1"/>
    <xf numFmtId="168" fontId="30" fillId="0" borderId="1" xfId="14" applyNumberFormat="1" applyFont="1" applyBorder="1" applyAlignment="1">
      <alignment horizontal="center"/>
    </xf>
    <xf numFmtId="0" fontId="20" fillId="0" borderId="0" xfId="15" applyFont="1"/>
    <xf numFmtId="0" fontId="22" fillId="0" borderId="1" xfId="11" applyFont="1" applyBorder="1"/>
    <xf numFmtId="0" fontId="22" fillId="12" borderId="1" xfId="11" applyFont="1" applyFill="1" applyBorder="1"/>
    <xf numFmtId="8" fontId="23" fillId="12" borderId="1" xfId="13" applyNumberFormat="1" applyFont="1" applyFill="1"/>
    <xf numFmtId="6" fontId="23" fillId="12" borderId="1" xfId="13" applyNumberFormat="1" applyFont="1" applyFill="1"/>
    <xf numFmtId="0" fontId="22" fillId="0" borderId="1" xfId="11" applyFont="1" applyFill="1" applyBorder="1"/>
    <xf numFmtId="0" fontId="22" fillId="0" borderId="3" xfId="11" applyFont="1" applyFill="1" applyBorder="1"/>
    <xf numFmtId="0" fontId="22" fillId="0" borderId="1" xfId="11" applyFont="1" applyBorder="1" applyAlignment="1">
      <alignment wrapText="1"/>
    </xf>
    <xf numFmtId="6" fontId="22" fillId="0" borderId="1" xfId="11" applyNumberFormat="1" applyFont="1" applyBorder="1" applyAlignment="1">
      <alignment wrapText="1"/>
    </xf>
    <xf numFmtId="0" fontId="30" fillId="0" borderId="0" xfId="14" applyFont="1"/>
    <xf numFmtId="8" fontId="30" fillId="0" borderId="1" xfId="14" applyNumberFormat="1" applyFont="1" applyBorder="1" applyAlignment="1">
      <alignment horizontal="center"/>
    </xf>
    <xf numFmtId="0" fontId="30" fillId="0" borderId="1" xfId="14" applyFont="1" applyBorder="1" applyAlignment="1">
      <alignment horizontal="center"/>
    </xf>
    <xf numFmtId="6" fontId="23" fillId="12" borderId="1" xfId="10" applyNumberFormat="1" applyFont="1" applyFill="1" applyBorder="1" applyAlignment="1">
      <alignment horizontal="center"/>
    </xf>
    <xf numFmtId="0" fontId="21" fillId="5" borderId="1" xfId="8" applyFont="1" applyFill="1" applyBorder="1" applyAlignment="1">
      <alignment horizontal="center" vertical="center"/>
    </xf>
    <xf numFmtId="0" fontId="20" fillId="0" borderId="1" xfId="15" applyFont="1" applyFill="1" applyBorder="1" applyAlignment="1"/>
    <xf numFmtId="8" fontId="20" fillId="0" borderId="1" xfId="15" applyNumberFormat="1" applyFont="1" applyBorder="1"/>
    <xf numFmtId="8" fontId="22" fillId="12" borderId="1" xfId="12" applyNumberFormat="1" applyFont="1" applyFill="1"/>
    <xf numFmtId="0" fontId="21" fillId="5" borderId="1" xfId="8" applyFont="1" applyFill="1" applyBorder="1" applyAlignment="1"/>
    <xf numFmtId="14" fontId="22" fillId="0" borderId="1" xfId="11" applyNumberFormat="1" applyFont="1" applyBorder="1"/>
    <xf numFmtId="6" fontId="22" fillId="0" borderId="1" xfId="11" applyNumberFormat="1" applyFont="1" applyBorder="1"/>
    <xf numFmtId="8" fontId="23" fillId="12" borderId="1" xfId="13" applyNumberFormat="1" applyFont="1" applyFill="1" applyBorder="1"/>
    <xf numFmtId="0" fontId="22" fillId="0" borderId="1" xfId="11" quotePrefix="1" applyNumberFormat="1" applyFont="1" applyBorder="1"/>
    <xf numFmtId="8" fontId="22" fillId="0" borderId="1" xfId="11" applyNumberFormat="1" applyFont="1" applyBorder="1"/>
    <xf numFmtId="0" fontId="22" fillId="0" borderId="1" xfId="11" quotePrefix="1" applyFont="1" applyBorder="1"/>
    <xf numFmtId="0" fontId="22" fillId="0" borderId="1" xfId="11" applyNumberFormat="1" applyFont="1" applyBorder="1"/>
    <xf numFmtId="0" fontId="31" fillId="0" borderId="0" xfId="11" applyFont="1" applyAlignment="1">
      <alignment horizontal="right"/>
    </xf>
    <xf numFmtId="8" fontId="22" fillId="0" borderId="0" xfId="11" applyNumberFormat="1" applyFont="1"/>
    <xf numFmtId="0" fontId="32" fillId="0" borderId="0" xfId="11" applyFont="1"/>
    <xf numFmtId="0" fontId="22" fillId="0" borderId="1" xfId="11" quotePrefix="1" applyNumberFormat="1" applyFont="1" applyBorder="1" applyAlignment="1"/>
    <xf numFmtId="167" fontId="22" fillId="0" borderId="1" xfId="11" applyNumberFormat="1" applyFont="1" applyBorder="1"/>
    <xf numFmtId="0" fontId="22" fillId="8" borderId="1" xfId="11" applyFont="1" applyFill="1" applyBorder="1"/>
    <xf numFmtId="0" fontId="33" fillId="9" borderId="1" xfId="11" applyFont="1" applyFill="1" applyBorder="1"/>
    <xf numFmtId="0" fontId="22" fillId="10" borderId="1" xfId="11" applyFont="1" applyFill="1" applyBorder="1"/>
    <xf numFmtId="0" fontId="22" fillId="0" borderId="0" xfId="11" applyFont="1" applyFill="1" applyBorder="1"/>
    <xf numFmtId="0" fontId="31" fillId="0" borderId="0" xfId="0" applyFont="1"/>
    <xf numFmtId="0" fontId="34" fillId="0" borderId="0" xfId="17" applyFont="1"/>
    <xf numFmtId="0" fontId="1" fillId="0" borderId="0" xfId="20"/>
    <xf numFmtId="0" fontId="13" fillId="0" borderId="0" xfId="21" applyFont="1" applyAlignment="1">
      <alignment vertical="center"/>
    </xf>
    <xf numFmtId="0" fontId="13" fillId="0" borderId="0" xfId="21" applyFont="1" applyAlignment="1">
      <alignment vertical="center"/>
    </xf>
    <xf numFmtId="0" fontId="36" fillId="0" borderId="0" xfId="22" applyFont="1" applyAlignment="1">
      <alignment vertical="center"/>
    </xf>
    <xf numFmtId="0" fontId="35" fillId="0" borderId="0" xfId="22" applyFont="1" applyAlignment="1">
      <alignment vertical="center"/>
    </xf>
    <xf numFmtId="0" fontId="37" fillId="0" borderId="0" xfId="20" applyFont="1" applyAlignment="1">
      <alignment vertical="center"/>
    </xf>
    <xf numFmtId="0" fontId="37" fillId="0" borderId="0" xfId="20" applyFont="1" applyAlignment="1">
      <alignment vertical="center"/>
    </xf>
    <xf numFmtId="0" fontId="1" fillId="0" borderId="13" xfId="20" applyBorder="1"/>
    <xf numFmtId="0" fontId="13" fillId="0" borderId="13" xfId="20" applyFont="1" applyBorder="1" applyAlignment="1">
      <alignment wrapText="1"/>
    </xf>
    <xf numFmtId="0" fontId="13" fillId="0" borderId="0" xfId="20" applyFont="1" applyBorder="1" applyAlignment="1">
      <alignment wrapText="1"/>
    </xf>
    <xf numFmtId="0" fontId="0" fillId="0" borderId="13" xfId="20" applyFont="1" applyBorder="1" applyAlignment="1">
      <alignment vertical="top"/>
    </xf>
    <xf numFmtId="0" fontId="0" fillId="0" borderId="0" xfId="20" applyFont="1" applyBorder="1" applyAlignment="1">
      <alignment vertical="top"/>
    </xf>
    <xf numFmtId="0" fontId="13" fillId="0" borderId="0" xfId="20" applyFont="1" applyBorder="1" applyAlignment="1">
      <alignment wrapText="1"/>
    </xf>
    <xf numFmtId="0" fontId="0" fillId="0" borderId="0" xfId="20" applyFont="1" applyBorder="1" applyAlignment="1">
      <alignment vertical="top"/>
    </xf>
    <xf numFmtId="0" fontId="36" fillId="0" borderId="0" xfId="22" applyFont="1" applyAlignment="1"/>
    <xf numFmtId="0" fontId="35" fillId="0" borderId="0" xfId="22" applyAlignment="1"/>
    <xf numFmtId="0" fontId="1" fillId="0" borderId="0" xfId="20" applyFont="1" applyAlignment="1">
      <alignment vertical="top"/>
    </xf>
    <xf numFmtId="0" fontId="1" fillId="0" borderId="0" xfId="20" applyFont="1" applyAlignment="1">
      <alignment vertical="top"/>
    </xf>
    <xf numFmtId="0" fontId="36" fillId="0" borderId="0" xfId="17" applyFont="1" applyAlignment="1"/>
    <xf numFmtId="0" fontId="36" fillId="0" borderId="0" xfId="17" applyFont="1" applyAlignment="1"/>
    <xf numFmtId="0" fontId="13" fillId="0" borderId="13" xfId="20" applyFont="1" applyBorder="1" applyAlignment="1">
      <alignment vertical="center"/>
    </xf>
    <xf numFmtId="0" fontId="13" fillId="0" borderId="0" xfId="20" applyFont="1" applyBorder="1" applyAlignment="1">
      <alignment vertical="center"/>
    </xf>
    <xf numFmtId="0" fontId="13" fillId="0" borderId="0" xfId="20" applyFont="1" applyBorder="1" applyAlignment="1">
      <alignment vertical="center"/>
    </xf>
    <xf numFmtId="0" fontId="1" fillId="0" borderId="0" xfId="20" applyFont="1" applyAlignment="1">
      <alignment vertical="center"/>
    </xf>
    <xf numFmtId="0" fontId="1" fillId="0" borderId="0" xfId="20" applyFont="1" applyAlignment="1">
      <alignment vertical="center"/>
    </xf>
    <xf numFmtId="0" fontId="18" fillId="0" borderId="0" xfId="17" applyAlignment="1"/>
    <xf numFmtId="0" fontId="13" fillId="0" borderId="13" xfId="20" applyFont="1" applyBorder="1" applyAlignment="1">
      <alignment vertical="top" wrapText="1"/>
    </xf>
    <xf numFmtId="0" fontId="13" fillId="0" borderId="0" xfId="20" applyFont="1" applyBorder="1" applyAlignment="1">
      <alignment vertical="top" wrapText="1"/>
    </xf>
    <xf numFmtId="0" fontId="13" fillId="0" borderId="0" xfId="20" applyFont="1" applyBorder="1" applyAlignment="1">
      <alignment vertical="top" wrapText="1"/>
    </xf>
    <xf numFmtId="0" fontId="35" fillId="0" borderId="0" xfId="22" applyAlignment="1">
      <alignment vertical="center"/>
    </xf>
    <xf numFmtId="0" fontId="13" fillId="0" borderId="0" xfId="20" applyFont="1" applyAlignment="1"/>
    <xf numFmtId="0" fontId="35" fillId="0" borderId="0" xfId="22" applyAlignment="1">
      <alignment vertical="center"/>
    </xf>
    <xf numFmtId="0" fontId="18" fillId="0" borderId="0" xfId="23" applyAlignment="1">
      <alignment vertical="center"/>
    </xf>
    <xf numFmtId="0" fontId="1" fillId="17" borderId="0" xfId="20" applyFont="1" applyFill="1" applyAlignment="1">
      <alignment vertical="top" wrapText="1"/>
    </xf>
    <xf numFmtId="0" fontId="1" fillId="17" borderId="0" xfId="20" applyFont="1" applyFill="1" applyAlignment="1">
      <alignment vertical="top" wrapText="1"/>
    </xf>
    <xf numFmtId="0" fontId="1" fillId="17" borderId="0" xfId="20" applyFont="1" applyFill="1" applyAlignment="1">
      <alignment wrapText="1"/>
    </xf>
    <xf numFmtId="0" fontId="1" fillId="17" borderId="0" xfId="20" applyFont="1" applyFill="1" applyAlignment="1">
      <alignment wrapText="1"/>
    </xf>
    <xf numFmtId="0" fontId="1" fillId="0" borderId="0" xfId="20" applyFont="1" applyAlignment="1">
      <alignment vertical="top" wrapText="1"/>
    </xf>
  </cellXfs>
  <cellStyles count="24">
    <cellStyle name="Akcent 1" xfId="8" builtinId="29"/>
    <cellStyle name="Akcent 6" xfId="10" builtinId="49"/>
    <cellStyle name="blue" xfId="1" xr:uid="{00000000-0005-0000-0000-000002000000}"/>
    <cellStyle name="BlueTitle" xfId="2" xr:uid="{00000000-0005-0000-0000-000003000000}"/>
    <cellStyle name="Comma 2" xfId="7" xr:uid="{00000000-0005-0000-0000-000004000000}"/>
    <cellStyle name="Currency Round to thousands" xfId="3" xr:uid="{00000000-0005-0000-0000-000005000000}"/>
    <cellStyle name="Excel - Etykiety light" xfId="16" xr:uid="{00000000-0005-0000-0000-000006000000}"/>
    <cellStyle name="Excel - Formuła" xfId="12" xr:uid="{00000000-0005-0000-0000-000007000000}"/>
    <cellStyle name="Excel - lightblue" xfId="19" xr:uid="{00000000-0005-0000-0000-000008000000}"/>
    <cellStyle name="Formuła 2" xfId="18" xr:uid="{00000000-0005-0000-0000-000009000000}"/>
    <cellStyle name="Formuła 3" xfId="13" xr:uid="{00000000-0005-0000-0000-00000A000000}"/>
    <cellStyle name="Four-Digit Year" xfId="4" xr:uid="{00000000-0005-0000-0000-00000B000000}"/>
    <cellStyle name="Hiperłącze" xfId="17" builtinId="8"/>
    <cellStyle name="Hiperłącze 2" xfId="22" xr:uid="{63A01008-31BA-4A47-B250-88A130599304}"/>
    <cellStyle name="Hiperłącze 2 3" xfId="23" xr:uid="{AE69932D-C4CF-4756-9F0B-6AE3C7C5E9FC}"/>
    <cellStyle name="Normal 2" xfId="5" xr:uid="{00000000-0005-0000-0000-00000D000000}"/>
    <cellStyle name="Normalny" xfId="0" builtinId="0"/>
    <cellStyle name="Normalny 2" xfId="9" xr:uid="{00000000-0005-0000-0000-00000F000000}"/>
    <cellStyle name="Normalny 2 2" xfId="15" xr:uid="{00000000-0005-0000-0000-000010000000}"/>
    <cellStyle name="Normalny 2 3" xfId="20" xr:uid="{BFABB74D-00A0-4FFB-A9C3-EC457B6C3C4F}"/>
    <cellStyle name="Normalny 3" xfId="11" xr:uid="{00000000-0005-0000-0000-000011000000}"/>
    <cellStyle name="Normalny 3 2" xfId="14" xr:uid="{00000000-0005-0000-0000-000012000000}"/>
    <cellStyle name="Normalny 4" xfId="21" xr:uid="{26BE90C2-603D-4F22-A853-F3063E3ED5C7}"/>
    <cellStyle name="Wrap Text" xfId="6" xr:uid="{00000000-0005-0000-0000-000013000000}"/>
  </cellStyles>
  <dxfs count="13"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12"/>
      <tableStyleElement type="totalRow" dxfId="11"/>
    </tableStyle>
    <tableStyle name="Table Style 1" pivot="0" count="2" xr9:uid="{00000000-0011-0000-FFFF-FFFF01000000}">
      <tableStyleElement type="wholeTable" dxfId="10"/>
      <tableStyleElement type="headerRow" dxfId="9"/>
    </tableStyle>
  </tableStyles>
  <colors>
    <mruColors>
      <color rgb="FFEEEE22"/>
      <color rgb="FFFF33CC"/>
      <color rgb="FFCFF1D6"/>
      <color rgb="FFCCF0D4"/>
      <color rgb="FFA6E4B3"/>
      <color rgb="FF1E73BE"/>
      <color rgb="FF2EA3F2"/>
      <color rgb="FF0000FF"/>
      <color rgb="FFCC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6F213DAF-5771-405D-8BAB-18C025608E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EB61C70F-C885-43DB-B270-DEF789EF0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BFB54715-F011-41B9-8544-B4232CDBE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9EE4A4D1-9A0A-443C-AA07-E7058221C07D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CCE1FB0-DD6E-4813-B33E-C8B7B3266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1D483E1-A115-4732-824A-62A9449C3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770C8F7-4827-41D5-94FD-87803E466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9124FB8-17BE-4B86-84D9-D645C9030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4A9C129-0375-46DA-A4E6-824EF0A54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64E3DCB-BA6C-4277-B4E0-194F734B1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EDE9805D-BE17-4977-99F3-B825CDDA9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BCB6B84D-65D8-4CD2-AA44-E16D14276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77FADCC0-EB31-4202-8822-035504EDB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ik z danymi_2" connectionId="1" xr16:uid="{00000000-0016-0000-11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C12C-F39B-46DF-A108-08D32D493FB7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123" customWidth="1"/>
    <col min="100" max="101" width="2.44140625" customWidth="1"/>
    <col min="102" max="105" width="9.109375" style="123"/>
    <col min="106" max="106" width="10.6640625" style="123" customWidth="1"/>
    <col min="107" max="107" width="73.6640625" style="123" customWidth="1"/>
    <col min="108" max="108" width="6.33203125" style="123" customWidth="1"/>
    <col min="109" max="16384" width="9.109375" style="123"/>
  </cols>
  <sheetData>
    <row r="1" spans="18:99" ht="6" customHeight="1"/>
    <row r="2" spans="18:99" ht="6" customHeight="1">
      <c r="Z2" s="124" t="s">
        <v>1571</v>
      </c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5"/>
    </row>
    <row r="3" spans="18:99" ht="6" customHeight="1"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5"/>
    </row>
    <row r="4" spans="18:99" ht="6" customHeight="1">
      <c r="Z4" s="126" t="s">
        <v>1572</v>
      </c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7"/>
    </row>
    <row r="5" spans="18:99" ht="6" customHeight="1">
      <c r="R5" s="128" t="s">
        <v>1573</v>
      </c>
      <c r="S5" s="128"/>
      <c r="T5" s="128"/>
      <c r="U5" s="128"/>
      <c r="V5" s="128"/>
      <c r="W5" s="128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7"/>
      <c r="BF5" s="128" t="s">
        <v>1574</v>
      </c>
      <c r="BG5" s="128"/>
      <c r="BH5" s="128"/>
      <c r="BI5" s="128"/>
      <c r="BJ5" s="128"/>
      <c r="BK5" s="128"/>
    </row>
    <row r="6" spans="18:99" ht="6" customHeight="1">
      <c r="R6" s="128"/>
      <c r="S6" s="128"/>
      <c r="T6" s="128"/>
      <c r="U6" s="128"/>
      <c r="V6" s="128"/>
      <c r="W6" s="128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7"/>
      <c r="BF6" s="128"/>
      <c r="BG6" s="128"/>
      <c r="BH6" s="128"/>
      <c r="BI6" s="128"/>
      <c r="BJ6" s="128"/>
      <c r="BK6" s="128"/>
    </row>
    <row r="7" spans="18:99" ht="6" customHeight="1">
      <c r="R7" s="128"/>
      <c r="S7" s="128"/>
      <c r="T7" s="128"/>
      <c r="U7" s="128"/>
      <c r="V7" s="128"/>
      <c r="W7" s="128"/>
      <c r="X7" s="129"/>
      <c r="BF7" s="128"/>
      <c r="BG7" s="128"/>
      <c r="BH7" s="128"/>
      <c r="BI7" s="128"/>
      <c r="BJ7" s="128"/>
      <c r="BK7" s="128"/>
    </row>
    <row r="8" spans="18:99" ht="6" customHeight="1"/>
    <row r="9" spans="18:99" ht="6" customHeight="1">
      <c r="R9" s="130"/>
      <c r="S9" s="130"/>
      <c r="T9" s="130"/>
      <c r="U9" s="130"/>
      <c r="V9" s="130"/>
      <c r="W9" s="130"/>
      <c r="X9" s="130"/>
      <c r="Y9" s="130"/>
      <c r="Z9" s="131" t="s">
        <v>1575</v>
      </c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2"/>
      <c r="BF9" s="130"/>
      <c r="BG9" s="130"/>
      <c r="BH9" s="130"/>
      <c r="BI9" s="130"/>
      <c r="BJ9" s="130"/>
      <c r="BK9" s="130"/>
      <c r="BL9" s="130"/>
      <c r="BM9" s="130"/>
      <c r="BN9" s="133" t="s">
        <v>1576</v>
      </c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  <c r="CB9" s="133"/>
      <c r="CC9" s="133"/>
      <c r="CD9" s="133"/>
      <c r="CE9" s="133"/>
      <c r="CF9" s="133"/>
      <c r="CG9" s="133"/>
      <c r="CH9" s="133"/>
      <c r="CI9" s="133"/>
      <c r="CJ9" s="133"/>
      <c r="CK9" s="133"/>
      <c r="CL9" s="133"/>
      <c r="CM9" s="133"/>
      <c r="CN9" s="133"/>
      <c r="CO9" s="133"/>
      <c r="CP9" s="133"/>
      <c r="CQ9" s="133"/>
      <c r="CR9" s="134"/>
      <c r="CS9" s="134"/>
      <c r="CT9" s="134"/>
      <c r="CU9" s="134"/>
    </row>
    <row r="10" spans="18:99" ht="6" customHeight="1"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2"/>
      <c r="BN10" s="136"/>
      <c r="BO10" s="136"/>
      <c r="BP10" s="136"/>
      <c r="BQ10" s="136"/>
      <c r="BR10" s="136"/>
      <c r="BS10" s="136"/>
      <c r="BT10" s="136"/>
      <c r="BU10" s="136"/>
      <c r="BV10" s="136"/>
      <c r="BW10" s="136"/>
      <c r="BX10" s="136"/>
      <c r="BY10" s="136"/>
      <c r="BZ10" s="136"/>
      <c r="CA10" s="136"/>
      <c r="CB10" s="136"/>
      <c r="CC10" s="136"/>
      <c r="CD10" s="136"/>
      <c r="CE10" s="136"/>
      <c r="CF10" s="136"/>
      <c r="CG10" s="136"/>
      <c r="CH10" s="136"/>
      <c r="CI10" s="136"/>
      <c r="CJ10" s="136"/>
      <c r="CK10" s="136"/>
      <c r="CL10" s="136"/>
      <c r="CM10" s="136"/>
      <c r="CN10" s="136"/>
      <c r="CO10" s="136"/>
      <c r="CP10" s="136"/>
      <c r="CQ10" s="136"/>
      <c r="CR10" s="134"/>
      <c r="CS10" s="134"/>
      <c r="CT10" s="134"/>
      <c r="CU10" s="134"/>
    </row>
    <row r="11" spans="18:99" ht="6" customHeight="1"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2"/>
      <c r="BN11" s="136"/>
      <c r="BO11" s="136"/>
      <c r="BP11" s="136"/>
      <c r="BQ11" s="136"/>
      <c r="BR11" s="136"/>
      <c r="BS11" s="136"/>
      <c r="BT11" s="136"/>
      <c r="BU11" s="136"/>
      <c r="BV11" s="136"/>
      <c r="BW11" s="136"/>
      <c r="BX11" s="136"/>
      <c r="BY11" s="136"/>
      <c r="BZ11" s="136"/>
      <c r="CA11" s="136"/>
      <c r="CB11" s="136"/>
      <c r="CC11" s="136"/>
      <c r="CD11" s="136"/>
      <c r="CE11" s="136"/>
      <c r="CF11" s="136"/>
      <c r="CG11" s="136"/>
      <c r="CH11" s="136"/>
      <c r="CI11" s="136"/>
      <c r="CJ11" s="136"/>
      <c r="CK11" s="136"/>
      <c r="CL11" s="136"/>
      <c r="CM11" s="136"/>
      <c r="CN11" s="136"/>
      <c r="CO11" s="136"/>
      <c r="CP11" s="136"/>
      <c r="CQ11" s="136"/>
      <c r="CR11" s="134"/>
      <c r="CS11" s="134"/>
      <c r="CT11" s="134"/>
      <c r="CU11" s="134"/>
    </row>
    <row r="12" spans="18:99" ht="6" customHeight="1"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2"/>
      <c r="BN12" s="137" t="s">
        <v>1577</v>
      </c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  <c r="CE12" s="137"/>
      <c r="CF12" s="137"/>
      <c r="CG12" s="137"/>
      <c r="CH12" s="137"/>
      <c r="CI12" s="137"/>
      <c r="CJ12" s="137"/>
      <c r="CK12" s="137"/>
      <c r="CL12" s="137"/>
      <c r="CM12" s="137"/>
      <c r="CN12" s="137"/>
      <c r="CO12" s="137"/>
      <c r="CP12" s="137"/>
      <c r="CQ12" s="137"/>
      <c r="CR12" s="138"/>
      <c r="CS12" s="138"/>
      <c r="CT12" s="138"/>
      <c r="CU12" s="138"/>
    </row>
    <row r="13" spans="18:99" ht="6" customHeight="1"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2"/>
      <c r="BN13" s="137"/>
      <c r="BO13" s="137"/>
      <c r="BP13" s="137"/>
      <c r="BQ13" s="137"/>
      <c r="BR13" s="137"/>
      <c r="BS13" s="137"/>
      <c r="BT13" s="137"/>
      <c r="BU13" s="137"/>
      <c r="BV13" s="137"/>
      <c r="BW13" s="137"/>
      <c r="BX13" s="137"/>
      <c r="BY13" s="137"/>
      <c r="BZ13" s="137"/>
      <c r="CA13" s="137"/>
      <c r="CB13" s="137"/>
      <c r="CC13" s="137"/>
      <c r="CD13" s="137"/>
      <c r="CE13" s="137"/>
      <c r="CF13" s="137"/>
      <c r="CG13" s="137"/>
      <c r="CH13" s="137"/>
      <c r="CI13" s="137"/>
      <c r="CJ13" s="137"/>
      <c r="CK13" s="137"/>
      <c r="CL13" s="137"/>
      <c r="CM13" s="137"/>
      <c r="CN13" s="137"/>
      <c r="CO13" s="137"/>
      <c r="CP13" s="137"/>
      <c r="CQ13" s="137"/>
      <c r="CR13" s="138"/>
      <c r="CS13" s="138"/>
      <c r="CT13" s="138"/>
      <c r="CU13" s="138"/>
    </row>
    <row r="14" spans="18:99" ht="6" customHeight="1">
      <c r="Z14" s="139" t="s">
        <v>1578</v>
      </c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40"/>
    </row>
    <row r="15" spans="18:99" ht="6" customHeight="1"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40"/>
    </row>
    <row r="16" spans="18:99" ht="6" customHeight="1"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40"/>
    </row>
    <row r="17" spans="18:56" ht="6" customHeight="1">
      <c r="Z17" s="141" t="s">
        <v>1579</v>
      </c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2"/>
    </row>
    <row r="18" spans="18:56" ht="6" customHeight="1"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2"/>
    </row>
    <row r="19" spans="18:56" ht="6" customHeight="1"/>
    <row r="20" spans="18:56" ht="6" customHeight="1"/>
    <row r="21" spans="18:56" ht="6" customHeight="1">
      <c r="R21" s="130"/>
      <c r="S21" s="130"/>
      <c r="T21" s="130"/>
      <c r="U21" s="130"/>
      <c r="V21" s="130"/>
      <c r="W21" s="130"/>
      <c r="X21" s="130"/>
      <c r="Y21" s="130"/>
      <c r="Z21" s="143" t="s">
        <v>1580</v>
      </c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4"/>
    </row>
    <row r="22" spans="18:56" ht="6" customHeight="1"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4"/>
    </row>
    <row r="23" spans="18:56" ht="6" customHeight="1">
      <c r="Z23" s="146" t="s">
        <v>1581</v>
      </c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7"/>
    </row>
    <row r="24" spans="18:56" ht="6" customHeight="1"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7"/>
    </row>
    <row r="25" spans="18:56" ht="6" customHeight="1"/>
    <row r="26" spans="18:56" ht="6" customHeight="1">
      <c r="Z26" s="141" t="s">
        <v>1582</v>
      </c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2"/>
    </row>
    <row r="27" spans="18:56" ht="6" customHeight="1"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2"/>
    </row>
    <row r="28" spans="18:56" ht="6" customHeight="1"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</row>
    <row r="29" spans="18:56" ht="6" customHeight="1"/>
    <row r="30" spans="18:56" ht="6" customHeight="1"/>
    <row r="31" spans="18:56" ht="6" customHeight="1"/>
    <row r="32" spans="18:56" ht="6" customHeight="1">
      <c r="R32" s="130"/>
      <c r="S32" s="130"/>
      <c r="T32" s="130"/>
      <c r="U32" s="130"/>
      <c r="V32" s="130"/>
      <c r="W32" s="130"/>
      <c r="X32" s="130"/>
      <c r="Y32" s="130"/>
      <c r="Z32" s="149" t="s">
        <v>1583</v>
      </c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50"/>
    </row>
    <row r="33" spans="18:99" ht="6" customHeight="1"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0"/>
    </row>
    <row r="34" spans="18:99" ht="6" customHeight="1"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0"/>
      <c r="BF34" s="130"/>
      <c r="BG34" s="130"/>
      <c r="BH34" s="130"/>
      <c r="BI34" s="130"/>
      <c r="BJ34" s="130"/>
      <c r="BK34" s="130"/>
      <c r="BL34" s="130"/>
      <c r="BM34" s="130"/>
      <c r="BN34" s="133" t="s">
        <v>1584</v>
      </c>
      <c r="BO34" s="133"/>
      <c r="BP34" s="133"/>
      <c r="BQ34" s="133"/>
      <c r="BR34" s="133"/>
      <c r="BS34" s="133"/>
      <c r="BT34" s="133"/>
      <c r="BU34" s="133"/>
      <c r="BV34" s="133"/>
      <c r="BW34" s="133"/>
      <c r="BX34" s="133"/>
      <c r="BY34" s="133"/>
      <c r="BZ34" s="133"/>
      <c r="CA34" s="133"/>
      <c r="CB34" s="133"/>
      <c r="CC34" s="133"/>
      <c r="CD34" s="133"/>
      <c r="CE34" s="133"/>
      <c r="CF34" s="133"/>
      <c r="CG34" s="133"/>
      <c r="CH34" s="133"/>
      <c r="CI34" s="133"/>
      <c r="CJ34" s="133"/>
      <c r="CK34" s="133"/>
      <c r="CL34" s="133"/>
      <c r="CM34" s="133"/>
      <c r="CN34" s="133"/>
      <c r="CO34" s="133"/>
      <c r="CP34" s="133"/>
      <c r="CQ34" s="133"/>
      <c r="CR34" s="134"/>
      <c r="CS34" s="134"/>
      <c r="CT34" s="134"/>
      <c r="CU34" s="134"/>
    </row>
    <row r="35" spans="18:99" ht="6" customHeight="1"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0"/>
      <c r="BN35" s="136"/>
      <c r="BO35" s="136"/>
      <c r="BP35" s="136"/>
      <c r="BQ35" s="136"/>
      <c r="BR35" s="136"/>
      <c r="BS35" s="136"/>
      <c r="BT35" s="136"/>
      <c r="BU35" s="136"/>
      <c r="BV35" s="136"/>
      <c r="BW35" s="136"/>
      <c r="BX35" s="136"/>
      <c r="BY35" s="136"/>
      <c r="BZ35" s="136"/>
      <c r="CA35" s="136"/>
      <c r="CB35" s="136"/>
      <c r="CC35" s="136"/>
      <c r="CD35" s="136"/>
      <c r="CE35" s="136"/>
      <c r="CF35" s="136"/>
      <c r="CG35" s="136"/>
      <c r="CH35" s="136"/>
      <c r="CI35" s="136"/>
      <c r="CJ35" s="136"/>
      <c r="CK35" s="136"/>
      <c r="CL35" s="136"/>
      <c r="CM35" s="136"/>
      <c r="CN35" s="136"/>
      <c r="CO35" s="136"/>
      <c r="CP35" s="136"/>
      <c r="CQ35" s="136"/>
      <c r="CR35" s="134"/>
      <c r="CS35" s="134"/>
      <c r="CT35" s="134"/>
      <c r="CU35" s="134"/>
    </row>
    <row r="36" spans="18:99" ht="6" customHeight="1"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  <c r="BB36" s="151"/>
      <c r="BC36" s="151"/>
      <c r="BD36" s="150"/>
      <c r="BN36" s="136"/>
      <c r="BO36" s="136"/>
      <c r="BP36" s="136"/>
      <c r="BQ36" s="136"/>
      <c r="BR36" s="136"/>
      <c r="BS36" s="136"/>
      <c r="BT36" s="136"/>
      <c r="BU36" s="136"/>
      <c r="BV36" s="136"/>
      <c r="BW36" s="136"/>
      <c r="BX36" s="136"/>
      <c r="BY36" s="136"/>
      <c r="BZ36" s="136"/>
      <c r="CA36" s="136"/>
      <c r="CB36" s="136"/>
      <c r="CC36" s="136"/>
      <c r="CD36" s="136"/>
      <c r="CE36" s="136"/>
      <c r="CF36" s="136"/>
      <c r="CG36" s="136"/>
      <c r="CH36" s="136"/>
      <c r="CI36" s="136"/>
      <c r="CJ36" s="136"/>
      <c r="CK36" s="136"/>
      <c r="CL36" s="136"/>
      <c r="CM36" s="136"/>
      <c r="CN36" s="136"/>
      <c r="CO36" s="136"/>
      <c r="CP36" s="136"/>
      <c r="CQ36" s="136"/>
      <c r="CR36" s="134"/>
      <c r="CS36" s="134"/>
      <c r="CT36" s="134"/>
      <c r="CU36" s="134"/>
    </row>
    <row r="37" spans="18:99" ht="6" customHeight="1">
      <c r="Z37" s="139" t="s">
        <v>1585</v>
      </c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40"/>
      <c r="BN37" s="137" t="s">
        <v>1586</v>
      </c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  <c r="CC37" s="137"/>
      <c r="CD37" s="137"/>
      <c r="CE37" s="137"/>
      <c r="CF37" s="137"/>
      <c r="CG37" s="137"/>
      <c r="CH37" s="137"/>
      <c r="CI37" s="137"/>
      <c r="CJ37" s="137"/>
      <c r="CK37" s="137"/>
      <c r="CL37" s="137"/>
      <c r="CM37" s="137"/>
      <c r="CN37" s="137"/>
      <c r="CO37" s="137"/>
      <c r="CP37" s="137"/>
      <c r="CQ37" s="137"/>
      <c r="CR37" s="138"/>
      <c r="CS37" s="138"/>
      <c r="CT37" s="138"/>
      <c r="CU37" s="138"/>
    </row>
    <row r="38" spans="18:99" ht="6" customHeight="1"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40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  <c r="CC38" s="137"/>
      <c r="CD38" s="137"/>
      <c r="CE38" s="137"/>
      <c r="CF38" s="137"/>
      <c r="CG38" s="137"/>
      <c r="CH38" s="137"/>
      <c r="CI38" s="137"/>
      <c r="CJ38" s="137"/>
      <c r="CK38" s="137"/>
      <c r="CL38" s="137"/>
      <c r="CM38" s="137"/>
      <c r="CN38" s="137"/>
      <c r="CO38" s="137"/>
      <c r="CP38" s="137"/>
      <c r="CQ38" s="137"/>
      <c r="CR38" s="138"/>
      <c r="CS38" s="138"/>
      <c r="CT38" s="138"/>
      <c r="CU38" s="138"/>
    </row>
    <row r="39" spans="18:99" ht="6" customHeight="1"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40"/>
    </row>
    <row r="40" spans="18:99" ht="6" customHeight="1">
      <c r="Z40" s="141" t="s">
        <v>1587</v>
      </c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2"/>
      <c r="BN40" s="136" t="s">
        <v>1588</v>
      </c>
      <c r="BO40" s="136"/>
      <c r="BP40" s="136"/>
      <c r="BQ40" s="136"/>
      <c r="BR40" s="136"/>
      <c r="BS40" s="136"/>
      <c r="BT40" s="136"/>
      <c r="BU40" s="136"/>
      <c r="BV40" s="136"/>
      <c r="BW40" s="136"/>
      <c r="BX40" s="136"/>
      <c r="BY40" s="136"/>
      <c r="BZ40" s="136"/>
      <c r="CA40" s="136"/>
      <c r="CB40" s="136"/>
      <c r="CC40" s="136"/>
      <c r="CD40" s="136"/>
      <c r="CE40" s="136"/>
      <c r="CF40" s="136"/>
      <c r="CG40" s="136"/>
      <c r="CH40" s="136"/>
      <c r="CI40" s="136"/>
      <c r="CJ40" s="136"/>
      <c r="CK40" s="136"/>
      <c r="CL40" s="136"/>
      <c r="CM40" s="136"/>
      <c r="CN40" s="136"/>
      <c r="CO40" s="136"/>
      <c r="CP40" s="136"/>
      <c r="CQ40" s="136"/>
      <c r="CR40" s="134"/>
      <c r="CS40" s="134"/>
      <c r="CT40" s="134"/>
      <c r="CU40" s="134"/>
    </row>
    <row r="41" spans="18:99" ht="6" customHeight="1"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1"/>
      <c r="BC41" s="141"/>
      <c r="BD41" s="142"/>
      <c r="BN41" s="136"/>
      <c r="BO41" s="136"/>
      <c r="BP41" s="136"/>
      <c r="BQ41" s="136"/>
      <c r="BR41" s="136"/>
      <c r="BS41" s="136"/>
      <c r="BT41" s="136"/>
      <c r="BU41" s="136"/>
      <c r="BV41" s="136"/>
      <c r="BW41" s="136"/>
      <c r="BX41" s="136"/>
      <c r="BY41" s="136"/>
      <c r="BZ41" s="136"/>
      <c r="CA41" s="136"/>
      <c r="CB41" s="136"/>
      <c r="CC41" s="136"/>
      <c r="CD41" s="136"/>
      <c r="CE41" s="136"/>
      <c r="CF41" s="136"/>
      <c r="CG41" s="136"/>
      <c r="CH41" s="136"/>
      <c r="CI41" s="136"/>
      <c r="CJ41" s="136"/>
      <c r="CK41" s="136"/>
      <c r="CL41" s="136"/>
      <c r="CM41" s="136"/>
      <c r="CN41" s="136"/>
      <c r="CO41" s="136"/>
      <c r="CP41" s="136"/>
      <c r="CQ41" s="136"/>
      <c r="CR41" s="134"/>
      <c r="CS41" s="134"/>
      <c r="CT41" s="134"/>
      <c r="CU41" s="134"/>
    </row>
    <row r="42" spans="18:99" ht="6" customHeight="1">
      <c r="BN42" s="136"/>
      <c r="BO42" s="136"/>
      <c r="BP42" s="136"/>
      <c r="BQ42" s="136"/>
      <c r="BR42" s="136"/>
      <c r="BS42" s="136"/>
      <c r="BT42" s="136"/>
      <c r="BU42" s="136"/>
      <c r="BV42" s="136"/>
      <c r="BW42" s="136"/>
      <c r="BX42" s="136"/>
      <c r="BY42" s="136"/>
      <c r="BZ42" s="136"/>
      <c r="CA42" s="136"/>
      <c r="CB42" s="136"/>
      <c r="CC42" s="136"/>
      <c r="CD42" s="136"/>
      <c r="CE42" s="136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4"/>
      <c r="CS42" s="134"/>
      <c r="CT42" s="134"/>
      <c r="CU42" s="134"/>
    </row>
    <row r="43" spans="18:99" ht="6" customHeight="1">
      <c r="R43" s="130"/>
      <c r="S43" s="130"/>
      <c r="T43" s="130"/>
      <c r="U43" s="130"/>
      <c r="V43" s="130"/>
      <c r="W43" s="130"/>
      <c r="X43" s="130"/>
      <c r="Y43" s="130"/>
      <c r="Z43" s="149" t="s">
        <v>1589</v>
      </c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50"/>
      <c r="BN43" s="137" t="s">
        <v>1590</v>
      </c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  <c r="CC43" s="137"/>
      <c r="CD43" s="137"/>
      <c r="CE43" s="137"/>
      <c r="CF43" s="137"/>
      <c r="CG43" s="137"/>
      <c r="CH43" s="137"/>
      <c r="CI43" s="137"/>
      <c r="CJ43" s="137"/>
      <c r="CK43" s="137"/>
      <c r="CL43" s="137"/>
      <c r="CM43" s="137"/>
      <c r="CN43" s="137"/>
      <c r="CO43" s="137"/>
      <c r="CP43" s="137"/>
      <c r="CQ43" s="137"/>
      <c r="CR43" s="138"/>
      <c r="CS43" s="138"/>
      <c r="CT43" s="138"/>
      <c r="CU43" s="138"/>
    </row>
    <row r="44" spans="18:99" ht="6" customHeight="1"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1"/>
      <c r="AX44" s="151"/>
      <c r="AY44" s="151"/>
      <c r="AZ44" s="151"/>
      <c r="BA44" s="151"/>
      <c r="BB44" s="151"/>
      <c r="BC44" s="151"/>
      <c r="BD44" s="150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  <c r="CC44" s="137"/>
      <c r="CD44" s="137"/>
      <c r="CE44" s="137"/>
      <c r="CF44" s="137"/>
      <c r="CG44" s="137"/>
      <c r="CH44" s="137"/>
      <c r="CI44" s="137"/>
      <c r="CJ44" s="137"/>
      <c r="CK44" s="137"/>
      <c r="CL44" s="137"/>
      <c r="CM44" s="137"/>
      <c r="CN44" s="137"/>
      <c r="CO44" s="137"/>
      <c r="CP44" s="137"/>
      <c r="CQ44" s="137"/>
      <c r="CR44" s="138"/>
      <c r="CS44" s="138"/>
      <c r="CT44" s="138"/>
      <c r="CU44" s="138"/>
    </row>
    <row r="45" spans="18:99" ht="6" customHeight="1"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  <c r="BB45" s="151"/>
      <c r="BC45" s="151"/>
      <c r="BD45" s="150"/>
    </row>
    <row r="46" spans="18:99" ht="6" customHeight="1"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 s="151"/>
      <c r="AW46" s="151"/>
      <c r="AX46" s="151"/>
      <c r="AY46" s="151"/>
      <c r="AZ46" s="151"/>
      <c r="BA46" s="151"/>
      <c r="BB46" s="151"/>
      <c r="BC46" s="151"/>
      <c r="BD46" s="150"/>
    </row>
    <row r="47" spans="18:99" ht="6" customHeight="1"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151"/>
      <c r="AX47" s="151"/>
      <c r="AY47" s="151"/>
      <c r="AZ47" s="151"/>
      <c r="BA47" s="151"/>
      <c r="BB47" s="151"/>
      <c r="BC47" s="151"/>
      <c r="BD47" s="150"/>
    </row>
    <row r="48" spans="18:99" ht="6" customHeight="1">
      <c r="Z48" s="139" t="s">
        <v>1591</v>
      </c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40"/>
    </row>
    <row r="49" spans="2:99" ht="6" customHeight="1"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40"/>
    </row>
    <row r="50" spans="2:99" ht="6" customHeight="1"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40"/>
    </row>
    <row r="51" spans="2:99" ht="6" customHeight="1">
      <c r="B51" s="126" t="s">
        <v>1592</v>
      </c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Z51" s="141" t="s">
        <v>1593</v>
      </c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2"/>
    </row>
    <row r="52" spans="2:99" ht="6" customHeight="1"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2"/>
    </row>
    <row r="53" spans="2:99" ht="6" customHeight="1"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</row>
    <row r="54" spans="2:99" ht="6" customHeight="1">
      <c r="B54" s="153" t="s">
        <v>1594</v>
      </c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R54" s="130"/>
      <c r="S54" s="130"/>
      <c r="T54" s="130"/>
      <c r="U54" s="130"/>
      <c r="V54" s="130"/>
      <c r="W54" s="130"/>
      <c r="X54" s="130"/>
      <c r="Y54" s="130"/>
      <c r="Z54" s="149" t="s">
        <v>1595</v>
      </c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50"/>
    </row>
    <row r="55" spans="2:99" ht="6" customHeight="1"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  <c r="BB55" s="151"/>
      <c r="BC55" s="151"/>
      <c r="BD55" s="150"/>
    </row>
    <row r="56" spans="2:99" ht="6" customHeight="1"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AT56" s="151"/>
      <c r="AU56" s="151"/>
      <c r="AV56" s="151"/>
      <c r="AW56" s="151"/>
      <c r="AX56" s="151"/>
      <c r="AY56" s="151"/>
      <c r="AZ56" s="151"/>
      <c r="BA56" s="151"/>
      <c r="BB56" s="151"/>
      <c r="BC56" s="151"/>
      <c r="BD56" s="150"/>
    </row>
    <row r="57" spans="2:99" ht="6" customHeight="1">
      <c r="B57" s="154" t="s">
        <v>1596</v>
      </c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  <c r="AS57" s="151"/>
      <c r="AT57" s="151"/>
      <c r="AU57" s="151"/>
      <c r="AV57" s="151"/>
      <c r="AW57" s="151"/>
      <c r="AX57" s="151"/>
      <c r="AY57" s="151"/>
      <c r="AZ57" s="151"/>
      <c r="BA57" s="151"/>
      <c r="BB57" s="151"/>
      <c r="BC57" s="151"/>
      <c r="BD57" s="150"/>
    </row>
    <row r="58" spans="2:99" ht="6" customHeight="1"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1"/>
      <c r="BC58" s="151"/>
      <c r="BD58" s="150"/>
    </row>
    <row r="59" spans="2:99" ht="6" customHeight="1">
      <c r="Z59" s="139" t="s">
        <v>1597</v>
      </c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  <c r="BC59" s="139"/>
      <c r="BD59" s="140"/>
      <c r="BF59" s="130"/>
      <c r="BG59" s="130"/>
      <c r="BH59" s="130"/>
      <c r="BI59" s="130"/>
      <c r="BJ59" s="130"/>
      <c r="BK59" s="130"/>
      <c r="BL59" s="130"/>
      <c r="BM59" s="130"/>
      <c r="BN59" s="133" t="s">
        <v>1584</v>
      </c>
      <c r="BO59" s="133"/>
      <c r="BP59" s="133"/>
      <c r="BQ59" s="133"/>
      <c r="BR59" s="133"/>
      <c r="BS59" s="133"/>
      <c r="BT59" s="133"/>
      <c r="BU59" s="133"/>
      <c r="BV59" s="133"/>
      <c r="BW59" s="133"/>
      <c r="BX59" s="133"/>
      <c r="BY59" s="133"/>
      <c r="BZ59" s="133"/>
      <c r="CA59" s="133"/>
      <c r="CB59" s="133"/>
      <c r="CC59" s="133"/>
      <c r="CD59" s="133"/>
      <c r="CE59" s="133"/>
      <c r="CF59" s="133"/>
      <c r="CG59" s="133"/>
      <c r="CH59" s="133"/>
      <c r="CI59" s="133"/>
      <c r="CJ59" s="133"/>
      <c r="CK59" s="133"/>
      <c r="CL59" s="133"/>
      <c r="CM59" s="133"/>
      <c r="CN59" s="133"/>
      <c r="CO59" s="133"/>
      <c r="CP59" s="133"/>
      <c r="CQ59" s="133"/>
      <c r="CR59" s="134"/>
      <c r="CS59" s="134"/>
      <c r="CT59" s="134"/>
      <c r="CU59" s="134"/>
    </row>
    <row r="60" spans="2:99" ht="6" customHeight="1">
      <c r="B60" s="153" t="s">
        <v>1598</v>
      </c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40"/>
      <c r="BN60" s="136"/>
      <c r="BO60" s="136"/>
      <c r="BP60" s="136"/>
      <c r="BQ60" s="136"/>
      <c r="BR60" s="136"/>
      <c r="BS60" s="136"/>
      <c r="BT60" s="136"/>
      <c r="BU60" s="136"/>
      <c r="BV60" s="136"/>
      <c r="BW60" s="136"/>
      <c r="BX60" s="136"/>
      <c r="BY60" s="136"/>
      <c r="BZ60" s="136"/>
      <c r="CA60" s="136"/>
      <c r="CB60" s="136"/>
      <c r="CC60" s="136"/>
      <c r="CD60" s="136"/>
      <c r="CE60" s="136"/>
      <c r="CF60" s="136"/>
      <c r="CG60" s="136"/>
      <c r="CH60" s="136"/>
      <c r="CI60" s="136"/>
      <c r="CJ60" s="136"/>
      <c r="CK60" s="136"/>
      <c r="CL60" s="136"/>
      <c r="CM60" s="136"/>
      <c r="CN60" s="136"/>
      <c r="CO60" s="136"/>
      <c r="CP60" s="136"/>
      <c r="CQ60" s="136"/>
      <c r="CR60" s="134"/>
      <c r="CS60" s="134"/>
      <c r="CT60" s="134"/>
      <c r="CU60" s="134"/>
    </row>
    <row r="61" spans="2:99" ht="6" customHeight="1"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40"/>
      <c r="BN61" s="136"/>
      <c r="BO61" s="136"/>
      <c r="BP61" s="136"/>
      <c r="BQ61" s="136"/>
      <c r="BR61" s="136"/>
      <c r="BS61" s="136"/>
      <c r="BT61" s="136"/>
      <c r="BU61" s="136"/>
      <c r="BV61" s="136"/>
      <c r="BW61" s="136"/>
      <c r="BX61" s="136"/>
      <c r="BY61" s="136"/>
      <c r="BZ61" s="136"/>
      <c r="CA61" s="136"/>
      <c r="CB61" s="136"/>
      <c r="CC61" s="136"/>
      <c r="CD61" s="136"/>
      <c r="CE61" s="136"/>
      <c r="CF61" s="136"/>
      <c r="CG61" s="136"/>
      <c r="CH61" s="136"/>
      <c r="CI61" s="136"/>
      <c r="CJ61" s="136"/>
      <c r="CK61" s="136"/>
      <c r="CL61" s="136"/>
      <c r="CM61" s="136"/>
      <c r="CN61" s="136"/>
      <c r="CO61" s="136"/>
      <c r="CP61" s="136"/>
      <c r="CQ61" s="136"/>
      <c r="CR61" s="134"/>
      <c r="CS61" s="134"/>
      <c r="CT61" s="134"/>
      <c r="CU61" s="134"/>
    </row>
    <row r="62" spans="2:99" ht="6" customHeight="1"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Z62" s="141" t="s">
        <v>1599</v>
      </c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  <c r="AM62" s="141"/>
      <c r="AN62" s="141"/>
      <c r="AO62" s="141"/>
      <c r="AP62" s="141"/>
      <c r="AQ62" s="141"/>
      <c r="AR62" s="141"/>
      <c r="AS62" s="141"/>
      <c r="AT62" s="141"/>
      <c r="AU62" s="141"/>
      <c r="AV62" s="141"/>
      <c r="AW62" s="141"/>
      <c r="AX62" s="141"/>
      <c r="AY62" s="141"/>
      <c r="AZ62" s="141"/>
      <c r="BA62" s="141"/>
      <c r="BB62" s="141"/>
      <c r="BC62" s="141"/>
      <c r="BD62" s="142"/>
      <c r="BN62" s="137" t="s">
        <v>1600</v>
      </c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37"/>
      <c r="CC62" s="137"/>
      <c r="CD62" s="137"/>
      <c r="CE62" s="137"/>
      <c r="CF62" s="137"/>
      <c r="CG62" s="137"/>
      <c r="CH62" s="137"/>
      <c r="CI62" s="137"/>
      <c r="CJ62" s="137"/>
      <c r="CK62" s="137"/>
      <c r="CL62" s="137"/>
      <c r="CM62" s="137"/>
      <c r="CN62" s="137"/>
      <c r="CO62" s="137"/>
      <c r="CP62" s="137"/>
      <c r="CQ62" s="137"/>
      <c r="CR62" s="138"/>
      <c r="CS62" s="138"/>
      <c r="CT62" s="138"/>
      <c r="CU62" s="138"/>
    </row>
    <row r="63" spans="2:99" ht="6" customHeight="1">
      <c r="B63" s="155" t="s">
        <v>1601</v>
      </c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41"/>
      <c r="BD63" s="142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37"/>
      <c r="CC63" s="137"/>
      <c r="CD63" s="137"/>
      <c r="CE63" s="137"/>
      <c r="CF63" s="137"/>
      <c r="CG63" s="137"/>
      <c r="CH63" s="137"/>
      <c r="CI63" s="137"/>
      <c r="CJ63" s="137"/>
      <c r="CK63" s="137"/>
      <c r="CL63" s="137"/>
      <c r="CM63" s="137"/>
      <c r="CN63" s="137"/>
      <c r="CO63" s="137"/>
      <c r="CP63" s="137"/>
      <c r="CQ63" s="137"/>
      <c r="CR63" s="138"/>
      <c r="CS63" s="138"/>
      <c r="CT63" s="138"/>
      <c r="CU63" s="138"/>
    </row>
    <row r="64" spans="2:99" ht="6" customHeight="1"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</row>
    <row r="65" spans="18:99" ht="6" customHeight="1">
      <c r="R65" s="130"/>
      <c r="S65" s="130"/>
      <c r="T65" s="130"/>
      <c r="U65" s="130"/>
      <c r="V65" s="130"/>
      <c r="W65" s="130"/>
      <c r="X65" s="130"/>
      <c r="Y65" s="130"/>
      <c r="Z65" s="149" t="s">
        <v>1602</v>
      </c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50"/>
      <c r="BN65" s="136" t="s">
        <v>1588</v>
      </c>
      <c r="BO65" s="136"/>
      <c r="BP65" s="136"/>
      <c r="BQ65" s="136"/>
      <c r="BR65" s="136"/>
      <c r="BS65" s="136"/>
      <c r="BT65" s="136"/>
      <c r="BU65" s="136"/>
      <c r="BV65" s="136"/>
      <c r="BW65" s="136"/>
      <c r="BX65" s="136"/>
      <c r="BY65" s="136"/>
      <c r="BZ65" s="136"/>
      <c r="CA65" s="136"/>
      <c r="CB65" s="136"/>
      <c r="CC65" s="136"/>
      <c r="CD65" s="136"/>
      <c r="CE65" s="136"/>
      <c r="CF65" s="136"/>
      <c r="CG65" s="136"/>
      <c r="CH65" s="136"/>
      <c r="CI65" s="136"/>
      <c r="CJ65" s="136"/>
      <c r="CK65" s="136"/>
      <c r="CL65" s="136"/>
      <c r="CM65" s="136"/>
      <c r="CN65" s="136"/>
      <c r="CO65" s="136"/>
      <c r="CP65" s="136"/>
      <c r="CQ65" s="136"/>
      <c r="CR65" s="134"/>
      <c r="CS65" s="134"/>
      <c r="CT65" s="134"/>
      <c r="CU65" s="134"/>
    </row>
    <row r="66" spans="18:99" ht="6" customHeight="1"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51"/>
      <c r="AY66" s="151"/>
      <c r="AZ66" s="151"/>
      <c r="BA66" s="151"/>
      <c r="BB66" s="151"/>
      <c r="BC66" s="151"/>
      <c r="BD66" s="150"/>
      <c r="BN66" s="136"/>
      <c r="BO66" s="136"/>
      <c r="BP66" s="136"/>
      <c r="BQ66" s="136"/>
      <c r="BR66" s="136"/>
      <c r="BS66" s="136"/>
      <c r="BT66" s="136"/>
      <c r="BU66" s="136"/>
      <c r="BV66" s="136"/>
      <c r="BW66" s="136"/>
      <c r="BX66" s="136"/>
      <c r="BY66" s="136"/>
      <c r="BZ66" s="136"/>
      <c r="CA66" s="136"/>
      <c r="CB66" s="136"/>
      <c r="CC66" s="136"/>
      <c r="CD66" s="136"/>
      <c r="CE66" s="136"/>
      <c r="CF66" s="136"/>
      <c r="CG66" s="136"/>
      <c r="CH66" s="136"/>
      <c r="CI66" s="136"/>
      <c r="CJ66" s="136"/>
      <c r="CK66" s="136"/>
      <c r="CL66" s="136"/>
      <c r="CM66" s="136"/>
      <c r="CN66" s="136"/>
      <c r="CO66" s="136"/>
      <c r="CP66" s="136"/>
      <c r="CQ66" s="136"/>
      <c r="CR66" s="134"/>
      <c r="CS66" s="134"/>
      <c r="CT66" s="134"/>
      <c r="CU66" s="134"/>
    </row>
    <row r="67" spans="18:99" ht="6" customHeight="1"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AT67" s="151"/>
      <c r="AU67" s="151"/>
      <c r="AV67" s="151"/>
      <c r="AW67" s="151"/>
      <c r="AX67" s="151"/>
      <c r="AY67" s="151"/>
      <c r="AZ67" s="151"/>
      <c r="BA67" s="151"/>
      <c r="BB67" s="151"/>
      <c r="BC67" s="151"/>
      <c r="BD67" s="150"/>
      <c r="BN67" s="136"/>
      <c r="BO67" s="136"/>
      <c r="BP67" s="136"/>
      <c r="BQ67" s="136"/>
      <c r="BR67" s="136"/>
      <c r="BS67" s="136"/>
      <c r="BT67" s="136"/>
      <c r="BU67" s="136"/>
      <c r="BV67" s="136"/>
      <c r="BW67" s="136"/>
      <c r="BX67" s="136"/>
      <c r="BY67" s="136"/>
      <c r="BZ67" s="136"/>
      <c r="CA67" s="136"/>
      <c r="CB67" s="136"/>
      <c r="CC67" s="136"/>
      <c r="CD67" s="136"/>
      <c r="CE67" s="136"/>
      <c r="CF67" s="136"/>
      <c r="CG67" s="136"/>
      <c r="CH67" s="136"/>
      <c r="CI67" s="136"/>
      <c r="CJ67" s="136"/>
      <c r="CK67" s="136"/>
      <c r="CL67" s="136"/>
      <c r="CM67" s="136"/>
      <c r="CN67" s="136"/>
      <c r="CO67" s="136"/>
      <c r="CP67" s="136"/>
      <c r="CQ67" s="136"/>
      <c r="CR67" s="134"/>
      <c r="CS67" s="134"/>
      <c r="CT67" s="134"/>
      <c r="CU67" s="134"/>
    </row>
    <row r="68" spans="18:99" ht="6" customHeight="1"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/>
      <c r="AQ68" s="151"/>
      <c r="AR68" s="151"/>
      <c r="AS68" s="151"/>
      <c r="AT68" s="151"/>
      <c r="AU68" s="151"/>
      <c r="AV68" s="151"/>
      <c r="AW68" s="151"/>
      <c r="AX68" s="151"/>
      <c r="AY68" s="151"/>
      <c r="AZ68" s="151"/>
      <c r="BA68" s="151"/>
      <c r="BB68" s="151"/>
      <c r="BC68" s="151"/>
      <c r="BD68" s="150"/>
      <c r="BN68" s="137" t="s">
        <v>1603</v>
      </c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  <c r="CC68" s="137"/>
      <c r="CD68" s="137"/>
      <c r="CE68" s="137"/>
      <c r="CF68" s="137"/>
      <c r="CG68" s="137"/>
      <c r="CH68" s="137"/>
      <c r="CI68" s="137"/>
      <c r="CJ68" s="137"/>
      <c r="CK68" s="137"/>
      <c r="CL68" s="137"/>
      <c r="CM68" s="137"/>
      <c r="CN68" s="137"/>
      <c r="CO68" s="137"/>
      <c r="CP68" s="137"/>
      <c r="CQ68" s="137"/>
      <c r="CR68" s="138"/>
      <c r="CS68" s="138"/>
      <c r="CT68" s="138"/>
      <c r="CU68" s="138"/>
    </row>
    <row r="69" spans="18:99" ht="6" customHeight="1"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  <c r="AR69" s="151"/>
      <c r="AS69" s="151"/>
      <c r="AT69" s="151"/>
      <c r="AU69" s="151"/>
      <c r="AV69" s="151"/>
      <c r="AW69" s="151"/>
      <c r="AX69" s="151"/>
      <c r="AY69" s="151"/>
      <c r="AZ69" s="151"/>
      <c r="BA69" s="151"/>
      <c r="BB69" s="151"/>
      <c r="BC69" s="151"/>
      <c r="BD69" s="150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  <c r="CC69" s="137"/>
      <c r="CD69" s="137"/>
      <c r="CE69" s="137"/>
      <c r="CF69" s="137"/>
      <c r="CG69" s="137"/>
      <c r="CH69" s="137"/>
      <c r="CI69" s="137"/>
      <c r="CJ69" s="137"/>
      <c r="CK69" s="137"/>
      <c r="CL69" s="137"/>
      <c r="CM69" s="137"/>
      <c r="CN69" s="137"/>
      <c r="CO69" s="137"/>
      <c r="CP69" s="137"/>
      <c r="CQ69" s="137"/>
      <c r="CR69" s="138"/>
      <c r="CS69" s="138"/>
      <c r="CT69" s="138"/>
      <c r="CU69" s="138"/>
    </row>
    <row r="70" spans="18:99" ht="6" customHeight="1"/>
    <row r="71" spans="18:99" ht="6" customHeight="1">
      <c r="Z71" s="141" t="s">
        <v>1604</v>
      </c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8"/>
    </row>
    <row r="72" spans="18:99" ht="6" customHeight="1"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8"/>
    </row>
    <row r="73" spans="18:99" ht="6" customHeight="1"/>
    <row r="74" spans="18:99" ht="6" customHeight="1"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  <c r="BB74" s="140"/>
      <c r="BC74" s="140"/>
      <c r="BD74" s="140"/>
    </row>
    <row r="75" spans="18:99" ht="6" customHeight="1"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  <c r="AL75" s="140"/>
      <c r="AM75" s="140"/>
      <c r="AN75" s="140"/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  <c r="BA75" s="140"/>
      <c r="BB75" s="140"/>
      <c r="BC75" s="140"/>
      <c r="BD75" s="140"/>
    </row>
    <row r="76" spans="18:99" ht="6" customHeight="1"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  <c r="BB76" s="140"/>
      <c r="BC76" s="140"/>
      <c r="BD76" s="140"/>
    </row>
    <row r="77" spans="18:99" ht="6" customHeight="1">
      <c r="Z77" s="156" t="s">
        <v>1605</v>
      </c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  <c r="AR77" s="156"/>
      <c r="AS77" s="156"/>
      <c r="AT77" s="156"/>
      <c r="AU77" s="156"/>
      <c r="AV77" s="156"/>
      <c r="AW77" s="156"/>
      <c r="AX77" s="156"/>
      <c r="AY77" s="156"/>
      <c r="AZ77" s="156"/>
      <c r="BA77" s="156"/>
      <c r="BB77" s="156"/>
      <c r="BC77" s="156"/>
      <c r="BD77" s="157"/>
    </row>
    <row r="78" spans="18:99" ht="6" customHeight="1"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  <c r="AR78" s="156"/>
      <c r="AS78" s="156"/>
      <c r="AT78" s="156"/>
      <c r="AU78" s="156"/>
      <c r="AV78" s="156"/>
      <c r="AW78" s="156"/>
      <c r="AX78" s="156"/>
      <c r="AY78" s="156"/>
      <c r="AZ78" s="156"/>
      <c r="BA78" s="156"/>
      <c r="BB78" s="156"/>
      <c r="BC78" s="156"/>
      <c r="BD78" s="157"/>
    </row>
    <row r="79" spans="18:99" ht="6" customHeight="1"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7"/>
    </row>
    <row r="80" spans="18:99" ht="6" customHeight="1"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7"/>
    </row>
    <row r="81" spans="26:56" ht="6" customHeight="1"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7"/>
    </row>
    <row r="82" spans="26:56" ht="6" customHeight="1">
      <c r="Z82" s="156" t="s">
        <v>1606</v>
      </c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7"/>
    </row>
    <row r="83" spans="26:56" ht="6" customHeight="1"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7"/>
    </row>
    <row r="84" spans="26:56" ht="6" customHeight="1"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 s="156"/>
      <c r="AQ84" s="156"/>
      <c r="AR84" s="156"/>
      <c r="AS84" s="156"/>
      <c r="AT84" s="156"/>
      <c r="AU84" s="156"/>
      <c r="AV84" s="156"/>
      <c r="AW84" s="156"/>
      <c r="AX84" s="156"/>
      <c r="AY84" s="156"/>
      <c r="AZ84" s="156"/>
      <c r="BA84" s="156"/>
      <c r="BB84" s="156"/>
      <c r="BC84" s="156"/>
      <c r="BD84" s="157"/>
    </row>
    <row r="85" spans="26:56" ht="6" customHeight="1"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  <c r="AT85" s="156"/>
      <c r="AU85" s="156"/>
      <c r="AV85" s="156"/>
      <c r="AW85" s="156"/>
      <c r="AX85" s="156"/>
      <c r="AY85" s="156"/>
      <c r="AZ85" s="156"/>
      <c r="BA85" s="156"/>
      <c r="BB85" s="156"/>
      <c r="BC85" s="156"/>
      <c r="BD85" s="157"/>
    </row>
    <row r="86" spans="26:56" ht="6" customHeight="1"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156"/>
      <c r="AQ86" s="156"/>
      <c r="AR86" s="156"/>
      <c r="AS86" s="156"/>
      <c r="AT86" s="156"/>
      <c r="AU86" s="156"/>
      <c r="AV86" s="156"/>
      <c r="AW86" s="156"/>
      <c r="AX86" s="156"/>
      <c r="AY86" s="156"/>
      <c r="AZ86" s="156"/>
      <c r="BA86" s="156"/>
      <c r="BB86" s="156"/>
      <c r="BC86" s="156"/>
      <c r="BD86" s="157"/>
    </row>
    <row r="87" spans="26:56" ht="6" customHeight="1"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156"/>
      <c r="AQ87" s="156"/>
      <c r="AR87" s="156"/>
      <c r="AS87" s="156"/>
      <c r="AT87" s="156"/>
      <c r="AU87" s="156"/>
      <c r="AV87" s="156"/>
      <c r="AW87" s="156"/>
      <c r="AX87" s="156"/>
      <c r="AY87" s="156"/>
      <c r="AZ87" s="156"/>
      <c r="BA87" s="156"/>
      <c r="BB87" s="156"/>
      <c r="BC87" s="156"/>
      <c r="BD87" s="157"/>
    </row>
    <row r="88" spans="26:56" ht="6" customHeight="1"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7"/>
    </row>
    <row r="89" spans="26:56" ht="6" customHeight="1"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7"/>
    </row>
    <row r="90" spans="26:56" ht="6" customHeight="1">
      <c r="Z90" s="158" t="s">
        <v>1607</v>
      </c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  <c r="AN90" s="158"/>
      <c r="AO90" s="158"/>
      <c r="AP90" s="158"/>
      <c r="AQ90" s="158"/>
      <c r="AR90" s="158"/>
      <c r="AS90" s="158"/>
      <c r="AT90" s="158"/>
      <c r="AU90" s="158"/>
      <c r="AV90" s="158"/>
      <c r="AW90" s="158"/>
      <c r="AX90" s="158"/>
      <c r="AY90" s="158"/>
      <c r="AZ90" s="158"/>
      <c r="BA90" s="158"/>
      <c r="BB90" s="158"/>
      <c r="BC90" s="158"/>
      <c r="BD90" s="159"/>
    </row>
    <row r="91" spans="26:56" ht="6" customHeight="1"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  <c r="AQ91" s="158"/>
      <c r="AR91" s="158"/>
      <c r="AS91" s="158"/>
      <c r="AT91" s="158"/>
      <c r="AU91" s="158"/>
      <c r="AV91" s="158"/>
      <c r="AW91" s="158"/>
      <c r="AX91" s="158"/>
      <c r="AY91" s="158"/>
      <c r="AZ91" s="158"/>
      <c r="BA91" s="158"/>
      <c r="BB91" s="158"/>
      <c r="BC91" s="158"/>
      <c r="BD91" s="159"/>
    </row>
    <row r="92" spans="26:56" ht="6" customHeight="1"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  <c r="AM92" s="160"/>
      <c r="AN92" s="160"/>
      <c r="AO92" s="160"/>
      <c r="AP92" s="160"/>
      <c r="AQ92" s="160"/>
      <c r="AR92" s="160"/>
      <c r="AS92" s="160"/>
      <c r="AT92" s="160"/>
      <c r="AU92" s="160"/>
      <c r="AV92" s="160"/>
      <c r="AW92" s="160"/>
      <c r="AX92" s="160"/>
      <c r="AY92" s="160"/>
      <c r="AZ92" s="160"/>
      <c r="BA92" s="160"/>
      <c r="BB92" s="160"/>
      <c r="BC92" s="160"/>
      <c r="BD92" s="160"/>
    </row>
    <row r="93" spans="26:56" ht="6" customHeight="1">
      <c r="Z93" s="160"/>
      <c r="AA93" s="160"/>
      <c r="AB93" s="160"/>
      <c r="AC93" s="160"/>
      <c r="AD93" s="160"/>
      <c r="AE93" s="160"/>
      <c r="AF93" s="160"/>
      <c r="AG93" s="160"/>
      <c r="AH93" s="160"/>
      <c r="AI93" s="160"/>
      <c r="AJ93" s="160"/>
      <c r="AK93" s="160"/>
      <c r="AL93" s="160"/>
      <c r="AM93" s="160"/>
      <c r="AN93" s="160"/>
      <c r="AO93" s="160"/>
      <c r="AP93" s="160"/>
      <c r="AQ93" s="160"/>
      <c r="AR93" s="160"/>
      <c r="AS93" s="160"/>
      <c r="AT93" s="160"/>
      <c r="AU93" s="160"/>
      <c r="AV93" s="160"/>
      <c r="AW93" s="160"/>
      <c r="AX93" s="160"/>
      <c r="AY93" s="160"/>
      <c r="AZ93" s="160"/>
      <c r="BA93" s="160"/>
      <c r="BB93" s="160"/>
      <c r="BC93" s="160"/>
      <c r="BD93" s="160"/>
    </row>
    <row r="94" spans="26:56" ht="6" customHeight="1">
      <c r="Z94" s="160"/>
      <c r="AA94" s="160"/>
      <c r="AB94" s="160"/>
      <c r="AC94" s="160"/>
      <c r="AD94" s="160"/>
      <c r="AE94" s="160"/>
      <c r="AF94" s="160"/>
      <c r="AG94" s="160"/>
      <c r="AH94" s="160"/>
      <c r="AI94" s="160"/>
      <c r="AJ94" s="160"/>
      <c r="AK94" s="160"/>
      <c r="AL94" s="160"/>
      <c r="AM94" s="160"/>
      <c r="AN94" s="160"/>
      <c r="AO94" s="160"/>
      <c r="AP94" s="160"/>
      <c r="AQ94" s="160"/>
      <c r="AR94" s="160"/>
      <c r="AS94" s="160"/>
      <c r="AT94" s="160"/>
      <c r="AU94" s="160"/>
      <c r="AV94" s="160"/>
      <c r="AW94" s="160"/>
      <c r="AX94" s="160"/>
      <c r="AY94" s="160"/>
      <c r="AZ94" s="160"/>
      <c r="BA94" s="160"/>
      <c r="BB94" s="160"/>
      <c r="BC94" s="160"/>
      <c r="BD94" s="160"/>
    </row>
    <row r="95" spans="26:56" ht="6" customHeight="1">
      <c r="Z95" s="160"/>
      <c r="AA95" s="160"/>
      <c r="AB95" s="160"/>
      <c r="AC95" s="160"/>
      <c r="AD95" s="160"/>
      <c r="AE95" s="160"/>
      <c r="AF95" s="160"/>
      <c r="AG95" s="160"/>
      <c r="AH95" s="160"/>
      <c r="AI95" s="160"/>
      <c r="AJ95" s="160"/>
      <c r="AK95" s="160"/>
      <c r="AL95" s="160"/>
      <c r="AM95" s="160"/>
      <c r="AN95" s="160"/>
      <c r="AO95" s="160"/>
      <c r="AP95" s="160"/>
      <c r="AQ95" s="160"/>
      <c r="AR95" s="160"/>
      <c r="AS95" s="160"/>
      <c r="AT95" s="160"/>
      <c r="AU95" s="160"/>
      <c r="AV95" s="160"/>
      <c r="AW95" s="160"/>
      <c r="AX95" s="160"/>
      <c r="AY95" s="160"/>
      <c r="AZ95" s="160"/>
      <c r="BA95" s="160"/>
      <c r="BB95" s="160"/>
      <c r="BC95" s="160"/>
      <c r="BD95" s="160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DE4BA232-B487-41B6-9028-40DD657D588F}"/>
    <hyperlink ref="B51" r:id="rId2" xr:uid="{5FF3D90F-85DF-4709-88A8-271542CD663F}"/>
    <hyperlink ref="B57" r:id="rId3" xr:uid="{A8A46D33-F034-4039-A2BB-0034DE0F70DE}"/>
    <hyperlink ref="Z4" r:id="rId4" xr:uid="{3D6F7346-16D4-475C-A4E5-ADA2BC37283C}"/>
    <hyperlink ref="Z17" r:id="rId5" display="https://www.udemy.com/excel-mistrz-formul/?couponCode=STANDARDOWY" xr:uid="{81AF942F-F115-44E6-847F-A35DB1963224}"/>
    <hyperlink ref="Z26" r:id="rId6" xr:uid="{007D532C-0E94-4637-AEF3-8674E7DA39F2}"/>
    <hyperlink ref="Z40" r:id="rId7" display="https://www.udemy.com/excel-mistrz-formul/?couponCode=STANDARDOWY" xr:uid="{69868F65-5935-48D8-A036-D88A2BD15FBE}"/>
    <hyperlink ref="Z51" r:id="rId8" display="https://www.udemy.com/excel-mistrz-formul/?couponCode=STANDARDOWY" xr:uid="{B88B381F-F2B5-4D2E-8066-963619773B7A}"/>
    <hyperlink ref="Z62" r:id="rId9" display="https://www.udemy.com/excel-mistrz-formul/?couponCode=STANDARDOWY" xr:uid="{2B7E9D71-F0CA-4FD6-BE3A-F173EFE08693}"/>
    <hyperlink ref="Z71" r:id="rId10" display="https://www.udemy.com/excel-mistrz-formul/?couponCode=STANDARDOWY" xr:uid="{D2B539C0-ADAC-4C10-8541-51E62EE320FD}"/>
    <hyperlink ref="BN12" r:id="rId11" location="mistrz-excela-w-20-dni" xr:uid="{C63325AD-306A-4B69-93AB-F3729B917A59}"/>
    <hyperlink ref="BN37" r:id="rId12" location="mistrz-excela-w-20-dni" display="http://ksplus.komputerswiat.pl/sklep#mistrz-excela-w-20-dni" xr:uid="{42365DB7-758C-41D6-AAD1-80A49A0D842D}"/>
    <hyperlink ref="BN43" r:id="rId13" location="mistrz-excela-w-20-dni" display="http://ksplus.komputerswiat.pl/sklep#mistrz-excela-w-20-dni" xr:uid="{17B943F7-2BA8-4FE4-B2B1-577C022B0911}"/>
    <hyperlink ref="BN62" r:id="rId14" location="mistrz-excela-w-20-dni" display="http://ksplus.komputerswiat.pl/sklep#mistrz-excela-w-20-dni" xr:uid="{5A661BC6-4F9A-4C52-B5CF-986E32559B7D}"/>
    <hyperlink ref="BN68" r:id="rId15" location="mistrz-excela-w-20-dni" display="http://ksplus.komputerswiat.pl/sklep#mistrz-excela-w-20-dni" xr:uid="{0F4FA8E9-7066-476B-B1B3-2AAB24FB8659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7">
    <tabColor rgb="FFEEEE22"/>
  </sheetPr>
  <dimension ref="A1:E15"/>
  <sheetViews>
    <sheetView zoomScale="130" zoomScaleNormal="130" workbookViewId="0"/>
  </sheetViews>
  <sheetFormatPr defaultRowHeight="14.4"/>
  <cols>
    <col min="1" max="16384" width="8.88671875" style="37"/>
  </cols>
  <sheetData>
    <row r="1" spans="1:5">
      <c r="A1" s="121" t="s">
        <v>1565</v>
      </c>
    </row>
    <row r="2" spans="1:5">
      <c r="A2" s="122" t="s">
        <v>315</v>
      </c>
      <c r="C2" s="37" t="s">
        <v>1568</v>
      </c>
      <c r="E2" s="122" t="str">
        <f>HYPERLINK("#Zamówienie!A1","Arkusz Zamówienia")</f>
        <v>Arkusz Zamówienia</v>
      </c>
    </row>
    <row r="3" spans="1:5">
      <c r="A3" s="122" t="s">
        <v>314</v>
      </c>
    </row>
    <row r="4" spans="1:5">
      <c r="A4" s="122" t="s">
        <v>316</v>
      </c>
    </row>
    <row r="5" spans="1:5">
      <c r="A5" s="122" t="s">
        <v>317</v>
      </c>
    </row>
    <row r="6" spans="1:5">
      <c r="A6" s="122" t="s">
        <v>1566</v>
      </c>
    </row>
    <row r="7" spans="1:5">
      <c r="A7" s="122" t="s">
        <v>319</v>
      </c>
    </row>
    <row r="8" spans="1:5">
      <c r="A8" s="122" t="s">
        <v>318</v>
      </c>
    </row>
    <row r="9" spans="1:5">
      <c r="A9" s="122" t="s">
        <v>1567</v>
      </c>
    </row>
    <row r="10" spans="1:5">
      <c r="A10" s="122" t="s">
        <v>320</v>
      </c>
    </row>
    <row r="11" spans="1:5">
      <c r="A11" s="122" t="s">
        <v>321</v>
      </c>
    </row>
    <row r="12" spans="1:5">
      <c r="A12" s="122" t="s">
        <v>322</v>
      </c>
    </row>
    <row r="13" spans="1:5">
      <c r="A13" s="122" t="s">
        <v>323</v>
      </c>
    </row>
    <row r="14" spans="1:5">
      <c r="A14" s="122" t="s">
        <v>324</v>
      </c>
    </row>
    <row r="15" spans="1:5">
      <c r="A15" s="122" t="s">
        <v>17</v>
      </c>
    </row>
  </sheetData>
  <hyperlinks>
    <hyperlink ref="A2" location="'BłędySpacje'!A1" display="BłędySpacje" xr:uid="{00000000-0004-0000-0000-000000000000}"/>
    <hyperlink ref="A3" location="'BłędyFormatowanie'!A1" display="BłędyFormatowanie" xr:uid="{00000000-0004-0000-0000-000001000000}"/>
    <hyperlink ref="A4" location="'BłędyLiczbaTekst'!A1" display="BłędyLiczbaTekst" xr:uid="{00000000-0004-0000-0000-000002000000}"/>
    <hyperlink ref="A5" location="'Zamówienie'!A1" display="Zamówienie" xr:uid="{00000000-0004-0000-0000-000003000000}"/>
    <hyperlink ref="A6" location="'PierwszaWartość'!A1" display="PierwszaWartość" xr:uid="{00000000-0004-0000-0000-000004000000}"/>
    <hyperlink ref="A7" location="'Wyszukaj vs Jeżeli'!A1" display="Wyszukaj vs Jeżeli" xr:uid="{00000000-0004-0000-0000-000005000000}"/>
    <hyperlink ref="A8" location="'Poziomo'!A1" display="Poziomo" xr:uid="{00000000-0004-0000-0000-000006000000}"/>
    <hyperlink ref="A9" location="'2Warunki'!A1" display="2Warunki" xr:uid="{00000000-0004-0000-0000-000007000000}"/>
    <hyperlink ref="A10" location="'RóżneKolumny'!A1" display="RóżneKolumny" xr:uid="{00000000-0004-0000-0000-000008000000}"/>
    <hyperlink ref="A11" location="'2D'!A1" display="2D" xr:uid="{00000000-0004-0000-0000-000009000000}"/>
    <hyperlink ref="A12" location="'Znajdź'!A1" display="Znajdź" xr:uid="{00000000-0004-0000-0000-00000A000000}"/>
    <hyperlink ref="A13" location="'Zamień'!A1" display="Zamień" xr:uid="{00000000-0004-0000-0000-00000B000000}"/>
    <hyperlink ref="A14" location="'ZamieńFormuły'!A1" display="ZamieńFormuły" xr:uid="{00000000-0004-0000-0000-00000C000000}"/>
    <hyperlink ref="A15" location="'Suma'!A1" display="Suma" xr:uid="{00000000-0004-0000-0000-00000D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1E73BE"/>
  </sheetPr>
  <dimension ref="A1:I25"/>
  <sheetViews>
    <sheetView zoomScale="115" zoomScaleNormal="115" workbookViewId="0"/>
  </sheetViews>
  <sheetFormatPr defaultColWidth="9.109375" defaultRowHeight="14.4"/>
  <cols>
    <col min="1" max="1" width="10.109375" style="67" customWidth="1"/>
    <col min="2" max="2" width="12.88671875" style="67" customWidth="1"/>
    <col min="3" max="3" width="8.33203125" style="67" customWidth="1"/>
    <col min="4" max="4" width="14.5546875" style="67" customWidth="1"/>
    <col min="5" max="5" width="5.109375" style="67" customWidth="1"/>
    <col min="6" max="6" width="9.33203125" style="67" customWidth="1"/>
    <col min="7" max="7" width="8.44140625" style="67" customWidth="1"/>
    <col min="8" max="8" width="30.109375" style="67" customWidth="1"/>
    <col min="9" max="9" width="9" style="67" bestFit="1" customWidth="1"/>
    <col min="10" max="16384" width="9.109375" style="67"/>
  </cols>
  <sheetData>
    <row r="1" spans="1:9">
      <c r="A1" s="41" t="s">
        <v>12</v>
      </c>
      <c r="B1" s="41" t="s">
        <v>13</v>
      </c>
      <c r="C1" s="41" t="s">
        <v>14</v>
      </c>
      <c r="D1" s="41" t="s">
        <v>18</v>
      </c>
      <c r="F1" s="41" t="s">
        <v>12</v>
      </c>
      <c r="G1" s="41" t="s">
        <v>18</v>
      </c>
      <c r="H1" s="41" t="s">
        <v>15</v>
      </c>
      <c r="I1" s="41" t="s">
        <v>16</v>
      </c>
    </row>
    <row r="2" spans="1:9">
      <c r="A2" s="88" t="s">
        <v>19</v>
      </c>
      <c r="B2" s="88" t="s">
        <v>20</v>
      </c>
      <c r="C2" s="88">
        <v>84</v>
      </c>
      <c r="D2" s="90" t="str">
        <f>IFERROR(VLOOKUP(A2,$F$2:$I$20,2,FALSE),"Brak ISBN")</f>
        <v>andaex</v>
      </c>
      <c r="F2" s="88" t="s">
        <v>19</v>
      </c>
      <c r="G2" s="88" t="s">
        <v>21</v>
      </c>
      <c r="H2" s="88" t="s">
        <v>22</v>
      </c>
      <c r="I2" s="109">
        <v>69</v>
      </c>
    </row>
    <row r="3" spans="1:9">
      <c r="A3" s="88" t="s">
        <v>23</v>
      </c>
      <c r="B3" s="88" t="s">
        <v>24</v>
      </c>
      <c r="C3" s="88">
        <v>53</v>
      </c>
      <c r="D3" s="90" t="str">
        <f t="shared" ref="D3:D25" si="0">IFERROR(VLOOKUP(A3,$F$2:$I$20,2,FALSE),"Brak ISBN")</f>
        <v>ex23bi</v>
      </c>
      <c r="F3" s="88" t="s">
        <v>25</v>
      </c>
      <c r="G3" s="88" t="s">
        <v>26</v>
      </c>
      <c r="H3" s="88" t="s">
        <v>102</v>
      </c>
      <c r="I3" s="109">
        <v>14.9</v>
      </c>
    </row>
    <row r="4" spans="1:9">
      <c r="A4" s="88" t="s">
        <v>28</v>
      </c>
      <c r="B4" s="88" t="s">
        <v>29</v>
      </c>
      <c r="C4" s="88">
        <v>93</v>
      </c>
      <c r="D4" s="90" t="str">
        <f t="shared" si="0"/>
        <v>ex27aw</v>
      </c>
      <c r="F4" s="88" t="s">
        <v>30</v>
      </c>
      <c r="G4" s="88" t="s">
        <v>31</v>
      </c>
      <c r="H4" s="88" t="s">
        <v>32</v>
      </c>
      <c r="I4" s="109">
        <v>14.9</v>
      </c>
    </row>
    <row r="5" spans="1:9">
      <c r="A5" s="88" t="s">
        <v>33</v>
      </c>
      <c r="B5" s="88" t="s">
        <v>24</v>
      </c>
      <c r="C5" s="88">
        <v>58</v>
      </c>
      <c r="D5" s="90" t="str">
        <f t="shared" si="0"/>
        <v>ex27bv</v>
      </c>
      <c r="F5" s="88" t="s">
        <v>34</v>
      </c>
      <c r="G5" s="88" t="s">
        <v>35</v>
      </c>
      <c r="H5" s="88" t="s">
        <v>36</v>
      </c>
      <c r="I5" s="109">
        <v>14.9</v>
      </c>
    </row>
    <row r="6" spans="1:9">
      <c r="A6" s="117" t="s">
        <v>37</v>
      </c>
      <c r="B6" s="88" t="s">
        <v>38</v>
      </c>
      <c r="C6" s="88">
        <v>77</v>
      </c>
      <c r="D6" s="90" t="str">
        <f t="shared" si="0"/>
        <v>ex27pp</v>
      </c>
      <c r="F6" s="88" t="s">
        <v>39</v>
      </c>
      <c r="G6" s="88" t="s">
        <v>40</v>
      </c>
      <c r="H6" s="88" t="s">
        <v>41</v>
      </c>
      <c r="I6" s="109">
        <v>18.989999999999998</v>
      </c>
    </row>
    <row r="7" spans="1:9">
      <c r="A7" s="88" t="s">
        <v>42</v>
      </c>
      <c r="B7" s="88" t="s">
        <v>43</v>
      </c>
      <c r="C7" s="88">
        <v>78</v>
      </c>
      <c r="D7" s="90" t="str">
        <f t="shared" si="0"/>
        <v>ex27sp</v>
      </c>
      <c r="F7" s="88" t="s">
        <v>44</v>
      </c>
      <c r="G7" s="88" t="s">
        <v>45</v>
      </c>
      <c r="H7" s="88" t="s">
        <v>46</v>
      </c>
      <c r="I7" s="109">
        <v>99</v>
      </c>
    </row>
    <row r="8" spans="1:9">
      <c r="A8" s="118" t="s">
        <v>47</v>
      </c>
      <c r="B8" s="88" t="s">
        <v>48</v>
      </c>
      <c r="C8" s="88">
        <v>49</v>
      </c>
      <c r="D8" s="90" t="str">
        <f t="shared" si="0"/>
        <v>Brak ISBN</v>
      </c>
      <c r="F8" s="119" t="s">
        <v>49</v>
      </c>
      <c r="G8" s="88" t="s">
        <v>50</v>
      </c>
      <c r="H8" s="88" t="s">
        <v>51</v>
      </c>
      <c r="I8" s="109">
        <v>99</v>
      </c>
    </row>
    <row r="9" spans="1:9">
      <c r="A9" s="88" t="s">
        <v>52</v>
      </c>
      <c r="B9" s="88" t="s">
        <v>53</v>
      </c>
      <c r="C9" s="88">
        <v>54</v>
      </c>
      <c r="D9" s="90" t="str">
        <f t="shared" si="0"/>
        <v>ex10ku_p</v>
      </c>
      <c r="F9" s="88" t="s">
        <v>54</v>
      </c>
      <c r="G9" s="88" t="s">
        <v>55</v>
      </c>
      <c r="H9" s="88" t="s">
        <v>56</v>
      </c>
      <c r="I9" s="109">
        <v>49</v>
      </c>
    </row>
    <row r="10" spans="1:9">
      <c r="A10" s="119" t="s">
        <v>49</v>
      </c>
      <c r="B10" s="88" t="s">
        <v>24</v>
      </c>
      <c r="C10" s="88">
        <v>61</v>
      </c>
      <c r="D10" s="90" t="str">
        <f t="shared" si="0"/>
        <v>e21pvb</v>
      </c>
      <c r="F10" s="88" t="s">
        <v>52</v>
      </c>
      <c r="G10" s="88" t="s">
        <v>57</v>
      </c>
      <c r="H10" s="88" t="s">
        <v>58</v>
      </c>
      <c r="I10" s="109">
        <v>27.9</v>
      </c>
    </row>
    <row r="11" spans="1:9">
      <c r="A11" s="88" t="s">
        <v>25</v>
      </c>
      <c r="B11" s="88" t="s">
        <v>59</v>
      </c>
      <c r="C11" s="88">
        <v>48</v>
      </c>
      <c r="D11" s="90" t="str">
        <f t="shared" si="0"/>
        <v>cwex10_e</v>
      </c>
      <c r="F11" s="88" t="s">
        <v>23</v>
      </c>
      <c r="G11" s="88" t="s">
        <v>61</v>
      </c>
      <c r="H11" s="88" t="s">
        <v>62</v>
      </c>
      <c r="I11" s="109">
        <v>99.9</v>
      </c>
    </row>
    <row r="12" spans="1:9">
      <c r="A12" s="88" t="s">
        <v>30</v>
      </c>
      <c r="B12" s="88" t="s">
        <v>59</v>
      </c>
      <c r="C12" s="88">
        <v>39</v>
      </c>
      <c r="D12" s="90" t="str">
        <f t="shared" si="0"/>
        <v>cwex10_m</v>
      </c>
      <c r="F12" s="88" t="s">
        <v>28</v>
      </c>
      <c r="G12" s="88" t="s">
        <v>63</v>
      </c>
      <c r="H12" s="88" t="s">
        <v>64</v>
      </c>
      <c r="I12" s="109">
        <v>49</v>
      </c>
    </row>
    <row r="13" spans="1:9">
      <c r="A13" s="88" t="s">
        <v>34</v>
      </c>
      <c r="B13" s="88" t="s">
        <v>59</v>
      </c>
      <c r="C13" s="88">
        <v>23</v>
      </c>
      <c r="D13" s="90" t="str">
        <f t="shared" si="0"/>
        <v>cwex10_p</v>
      </c>
      <c r="F13" s="88" t="s">
        <v>67</v>
      </c>
      <c r="G13" s="88" t="s">
        <v>68</v>
      </c>
      <c r="H13" s="88" t="s">
        <v>69</v>
      </c>
      <c r="I13" s="109">
        <v>89</v>
      </c>
    </row>
    <row r="14" spans="1:9">
      <c r="A14" s="118" t="s">
        <v>65</v>
      </c>
      <c r="B14" s="88" t="s">
        <v>66</v>
      </c>
      <c r="C14" s="88">
        <v>21</v>
      </c>
      <c r="D14" s="90" t="str">
        <f t="shared" si="0"/>
        <v>Brak ISBN</v>
      </c>
      <c r="F14" s="88" t="s">
        <v>33</v>
      </c>
      <c r="G14" s="88" t="s">
        <v>72</v>
      </c>
      <c r="H14" s="88" t="s">
        <v>73</v>
      </c>
      <c r="I14" s="109">
        <v>109</v>
      </c>
    </row>
    <row r="15" spans="1:9">
      <c r="A15" s="118" t="s">
        <v>70</v>
      </c>
      <c r="B15" s="88" t="s">
        <v>71</v>
      </c>
      <c r="C15" s="88">
        <v>94</v>
      </c>
      <c r="D15" s="90" t="str">
        <f t="shared" si="0"/>
        <v>Brak ISBN</v>
      </c>
      <c r="F15" s="117" t="s">
        <v>37</v>
      </c>
      <c r="G15" s="88" t="s">
        <v>78</v>
      </c>
      <c r="H15" s="88" t="s">
        <v>79</v>
      </c>
      <c r="I15" s="109">
        <v>14.9</v>
      </c>
    </row>
    <row r="16" spans="1:9">
      <c r="A16" s="118" t="s">
        <v>74</v>
      </c>
      <c r="B16" s="88" t="s">
        <v>66</v>
      </c>
      <c r="C16" s="88">
        <v>81</v>
      </c>
      <c r="D16" s="90" t="str">
        <f t="shared" si="0"/>
        <v>Brak ISBN</v>
      </c>
      <c r="F16" s="88" t="s">
        <v>42</v>
      </c>
      <c r="G16" s="88" t="s">
        <v>81</v>
      </c>
      <c r="H16" s="88" t="s">
        <v>82</v>
      </c>
      <c r="I16" s="109">
        <v>39</v>
      </c>
    </row>
    <row r="17" spans="1:9">
      <c r="A17" s="88" t="s">
        <v>54</v>
      </c>
      <c r="B17" s="88" t="s">
        <v>77</v>
      </c>
      <c r="C17" s="88">
        <v>30</v>
      </c>
      <c r="D17" s="90" t="str">
        <f t="shared" si="0"/>
        <v>e27aae</v>
      </c>
      <c r="F17" s="88" t="s">
        <v>84</v>
      </c>
      <c r="G17" s="88" t="s">
        <v>85</v>
      </c>
      <c r="H17" s="88" t="s">
        <v>86</v>
      </c>
      <c r="I17" s="109">
        <v>79</v>
      </c>
    </row>
    <row r="18" spans="1:9">
      <c r="A18" s="88" t="s">
        <v>67</v>
      </c>
      <c r="B18" s="88" t="s">
        <v>80</v>
      </c>
      <c r="C18" s="88">
        <v>9</v>
      </c>
      <c r="D18" s="90" t="str">
        <f t="shared" si="0"/>
        <v>ex27b3</v>
      </c>
      <c r="F18" s="88" t="s">
        <v>90</v>
      </c>
      <c r="G18" s="88" t="s">
        <v>93</v>
      </c>
      <c r="H18" s="88" t="s">
        <v>94</v>
      </c>
      <c r="I18" s="109">
        <v>49</v>
      </c>
    </row>
    <row r="19" spans="1:9">
      <c r="A19" s="118" t="s">
        <v>75</v>
      </c>
      <c r="B19" s="88" t="s">
        <v>83</v>
      </c>
      <c r="C19" s="88">
        <v>87</v>
      </c>
      <c r="D19" s="90" t="str">
        <f t="shared" si="0"/>
        <v>Brak ISBN</v>
      </c>
      <c r="F19" s="88" t="s">
        <v>95</v>
      </c>
      <c r="G19" s="88" t="s">
        <v>96</v>
      </c>
      <c r="H19" s="88" t="s">
        <v>97</v>
      </c>
      <c r="I19" s="109">
        <v>37</v>
      </c>
    </row>
    <row r="20" spans="1:9">
      <c r="A20" s="88" t="s">
        <v>84</v>
      </c>
      <c r="B20" s="88" t="s">
        <v>87</v>
      </c>
      <c r="C20" s="88">
        <v>99</v>
      </c>
      <c r="D20" s="90" t="str">
        <f t="shared" si="0"/>
        <v>ex27wy</v>
      </c>
      <c r="F20" s="88" t="s">
        <v>98</v>
      </c>
      <c r="G20" s="88" t="s">
        <v>100</v>
      </c>
      <c r="H20" s="88" t="s">
        <v>101</v>
      </c>
      <c r="I20" s="109">
        <v>69</v>
      </c>
    </row>
    <row r="21" spans="1:9">
      <c r="A21" s="88" t="s">
        <v>44</v>
      </c>
      <c r="B21" s="88" t="s">
        <v>83</v>
      </c>
      <c r="C21" s="88">
        <v>45</v>
      </c>
      <c r="D21" s="90" t="str">
        <f t="shared" si="0"/>
        <v>e21fae</v>
      </c>
    </row>
    <row r="22" spans="1:9">
      <c r="A22" s="88" t="s">
        <v>90</v>
      </c>
      <c r="B22" s="88" t="s">
        <v>29</v>
      </c>
      <c r="C22" s="88">
        <v>42</v>
      </c>
      <c r="D22" s="90" t="str">
        <f t="shared" si="0"/>
        <v>prex27</v>
      </c>
    </row>
    <row r="23" spans="1:9">
      <c r="A23" s="88" t="s">
        <v>39</v>
      </c>
      <c r="B23" s="88" t="s">
        <v>92</v>
      </c>
      <c r="C23" s="88">
        <v>84</v>
      </c>
      <c r="D23" s="90" t="str">
        <f t="shared" si="0"/>
        <v>cwvba</v>
      </c>
      <c r="F23" s="120"/>
    </row>
    <row r="24" spans="1:9">
      <c r="A24" s="88" t="s">
        <v>95</v>
      </c>
      <c r="B24" s="88" t="s">
        <v>92</v>
      </c>
      <c r="C24" s="88">
        <v>7</v>
      </c>
      <c r="D24" s="90" t="str">
        <f t="shared" si="0"/>
        <v>vb27pp</v>
      </c>
    </row>
    <row r="25" spans="1:9">
      <c r="A25" s="88" t="s">
        <v>98</v>
      </c>
      <c r="B25" s="88" t="s">
        <v>99</v>
      </c>
      <c r="C25" s="88">
        <v>40</v>
      </c>
      <c r="D25" s="90" t="str">
        <f t="shared" si="0"/>
        <v>zmfexc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>
    <tabColor rgb="FF1E73BE"/>
  </sheetPr>
  <dimension ref="A1:F7"/>
  <sheetViews>
    <sheetView zoomScale="145" zoomScaleNormal="145" workbookViewId="0"/>
  </sheetViews>
  <sheetFormatPr defaultColWidth="9.109375" defaultRowHeight="14.4"/>
  <cols>
    <col min="1" max="1" width="8.44140625" style="67" bestFit="1" customWidth="1"/>
    <col min="2" max="2" width="7.88671875" style="67" bestFit="1" customWidth="1"/>
    <col min="3" max="3" width="7.109375" style="67" customWidth="1"/>
    <col min="4" max="4" width="6.6640625" style="67" customWidth="1"/>
    <col min="5" max="5" width="7.88671875" style="67" bestFit="1" customWidth="1"/>
    <col min="6" max="6" width="6.5546875" style="67" bestFit="1" customWidth="1"/>
    <col min="7" max="7" width="30.109375" style="67" customWidth="1"/>
    <col min="8" max="8" width="9" style="67" bestFit="1" customWidth="1"/>
    <col min="9" max="16384" width="9.109375" style="67"/>
  </cols>
  <sheetData>
    <row r="1" spans="1:6">
      <c r="A1" s="41" t="s">
        <v>103</v>
      </c>
      <c r="B1" s="41" t="s">
        <v>104</v>
      </c>
      <c r="C1" s="100" t="s">
        <v>105</v>
      </c>
      <c r="E1" s="41" t="s">
        <v>104</v>
      </c>
      <c r="F1" s="41" t="s">
        <v>105</v>
      </c>
    </row>
    <row r="2" spans="1:6">
      <c r="A2" s="88" t="s">
        <v>3</v>
      </c>
      <c r="B2" s="116">
        <v>0.87</v>
      </c>
      <c r="C2" s="71">
        <f>VLOOKUP(B2,$E$2:$F$7,2,1)</f>
        <v>4.5</v>
      </c>
      <c r="E2" s="116">
        <v>0</v>
      </c>
      <c r="F2" s="88">
        <v>2</v>
      </c>
    </row>
    <row r="3" spans="1:6">
      <c r="A3" s="88" t="s">
        <v>106</v>
      </c>
      <c r="B3" s="116">
        <v>0.79900000000000004</v>
      </c>
      <c r="C3" s="71">
        <f t="shared" ref="C3:C6" si="0">VLOOKUP(B3,$E$2:$F$7,2,1)</f>
        <v>4</v>
      </c>
      <c r="E3" s="116">
        <v>0.55000000000000004</v>
      </c>
      <c r="F3" s="88">
        <v>3</v>
      </c>
    </row>
    <row r="4" spans="1:6">
      <c r="A4" s="88" t="s">
        <v>7</v>
      </c>
      <c r="B4" s="116">
        <v>0.94</v>
      </c>
      <c r="C4" s="71">
        <f t="shared" si="0"/>
        <v>5</v>
      </c>
      <c r="E4" s="116">
        <v>0.65</v>
      </c>
      <c r="F4" s="88">
        <v>3.5</v>
      </c>
    </row>
    <row r="5" spans="1:6">
      <c r="A5" s="88" t="s">
        <v>5</v>
      </c>
      <c r="B5" s="116">
        <v>0.44</v>
      </c>
      <c r="C5" s="71">
        <f t="shared" si="0"/>
        <v>2</v>
      </c>
      <c r="E5" s="116">
        <v>0.7</v>
      </c>
      <c r="F5" s="88">
        <v>4</v>
      </c>
    </row>
    <row r="6" spans="1:6">
      <c r="A6" s="88" t="s">
        <v>107</v>
      </c>
      <c r="B6" s="116">
        <v>0.99</v>
      </c>
      <c r="C6" s="71">
        <f t="shared" si="0"/>
        <v>5</v>
      </c>
      <c r="E6" s="116">
        <v>0.8</v>
      </c>
      <c r="F6" s="88">
        <v>4.5</v>
      </c>
    </row>
    <row r="7" spans="1:6">
      <c r="E7" s="116">
        <v>0.9</v>
      </c>
      <c r="F7" s="88">
        <v>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tabColor rgb="FF1E73BE"/>
  </sheetPr>
  <dimension ref="A1:I13"/>
  <sheetViews>
    <sheetView zoomScale="130" zoomScaleNormal="130" workbookViewId="0"/>
  </sheetViews>
  <sheetFormatPr defaultColWidth="9.109375" defaultRowHeight="14.4"/>
  <cols>
    <col min="1" max="1" width="15.5546875" style="67" bestFit="1" customWidth="1"/>
    <col min="2" max="2" width="11.5546875" style="67" customWidth="1"/>
    <col min="3" max="3" width="8.33203125" style="67" customWidth="1"/>
    <col min="4" max="4" width="13.44140625" style="67" customWidth="1"/>
    <col min="5" max="5" width="12.33203125" style="67" customWidth="1"/>
    <col min="6" max="6" width="5.33203125" style="67" customWidth="1"/>
    <col min="7" max="7" width="10.33203125" style="67" bestFit="1" customWidth="1"/>
    <col min="8" max="8" width="9.88671875" style="67" customWidth="1"/>
    <col min="9" max="9" width="9" style="67" bestFit="1" customWidth="1"/>
    <col min="10" max="16384" width="9.109375" style="67"/>
  </cols>
  <sheetData>
    <row r="1" spans="1:9">
      <c r="A1" s="41" t="s">
        <v>108</v>
      </c>
      <c r="B1" s="41" t="s">
        <v>109</v>
      </c>
      <c r="C1" s="41" t="s">
        <v>14</v>
      </c>
      <c r="D1" s="41" t="s">
        <v>16</v>
      </c>
      <c r="E1" s="41" t="s">
        <v>17</v>
      </c>
      <c r="G1" s="41" t="s">
        <v>109</v>
      </c>
      <c r="H1" s="41" t="s">
        <v>110</v>
      </c>
      <c r="I1" s="41" t="s">
        <v>16</v>
      </c>
    </row>
    <row r="2" spans="1:9">
      <c r="A2" s="105">
        <v>41644</v>
      </c>
      <c r="B2" s="88">
        <v>679</v>
      </c>
      <c r="C2" s="88">
        <v>84</v>
      </c>
      <c r="D2" s="90">
        <f>VLOOKUP(B2,$G$2:$I$6,3,0)</f>
        <v>14.9</v>
      </c>
      <c r="E2" s="90"/>
      <c r="G2" s="115">
        <v>553</v>
      </c>
      <c r="H2" s="88" t="s">
        <v>9</v>
      </c>
      <c r="I2" s="109">
        <v>69</v>
      </c>
    </row>
    <row r="3" spans="1:9">
      <c r="A3" s="105">
        <v>41645</v>
      </c>
      <c r="B3" s="110">
        <v>969</v>
      </c>
      <c r="C3" s="88">
        <v>53</v>
      </c>
      <c r="D3" s="90">
        <f t="shared" ref="D3:D13" si="0">VLOOKUP(B3,$G$2:$I$6,3,0)</f>
        <v>15.9</v>
      </c>
      <c r="E3" s="90"/>
      <c r="G3" s="108">
        <v>679</v>
      </c>
      <c r="H3" s="110" t="s">
        <v>1</v>
      </c>
      <c r="I3" s="109">
        <v>14.9</v>
      </c>
    </row>
    <row r="4" spans="1:9">
      <c r="A4" s="105">
        <v>41646</v>
      </c>
      <c r="B4" s="88">
        <v>553</v>
      </c>
      <c r="C4" s="88">
        <v>93</v>
      </c>
      <c r="D4" s="90">
        <f t="shared" si="0"/>
        <v>69</v>
      </c>
      <c r="E4" s="90"/>
      <c r="G4" s="111">
        <v>969</v>
      </c>
      <c r="H4" s="88" t="s">
        <v>2</v>
      </c>
      <c r="I4" s="109">
        <v>15.9</v>
      </c>
    </row>
    <row r="5" spans="1:9">
      <c r="A5" s="105">
        <v>41647</v>
      </c>
      <c r="B5" s="110">
        <v>969</v>
      </c>
      <c r="C5" s="88">
        <v>58</v>
      </c>
      <c r="D5" s="90">
        <f t="shared" si="0"/>
        <v>15.9</v>
      </c>
      <c r="E5" s="90"/>
      <c r="G5" s="111">
        <v>782</v>
      </c>
      <c r="H5" s="110" t="s">
        <v>8</v>
      </c>
      <c r="I5" s="109">
        <v>18.989999999999998</v>
      </c>
    </row>
    <row r="6" spans="1:9">
      <c r="A6" s="105">
        <v>41648</v>
      </c>
      <c r="B6" s="110">
        <v>969</v>
      </c>
      <c r="C6" s="88">
        <v>77</v>
      </c>
      <c r="D6" s="90">
        <f t="shared" si="0"/>
        <v>15.9</v>
      </c>
      <c r="E6" s="90"/>
      <c r="G6" s="108">
        <v>480</v>
      </c>
      <c r="H6" s="110" t="s">
        <v>111</v>
      </c>
      <c r="I6" s="109">
        <v>99</v>
      </c>
    </row>
    <row r="7" spans="1:9">
      <c r="A7" s="105">
        <v>41649</v>
      </c>
      <c r="B7" s="88">
        <v>679</v>
      </c>
      <c r="C7" s="88">
        <v>78</v>
      </c>
      <c r="D7" s="90">
        <f t="shared" si="0"/>
        <v>14.9</v>
      </c>
      <c r="E7" s="90"/>
    </row>
    <row r="8" spans="1:9">
      <c r="A8" s="105">
        <v>41650</v>
      </c>
      <c r="B8" s="88">
        <v>969</v>
      </c>
      <c r="C8" s="88">
        <v>49</v>
      </c>
      <c r="D8" s="90">
        <f t="shared" si="0"/>
        <v>15.9</v>
      </c>
      <c r="E8" s="90"/>
      <c r="G8" s="114"/>
    </row>
    <row r="9" spans="1:9">
      <c r="A9" s="105">
        <v>41651</v>
      </c>
      <c r="B9" s="88">
        <v>679</v>
      </c>
      <c r="C9" s="88">
        <v>54</v>
      </c>
      <c r="D9" s="90">
        <f t="shared" si="0"/>
        <v>14.9</v>
      </c>
      <c r="E9" s="90"/>
      <c r="G9" s="67" t="b">
        <f>B4=G2</f>
        <v>1</v>
      </c>
    </row>
    <row r="10" spans="1:9">
      <c r="A10" s="105">
        <v>41652</v>
      </c>
      <c r="B10" s="88">
        <v>782</v>
      </c>
      <c r="C10" s="88">
        <v>61</v>
      </c>
      <c r="D10" s="90">
        <f t="shared" si="0"/>
        <v>18.989999999999998</v>
      </c>
      <c r="E10" s="90"/>
      <c r="G10" s="67">
        <f>"555"+1</f>
        <v>556</v>
      </c>
    </row>
    <row r="11" spans="1:9">
      <c r="A11" s="105">
        <v>41653</v>
      </c>
      <c r="B11" s="88">
        <v>480</v>
      </c>
      <c r="C11" s="88">
        <v>48</v>
      </c>
      <c r="D11" s="90">
        <f t="shared" si="0"/>
        <v>99</v>
      </c>
      <c r="E11" s="90"/>
    </row>
    <row r="12" spans="1:9">
      <c r="A12" s="105">
        <v>41654</v>
      </c>
      <c r="B12" s="88">
        <v>782</v>
      </c>
      <c r="C12" s="88">
        <v>39</v>
      </c>
      <c r="D12" s="90">
        <f t="shared" si="0"/>
        <v>18.989999999999998</v>
      </c>
      <c r="E12" s="90"/>
    </row>
    <row r="13" spans="1:9">
      <c r="A13" s="105">
        <v>41655</v>
      </c>
      <c r="B13" s="88">
        <v>969</v>
      </c>
      <c r="C13" s="88">
        <v>23</v>
      </c>
      <c r="D13" s="90">
        <f t="shared" si="0"/>
        <v>15.9</v>
      </c>
      <c r="E13" s="9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rgb="FF1E73BE"/>
  </sheetPr>
  <dimension ref="A1:H8"/>
  <sheetViews>
    <sheetView zoomScale="130" zoomScaleNormal="130" workbookViewId="0"/>
  </sheetViews>
  <sheetFormatPr defaultColWidth="9.109375" defaultRowHeight="14.4"/>
  <cols>
    <col min="1" max="1" width="15.5546875" style="67" bestFit="1" customWidth="1"/>
    <col min="2" max="2" width="11.5546875" style="67" customWidth="1"/>
    <col min="3" max="3" width="8.33203125" style="67" customWidth="1"/>
    <col min="4" max="4" width="13.44140625" style="67" customWidth="1"/>
    <col min="5" max="5" width="12.33203125" style="67" customWidth="1"/>
    <col min="6" max="6" width="10.33203125" style="67" bestFit="1" customWidth="1"/>
    <col min="7" max="8" width="7.88671875" style="67" bestFit="1" customWidth="1"/>
    <col min="9" max="16384" width="9.109375" style="67"/>
  </cols>
  <sheetData>
    <row r="1" spans="1:8">
      <c r="A1" s="41" t="s">
        <v>112</v>
      </c>
      <c r="B1" s="41" t="s">
        <v>14</v>
      </c>
      <c r="C1" s="41" t="s">
        <v>16</v>
      </c>
      <c r="D1" s="41" t="s">
        <v>17</v>
      </c>
      <c r="E1" s="37"/>
      <c r="F1" s="41" t="s">
        <v>109</v>
      </c>
      <c r="G1" s="41" t="s">
        <v>110</v>
      </c>
      <c r="H1" s="41" t="s">
        <v>16</v>
      </c>
    </row>
    <row r="2" spans="1:8">
      <c r="A2" s="88" t="s">
        <v>2</v>
      </c>
      <c r="B2" s="88">
        <v>2</v>
      </c>
      <c r="C2" s="107">
        <f>_xlfn.IFNA(VLOOKUP(A2,$G$2:$H$6,2,0),"")</f>
        <v>15.9</v>
      </c>
      <c r="D2" s="90">
        <f>IF(C2="","",B2*C2)</f>
        <v>31.8</v>
      </c>
      <c r="F2" s="108">
        <v>553</v>
      </c>
      <c r="G2" s="88" t="s">
        <v>9</v>
      </c>
      <c r="H2" s="109">
        <v>69</v>
      </c>
    </row>
    <row r="3" spans="1:8">
      <c r="A3" s="88" t="s">
        <v>9</v>
      </c>
      <c r="B3" s="88"/>
      <c r="C3" s="107">
        <f t="shared" ref="C3:C6" si="0">_xlfn.IFNA(VLOOKUP(A3,$G$2:$H$6,2,0),"")</f>
        <v>69</v>
      </c>
      <c r="D3" s="90">
        <f t="shared" ref="D3:D6" si="1">IF(C3="","",B3*C3)</f>
        <v>0</v>
      </c>
      <c r="F3" s="108">
        <v>679</v>
      </c>
      <c r="G3" s="110" t="s">
        <v>1</v>
      </c>
      <c r="H3" s="109">
        <v>14.9</v>
      </c>
    </row>
    <row r="4" spans="1:8">
      <c r="A4" s="88"/>
      <c r="B4" s="88">
        <v>3</v>
      </c>
      <c r="C4" s="107" t="str">
        <f t="shared" si="0"/>
        <v/>
      </c>
      <c r="D4" s="90" t="str">
        <f t="shared" si="1"/>
        <v/>
      </c>
      <c r="F4" s="111">
        <v>969</v>
      </c>
      <c r="G4" s="88" t="s">
        <v>2</v>
      </c>
      <c r="H4" s="109">
        <v>15.9</v>
      </c>
    </row>
    <row r="5" spans="1:8">
      <c r="A5" s="88"/>
      <c r="B5" s="88"/>
      <c r="C5" s="107" t="str">
        <f t="shared" si="0"/>
        <v/>
      </c>
      <c r="D5" s="90" t="str">
        <f t="shared" si="1"/>
        <v/>
      </c>
      <c r="F5" s="111">
        <v>782</v>
      </c>
      <c r="G5" s="110" t="s">
        <v>8</v>
      </c>
      <c r="H5" s="109">
        <v>18.989999999999998</v>
      </c>
    </row>
    <row r="6" spans="1:8">
      <c r="A6" s="88"/>
      <c r="B6" s="88"/>
      <c r="C6" s="107" t="str">
        <f t="shared" si="0"/>
        <v/>
      </c>
      <c r="D6" s="90" t="str">
        <f t="shared" si="1"/>
        <v/>
      </c>
      <c r="F6" s="108">
        <v>480</v>
      </c>
      <c r="G6" s="110" t="s">
        <v>111</v>
      </c>
      <c r="H6" s="109">
        <v>99</v>
      </c>
    </row>
    <row r="7" spans="1:8">
      <c r="C7" s="112" t="s">
        <v>113</v>
      </c>
      <c r="D7" s="107">
        <f>SUM(D2:D6)</f>
        <v>31.8</v>
      </c>
      <c r="E7" s="113"/>
    </row>
    <row r="8" spans="1:8">
      <c r="F8" s="114"/>
    </row>
  </sheetData>
  <dataValidations count="1">
    <dataValidation type="list" allowBlank="1" showInputMessage="1" showErrorMessage="1" sqref="A2:A6" xr:uid="{00000000-0002-0000-0400-000000000000}">
      <formula1>$G$2:$G$6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>
    <tabColor rgb="FF1E73BE"/>
  </sheetPr>
  <dimension ref="A1:G13"/>
  <sheetViews>
    <sheetView zoomScale="130" zoomScaleNormal="130" workbookViewId="0"/>
  </sheetViews>
  <sheetFormatPr defaultColWidth="9.109375" defaultRowHeight="14.4"/>
  <cols>
    <col min="1" max="1" width="15.33203125" style="67" bestFit="1" customWidth="1"/>
    <col min="2" max="2" width="11.88671875" style="67" hidden="1" customWidth="1"/>
    <col min="3" max="3" width="9.109375" style="67"/>
    <col min="4" max="4" width="2.88671875" style="67" customWidth="1"/>
    <col min="5" max="5" width="15.33203125" style="67" bestFit="1" customWidth="1"/>
    <col min="6" max="6" width="11.5546875" style="67" bestFit="1" customWidth="1"/>
    <col min="7" max="16384" width="9.109375" style="67"/>
  </cols>
  <sheetData>
    <row r="1" spans="1:7" ht="28.8">
      <c r="A1" s="41" t="s">
        <v>114</v>
      </c>
      <c r="B1" s="41" t="s">
        <v>115</v>
      </c>
      <c r="C1" s="41" t="s">
        <v>116</v>
      </c>
      <c r="E1" s="41" t="s">
        <v>114</v>
      </c>
      <c r="F1" s="41" t="s">
        <v>117</v>
      </c>
    </row>
    <row r="2" spans="1:7">
      <c r="A2" s="105" t="s">
        <v>118</v>
      </c>
      <c r="B2" s="88">
        <v>5801</v>
      </c>
      <c r="C2" s="106">
        <v>3002</v>
      </c>
      <c r="E2" s="88" t="s">
        <v>118</v>
      </c>
      <c r="F2" s="90">
        <f>VLOOKUP(E2,$A$2:$C$13,3,0)</f>
        <v>3002</v>
      </c>
      <c r="G2" s="67">
        <f>SUMIF($A$2:$A$13,E2,$C$2:$C$13)</f>
        <v>6451</v>
      </c>
    </row>
    <row r="3" spans="1:7">
      <c r="A3" s="105" t="s">
        <v>119</v>
      </c>
      <c r="B3" s="88">
        <v>5802</v>
      </c>
      <c r="C3" s="106">
        <v>1086</v>
      </c>
      <c r="E3" s="105" t="s">
        <v>332</v>
      </c>
      <c r="F3" s="90">
        <f t="shared" ref="F3:F6" si="0">VLOOKUP(E3,$A$2:$C$13,3,0)</f>
        <v>5555</v>
      </c>
      <c r="G3" s="67">
        <f t="shared" ref="G3:G6" si="1">SUMIF($A$2:$A$13,E3,$C$2:$C$13)</f>
        <v>16111</v>
      </c>
    </row>
    <row r="4" spans="1:7">
      <c r="A4" s="105" t="s">
        <v>119</v>
      </c>
      <c r="B4" s="88">
        <v>5803</v>
      </c>
      <c r="C4" s="106">
        <v>1080</v>
      </c>
      <c r="E4" s="88" t="s">
        <v>121</v>
      </c>
      <c r="F4" s="90">
        <f t="shared" si="0"/>
        <v>2880</v>
      </c>
      <c r="G4" s="67">
        <f t="shared" si="1"/>
        <v>2880</v>
      </c>
    </row>
    <row r="5" spans="1:7">
      <c r="A5" s="105" t="s">
        <v>120</v>
      </c>
      <c r="B5" s="88">
        <v>5804</v>
      </c>
      <c r="C5" s="106">
        <v>5377</v>
      </c>
      <c r="E5" s="88" t="s">
        <v>119</v>
      </c>
      <c r="F5" s="90">
        <f t="shared" si="0"/>
        <v>1086</v>
      </c>
      <c r="G5" s="67">
        <f t="shared" si="1"/>
        <v>6267</v>
      </c>
    </row>
    <row r="6" spans="1:7">
      <c r="A6" s="105" t="s">
        <v>119</v>
      </c>
      <c r="B6" s="88">
        <v>5805</v>
      </c>
      <c r="C6" s="106">
        <v>4101</v>
      </c>
      <c r="E6" s="105" t="s">
        <v>120</v>
      </c>
      <c r="F6" s="90">
        <f t="shared" si="0"/>
        <v>5377</v>
      </c>
      <c r="G6" s="67">
        <f t="shared" si="1"/>
        <v>7089</v>
      </c>
    </row>
    <row r="7" spans="1:7">
      <c r="A7" s="105" t="s">
        <v>332</v>
      </c>
      <c r="B7" s="88">
        <v>5806</v>
      </c>
      <c r="C7" s="106">
        <v>5555</v>
      </c>
    </row>
    <row r="8" spans="1:7">
      <c r="A8" s="105" t="s">
        <v>121</v>
      </c>
      <c r="B8" s="88">
        <v>5807</v>
      </c>
      <c r="C8" s="106">
        <v>2880</v>
      </c>
    </row>
    <row r="9" spans="1:7">
      <c r="A9" s="105" t="s">
        <v>332</v>
      </c>
      <c r="B9" s="88">
        <v>5808</v>
      </c>
      <c r="C9" s="106">
        <v>5417</v>
      </c>
    </row>
    <row r="10" spans="1:7">
      <c r="A10" s="105" t="s">
        <v>332</v>
      </c>
      <c r="B10" s="88">
        <v>5809</v>
      </c>
      <c r="C10" s="106">
        <v>1602</v>
      </c>
    </row>
    <row r="11" spans="1:7">
      <c r="A11" s="105" t="s">
        <v>332</v>
      </c>
      <c r="B11" s="88">
        <v>5810</v>
      </c>
      <c r="C11" s="106">
        <v>3537</v>
      </c>
    </row>
    <row r="12" spans="1:7">
      <c r="A12" s="105" t="s">
        <v>120</v>
      </c>
      <c r="B12" s="88">
        <v>5811</v>
      </c>
      <c r="C12" s="106">
        <v>1712</v>
      </c>
    </row>
    <row r="13" spans="1:7">
      <c r="A13" s="105" t="s">
        <v>118</v>
      </c>
      <c r="B13" s="88">
        <v>5812</v>
      </c>
      <c r="C13" s="106">
        <v>3449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10">
    <tabColor rgb="FF1E73BE"/>
  </sheetPr>
  <dimension ref="A1:I58"/>
  <sheetViews>
    <sheetView zoomScale="130" zoomScaleNormal="130" workbookViewId="0"/>
  </sheetViews>
  <sheetFormatPr defaultColWidth="9.109375" defaultRowHeight="14.4"/>
  <cols>
    <col min="1" max="1" width="17.109375" style="67" customWidth="1"/>
    <col min="2" max="2" width="11.5546875" style="67" bestFit="1" customWidth="1"/>
    <col min="3" max="4" width="9.109375" style="67" customWidth="1"/>
    <col min="5" max="5" width="3.109375" style="67" customWidth="1"/>
    <col min="6" max="6" width="24.88671875" style="67" bestFit="1" customWidth="1"/>
    <col min="7" max="16384" width="9.109375" style="67"/>
  </cols>
  <sheetData>
    <row r="1" spans="1:9">
      <c r="A1" s="100" t="s">
        <v>136</v>
      </c>
      <c r="B1" s="100" t="s">
        <v>137</v>
      </c>
      <c r="C1" s="41" t="s">
        <v>138</v>
      </c>
      <c r="D1" s="41" t="s">
        <v>138</v>
      </c>
    </row>
    <row r="2" spans="1:9">
      <c r="A2" s="101" t="s">
        <v>139</v>
      </c>
      <c r="B2" s="102">
        <v>20000</v>
      </c>
      <c r="C2" s="103">
        <f t="shared" ref="C2:C58" si="0">IF($B2&gt;=$G$10,$I$10,IF($B2&gt;=$G$9,$I$9,IF($B2&gt;=$G$8,$I$8,IF($B2&gt;=$G$7,$I$7,IF($B2&gt;=$G$6,$I$6,IF($B2&gt;=$G$5,$I$5,$I$4))))))*B2</f>
        <v>900</v>
      </c>
      <c r="D2" s="103">
        <f>VLOOKUP(B2,$G$4:$I$10,3,1)*B2</f>
        <v>900</v>
      </c>
    </row>
    <row r="3" spans="1:9">
      <c r="A3" s="101" t="s">
        <v>140</v>
      </c>
      <c r="B3" s="102">
        <v>7795.66</v>
      </c>
      <c r="C3" s="103">
        <f t="shared" si="0"/>
        <v>218.27848</v>
      </c>
      <c r="D3" s="103">
        <f t="shared" ref="D3:D58" si="1">VLOOKUP(B3,$G$4:$I$10,3,1)*B3</f>
        <v>218.27848</v>
      </c>
    </row>
    <row r="4" spans="1:9">
      <c r="A4" s="101" t="s">
        <v>141</v>
      </c>
      <c r="B4" s="102">
        <v>9866.98</v>
      </c>
      <c r="C4" s="103">
        <f t="shared" si="0"/>
        <v>276.27544</v>
      </c>
      <c r="D4" s="103">
        <f t="shared" si="1"/>
        <v>276.27544</v>
      </c>
      <c r="F4" s="104" t="s">
        <v>142</v>
      </c>
      <c r="G4" s="69">
        <v>0</v>
      </c>
      <c r="H4" s="69">
        <v>2000</v>
      </c>
      <c r="I4" s="77">
        <v>1.4999999999999999E-2</v>
      </c>
    </row>
    <row r="5" spans="1:9">
      <c r="A5" s="101" t="s">
        <v>143</v>
      </c>
      <c r="B5" s="102">
        <v>4561.83</v>
      </c>
      <c r="C5" s="103">
        <f t="shared" si="0"/>
        <v>100.36026</v>
      </c>
      <c r="D5" s="103">
        <f t="shared" si="1"/>
        <v>100.36026</v>
      </c>
      <c r="F5" s="104" t="s">
        <v>144</v>
      </c>
      <c r="G5" s="69">
        <v>2000</v>
      </c>
      <c r="H5" s="69">
        <v>5000</v>
      </c>
      <c r="I5" s="77">
        <v>2.1999999999999999E-2</v>
      </c>
    </row>
    <row r="6" spans="1:9">
      <c r="A6" s="101" t="s">
        <v>145</v>
      </c>
      <c r="B6" s="102">
        <v>3520.58</v>
      </c>
      <c r="C6" s="103">
        <f t="shared" si="0"/>
        <v>77.452759999999998</v>
      </c>
      <c r="D6" s="103">
        <f t="shared" si="1"/>
        <v>77.452759999999998</v>
      </c>
      <c r="F6" s="104" t="s">
        <v>146</v>
      </c>
      <c r="G6" s="69">
        <v>5000</v>
      </c>
      <c r="H6" s="69">
        <v>10000</v>
      </c>
      <c r="I6" s="77">
        <v>2.8000000000000001E-2</v>
      </c>
    </row>
    <row r="7" spans="1:9">
      <c r="A7" s="101" t="s">
        <v>147</v>
      </c>
      <c r="B7" s="102">
        <v>9102.27</v>
      </c>
      <c r="C7" s="103">
        <f t="shared" si="0"/>
        <v>254.86356000000001</v>
      </c>
      <c r="D7" s="103">
        <f t="shared" si="1"/>
        <v>254.86356000000001</v>
      </c>
      <c r="F7" s="104" t="s">
        <v>148</v>
      </c>
      <c r="G7" s="69">
        <v>10000</v>
      </c>
      <c r="H7" s="69">
        <v>15000</v>
      </c>
      <c r="I7" s="77">
        <v>3.5000000000000003E-2</v>
      </c>
    </row>
    <row r="8" spans="1:9">
      <c r="A8" s="101" t="s">
        <v>149</v>
      </c>
      <c r="B8" s="102">
        <v>5255.38</v>
      </c>
      <c r="C8" s="103">
        <f t="shared" si="0"/>
        <v>147.15064000000001</v>
      </c>
      <c r="D8" s="103">
        <f t="shared" si="1"/>
        <v>147.15064000000001</v>
      </c>
      <c r="F8" s="104" t="s">
        <v>150</v>
      </c>
      <c r="G8" s="69">
        <v>15000</v>
      </c>
      <c r="H8" s="69">
        <v>20000</v>
      </c>
      <c r="I8" s="77">
        <v>0.04</v>
      </c>
    </row>
    <row r="9" spans="1:9">
      <c r="A9" s="101" t="s">
        <v>151</v>
      </c>
      <c r="B9" s="102">
        <v>3157.71</v>
      </c>
      <c r="C9" s="103">
        <f t="shared" si="0"/>
        <v>69.469619999999992</v>
      </c>
      <c r="D9" s="103">
        <f t="shared" si="1"/>
        <v>69.469619999999992</v>
      </c>
      <c r="F9" s="104" t="s">
        <v>152</v>
      </c>
      <c r="G9" s="69">
        <v>20000</v>
      </c>
      <c r="H9" s="69">
        <v>25000</v>
      </c>
      <c r="I9" s="77">
        <v>4.4999999999999998E-2</v>
      </c>
    </row>
    <row r="10" spans="1:9">
      <c r="A10" s="101" t="s">
        <v>153</v>
      </c>
      <c r="B10" s="102">
        <v>6905.12</v>
      </c>
      <c r="C10" s="103">
        <f t="shared" si="0"/>
        <v>193.34335999999999</v>
      </c>
      <c r="D10" s="103">
        <f t="shared" si="1"/>
        <v>193.34335999999999</v>
      </c>
      <c r="F10" s="104" t="s">
        <v>154</v>
      </c>
      <c r="G10" s="69">
        <v>25000</v>
      </c>
      <c r="H10" s="69"/>
      <c r="I10" s="77">
        <v>0.05</v>
      </c>
    </row>
    <row r="11" spans="1:9">
      <c r="A11" s="101" t="s">
        <v>155</v>
      </c>
      <c r="B11" s="102">
        <v>8389.35</v>
      </c>
      <c r="C11" s="103">
        <f t="shared" si="0"/>
        <v>234.90180000000001</v>
      </c>
      <c r="D11" s="103">
        <f t="shared" si="1"/>
        <v>234.90180000000001</v>
      </c>
    </row>
    <row r="12" spans="1:9">
      <c r="A12" s="101" t="s">
        <v>156</v>
      </c>
      <c r="B12" s="102">
        <v>5998.12</v>
      </c>
      <c r="C12" s="103">
        <f t="shared" si="0"/>
        <v>167.94736</v>
      </c>
      <c r="D12" s="103">
        <f t="shared" si="1"/>
        <v>167.94736</v>
      </c>
    </row>
    <row r="13" spans="1:9">
      <c r="A13" s="101" t="s">
        <v>157</v>
      </c>
      <c r="B13" s="102">
        <v>1061.06</v>
      </c>
      <c r="C13" s="103">
        <f t="shared" si="0"/>
        <v>15.915899999999999</v>
      </c>
      <c r="D13" s="103">
        <f t="shared" si="1"/>
        <v>15.915899999999999</v>
      </c>
    </row>
    <row r="14" spans="1:9">
      <c r="A14" s="101" t="s">
        <v>158</v>
      </c>
      <c r="B14" s="102">
        <v>6912.64</v>
      </c>
      <c r="C14" s="103">
        <f t="shared" si="0"/>
        <v>193.55392000000001</v>
      </c>
      <c r="D14" s="103">
        <f t="shared" si="1"/>
        <v>193.55392000000001</v>
      </c>
    </row>
    <row r="15" spans="1:9">
      <c r="A15" s="101" t="s">
        <v>159</v>
      </c>
      <c r="B15" s="102">
        <v>9337.74</v>
      </c>
      <c r="C15" s="103">
        <f t="shared" si="0"/>
        <v>261.45672000000002</v>
      </c>
      <c r="D15" s="103">
        <f t="shared" si="1"/>
        <v>261.45672000000002</v>
      </c>
    </row>
    <row r="16" spans="1:9">
      <c r="A16" s="101" t="s">
        <v>160</v>
      </c>
      <c r="B16" s="102">
        <v>4495.08</v>
      </c>
      <c r="C16" s="103">
        <f t="shared" si="0"/>
        <v>98.891759999999991</v>
      </c>
      <c r="D16" s="103">
        <f t="shared" si="1"/>
        <v>98.891759999999991</v>
      </c>
    </row>
    <row r="17" spans="1:4">
      <c r="A17" s="101" t="s">
        <v>161</v>
      </c>
      <c r="B17" s="102">
        <v>5125.0200000000004</v>
      </c>
      <c r="C17" s="103">
        <f t="shared" si="0"/>
        <v>143.50056000000001</v>
      </c>
      <c r="D17" s="103">
        <f t="shared" si="1"/>
        <v>143.50056000000001</v>
      </c>
    </row>
    <row r="18" spans="1:4">
      <c r="A18" s="101" t="s">
        <v>162</v>
      </c>
      <c r="B18" s="102">
        <v>2324.34</v>
      </c>
      <c r="C18" s="103">
        <f t="shared" si="0"/>
        <v>51.135480000000001</v>
      </c>
      <c r="D18" s="103">
        <f t="shared" si="1"/>
        <v>51.135480000000001</v>
      </c>
    </row>
    <row r="19" spans="1:4">
      <c r="A19" s="101" t="s">
        <v>163</v>
      </c>
      <c r="B19" s="102">
        <v>8513.49</v>
      </c>
      <c r="C19" s="103">
        <f t="shared" si="0"/>
        <v>238.37772000000001</v>
      </c>
      <c r="D19" s="103">
        <f t="shared" si="1"/>
        <v>238.37772000000001</v>
      </c>
    </row>
    <row r="20" spans="1:4">
      <c r="A20" s="101" t="s">
        <v>164</v>
      </c>
      <c r="B20" s="102">
        <v>9070.89</v>
      </c>
      <c r="C20" s="103">
        <f t="shared" si="0"/>
        <v>253.98491999999999</v>
      </c>
      <c r="D20" s="103">
        <f t="shared" si="1"/>
        <v>253.98491999999999</v>
      </c>
    </row>
    <row r="21" spans="1:4">
      <c r="A21" s="101" t="s">
        <v>165</v>
      </c>
      <c r="B21" s="102">
        <v>8959.26</v>
      </c>
      <c r="C21" s="103">
        <f t="shared" si="0"/>
        <v>250.85928000000001</v>
      </c>
      <c r="D21" s="103">
        <f t="shared" si="1"/>
        <v>250.85928000000001</v>
      </c>
    </row>
    <row r="22" spans="1:4">
      <c r="A22" s="101" t="s">
        <v>166</v>
      </c>
      <c r="B22" s="102">
        <v>9502.7000000000007</v>
      </c>
      <c r="C22" s="103">
        <f t="shared" si="0"/>
        <v>266.07560000000001</v>
      </c>
      <c r="D22" s="103">
        <f t="shared" si="1"/>
        <v>266.07560000000001</v>
      </c>
    </row>
    <row r="23" spans="1:4">
      <c r="A23" s="101" t="s">
        <v>167</v>
      </c>
      <c r="B23" s="102">
        <v>9937.75</v>
      </c>
      <c r="C23" s="103">
        <f t="shared" si="0"/>
        <v>278.25700000000001</v>
      </c>
      <c r="D23" s="103">
        <f t="shared" si="1"/>
        <v>278.25700000000001</v>
      </c>
    </row>
    <row r="24" spans="1:4">
      <c r="A24" s="101" t="s">
        <v>168</v>
      </c>
      <c r="B24" s="102">
        <v>5366.2</v>
      </c>
      <c r="C24" s="103">
        <f t="shared" si="0"/>
        <v>150.25360000000001</v>
      </c>
      <c r="D24" s="103">
        <f t="shared" si="1"/>
        <v>150.25360000000001</v>
      </c>
    </row>
    <row r="25" spans="1:4">
      <c r="A25" s="101" t="s">
        <v>169</v>
      </c>
      <c r="B25" s="102">
        <v>4796.92</v>
      </c>
      <c r="C25" s="103">
        <f t="shared" si="0"/>
        <v>105.53224</v>
      </c>
      <c r="D25" s="103">
        <f t="shared" si="1"/>
        <v>105.53224</v>
      </c>
    </row>
    <row r="26" spans="1:4">
      <c r="A26" s="101" t="s">
        <v>170</v>
      </c>
      <c r="B26" s="102">
        <v>300.7</v>
      </c>
      <c r="C26" s="103">
        <f t="shared" si="0"/>
        <v>4.5104999999999995</v>
      </c>
      <c r="D26" s="103">
        <f t="shared" si="1"/>
        <v>4.5104999999999995</v>
      </c>
    </row>
    <row r="27" spans="1:4">
      <c r="A27" s="101" t="s">
        <v>171</v>
      </c>
      <c r="B27" s="102">
        <v>4266.8599999999997</v>
      </c>
      <c r="C27" s="103">
        <f t="shared" si="0"/>
        <v>93.870919999999984</v>
      </c>
      <c r="D27" s="103">
        <f t="shared" si="1"/>
        <v>93.870919999999984</v>
      </c>
    </row>
    <row r="28" spans="1:4">
      <c r="A28" s="101" t="s">
        <v>172</v>
      </c>
      <c r="B28" s="102">
        <v>9818.23</v>
      </c>
      <c r="C28" s="103">
        <f t="shared" si="0"/>
        <v>274.91043999999999</v>
      </c>
      <c r="D28" s="103">
        <f t="shared" si="1"/>
        <v>274.91043999999999</v>
      </c>
    </row>
    <row r="29" spans="1:4">
      <c r="A29" s="101" t="s">
        <v>173</v>
      </c>
      <c r="B29" s="102">
        <v>2353.91</v>
      </c>
      <c r="C29" s="103">
        <f t="shared" si="0"/>
        <v>51.786019999999994</v>
      </c>
      <c r="D29" s="103">
        <f t="shared" si="1"/>
        <v>51.786019999999994</v>
      </c>
    </row>
    <row r="30" spans="1:4">
      <c r="A30" s="101" t="s">
        <v>174</v>
      </c>
      <c r="B30" s="102">
        <v>4150.3500000000004</v>
      </c>
      <c r="C30" s="103">
        <f t="shared" si="0"/>
        <v>91.307699999999997</v>
      </c>
      <c r="D30" s="103">
        <f t="shared" si="1"/>
        <v>91.307699999999997</v>
      </c>
    </row>
    <row r="31" spans="1:4">
      <c r="A31" s="101" t="s">
        <v>175</v>
      </c>
      <c r="B31" s="102">
        <v>4353.37</v>
      </c>
      <c r="C31" s="103">
        <f t="shared" si="0"/>
        <v>95.774139999999989</v>
      </c>
      <c r="D31" s="103">
        <f t="shared" si="1"/>
        <v>95.774139999999989</v>
      </c>
    </row>
    <row r="32" spans="1:4">
      <c r="A32" s="101" t="s">
        <v>176</v>
      </c>
      <c r="B32" s="102">
        <v>4447.41</v>
      </c>
      <c r="C32" s="103">
        <f t="shared" si="0"/>
        <v>97.843019999999996</v>
      </c>
      <c r="D32" s="103">
        <f t="shared" si="1"/>
        <v>97.843019999999996</v>
      </c>
    </row>
    <row r="33" spans="1:4">
      <c r="A33" s="101" t="s">
        <v>177</v>
      </c>
      <c r="B33" s="102">
        <v>3705.34</v>
      </c>
      <c r="C33" s="103">
        <f t="shared" si="0"/>
        <v>81.517479999999992</v>
      </c>
      <c r="D33" s="103">
        <f t="shared" si="1"/>
        <v>81.517479999999992</v>
      </c>
    </row>
    <row r="34" spans="1:4">
      <c r="A34" s="101" t="s">
        <v>178</v>
      </c>
      <c r="B34" s="102">
        <v>3704.11</v>
      </c>
      <c r="C34" s="103">
        <f t="shared" si="0"/>
        <v>81.49042</v>
      </c>
      <c r="D34" s="103">
        <f t="shared" si="1"/>
        <v>81.49042</v>
      </c>
    </row>
    <row r="35" spans="1:4">
      <c r="A35" s="101" t="s">
        <v>179</v>
      </c>
      <c r="B35" s="102">
        <v>4010.36</v>
      </c>
      <c r="C35" s="103">
        <f t="shared" si="0"/>
        <v>88.227919999999997</v>
      </c>
      <c r="D35" s="103">
        <f t="shared" si="1"/>
        <v>88.227919999999997</v>
      </c>
    </row>
    <row r="36" spans="1:4">
      <c r="A36" s="101" t="s">
        <v>180</v>
      </c>
      <c r="B36" s="102">
        <v>3377.56</v>
      </c>
      <c r="C36" s="103">
        <f t="shared" si="0"/>
        <v>74.306319999999999</v>
      </c>
      <c r="D36" s="103">
        <f t="shared" si="1"/>
        <v>74.306319999999999</v>
      </c>
    </row>
    <row r="37" spans="1:4">
      <c r="A37" s="101" t="s">
        <v>181</v>
      </c>
      <c r="B37" s="102">
        <v>3891.07</v>
      </c>
      <c r="C37" s="103">
        <f t="shared" si="0"/>
        <v>85.603539999999995</v>
      </c>
      <c r="D37" s="103">
        <f t="shared" si="1"/>
        <v>85.603539999999995</v>
      </c>
    </row>
    <row r="38" spans="1:4">
      <c r="A38" s="101" t="s">
        <v>182</v>
      </c>
      <c r="B38" s="102">
        <v>2884.19</v>
      </c>
      <c r="C38" s="103">
        <f t="shared" si="0"/>
        <v>63.452179999999998</v>
      </c>
      <c r="D38" s="103">
        <f t="shared" si="1"/>
        <v>63.452179999999998</v>
      </c>
    </row>
    <row r="39" spans="1:4">
      <c r="A39" s="101" t="s">
        <v>183</v>
      </c>
      <c r="B39" s="102">
        <v>4078.95</v>
      </c>
      <c r="C39" s="103">
        <f t="shared" si="0"/>
        <v>89.736899999999991</v>
      </c>
      <c r="D39" s="103">
        <f t="shared" si="1"/>
        <v>89.736899999999991</v>
      </c>
    </row>
    <row r="40" spans="1:4">
      <c r="A40" s="101" t="s">
        <v>184</v>
      </c>
      <c r="B40" s="102">
        <v>2787.67</v>
      </c>
      <c r="C40" s="103">
        <f t="shared" si="0"/>
        <v>61.328739999999996</v>
      </c>
      <c r="D40" s="103">
        <f t="shared" si="1"/>
        <v>61.328739999999996</v>
      </c>
    </row>
    <row r="41" spans="1:4">
      <c r="A41" s="101" t="s">
        <v>185</v>
      </c>
      <c r="B41" s="102">
        <v>4757.43</v>
      </c>
      <c r="C41" s="103">
        <f t="shared" si="0"/>
        <v>104.66346</v>
      </c>
      <c r="D41" s="103">
        <f t="shared" si="1"/>
        <v>104.66346</v>
      </c>
    </row>
    <row r="42" spans="1:4">
      <c r="A42" s="101" t="s">
        <v>186</v>
      </c>
      <c r="B42" s="102">
        <v>578.66999999999996</v>
      </c>
      <c r="C42" s="103">
        <f t="shared" si="0"/>
        <v>8.6800499999999996</v>
      </c>
      <c r="D42" s="103">
        <f t="shared" si="1"/>
        <v>8.6800499999999996</v>
      </c>
    </row>
    <row r="43" spans="1:4">
      <c r="A43" s="101" t="s">
        <v>187</v>
      </c>
      <c r="B43" s="102">
        <v>9053.02</v>
      </c>
      <c r="C43" s="103">
        <f t="shared" si="0"/>
        <v>253.48456000000002</v>
      </c>
      <c r="D43" s="103">
        <f t="shared" si="1"/>
        <v>253.48456000000002</v>
      </c>
    </row>
    <row r="44" spans="1:4">
      <c r="A44" s="101" t="s">
        <v>188</v>
      </c>
      <c r="B44" s="102">
        <v>9454.85</v>
      </c>
      <c r="C44" s="103">
        <f t="shared" si="0"/>
        <v>264.73580000000004</v>
      </c>
      <c r="D44" s="103">
        <f t="shared" si="1"/>
        <v>264.73580000000004</v>
      </c>
    </row>
    <row r="45" spans="1:4">
      <c r="A45" s="101" t="s">
        <v>189</v>
      </c>
      <c r="B45" s="102">
        <v>3003.89</v>
      </c>
      <c r="C45" s="103">
        <f t="shared" si="0"/>
        <v>66.085579999999993</v>
      </c>
      <c r="D45" s="103">
        <f t="shared" si="1"/>
        <v>66.085579999999993</v>
      </c>
    </row>
    <row r="46" spans="1:4">
      <c r="A46" s="101" t="s">
        <v>190</v>
      </c>
      <c r="B46" s="102">
        <v>8163.83</v>
      </c>
      <c r="C46" s="103">
        <f t="shared" si="0"/>
        <v>228.58724000000001</v>
      </c>
      <c r="D46" s="103">
        <f t="shared" si="1"/>
        <v>228.58724000000001</v>
      </c>
    </row>
    <row r="47" spans="1:4">
      <c r="A47" s="101" t="s">
        <v>191</v>
      </c>
      <c r="B47" s="102">
        <v>9046.1200000000008</v>
      </c>
      <c r="C47" s="103">
        <f t="shared" si="0"/>
        <v>253.29136000000003</v>
      </c>
      <c r="D47" s="103">
        <f t="shared" si="1"/>
        <v>253.29136000000003</v>
      </c>
    </row>
    <row r="48" spans="1:4">
      <c r="A48" s="101" t="s">
        <v>192</v>
      </c>
      <c r="B48" s="102">
        <v>9414.5</v>
      </c>
      <c r="C48" s="103">
        <f t="shared" si="0"/>
        <v>263.60599999999999</v>
      </c>
      <c r="D48" s="103">
        <f t="shared" si="1"/>
        <v>263.60599999999999</v>
      </c>
    </row>
    <row r="49" spans="1:4">
      <c r="A49" s="101" t="s">
        <v>193</v>
      </c>
      <c r="B49" s="102">
        <v>7897.71</v>
      </c>
      <c r="C49" s="103">
        <f t="shared" si="0"/>
        <v>221.13588000000001</v>
      </c>
      <c r="D49" s="103">
        <f t="shared" si="1"/>
        <v>221.13588000000001</v>
      </c>
    </row>
    <row r="50" spans="1:4">
      <c r="A50" s="101" t="s">
        <v>194</v>
      </c>
      <c r="B50" s="102">
        <v>6551.83</v>
      </c>
      <c r="C50" s="103">
        <f t="shared" si="0"/>
        <v>183.45124000000001</v>
      </c>
      <c r="D50" s="103">
        <f t="shared" si="1"/>
        <v>183.45124000000001</v>
      </c>
    </row>
    <row r="51" spans="1:4">
      <c r="A51" s="101" t="s">
        <v>195</v>
      </c>
      <c r="B51" s="102">
        <v>3589.68</v>
      </c>
      <c r="C51" s="103">
        <f t="shared" si="0"/>
        <v>78.972959999999986</v>
      </c>
      <c r="D51" s="103">
        <f t="shared" si="1"/>
        <v>78.972959999999986</v>
      </c>
    </row>
    <row r="52" spans="1:4">
      <c r="A52" s="101" t="s">
        <v>196</v>
      </c>
      <c r="B52" s="102">
        <v>1543.76</v>
      </c>
      <c r="C52" s="103">
        <f t="shared" si="0"/>
        <v>23.156399999999998</v>
      </c>
      <c r="D52" s="103">
        <f t="shared" si="1"/>
        <v>23.156399999999998</v>
      </c>
    </row>
    <row r="53" spans="1:4">
      <c r="A53" s="101" t="s">
        <v>197</v>
      </c>
      <c r="B53" s="102">
        <v>1995.2</v>
      </c>
      <c r="C53" s="103">
        <f t="shared" si="0"/>
        <v>29.928000000000001</v>
      </c>
      <c r="D53" s="103">
        <f t="shared" si="1"/>
        <v>29.928000000000001</v>
      </c>
    </row>
    <row r="54" spans="1:4">
      <c r="A54" s="101" t="s">
        <v>198</v>
      </c>
      <c r="B54" s="102">
        <v>9952.9500000000007</v>
      </c>
      <c r="C54" s="103">
        <f t="shared" si="0"/>
        <v>278.68260000000004</v>
      </c>
      <c r="D54" s="103">
        <f t="shared" si="1"/>
        <v>278.68260000000004</v>
      </c>
    </row>
    <row r="55" spans="1:4">
      <c r="A55" s="101" t="s">
        <v>199</v>
      </c>
      <c r="B55" s="102">
        <v>4827.59</v>
      </c>
      <c r="C55" s="103">
        <f t="shared" si="0"/>
        <v>106.20698</v>
      </c>
      <c r="D55" s="103">
        <f t="shared" si="1"/>
        <v>106.20698</v>
      </c>
    </row>
    <row r="56" spans="1:4">
      <c r="A56" s="101" t="s">
        <v>200</v>
      </c>
      <c r="B56" s="102">
        <v>8627.99</v>
      </c>
      <c r="C56" s="103">
        <f t="shared" si="0"/>
        <v>241.58372</v>
      </c>
      <c r="D56" s="103">
        <f t="shared" si="1"/>
        <v>241.58372</v>
      </c>
    </row>
    <row r="57" spans="1:4">
      <c r="A57" s="101" t="s">
        <v>201</v>
      </c>
      <c r="B57" s="102">
        <v>6642.31</v>
      </c>
      <c r="C57" s="103">
        <f t="shared" si="0"/>
        <v>185.98468000000003</v>
      </c>
      <c r="D57" s="103">
        <f t="shared" si="1"/>
        <v>185.98468000000003</v>
      </c>
    </row>
    <row r="58" spans="1:4">
      <c r="A58" s="101" t="s">
        <v>202</v>
      </c>
      <c r="B58" s="102">
        <v>7741.18</v>
      </c>
      <c r="C58" s="103">
        <f t="shared" si="0"/>
        <v>216.75304</v>
      </c>
      <c r="D58" s="103">
        <f t="shared" si="1"/>
        <v>216.75304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9">
    <tabColor rgb="FF1E73BE"/>
  </sheetPr>
  <dimension ref="A1:J8"/>
  <sheetViews>
    <sheetView zoomScale="130" zoomScaleNormal="130" workbookViewId="0"/>
  </sheetViews>
  <sheetFormatPr defaultColWidth="9.109375" defaultRowHeight="14.4"/>
  <cols>
    <col min="1" max="1" width="10.33203125" style="67" bestFit="1" customWidth="1"/>
    <col min="2" max="2" width="12.88671875" style="67" bestFit="1" customWidth="1"/>
    <col min="3" max="4" width="12.6640625" style="67" bestFit="1" customWidth="1"/>
    <col min="5" max="5" width="12.88671875" style="67" bestFit="1" customWidth="1"/>
    <col min="6" max="7" width="12.5546875" style="67" bestFit="1" customWidth="1"/>
    <col min="8" max="8" width="10.33203125" style="67" bestFit="1" customWidth="1"/>
    <col min="9" max="16384" width="9.109375" style="67"/>
  </cols>
  <sheetData>
    <row r="1" spans="1:10">
      <c r="A1" s="41" t="s">
        <v>122</v>
      </c>
      <c r="B1" s="41" t="s">
        <v>123</v>
      </c>
      <c r="C1" s="41" t="s">
        <v>124</v>
      </c>
      <c r="D1" s="41" t="s">
        <v>125</v>
      </c>
      <c r="E1" s="41" t="s">
        <v>126</v>
      </c>
      <c r="F1" s="96"/>
      <c r="G1" s="96"/>
      <c r="I1" s="41" t="s">
        <v>122</v>
      </c>
      <c r="J1" s="41" t="s">
        <v>127</v>
      </c>
    </row>
    <row r="2" spans="1:10">
      <c r="A2" s="41" t="s">
        <v>127</v>
      </c>
      <c r="B2" s="97">
        <v>3.05</v>
      </c>
      <c r="C2" s="97">
        <v>4.43</v>
      </c>
      <c r="D2" s="97">
        <v>5.63</v>
      </c>
      <c r="E2" s="97">
        <v>0.2</v>
      </c>
      <c r="F2" s="96"/>
      <c r="G2" s="96"/>
      <c r="I2" s="41" t="s">
        <v>123</v>
      </c>
      <c r="J2" s="97">
        <v>3.05</v>
      </c>
    </row>
    <row r="3" spans="1:10">
      <c r="I3" s="41" t="s">
        <v>124</v>
      </c>
      <c r="J3" s="97">
        <v>4.43</v>
      </c>
    </row>
    <row r="4" spans="1:10">
      <c r="A4" s="96"/>
      <c r="B4" s="96"/>
      <c r="C4" s="96"/>
      <c r="D4" s="96"/>
      <c r="E4" s="96"/>
      <c r="F4" s="96"/>
      <c r="G4" s="96"/>
      <c r="I4" s="41" t="s">
        <v>125</v>
      </c>
      <c r="J4" s="97">
        <v>5.63</v>
      </c>
    </row>
    <row r="5" spans="1:10">
      <c r="A5" s="41"/>
      <c r="B5" s="41" t="s">
        <v>128</v>
      </c>
      <c r="C5" s="41" t="s">
        <v>129</v>
      </c>
      <c r="D5" s="41" t="s">
        <v>130</v>
      </c>
      <c r="E5" s="41" t="s">
        <v>131</v>
      </c>
      <c r="F5" s="41" t="s">
        <v>132</v>
      </c>
      <c r="G5" s="41" t="s">
        <v>133</v>
      </c>
      <c r="I5" s="41" t="s">
        <v>126</v>
      </c>
      <c r="J5" s="97">
        <v>0.2</v>
      </c>
    </row>
    <row r="6" spans="1:10">
      <c r="A6" s="41" t="s">
        <v>134</v>
      </c>
      <c r="B6" s="81">
        <v>40000</v>
      </c>
      <c r="C6" s="81">
        <v>50000</v>
      </c>
      <c r="D6" s="81">
        <v>30000</v>
      </c>
      <c r="E6" s="81">
        <v>70000</v>
      </c>
      <c r="F6" s="81">
        <v>20000</v>
      </c>
      <c r="G6" s="81">
        <v>10000</v>
      </c>
    </row>
    <row r="7" spans="1:10">
      <c r="A7" s="41" t="s">
        <v>122</v>
      </c>
      <c r="B7" s="98" t="s">
        <v>123</v>
      </c>
      <c r="C7" s="98" t="s">
        <v>124</v>
      </c>
      <c r="D7" s="98" t="s">
        <v>125</v>
      </c>
      <c r="E7" s="98" t="s">
        <v>126</v>
      </c>
      <c r="F7" s="98" t="s">
        <v>123</v>
      </c>
      <c r="G7" s="98" t="s">
        <v>124</v>
      </c>
    </row>
    <row r="8" spans="1:10">
      <c r="A8" s="41" t="s">
        <v>135</v>
      </c>
      <c r="B8" s="99">
        <f>HLOOKUP(B7,$B$1:$E$2,2,0)*B6</f>
        <v>122000</v>
      </c>
      <c r="C8" s="99">
        <f t="shared" ref="C8:G8" si="0">HLOOKUP(C7,$B$1:$E$2,2,0)*C6</f>
        <v>221500</v>
      </c>
      <c r="D8" s="99">
        <f t="shared" si="0"/>
        <v>168900</v>
      </c>
      <c r="E8" s="99">
        <f t="shared" si="0"/>
        <v>14000</v>
      </c>
      <c r="F8" s="99">
        <f t="shared" si="0"/>
        <v>61000</v>
      </c>
      <c r="G8" s="99">
        <f t="shared" si="0"/>
        <v>44300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11">
    <tabColor rgb="FF1E73BE"/>
  </sheetPr>
  <dimension ref="A1:F14"/>
  <sheetViews>
    <sheetView zoomScale="130" zoomScaleNormal="130" workbookViewId="0">
      <selection activeCell="F10" activeCellId="1" sqref="F2:F4 F10:F12"/>
    </sheetView>
  </sheetViews>
  <sheetFormatPr defaultColWidth="9.109375" defaultRowHeight="14.4"/>
  <cols>
    <col min="1" max="1" width="14" style="2" bestFit="1" customWidth="1"/>
    <col min="2" max="2" width="11.88671875" style="2" customWidth="1"/>
    <col min="3" max="3" width="5" style="2" bestFit="1" customWidth="1"/>
    <col min="4" max="4" width="9.109375" style="2"/>
    <col min="5" max="5" width="10.33203125" style="2" bestFit="1" customWidth="1"/>
    <col min="6" max="6" width="12" style="2" customWidth="1"/>
    <col min="7" max="16384" width="9.109375" style="2"/>
  </cols>
  <sheetData>
    <row r="1" spans="1:6" ht="28.8">
      <c r="A1" s="1" t="s">
        <v>325</v>
      </c>
      <c r="B1" s="1" t="s">
        <v>110</v>
      </c>
      <c r="C1" s="1" t="s">
        <v>14</v>
      </c>
      <c r="E1" s="1" t="s">
        <v>326</v>
      </c>
      <c r="F1" s="1" t="s">
        <v>110</v>
      </c>
    </row>
    <row r="2" spans="1:6">
      <c r="A2" s="4" t="s">
        <v>306</v>
      </c>
      <c r="B2" s="3" t="s">
        <v>9</v>
      </c>
      <c r="C2" s="6">
        <v>10</v>
      </c>
      <c r="E2" s="3" t="s">
        <v>307</v>
      </c>
      <c r="F2" s="34"/>
    </row>
    <row r="3" spans="1:6">
      <c r="A3" s="4" t="s">
        <v>308</v>
      </c>
      <c r="B3" s="5" t="s">
        <v>1</v>
      </c>
      <c r="C3" s="6">
        <v>12</v>
      </c>
      <c r="E3" s="3" t="s">
        <v>309</v>
      </c>
      <c r="F3" s="34"/>
    </row>
    <row r="4" spans="1:6">
      <c r="A4" s="4" t="s">
        <v>310</v>
      </c>
      <c r="B4" s="3" t="s">
        <v>2</v>
      </c>
      <c r="C4" s="6">
        <v>8</v>
      </c>
      <c r="E4" s="3" t="s">
        <v>311</v>
      </c>
      <c r="F4" s="34"/>
    </row>
    <row r="5" spans="1:6">
      <c r="A5" s="4" t="s">
        <v>312</v>
      </c>
      <c r="B5" s="5" t="s">
        <v>8</v>
      </c>
      <c r="C5" s="6">
        <v>16</v>
      </c>
    </row>
    <row r="6" spans="1:6">
      <c r="A6" s="18" t="s">
        <v>313</v>
      </c>
      <c r="B6" s="5" t="s">
        <v>111</v>
      </c>
      <c r="C6" s="6">
        <v>7</v>
      </c>
    </row>
    <row r="9" spans="1:6" ht="28.8">
      <c r="A9" s="1" t="s">
        <v>325</v>
      </c>
      <c r="B9" s="1" t="s">
        <v>110</v>
      </c>
      <c r="C9" s="1" t="s">
        <v>14</v>
      </c>
      <c r="E9" s="1" t="s">
        <v>326</v>
      </c>
      <c r="F9" s="1" t="s">
        <v>110</v>
      </c>
    </row>
    <row r="10" spans="1:6">
      <c r="A10" s="4" t="s">
        <v>327</v>
      </c>
      <c r="B10" s="3" t="s">
        <v>9</v>
      </c>
      <c r="C10" s="6">
        <v>10</v>
      </c>
      <c r="E10" s="3" t="s">
        <v>307</v>
      </c>
      <c r="F10" s="34"/>
    </row>
    <row r="11" spans="1:6">
      <c r="A11" s="4" t="s">
        <v>328</v>
      </c>
      <c r="B11" s="5" t="s">
        <v>1</v>
      </c>
      <c r="C11" s="6">
        <v>12</v>
      </c>
      <c r="E11" s="3" t="s">
        <v>309</v>
      </c>
      <c r="F11" s="34"/>
    </row>
    <row r="12" spans="1:6">
      <c r="A12" s="4" t="s">
        <v>310</v>
      </c>
      <c r="B12" s="3" t="s">
        <v>2</v>
      </c>
      <c r="C12" s="6">
        <v>8</v>
      </c>
      <c r="E12" s="3" t="s">
        <v>311</v>
      </c>
      <c r="F12" s="34"/>
    </row>
    <row r="13" spans="1:6">
      <c r="A13" s="4" t="s">
        <v>312</v>
      </c>
      <c r="B13" s="5" t="s">
        <v>8</v>
      </c>
      <c r="C13" s="6">
        <v>16</v>
      </c>
    </row>
    <row r="14" spans="1:6">
      <c r="A14" s="18" t="s">
        <v>329</v>
      </c>
      <c r="B14" s="5" t="s">
        <v>111</v>
      </c>
      <c r="C14" s="6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4">
    <tabColor rgb="FF1E73BE"/>
  </sheetPr>
  <dimension ref="A1:L20"/>
  <sheetViews>
    <sheetView zoomScale="130" zoomScaleNormal="130" workbookViewId="0"/>
  </sheetViews>
  <sheetFormatPr defaultColWidth="9.109375" defaultRowHeight="14.4"/>
  <cols>
    <col min="1" max="1" width="12.109375" style="67" bestFit="1" customWidth="1"/>
    <col min="2" max="2" width="19.109375" style="67" bestFit="1" customWidth="1"/>
    <col min="3" max="3" width="28.44140625" style="67" customWidth="1"/>
    <col min="4" max="6" width="10.44140625" style="67" bestFit="1" customWidth="1"/>
    <col min="7" max="11" width="9.109375" style="67"/>
    <col min="12" max="12" width="12.109375" style="67" hidden="1" customWidth="1"/>
    <col min="13" max="16384" width="9.109375" style="67"/>
  </cols>
  <sheetData>
    <row r="1" spans="1:12">
      <c r="A1" s="68" t="s">
        <v>223</v>
      </c>
      <c r="B1" s="68" t="s">
        <v>224</v>
      </c>
      <c r="C1" s="68" t="s">
        <v>225</v>
      </c>
      <c r="D1" s="68" t="s">
        <v>226</v>
      </c>
      <c r="E1" s="68" t="s">
        <v>226</v>
      </c>
      <c r="F1" s="68" t="s">
        <v>226</v>
      </c>
      <c r="L1" s="88" t="s">
        <v>227</v>
      </c>
    </row>
    <row r="2" spans="1:12">
      <c r="A2" s="88" t="s">
        <v>227</v>
      </c>
      <c r="B2" s="88" t="s">
        <v>233</v>
      </c>
      <c r="C2" s="89"/>
      <c r="D2" s="90" t="e">
        <f>VLOOKUP(C2,$C$7:$D$20,2,0)</f>
        <v>#N/A</v>
      </c>
      <c r="E2" s="90">
        <f>SUMIFS($D$7:$D$20,$A$7:$A$20,A2,$B$7:$B$20,B2)</f>
        <v>5200</v>
      </c>
      <c r="F2" s="91" t="e">
        <f>INDEX($D$7:$D$20,MATCH(C2,$C$7:$C$20,0))</f>
        <v>#N/A</v>
      </c>
      <c r="G2" s="72">
        <f t="array" ref="G2">INDEX($D$7:$D$20,MATCH(A2&amp;B2,$A$7:$A$20&amp;$B$7:$B$20,0))</f>
        <v>5200</v>
      </c>
      <c r="L2" s="92" t="s">
        <v>229</v>
      </c>
    </row>
    <row r="3" spans="1:12">
      <c r="A3" s="88" t="s">
        <v>229</v>
      </c>
      <c r="B3" s="88" t="s">
        <v>228</v>
      </c>
      <c r="C3" s="89"/>
      <c r="D3" s="90" t="e">
        <f t="shared" ref="D3:D4" si="0">VLOOKUP(C3,$C$7:$D$20,2,0)</f>
        <v>#N/A</v>
      </c>
      <c r="E3" s="90">
        <f t="shared" ref="E3:E4" si="1">SUMIFS($D$7:$D$20,$A$7:$A$20,A3,$B$7:$B$20,B3)</f>
        <v>2700</v>
      </c>
      <c r="F3" s="91" t="e">
        <f t="shared" ref="F3:F4" si="2">INDEX($D$7:$D$20,MATCH(C3,$C$7:$C$20,0))</f>
        <v>#N/A</v>
      </c>
      <c r="G3" s="72">
        <f t="array" ref="G3">INDEX($D$7:$D$20,MATCH(A3&amp;B3,$A$7:$A$20&amp;$B$7:$B$20,0))</f>
        <v>2700</v>
      </c>
      <c r="L3" s="92" t="s">
        <v>231</v>
      </c>
    </row>
    <row r="4" spans="1:12">
      <c r="A4" s="88" t="s">
        <v>231</v>
      </c>
      <c r="B4" s="88" t="s">
        <v>232</v>
      </c>
      <c r="C4" s="89"/>
      <c r="D4" s="90" t="e">
        <f t="shared" si="0"/>
        <v>#N/A</v>
      </c>
      <c r="E4" s="90">
        <f t="shared" si="1"/>
        <v>1800</v>
      </c>
      <c r="F4" s="91" t="e">
        <f t="shared" si="2"/>
        <v>#N/A</v>
      </c>
      <c r="G4" s="72">
        <f t="array" ref="G4">INDEX($D$7:$D$20,MATCH(A4&amp;B4,$A$7:$A$20&amp;$B$7:$B$20,0))</f>
        <v>1800</v>
      </c>
    </row>
    <row r="5" spans="1:12">
      <c r="A5" s="93"/>
      <c r="B5" s="93"/>
    </row>
    <row r="6" spans="1:12">
      <c r="A6" s="68" t="s">
        <v>223</v>
      </c>
      <c r="B6" s="68" t="s">
        <v>224</v>
      </c>
      <c r="C6" s="68"/>
      <c r="D6" s="68" t="s">
        <v>226</v>
      </c>
    </row>
    <row r="7" spans="1:12">
      <c r="A7" s="88" t="s">
        <v>227</v>
      </c>
      <c r="B7" s="94" t="s">
        <v>233</v>
      </c>
      <c r="C7" s="89" t="str">
        <f t="shared" ref="C7:C20" si="3">A7&amp;"|"&amp;B7</f>
        <v>Księgowości|Główna Księgowa</v>
      </c>
      <c r="D7" s="95">
        <v>5200</v>
      </c>
      <c r="G7" s="72"/>
    </row>
    <row r="8" spans="1:12">
      <c r="A8" s="88" t="s">
        <v>227</v>
      </c>
      <c r="B8" s="94" t="s">
        <v>234</v>
      </c>
      <c r="C8" s="89" t="str">
        <f t="shared" si="3"/>
        <v>Księgowości|Starsza Księgowa</v>
      </c>
      <c r="D8" s="95">
        <v>3600</v>
      </c>
      <c r="G8" s="72"/>
    </row>
    <row r="9" spans="1:12">
      <c r="A9" s="88" t="s">
        <v>227</v>
      </c>
      <c r="B9" s="94" t="s">
        <v>228</v>
      </c>
      <c r="C9" s="89" t="str">
        <f t="shared" si="3"/>
        <v>Księgowości|Księgowa</v>
      </c>
      <c r="D9" s="95">
        <v>2950</v>
      </c>
      <c r="G9" s="72"/>
    </row>
    <row r="10" spans="1:12">
      <c r="A10" s="88" t="s">
        <v>227</v>
      </c>
      <c r="B10" s="94" t="s">
        <v>235</v>
      </c>
      <c r="C10" s="89" t="str">
        <f t="shared" si="3"/>
        <v>Księgowości|Sprzątaczka</v>
      </c>
      <c r="D10" s="95">
        <v>1600</v>
      </c>
      <c r="G10" s="72"/>
    </row>
    <row r="11" spans="1:12">
      <c r="A11" s="92" t="s">
        <v>229</v>
      </c>
      <c r="B11" s="94" t="s">
        <v>236</v>
      </c>
      <c r="C11" s="89" t="str">
        <f t="shared" si="3"/>
        <v>Wsparcia|Lekarz</v>
      </c>
      <c r="D11" s="95">
        <v>6300</v>
      </c>
      <c r="G11" s="72"/>
    </row>
    <row r="12" spans="1:12">
      <c r="A12" s="92" t="s">
        <v>229</v>
      </c>
      <c r="B12" s="94" t="s">
        <v>230</v>
      </c>
      <c r="C12" s="89" t="str">
        <f t="shared" si="3"/>
        <v>Wsparcia|Starsza Pielęgniarka</v>
      </c>
      <c r="D12" s="95">
        <v>2300</v>
      </c>
      <c r="G12" s="72"/>
    </row>
    <row r="13" spans="1:12">
      <c r="A13" s="92" t="s">
        <v>229</v>
      </c>
      <c r="B13" s="94" t="s">
        <v>235</v>
      </c>
      <c r="C13" s="89" t="str">
        <f t="shared" si="3"/>
        <v>Wsparcia|Sprzątaczka</v>
      </c>
      <c r="D13" s="95">
        <v>1550</v>
      </c>
      <c r="G13" s="72"/>
    </row>
    <row r="14" spans="1:12">
      <c r="A14" s="92" t="s">
        <v>229</v>
      </c>
      <c r="B14" s="94" t="s">
        <v>228</v>
      </c>
      <c r="C14" s="89" t="str">
        <f t="shared" si="3"/>
        <v>Wsparcia|Księgowa</v>
      </c>
      <c r="D14" s="95">
        <v>2700</v>
      </c>
      <c r="G14" s="72"/>
    </row>
    <row r="15" spans="1:12">
      <c r="A15" s="92" t="s">
        <v>229</v>
      </c>
      <c r="B15" s="94" t="s">
        <v>232</v>
      </c>
      <c r="C15" s="89" t="str">
        <f t="shared" si="3"/>
        <v>Wsparcia|Zaopatrzeniowiec</v>
      </c>
      <c r="D15" s="95">
        <v>1900</v>
      </c>
      <c r="G15" s="72"/>
    </row>
    <row r="16" spans="1:12">
      <c r="A16" s="92" t="s">
        <v>231</v>
      </c>
      <c r="B16" s="94" t="s">
        <v>232</v>
      </c>
      <c r="C16" s="89" t="str">
        <f t="shared" si="3"/>
        <v>Gospodarczy|Zaopatrzeniowiec</v>
      </c>
      <c r="D16" s="95">
        <v>1800</v>
      </c>
      <c r="G16" s="72"/>
    </row>
    <row r="17" spans="1:7">
      <c r="A17" s="92" t="s">
        <v>231</v>
      </c>
      <c r="B17" s="94" t="s">
        <v>235</v>
      </c>
      <c r="C17" s="89" t="str">
        <f t="shared" si="3"/>
        <v>Gospodarczy|Sprzątaczka</v>
      </c>
      <c r="D17" s="95">
        <v>1500</v>
      </c>
      <c r="G17" s="72"/>
    </row>
    <row r="18" spans="1:7">
      <c r="A18" s="92" t="s">
        <v>231</v>
      </c>
      <c r="B18" s="94" t="s">
        <v>237</v>
      </c>
      <c r="C18" s="89" t="str">
        <f t="shared" si="3"/>
        <v>Gospodarczy|Starszy Konserwator</v>
      </c>
      <c r="D18" s="95">
        <v>3400</v>
      </c>
      <c r="G18" s="72"/>
    </row>
    <row r="19" spans="1:7">
      <c r="A19" s="92" t="s">
        <v>231</v>
      </c>
      <c r="B19" s="94" t="s">
        <v>238</v>
      </c>
      <c r="C19" s="89" t="str">
        <f t="shared" si="3"/>
        <v>Gospodarczy|Robotnik</v>
      </c>
      <c r="D19" s="95">
        <v>2200</v>
      </c>
      <c r="G19" s="72"/>
    </row>
    <row r="20" spans="1:7">
      <c r="A20" s="92" t="s">
        <v>231</v>
      </c>
      <c r="B20" s="94" t="s">
        <v>228</v>
      </c>
      <c r="C20" s="89" t="str">
        <f t="shared" si="3"/>
        <v>Gospodarczy|Księgowa</v>
      </c>
      <c r="D20" s="95">
        <v>2600</v>
      </c>
      <c r="G20" s="72"/>
    </row>
  </sheetData>
  <dataValidations count="2">
    <dataValidation type="list" allowBlank="1" showInputMessage="1" showErrorMessage="1" sqref="A2:A4" xr:uid="{00000000-0002-0000-0900-000000000000}">
      <formula1>$L$1:$L$3</formula1>
    </dataValidation>
    <dataValidation type="list" allowBlank="1" showInputMessage="1" showErrorMessage="1" sqref="B2:B4" xr:uid="{00000000-0002-0000-0900-000001000000}">
      <formula1>OFFSET($A$6,MATCH(A2,$A$7:$A$20,0),1,COUNTIF($A$7:$A$20,A2),1)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2">
    <tabColor rgb="FF1E73BE"/>
  </sheetPr>
  <dimension ref="A2:E20"/>
  <sheetViews>
    <sheetView topLeftCell="A4" zoomScale="130" zoomScaleNormal="130" workbookViewId="0"/>
  </sheetViews>
  <sheetFormatPr defaultColWidth="9.109375" defaultRowHeight="14.4"/>
  <cols>
    <col min="1" max="1" width="9.44140625" style="67" customWidth="1"/>
    <col min="2" max="2" width="11.33203125" style="67" customWidth="1"/>
    <col min="3" max="3" width="10.5546875" style="67" customWidth="1"/>
    <col min="4" max="4" width="19.6640625" style="67" bestFit="1" customWidth="1"/>
    <col min="5" max="5" width="14.33203125" style="67" customWidth="1"/>
    <col min="6" max="16384" width="9.109375" style="67"/>
  </cols>
  <sheetData>
    <row r="2" spans="1:5" s="80" customFormat="1">
      <c r="A2" s="79" t="s">
        <v>203</v>
      </c>
      <c r="B2" s="79" t="s">
        <v>204</v>
      </c>
      <c r="C2" s="79" t="s">
        <v>205</v>
      </c>
      <c r="D2" s="79" t="s">
        <v>206</v>
      </c>
      <c r="E2" s="79" t="s">
        <v>207</v>
      </c>
    </row>
    <row r="3" spans="1:5">
      <c r="A3" s="81">
        <v>10003</v>
      </c>
      <c r="B3" s="82" t="str">
        <f>VLOOKUP($A3,$A$7:$E$13,COLUMNS($A$1:B1),0)</f>
        <v>Damska</v>
      </c>
      <c r="C3" s="82" t="str">
        <f>VLOOKUP($A3,$A$7:$E$13,COLUMNS($A$1:C1),0)</f>
        <v>Penny</v>
      </c>
      <c r="D3" s="82" t="str">
        <f>VLOOKUP($A3,$A$7:$E$13,COLUMNS($A$1:D1),0)</f>
        <v>PDamska@zoo.pl</v>
      </c>
      <c r="E3" s="82">
        <f>VLOOKUP($A3,$A$7:$E$13,COLUMNS($A$1:E1),0)</f>
        <v>360262850</v>
      </c>
    </row>
    <row r="4" spans="1:5">
      <c r="A4" s="83">
        <v>10004</v>
      </c>
      <c r="B4" s="82" t="str">
        <f>VLOOKUP($A4,$A$7:$E$13,COLUMNS($A$1:B2),0)</f>
        <v>Kotowska</v>
      </c>
      <c r="C4" s="82" t="str">
        <f>VLOOKUP($A4,$A$7:$E$13,COLUMNS($A$1:C2),0)</f>
        <v>Marlena</v>
      </c>
      <c r="D4" s="82" t="str">
        <f>VLOOKUP($A4,$A$7:$E$13,COLUMNS($A$1:D2),0)</f>
        <v>MKotowska@zoo.pl</v>
      </c>
      <c r="E4" s="82">
        <f>VLOOKUP($A4,$A$7:$E$13,COLUMNS($A$1:E2),0)</f>
        <v>571782618</v>
      </c>
    </row>
    <row r="6" spans="1:5">
      <c r="A6" s="41" t="s">
        <v>203</v>
      </c>
      <c r="B6" s="41" t="s">
        <v>204</v>
      </c>
      <c r="C6" s="41" t="s">
        <v>205</v>
      </c>
      <c r="D6" s="41" t="s">
        <v>206</v>
      </c>
      <c r="E6" s="41" t="s">
        <v>207</v>
      </c>
    </row>
    <row r="7" spans="1:5">
      <c r="A7" s="81">
        <v>10001</v>
      </c>
      <c r="B7" s="84" t="s">
        <v>208</v>
      </c>
      <c r="C7" s="84" t="s">
        <v>10</v>
      </c>
      <c r="D7" s="85" t="s">
        <v>209</v>
      </c>
      <c r="E7" s="86">
        <v>638995997</v>
      </c>
    </row>
    <row r="8" spans="1:5">
      <c r="A8" s="81">
        <v>10002</v>
      </c>
      <c r="B8" s="84" t="s">
        <v>210</v>
      </c>
      <c r="C8" s="84" t="s">
        <v>11</v>
      </c>
      <c r="D8" s="85" t="s">
        <v>211</v>
      </c>
      <c r="E8" s="86">
        <v>357747268</v>
      </c>
    </row>
    <row r="9" spans="1:5">
      <c r="A9" s="81">
        <v>10003</v>
      </c>
      <c r="B9" s="84" t="s">
        <v>213</v>
      </c>
      <c r="C9" s="84" t="s">
        <v>212</v>
      </c>
      <c r="D9" s="85" t="s">
        <v>214</v>
      </c>
      <c r="E9" s="86">
        <v>360262850</v>
      </c>
    </row>
    <row r="10" spans="1:5">
      <c r="A10" s="81">
        <v>10004</v>
      </c>
      <c r="B10" s="84" t="s">
        <v>215</v>
      </c>
      <c r="C10" s="84" t="s">
        <v>6</v>
      </c>
      <c r="D10" s="85" t="s">
        <v>216</v>
      </c>
      <c r="E10" s="86">
        <v>571782618</v>
      </c>
    </row>
    <row r="11" spans="1:5">
      <c r="A11" s="81">
        <v>10005</v>
      </c>
      <c r="B11" s="84" t="s">
        <v>217</v>
      </c>
      <c r="C11" s="84" t="s">
        <v>4</v>
      </c>
      <c r="D11" s="85" t="s">
        <v>218</v>
      </c>
      <c r="E11" s="86">
        <v>520204218</v>
      </c>
    </row>
    <row r="12" spans="1:5">
      <c r="A12" s="81">
        <v>10006</v>
      </c>
      <c r="B12" s="84" t="s">
        <v>219</v>
      </c>
      <c r="C12" s="84" t="s">
        <v>106</v>
      </c>
      <c r="D12" s="85" t="s">
        <v>220</v>
      </c>
      <c r="E12" s="86">
        <v>312776114</v>
      </c>
    </row>
    <row r="13" spans="1:5">
      <c r="A13" s="81">
        <v>10007</v>
      </c>
      <c r="B13" s="84" t="s">
        <v>221</v>
      </c>
      <c r="C13" s="84" t="s">
        <v>7</v>
      </c>
      <c r="D13" s="85" t="s">
        <v>222</v>
      </c>
      <c r="E13" s="86">
        <v>551440575</v>
      </c>
    </row>
    <row r="15" spans="1:5">
      <c r="B15" s="87"/>
      <c r="C15" s="87"/>
      <c r="D15" s="87"/>
    </row>
    <row r="16" spans="1:5">
      <c r="A16" s="41" t="s">
        <v>203</v>
      </c>
      <c r="B16" s="41" t="s">
        <v>205</v>
      </c>
      <c r="C16" s="41" t="s">
        <v>204</v>
      </c>
      <c r="D16" s="41" t="s">
        <v>207</v>
      </c>
    </row>
    <row r="17" spans="1:4">
      <c r="A17" s="81">
        <v>10001</v>
      </c>
      <c r="B17" s="82" t="str">
        <f>VLOOKUP($A17,$A$7:$E$13,MATCH(B$16,$A$6:$E$6,0),0)</f>
        <v>Marlin</v>
      </c>
      <c r="C17" s="82" t="str">
        <f t="shared" ref="C17:D20" si="0">VLOOKUP($A17,$A$7:$E$13,MATCH(C$16,$A$6:$E$6,0),0)</f>
        <v>Błazenek</v>
      </c>
      <c r="D17" s="82">
        <f t="shared" si="0"/>
        <v>638995997</v>
      </c>
    </row>
    <row r="18" spans="1:4">
      <c r="A18" s="81">
        <v>10004</v>
      </c>
      <c r="B18" s="82" t="str">
        <f t="shared" ref="B18:B20" si="1">VLOOKUP($A18,$A$7:$E$13,MATCH(B$16,$A$6:$E$6,0),0)</f>
        <v>Marlena</v>
      </c>
      <c r="C18" s="82" t="str">
        <f t="shared" si="0"/>
        <v>Kotowska</v>
      </c>
      <c r="D18" s="82">
        <f t="shared" si="0"/>
        <v>571782618</v>
      </c>
    </row>
    <row r="19" spans="1:4">
      <c r="A19" s="81">
        <v>10006</v>
      </c>
      <c r="B19" s="82" t="str">
        <f t="shared" si="1"/>
        <v>Melman</v>
      </c>
      <c r="C19" s="82" t="str">
        <f t="shared" si="0"/>
        <v>Chory</v>
      </c>
      <c r="D19" s="82">
        <f t="shared" si="0"/>
        <v>312776114</v>
      </c>
    </row>
    <row r="20" spans="1:4">
      <c r="A20" s="81">
        <v>10007</v>
      </c>
      <c r="B20" s="82" t="str">
        <f t="shared" si="1"/>
        <v>Gloria</v>
      </c>
      <c r="C20" s="82" t="str">
        <f t="shared" si="0"/>
        <v>Okrągła</v>
      </c>
      <c r="D20" s="82">
        <f t="shared" si="0"/>
        <v>551440575</v>
      </c>
    </row>
  </sheetData>
  <dataValidations count="1">
    <dataValidation type="list" allowBlank="1" showInputMessage="1" showErrorMessage="1" sqref="A3:A4 A17:A20" xr:uid="{00000000-0002-0000-0A00-000000000000}">
      <formula1>$A$7:$A$13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3">
    <tabColor rgb="FF1E73BE"/>
  </sheetPr>
  <dimension ref="A1:E18"/>
  <sheetViews>
    <sheetView zoomScaleNormal="100" workbookViewId="0">
      <selection activeCell="A7" sqref="A7"/>
    </sheetView>
  </sheetViews>
  <sheetFormatPr defaultColWidth="9.109375" defaultRowHeight="14.4"/>
  <cols>
    <col min="1" max="1" width="37.109375" style="8" customWidth="1"/>
    <col min="2" max="2" width="3.109375" style="8" customWidth="1"/>
    <col min="3" max="3" width="44" style="8" customWidth="1"/>
    <col min="4" max="4" width="14.33203125" style="8" customWidth="1"/>
    <col min="5" max="5" width="17.33203125" style="8" customWidth="1"/>
    <col min="6" max="16384" width="9.109375" style="8"/>
  </cols>
  <sheetData>
    <row r="1" spans="1:5">
      <c r="A1" s="1" t="s">
        <v>259</v>
      </c>
      <c r="C1" s="1" t="s">
        <v>260</v>
      </c>
      <c r="D1" s="1" t="s">
        <v>261</v>
      </c>
      <c r="E1" s="1" t="s">
        <v>262</v>
      </c>
    </row>
    <row r="2" spans="1:5" ht="30" customHeight="1">
      <c r="A2" s="11" t="s">
        <v>22</v>
      </c>
      <c r="C2" s="11" t="s">
        <v>36</v>
      </c>
      <c r="D2" s="31"/>
      <c r="E2" s="31"/>
    </row>
    <row r="3" spans="1:5" ht="28.8">
      <c r="A3" s="11" t="s">
        <v>27</v>
      </c>
      <c r="C3" s="11" t="s">
        <v>41</v>
      </c>
      <c r="D3" s="31"/>
      <c r="E3" s="31"/>
    </row>
    <row r="4" spans="1:5" ht="28.8">
      <c r="A4" s="11" t="s">
        <v>32</v>
      </c>
      <c r="C4" s="11" t="s">
        <v>46</v>
      </c>
      <c r="D4" s="31"/>
      <c r="E4" s="31"/>
    </row>
    <row r="5" spans="1:5" ht="28.8">
      <c r="A5" s="11" t="s">
        <v>36</v>
      </c>
      <c r="C5" s="11" t="s">
        <v>51</v>
      </c>
      <c r="D5" s="31"/>
      <c r="E5" s="31"/>
    </row>
    <row r="6" spans="1:5" ht="28.8">
      <c r="A6" s="11" t="s">
        <v>41</v>
      </c>
      <c r="C6" s="11" t="s">
        <v>56</v>
      </c>
      <c r="D6" s="31"/>
      <c r="E6" s="31"/>
    </row>
    <row r="7" spans="1:5" ht="28.8">
      <c r="A7" s="11" t="s">
        <v>263</v>
      </c>
      <c r="C7" s="11" t="s">
        <v>58</v>
      </c>
      <c r="D7" s="31"/>
      <c r="E7" s="31"/>
    </row>
    <row r="8" spans="1:5">
      <c r="A8" s="11" t="s">
        <v>58</v>
      </c>
      <c r="C8" s="11" t="s">
        <v>60</v>
      </c>
      <c r="D8" s="31"/>
      <c r="E8" s="31"/>
    </row>
    <row r="9" spans="1:5" ht="28.8">
      <c r="A9" s="11" t="s">
        <v>60</v>
      </c>
      <c r="C9" s="11" t="s">
        <v>64</v>
      </c>
      <c r="D9" s="31"/>
      <c r="E9" s="31"/>
    </row>
    <row r="10" spans="1:5" ht="28.8">
      <c r="A10" s="11" t="s">
        <v>62</v>
      </c>
      <c r="C10" s="11" t="s">
        <v>69</v>
      </c>
      <c r="D10" s="31"/>
      <c r="E10" s="31"/>
    </row>
    <row r="11" spans="1:5" ht="28.8">
      <c r="A11" s="11" t="s">
        <v>64</v>
      </c>
      <c r="C11" s="11" t="s">
        <v>76</v>
      </c>
      <c r="D11" s="31"/>
      <c r="E11" s="31"/>
    </row>
    <row r="12" spans="1:5">
      <c r="A12" s="11" t="s">
        <v>73</v>
      </c>
      <c r="C12" s="11" t="s">
        <v>79</v>
      </c>
      <c r="D12" s="31"/>
      <c r="E12" s="31"/>
    </row>
    <row r="13" spans="1:5">
      <c r="A13" s="11" t="s">
        <v>79</v>
      </c>
      <c r="C13" s="11" t="s">
        <v>82</v>
      </c>
      <c r="D13" s="31"/>
      <c r="E13" s="31"/>
    </row>
    <row r="14" spans="1:5" ht="28.8">
      <c r="A14" s="11" t="s">
        <v>82</v>
      </c>
      <c r="C14" s="11" t="s">
        <v>86</v>
      </c>
      <c r="D14" s="31"/>
      <c r="E14" s="31"/>
    </row>
    <row r="15" spans="1:5">
      <c r="A15" s="11" t="s">
        <v>88</v>
      </c>
      <c r="C15" s="11" t="s">
        <v>88</v>
      </c>
      <c r="D15" s="31"/>
      <c r="E15" s="31"/>
    </row>
    <row r="16" spans="1:5">
      <c r="A16" s="11" t="s">
        <v>89</v>
      </c>
      <c r="C16" s="11" t="s">
        <v>89</v>
      </c>
      <c r="D16" s="31"/>
      <c r="E16" s="31"/>
    </row>
    <row r="17" spans="1:1">
      <c r="A17" s="11" t="s">
        <v>91</v>
      </c>
    </row>
    <row r="18" spans="1:1" ht="28.8">
      <c r="A18" s="11" t="s">
        <v>94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5">
    <tabColor rgb="FF1E73BE"/>
  </sheetPr>
  <dimension ref="A1:E11"/>
  <sheetViews>
    <sheetView zoomScale="130" zoomScaleNormal="130" workbookViewId="0">
      <selection activeCell="B11" sqref="B11:C11"/>
    </sheetView>
  </sheetViews>
  <sheetFormatPr defaultColWidth="9.109375" defaultRowHeight="14.4"/>
  <cols>
    <col min="1" max="1" width="15.5546875" style="2" bestFit="1" customWidth="1"/>
    <col min="2" max="2" width="9.44140625" style="2" customWidth="1"/>
    <col min="3" max="3" width="12.88671875" style="2" bestFit="1" customWidth="1"/>
    <col min="4" max="4" width="16.5546875" style="2" bestFit="1" customWidth="1"/>
    <col min="5" max="5" width="21.109375" style="2" bestFit="1" customWidth="1"/>
    <col min="6" max="16384" width="9.109375" style="2"/>
  </cols>
  <sheetData>
    <row r="1" spans="1:5">
      <c r="A1" s="17" t="s">
        <v>203</v>
      </c>
      <c r="B1" s="17" t="s">
        <v>205</v>
      </c>
      <c r="C1" s="17" t="s">
        <v>204</v>
      </c>
      <c r="D1" s="17" t="s">
        <v>330</v>
      </c>
      <c r="E1" s="17" t="s">
        <v>264</v>
      </c>
    </row>
    <row r="2" spans="1:5">
      <c r="A2" s="3" t="s">
        <v>265</v>
      </c>
      <c r="B2" s="3" t="s">
        <v>266</v>
      </c>
      <c r="C2" s="3" t="s">
        <v>267</v>
      </c>
      <c r="D2" s="3" t="s">
        <v>268</v>
      </c>
      <c r="E2" s="3" t="str">
        <f t="shared" ref="E2:E7" si="0">LEFT(C2,1)&amp;B2&amp;"@gmail.com"</f>
        <v>KSuzan@gmail.com</v>
      </c>
    </row>
    <row r="3" spans="1:5">
      <c r="A3" s="3" t="s">
        <v>269</v>
      </c>
      <c r="B3" s="3" t="s">
        <v>270</v>
      </c>
      <c r="C3" s="3" t="s">
        <v>271</v>
      </c>
      <c r="D3" s="3" t="s">
        <v>272</v>
      </c>
      <c r="E3" s="3" t="str">
        <f t="shared" si="0"/>
        <v>FKrzystof@gmail.com</v>
      </c>
    </row>
    <row r="4" spans="1:5">
      <c r="A4" s="3" t="s">
        <v>273</v>
      </c>
      <c r="B4" s="3" t="s">
        <v>274</v>
      </c>
      <c r="C4" s="3" t="s">
        <v>275</v>
      </c>
      <c r="D4" s="3" t="s">
        <v>276</v>
      </c>
      <c r="E4" s="3" t="str">
        <f t="shared" si="0"/>
        <v>RGrzegorz@gmail.com</v>
      </c>
    </row>
    <row r="5" spans="1:5">
      <c r="A5" s="3" t="s">
        <v>277</v>
      </c>
      <c r="B5" s="3" t="s">
        <v>278</v>
      </c>
      <c r="C5" s="3" t="s">
        <v>279</v>
      </c>
      <c r="D5" s="3" t="s">
        <v>280</v>
      </c>
      <c r="E5" s="3" t="str">
        <f t="shared" si="0"/>
        <v>GFilip@gmail.com</v>
      </c>
    </row>
    <row r="6" spans="1:5">
      <c r="A6" s="3" t="s">
        <v>281</v>
      </c>
      <c r="B6" s="10" t="s">
        <v>10</v>
      </c>
      <c r="C6" s="10" t="s">
        <v>210</v>
      </c>
      <c r="D6" s="10" t="s">
        <v>282</v>
      </c>
      <c r="E6" s="10" t="str">
        <f t="shared" si="0"/>
        <v>RMarlin@gmail.com</v>
      </c>
    </row>
    <row r="7" spans="1:5">
      <c r="A7" s="3" t="s">
        <v>283</v>
      </c>
      <c r="B7" s="10" t="s">
        <v>284</v>
      </c>
      <c r="C7" s="10" t="s">
        <v>285</v>
      </c>
      <c r="D7" s="10" t="s">
        <v>286</v>
      </c>
      <c r="E7" s="10" t="str">
        <f t="shared" si="0"/>
        <v>UDorota@gmail.com</v>
      </c>
    </row>
    <row r="9" spans="1:5" ht="18">
      <c r="A9" s="12" t="s">
        <v>287</v>
      </c>
      <c r="B9" s="12"/>
      <c r="C9" s="12"/>
    </row>
    <row r="10" spans="1:5">
      <c r="A10" s="17" t="s">
        <v>330</v>
      </c>
      <c r="B10" s="17" t="s">
        <v>204</v>
      </c>
      <c r="C10" s="17" t="s">
        <v>205</v>
      </c>
    </row>
    <row r="11" spans="1:5">
      <c r="A11" s="3" t="s">
        <v>268</v>
      </c>
      <c r="B11" s="31"/>
      <c r="C11" s="31"/>
    </row>
  </sheetData>
  <dataValidations count="1">
    <dataValidation type="list" allowBlank="1" showInputMessage="1" showErrorMessage="1" sqref="A11" xr:uid="{00000000-0002-0000-0C00-000000000000}">
      <formula1>$D$2:$D$7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6">
    <tabColor rgb="FF1E73BE"/>
  </sheetPr>
  <dimension ref="A1:G25"/>
  <sheetViews>
    <sheetView topLeftCell="A10" zoomScale="130" zoomScaleNormal="130" workbookViewId="0"/>
  </sheetViews>
  <sheetFormatPr defaultColWidth="9.109375" defaultRowHeight="14.4"/>
  <cols>
    <col min="1" max="1" width="13.109375" style="67" bestFit="1" customWidth="1"/>
    <col min="2" max="2" width="11" style="67" customWidth="1"/>
    <col min="3" max="7" width="9.33203125" style="67" customWidth="1"/>
    <col min="8" max="8" width="11" style="67" customWidth="1"/>
    <col min="9" max="16384" width="9.109375" style="67"/>
  </cols>
  <sheetData>
    <row r="1" spans="1:7">
      <c r="A1" s="65" t="s">
        <v>239</v>
      </c>
      <c r="B1" s="66"/>
      <c r="C1" s="66"/>
      <c r="D1" s="66"/>
      <c r="E1" s="66"/>
      <c r="F1" s="66"/>
      <c r="G1" s="66"/>
    </row>
    <row r="2" spans="1:7">
      <c r="A2" s="68" t="s">
        <v>0</v>
      </c>
      <c r="B2" s="68" t="s">
        <v>240</v>
      </c>
      <c r="C2" s="68" t="s">
        <v>241</v>
      </c>
      <c r="D2" s="68" t="s">
        <v>242</v>
      </c>
      <c r="E2" s="68" t="s">
        <v>243</v>
      </c>
      <c r="F2" s="68" t="s">
        <v>244</v>
      </c>
      <c r="G2" s="68" t="s">
        <v>245</v>
      </c>
    </row>
    <row r="3" spans="1:7">
      <c r="A3" s="68" t="s">
        <v>246</v>
      </c>
      <c r="B3" s="69">
        <v>1273</v>
      </c>
      <c r="C3" s="69">
        <v>4576</v>
      </c>
      <c r="D3" s="69">
        <v>1682</v>
      </c>
      <c r="E3" s="69">
        <v>4096</v>
      </c>
      <c r="F3" s="69">
        <v>1319</v>
      </c>
      <c r="G3" s="69">
        <v>3004</v>
      </c>
    </row>
    <row r="4" spans="1:7">
      <c r="A4" s="68" t="s">
        <v>247</v>
      </c>
      <c r="B4" s="69">
        <v>3250</v>
      </c>
      <c r="C4" s="69">
        <v>4755</v>
      </c>
      <c r="D4" s="69">
        <v>2269</v>
      </c>
      <c r="E4" s="69">
        <v>4770</v>
      </c>
      <c r="F4" s="69">
        <v>2970</v>
      </c>
      <c r="G4" s="69">
        <v>3196</v>
      </c>
    </row>
    <row r="5" spans="1:7">
      <c r="A5" s="68" t="s">
        <v>248</v>
      </c>
      <c r="B5" s="69">
        <v>4323</v>
      </c>
      <c r="C5" s="69">
        <v>1115</v>
      </c>
      <c r="D5" s="69">
        <v>2433</v>
      </c>
      <c r="E5" s="69">
        <v>3419</v>
      </c>
      <c r="F5" s="69">
        <v>1046</v>
      </c>
      <c r="G5" s="69">
        <v>2297</v>
      </c>
    </row>
    <row r="6" spans="1:7">
      <c r="A6" s="68" t="s">
        <v>249</v>
      </c>
      <c r="B6" s="69">
        <v>2310</v>
      </c>
      <c r="C6" s="69">
        <v>2290</v>
      </c>
      <c r="D6" s="69">
        <v>1326</v>
      </c>
      <c r="E6" s="69">
        <v>2394</v>
      </c>
      <c r="F6" s="69">
        <v>1852</v>
      </c>
      <c r="G6" s="69">
        <v>2202</v>
      </c>
    </row>
    <row r="7" spans="1:7">
      <c r="A7" s="68" t="s">
        <v>250</v>
      </c>
      <c r="B7" s="69">
        <v>4901</v>
      </c>
      <c r="C7" s="69">
        <v>4685</v>
      </c>
      <c r="D7" s="69">
        <v>4775</v>
      </c>
      <c r="E7" s="69">
        <v>4953</v>
      </c>
      <c r="F7" s="69">
        <v>1029</v>
      </c>
      <c r="G7" s="69">
        <v>3537</v>
      </c>
    </row>
    <row r="8" spans="1:7">
      <c r="A8" s="68" t="s">
        <v>252</v>
      </c>
      <c r="B8" s="69">
        <v>1586</v>
      </c>
      <c r="C8" s="69">
        <v>4442</v>
      </c>
      <c r="D8" s="69">
        <v>3908</v>
      </c>
      <c r="E8" s="69">
        <v>2619</v>
      </c>
      <c r="F8" s="69">
        <v>1585</v>
      </c>
      <c r="G8" s="69">
        <v>4206</v>
      </c>
    </row>
    <row r="10" spans="1:7">
      <c r="A10" s="68" t="s">
        <v>0</v>
      </c>
      <c r="B10" s="70" t="s">
        <v>249</v>
      </c>
      <c r="C10" s="71"/>
      <c r="D10" s="72"/>
      <c r="E10" s="71"/>
    </row>
    <row r="11" spans="1:7">
      <c r="A11" s="73" t="s">
        <v>253</v>
      </c>
      <c r="B11" s="70" t="s">
        <v>241</v>
      </c>
      <c r="C11" s="71"/>
      <c r="D11" s="72"/>
      <c r="E11" s="74"/>
    </row>
    <row r="12" spans="1:7">
      <c r="A12" s="68" t="s">
        <v>254</v>
      </c>
      <c r="B12" s="75">
        <f>INDEX(B3:G8,MATCH(B10,A3:A8,0),MATCH(B11,B2:G2,0))</f>
        <v>2290</v>
      </c>
      <c r="C12" s="72"/>
    </row>
    <row r="15" spans="1:7">
      <c r="A15" s="68" t="s">
        <v>255</v>
      </c>
      <c r="B15" s="68">
        <v>20</v>
      </c>
      <c r="C15" s="68">
        <v>15</v>
      </c>
      <c r="D15" s="68">
        <v>10</v>
      </c>
      <c r="E15" s="68">
        <v>5</v>
      </c>
      <c r="F15" s="68">
        <v>2</v>
      </c>
      <c r="G15" s="68">
        <v>1</v>
      </c>
    </row>
    <row r="16" spans="1:7">
      <c r="A16" s="76">
        <v>0</v>
      </c>
      <c r="B16" s="77">
        <v>0.09</v>
      </c>
      <c r="C16" s="77">
        <v>0.1</v>
      </c>
      <c r="D16" s="77">
        <v>0.11</v>
      </c>
      <c r="E16" s="77">
        <v>0.12</v>
      </c>
      <c r="F16" s="77">
        <v>0.15</v>
      </c>
      <c r="G16" s="77">
        <v>0.2</v>
      </c>
    </row>
    <row r="17" spans="1:7">
      <c r="A17" s="76">
        <v>10000</v>
      </c>
      <c r="B17" s="77">
        <v>0.08</v>
      </c>
      <c r="C17" s="77">
        <v>0.1</v>
      </c>
      <c r="D17" s="77">
        <v>0.12</v>
      </c>
      <c r="E17" s="77">
        <v>0.13</v>
      </c>
      <c r="F17" s="77">
        <v>0.16</v>
      </c>
      <c r="G17" s="77">
        <v>0.21</v>
      </c>
    </row>
    <row r="18" spans="1:7">
      <c r="A18" s="76">
        <v>25000</v>
      </c>
      <c r="B18" s="77">
        <v>7.0000000000000007E-2</v>
      </c>
      <c r="C18" s="77">
        <v>0.08</v>
      </c>
      <c r="D18" s="77">
        <v>0.09</v>
      </c>
      <c r="E18" s="77">
        <v>0.1</v>
      </c>
      <c r="F18" s="77">
        <v>0.12</v>
      </c>
      <c r="G18" s="77">
        <v>0.22</v>
      </c>
    </row>
    <row r="19" spans="1:7">
      <c r="A19" s="76">
        <v>50000</v>
      </c>
      <c r="B19" s="77">
        <v>6.5000000000000002E-2</v>
      </c>
      <c r="C19" s="77">
        <v>0.08</v>
      </c>
      <c r="D19" s="77">
        <v>8.5000000000000006E-2</v>
      </c>
      <c r="E19" s="77">
        <v>0.1</v>
      </c>
      <c r="F19" s="77">
        <v>0.11</v>
      </c>
      <c r="G19" s="77">
        <v>0.23</v>
      </c>
    </row>
    <row r="20" spans="1:7">
      <c r="A20" s="76">
        <v>100000</v>
      </c>
      <c r="B20" s="77">
        <v>0.06</v>
      </c>
      <c r="C20" s="77">
        <v>7.4999999999999997E-2</v>
      </c>
      <c r="D20" s="77">
        <v>8.5000000000000006E-2</v>
      </c>
      <c r="E20" s="77">
        <v>0.09</v>
      </c>
      <c r="F20" s="77">
        <v>0.1</v>
      </c>
      <c r="G20" s="77">
        <v>0.25</v>
      </c>
    </row>
    <row r="21" spans="1:7">
      <c r="A21" s="76">
        <v>250000</v>
      </c>
      <c r="B21" s="77">
        <v>5.5E-2</v>
      </c>
      <c r="C21" s="77">
        <v>0.08</v>
      </c>
      <c r="D21" s="77">
        <v>0.1</v>
      </c>
      <c r="E21" s="77">
        <v>0.15</v>
      </c>
      <c r="F21" s="77">
        <v>0.2</v>
      </c>
      <c r="G21" s="77">
        <v>0.3</v>
      </c>
    </row>
    <row r="23" spans="1:7">
      <c r="A23" s="68" t="s">
        <v>256</v>
      </c>
      <c r="B23" s="69">
        <v>26111</v>
      </c>
      <c r="C23" s="71">
        <f>MATCH(B23,A16:A21,1)</f>
        <v>3</v>
      </c>
    </row>
    <row r="24" spans="1:7">
      <c r="A24" s="68" t="s">
        <v>257</v>
      </c>
      <c r="B24" s="70">
        <v>10</v>
      </c>
      <c r="C24" s="71">
        <f>MATCH(B24,B15:G15,-1)</f>
        <v>3</v>
      </c>
    </row>
    <row r="25" spans="1:7">
      <c r="A25" s="68" t="s">
        <v>258</v>
      </c>
      <c r="B25" s="78">
        <f>INDEX(B16:G21,C23,C24)</f>
        <v>0.09</v>
      </c>
    </row>
  </sheetData>
  <conditionalFormatting sqref="B16:G21">
    <cfRule type="expression" dxfId="8" priority="1">
      <formula>(ROWS($B$16:B16)=MATCH($B$23,$A$16:$A$21,1))*(COLUMNS($B$16:B16)=MATCH($B$24,$B$15:$G$15,-1))</formula>
    </cfRule>
    <cfRule type="expression" dxfId="7" priority="2">
      <formula>COLUMNS($B$16:B16)=MATCH($B$24,$B$15:$G$15,-1)</formula>
    </cfRule>
    <cfRule type="expression" dxfId="6" priority="3">
      <formula>ROWS($B$16:B16)=MATCH($B$23,$A$16:$A$21,1)</formula>
    </cfRule>
  </conditionalFormatting>
  <conditionalFormatting sqref="B3:G8">
    <cfRule type="expression" dxfId="5" priority="7">
      <formula>AND($A3=$B$10,B$2=$B$11)</formula>
    </cfRule>
    <cfRule type="expression" dxfId="4" priority="8">
      <formula>B$2=$B$11</formula>
    </cfRule>
    <cfRule type="expression" dxfId="3" priority="9">
      <formula>$A3=$B$10</formula>
    </cfRule>
  </conditionalFormatting>
  <dataValidations count="2">
    <dataValidation type="list" allowBlank="1" showInputMessage="1" showErrorMessage="1" sqref="B11" xr:uid="{00000000-0002-0000-0D00-000000000000}">
      <formula1>$B$2:$G$2</formula1>
    </dataValidation>
    <dataValidation type="list" allowBlank="1" showInputMessage="1" showErrorMessage="1" sqref="B10" xr:uid="{00000000-0002-0000-0D00-000001000000}">
      <formula1>$A$3:$A$8</formula1>
    </dataValidation>
  </dataValidation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Arkusz17">
    <tabColor rgb="FF1E73BE"/>
  </sheetPr>
  <dimension ref="A1:H14"/>
  <sheetViews>
    <sheetView zoomScale="130" zoomScaleNormal="130" workbookViewId="0">
      <selection activeCell="F6" sqref="F6"/>
    </sheetView>
  </sheetViews>
  <sheetFormatPr defaultColWidth="9.109375" defaultRowHeight="14.4"/>
  <cols>
    <col min="1" max="1" width="11.33203125" style="8" customWidth="1"/>
    <col min="2" max="2" width="11.109375" style="8" bestFit="1" customWidth="1"/>
    <col min="3" max="4" width="9.109375" style="8" customWidth="1"/>
    <col min="5" max="7" width="9.109375" style="8"/>
    <col min="8" max="8" width="9.88671875" style="8" bestFit="1" customWidth="1"/>
    <col min="9" max="16384" width="9.109375" style="8"/>
  </cols>
  <sheetData>
    <row r="1" spans="1:8" ht="18">
      <c r="A1" s="12" t="s">
        <v>239</v>
      </c>
      <c r="B1" s="13"/>
      <c r="C1" s="13"/>
      <c r="D1" s="13"/>
      <c r="E1" s="13"/>
      <c r="F1" s="13"/>
      <c r="G1" s="13"/>
      <c r="H1" s="13"/>
    </row>
    <row r="2" spans="1:8">
      <c r="A2" s="15" t="s">
        <v>0</v>
      </c>
      <c r="B2" s="15" t="s">
        <v>240</v>
      </c>
      <c r="C2" s="15" t="s">
        <v>241</v>
      </c>
      <c r="D2" s="15" t="s">
        <v>242</v>
      </c>
      <c r="E2" s="15" t="s">
        <v>243</v>
      </c>
      <c r="F2" s="15" t="s">
        <v>244</v>
      </c>
      <c r="G2" s="19" t="s">
        <v>245</v>
      </c>
      <c r="H2" s="20" t="s">
        <v>17</v>
      </c>
    </row>
    <row r="3" spans="1:8">
      <c r="A3" s="15" t="s">
        <v>246</v>
      </c>
      <c r="B3" s="7">
        <v>1273</v>
      </c>
      <c r="C3" s="7">
        <v>4576</v>
      </c>
      <c r="D3" s="7">
        <v>1682</v>
      </c>
      <c r="E3" s="7">
        <v>4096</v>
      </c>
      <c r="F3" s="7">
        <v>1319</v>
      </c>
      <c r="G3" s="21">
        <v>3004</v>
      </c>
      <c r="H3" s="22">
        <f t="shared" ref="H3:H10" si="0">SUM(B3:G3)</f>
        <v>15950</v>
      </c>
    </row>
    <row r="4" spans="1:8">
      <c r="A4" s="15" t="s">
        <v>247</v>
      </c>
      <c r="B4" s="7">
        <v>3250</v>
      </c>
      <c r="C4" s="7">
        <v>4755</v>
      </c>
      <c r="D4" s="7">
        <v>2269</v>
      </c>
      <c r="E4" s="7">
        <v>4770</v>
      </c>
      <c r="F4" s="7">
        <v>2970</v>
      </c>
      <c r="G4" s="21">
        <v>3196</v>
      </c>
      <c r="H4" s="22">
        <f t="shared" si="0"/>
        <v>21210</v>
      </c>
    </row>
    <row r="5" spans="1:8">
      <c r="A5" s="15" t="s">
        <v>248</v>
      </c>
      <c r="B5" s="7">
        <v>4323</v>
      </c>
      <c r="C5" s="7">
        <v>1115</v>
      </c>
      <c r="D5" s="7">
        <v>2433</v>
      </c>
      <c r="E5" s="7">
        <v>3419</v>
      </c>
      <c r="F5" s="7">
        <v>1046</v>
      </c>
      <c r="G5" s="21">
        <v>2297</v>
      </c>
      <c r="H5" s="22">
        <f t="shared" si="0"/>
        <v>14633</v>
      </c>
    </row>
    <row r="6" spans="1:8">
      <c r="A6" s="15" t="s">
        <v>249</v>
      </c>
      <c r="B6" s="7">
        <v>2310</v>
      </c>
      <c r="C6" s="7">
        <v>2290</v>
      </c>
      <c r="D6" s="7">
        <v>1326</v>
      </c>
      <c r="E6" s="7">
        <v>2394</v>
      </c>
      <c r="F6" s="7">
        <v>1852</v>
      </c>
      <c r="G6" s="21">
        <v>2202</v>
      </c>
      <c r="H6" s="22">
        <f t="shared" si="0"/>
        <v>12374</v>
      </c>
    </row>
    <row r="7" spans="1:8">
      <c r="A7" s="15" t="s">
        <v>250</v>
      </c>
      <c r="B7" s="7">
        <v>4901</v>
      </c>
      <c r="C7" s="7">
        <v>4685</v>
      </c>
      <c r="D7" s="7">
        <v>4775</v>
      </c>
      <c r="E7" s="7">
        <v>4953</v>
      </c>
      <c r="F7" s="7">
        <v>1029</v>
      </c>
      <c r="G7" s="21">
        <v>3537</v>
      </c>
      <c r="H7" s="22">
        <f t="shared" si="0"/>
        <v>23880</v>
      </c>
    </row>
    <row r="8" spans="1:8">
      <c r="A8" s="15" t="s">
        <v>251</v>
      </c>
      <c r="B8" s="7">
        <v>3128</v>
      </c>
      <c r="C8" s="7">
        <v>2951</v>
      </c>
      <c r="D8" s="7">
        <v>4270</v>
      </c>
      <c r="E8" s="7">
        <v>4243</v>
      </c>
      <c r="F8" s="7">
        <v>3666</v>
      </c>
      <c r="G8" s="21">
        <v>4732</v>
      </c>
      <c r="H8" s="22">
        <f t="shared" si="0"/>
        <v>22990</v>
      </c>
    </row>
    <row r="9" spans="1:8" ht="15" thickBot="1">
      <c r="A9" s="23" t="s">
        <v>252</v>
      </c>
      <c r="B9" s="24">
        <v>1586</v>
      </c>
      <c r="C9" s="24">
        <v>4442</v>
      </c>
      <c r="D9" s="24">
        <v>3908</v>
      </c>
      <c r="E9" s="24">
        <v>2619</v>
      </c>
      <c r="F9" s="24">
        <v>1585</v>
      </c>
      <c r="G9" s="25">
        <v>4206</v>
      </c>
      <c r="H9" s="26">
        <f t="shared" si="0"/>
        <v>18346</v>
      </c>
    </row>
    <row r="10" spans="1:8" ht="15" thickTop="1">
      <c r="A10" s="27" t="s">
        <v>17</v>
      </c>
      <c r="B10" s="28">
        <f t="shared" ref="B10:G10" si="1">SUM(B3:B9)</f>
        <v>20771</v>
      </c>
      <c r="C10" s="28">
        <f t="shared" si="1"/>
        <v>24814</v>
      </c>
      <c r="D10" s="28">
        <f t="shared" si="1"/>
        <v>20663</v>
      </c>
      <c r="E10" s="28">
        <f t="shared" si="1"/>
        <v>26494</v>
      </c>
      <c r="F10" s="28">
        <f t="shared" si="1"/>
        <v>13467</v>
      </c>
      <c r="G10" s="29">
        <f t="shared" si="1"/>
        <v>23174</v>
      </c>
      <c r="H10" s="30">
        <f t="shared" si="0"/>
        <v>129383</v>
      </c>
    </row>
    <row r="11" spans="1:8">
      <c r="A11" s="2"/>
      <c r="B11" s="2"/>
      <c r="C11" s="2"/>
      <c r="D11" s="2"/>
      <c r="E11" s="2"/>
      <c r="F11" s="2"/>
      <c r="G11" s="2"/>
    </row>
    <row r="12" spans="1:8">
      <c r="A12" s="9" t="s">
        <v>0</v>
      </c>
      <c r="B12" s="14" t="s">
        <v>248</v>
      </c>
      <c r="C12" s="32">
        <f>MATCH(B12,A3:A9,0)</f>
        <v>3</v>
      </c>
      <c r="D12" s="2"/>
      <c r="E12" s="15" t="s">
        <v>253</v>
      </c>
      <c r="F12" s="14" t="s">
        <v>242</v>
      </c>
      <c r="G12" s="32"/>
    </row>
    <row r="13" spans="1:8">
      <c r="A13" s="9" t="s">
        <v>254</v>
      </c>
      <c r="B13" s="33"/>
      <c r="D13" s="2"/>
      <c r="E13" s="9" t="s">
        <v>254</v>
      </c>
      <c r="F13" s="33"/>
      <c r="G13" s="2"/>
    </row>
    <row r="14" spans="1:8">
      <c r="C14" s="2"/>
      <c r="D14" s="2"/>
      <c r="E14" s="2"/>
      <c r="F14" s="2"/>
      <c r="G14" s="2"/>
    </row>
  </sheetData>
  <conditionalFormatting sqref="B3:H10">
    <cfRule type="expression" dxfId="2" priority="1">
      <formula>AND($A3=$B$12,B$2=$F$12)</formula>
    </cfRule>
    <cfRule type="expression" dxfId="1" priority="2">
      <formula>B$2=$F$12</formula>
    </cfRule>
    <cfRule type="expression" dxfId="0" priority="3">
      <formula>$A3=$B$12</formula>
    </cfRule>
  </conditionalFormatting>
  <dataValidations count="2">
    <dataValidation type="list" allowBlank="1" showInputMessage="1" showErrorMessage="1" sqref="F12" xr:uid="{00000000-0002-0000-0E00-000000000000}">
      <formula1>$B$2:$G$2</formula1>
    </dataValidation>
    <dataValidation type="list" allowBlank="1" showInputMessage="1" showErrorMessage="1" sqref="B12" xr:uid="{00000000-0002-0000-0E00-000001000000}">
      <formula1>$A$3:$A$9</formula1>
    </dataValidation>
  </dataValidation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Arkusz18">
    <tabColor rgb="FF1E73BE"/>
  </sheetPr>
  <dimension ref="A1:F8"/>
  <sheetViews>
    <sheetView zoomScale="130" zoomScaleNormal="130" workbookViewId="0">
      <selection activeCell="F2" activeCellId="1" sqref="A2:A8 F2:F6"/>
    </sheetView>
  </sheetViews>
  <sheetFormatPr defaultColWidth="9.109375" defaultRowHeight="14.4"/>
  <cols>
    <col min="1" max="3" width="9.109375" style="2"/>
    <col min="4" max="4" width="8.88671875"/>
    <col min="5" max="5" width="9.109375" style="2"/>
    <col min="6" max="6" width="11.33203125" style="2" customWidth="1"/>
    <col min="7" max="16384" width="9.109375" style="2"/>
  </cols>
  <sheetData>
    <row r="1" spans="1:6" ht="28.8">
      <c r="A1" s="16" t="s">
        <v>288</v>
      </c>
      <c r="C1" s="16" t="s">
        <v>289</v>
      </c>
      <c r="F1" s="16" t="s">
        <v>331</v>
      </c>
    </row>
    <row r="2" spans="1:6">
      <c r="A2" s="31"/>
      <c r="C2" s="3" t="s">
        <v>290</v>
      </c>
      <c r="F2" s="31"/>
    </row>
    <row r="3" spans="1:6">
      <c r="A3" s="31"/>
      <c r="C3" s="3" t="s">
        <v>291</v>
      </c>
      <c r="F3" s="31"/>
    </row>
    <row r="4" spans="1:6">
      <c r="A4" s="31"/>
      <c r="C4" s="3" t="s">
        <v>292</v>
      </c>
      <c r="F4" s="31"/>
    </row>
    <row r="5" spans="1:6">
      <c r="A5" s="31"/>
      <c r="C5" s="3" t="s">
        <v>293</v>
      </c>
      <c r="F5" s="31"/>
    </row>
    <row r="6" spans="1:6">
      <c r="A6" s="31"/>
      <c r="F6" s="31"/>
    </row>
    <row r="7" spans="1:6">
      <c r="A7" s="31"/>
    </row>
    <row r="8" spans="1:6">
      <c r="A8" s="3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Arkusz20">
    <tabColor rgb="FF1E73BE"/>
  </sheetPr>
  <dimension ref="A1:E334"/>
  <sheetViews>
    <sheetView topLeftCell="A290" zoomScale="115" zoomScaleNormal="115" workbookViewId="0"/>
  </sheetViews>
  <sheetFormatPr defaultRowHeight="14.4"/>
  <cols>
    <col min="1" max="1" width="20.6640625" style="37" customWidth="1"/>
    <col min="2" max="2" width="6.88671875" style="37" bestFit="1" customWidth="1"/>
    <col min="3" max="3" width="9" style="37" bestFit="1" customWidth="1"/>
    <col min="4" max="4" width="13" style="37" customWidth="1"/>
    <col min="5" max="5" width="48.33203125" style="64" customWidth="1"/>
    <col min="6" max="16384" width="8.88671875" style="37"/>
  </cols>
  <sheetData>
    <row r="1" spans="1:5" ht="28.8">
      <c r="A1" s="41" t="s">
        <v>15</v>
      </c>
      <c r="B1" s="41" t="s">
        <v>203</v>
      </c>
      <c r="C1" s="41" t="s">
        <v>16</v>
      </c>
      <c r="D1" s="41" t="s">
        <v>333</v>
      </c>
      <c r="E1" s="41" t="s">
        <v>334</v>
      </c>
    </row>
    <row r="2" spans="1:5" ht="16.8">
      <c r="A2" s="44" t="s">
        <v>1300</v>
      </c>
      <c r="B2" s="45" t="s">
        <v>1301</v>
      </c>
      <c r="C2" s="46">
        <v>9.9</v>
      </c>
      <c r="D2" s="45" t="s">
        <v>1302</v>
      </c>
      <c r="E2" s="47" t="s">
        <v>1303</v>
      </c>
    </row>
    <row r="3" spans="1:5" ht="16.8">
      <c r="A3" s="44" t="s">
        <v>1297</v>
      </c>
      <c r="B3" s="45" t="s">
        <v>1298</v>
      </c>
      <c r="C3" s="46">
        <v>9.9</v>
      </c>
      <c r="D3" s="45" t="s">
        <v>1299</v>
      </c>
      <c r="E3" s="62" t="s">
        <v>1556</v>
      </c>
    </row>
    <row r="4" spans="1:5" ht="16.8">
      <c r="A4" s="44" t="s">
        <v>1294</v>
      </c>
      <c r="B4" s="45" t="s">
        <v>1295</v>
      </c>
      <c r="C4" s="46">
        <v>6.9</v>
      </c>
      <c r="D4" s="45" t="s">
        <v>1296</v>
      </c>
      <c r="E4" s="62" t="s">
        <v>1557</v>
      </c>
    </row>
    <row r="5" spans="1:5" ht="16.8">
      <c r="A5" s="44" t="s">
        <v>1290</v>
      </c>
      <c r="B5" s="45" t="s">
        <v>1291</v>
      </c>
      <c r="C5" s="46">
        <v>9.9</v>
      </c>
      <c r="D5" s="45" t="s">
        <v>1292</v>
      </c>
      <c r="E5" s="47" t="s">
        <v>1293</v>
      </c>
    </row>
    <row r="6" spans="1:5" ht="16.8">
      <c r="A6" s="44" t="s">
        <v>1286</v>
      </c>
      <c r="B6" s="45" t="s">
        <v>1287</v>
      </c>
      <c r="C6" s="46">
        <v>9.9</v>
      </c>
      <c r="D6" s="45" t="s">
        <v>1288</v>
      </c>
      <c r="E6" s="47" t="s">
        <v>1289</v>
      </c>
    </row>
    <row r="7" spans="1:5" ht="16.8">
      <c r="A7" s="44" t="s">
        <v>1282</v>
      </c>
      <c r="B7" s="45" t="s">
        <v>1283</v>
      </c>
      <c r="C7" s="46">
        <v>9.9</v>
      </c>
      <c r="D7" s="45" t="s">
        <v>1284</v>
      </c>
      <c r="E7" s="47" t="s">
        <v>1285</v>
      </c>
    </row>
    <row r="8" spans="1:5" ht="16.8">
      <c r="A8" s="48" t="s">
        <v>1280</v>
      </c>
      <c r="B8" s="49"/>
      <c r="C8" s="50">
        <v>0</v>
      </c>
      <c r="D8" s="49" t="s">
        <v>1281</v>
      </c>
      <c r="E8" s="51"/>
    </row>
    <row r="9" spans="1:5" ht="33.6">
      <c r="A9" s="44" t="s">
        <v>1277</v>
      </c>
      <c r="B9" s="45" t="s">
        <v>1278</v>
      </c>
      <c r="C9" s="46">
        <v>9.9</v>
      </c>
      <c r="D9" s="45" t="s">
        <v>1279</v>
      </c>
      <c r="E9" s="62" t="s">
        <v>1276</v>
      </c>
    </row>
    <row r="10" spans="1:5" ht="33.6">
      <c r="A10" s="44" t="s">
        <v>1273</v>
      </c>
      <c r="B10" s="45" t="s">
        <v>1274</v>
      </c>
      <c r="C10" s="46">
        <v>14.9</v>
      </c>
      <c r="D10" s="45" t="s">
        <v>1275</v>
      </c>
      <c r="E10" s="62" t="s">
        <v>1276</v>
      </c>
    </row>
    <row r="11" spans="1:5" ht="16.8">
      <c r="A11" s="44" t="s">
        <v>1270</v>
      </c>
      <c r="B11" s="45" t="s">
        <v>1271</v>
      </c>
      <c r="C11" s="46">
        <v>9.9</v>
      </c>
      <c r="D11" s="45" t="s">
        <v>1272</v>
      </c>
      <c r="E11" s="47" t="s">
        <v>1196</v>
      </c>
    </row>
    <row r="12" spans="1:5" ht="16.8">
      <c r="A12" s="48" t="s">
        <v>1268</v>
      </c>
      <c r="B12" s="49"/>
      <c r="C12" s="50">
        <v>0</v>
      </c>
      <c r="D12" s="49" t="s">
        <v>1269</v>
      </c>
      <c r="E12" s="51"/>
    </row>
    <row r="13" spans="1:5" ht="33.6">
      <c r="A13" s="48" t="s">
        <v>1266</v>
      </c>
      <c r="B13" s="49"/>
      <c r="C13" s="50">
        <v>0</v>
      </c>
      <c r="D13" s="49" t="s">
        <v>1267</v>
      </c>
      <c r="E13" s="51"/>
    </row>
    <row r="14" spans="1:5" ht="33.6">
      <c r="A14" s="44" t="s">
        <v>1263</v>
      </c>
      <c r="B14" s="45" t="s">
        <v>1264</v>
      </c>
      <c r="C14" s="46">
        <v>9.9</v>
      </c>
      <c r="D14" s="45" t="s">
        <v>1265</v>
      </c>
      <c r="E14" s="47" t="s">
        <v>942</v>
      </c>
    </row>
    <row r="15" spans="1:5" ht="16.8">
      <c r="A15" s="52" t="s">
        <v>1260</v>
      </c>
      <c r="B15" s="53" t="s">
        <v>1261</v>
      </c>
      <c r="C15" s="54">
        <v>9.9</v>
      </c>
      <c r="D15" s="53" t="s">
        <v>1262</v>
      </c>
      <c r="E15" s="55"/>
    </row>
    <row r="16" spans="1:5" ht="50.4">
      <c r="A16" s="44" t="s">
        <v>1256</v>
      </c>
      <c r="B16" s="45" t="s">
        <v>1257</v>
      </c>
      <c r="C16" s="46">
        <v>14.99</v>
      </c>
      <c r="D16" s="45" t="s">
        <v>1258</v>
      </c>
      <c r="E16" s="47" t="s">
        <v>1259</v>
      </c>
    </row>
    <row r="17" spans="1:5" ht="50.4">
      <c r="A17" s="44" t="s">
        <v>1252</v>
      </c>
      <c r="B17" s="45" t="s">
        <v>1253</v>
      </c>
      <c r="C17" s="46">
        <v>14.99</v>
      </c>
      <c r="D17" s="45" t="s">
        <v>1254</v>
      </c>
      <c r="E17" s="47" t="s">
        <v>1255</v>
      </c>
    </row>
    <row r="18" spans="1:5" ht="50.4">
      <c r="A18" s="44" t="s">
        <v>1248</v>
      </c>
      <c r="B18" s="45" t="s">
        <v>1249</v>
      </c>
      <c r="C18" s="46">
        <v>14.99</v>
      </c>
      <c r="D18" s="45" t="s">
        <v>1250</v>
      </c>
      <c r="E18" s="47" t="s">
        <v>1251</v>
      </c>
    </row>
    <row r="19" spans="1:5" ht="50.4">
      <c r="A19" s="44" t="s">
        <v>1244</v>
      </c>
      <c r="B19" s="45" t="s">
        <v>1245</v>
      </c>
      <c r="C19" s="46">
        <v>14.99</v>
      </c>
      <c r="D19" s="45" t="s">
        <v>1246</v>
      </c>
      <c r="E19" s="47" t="s">
        <v>1247</v>
      </c>
    </row>
    <row r="20" spans="1:5" ht="33.6">
      <c r="A20" s="52" t="s">
        <v>1241</v>
      </c>
      <c r="B20" s="53" t="s">
        <v>1242</v>
      </c>
      <c r="C20" s="54">
        <v>14.9</v>
      </c>
      <c r="D20" s="53" t="s">
        <v>1243</v>
      </c>
      <c r="E20" s="55"/>
    </row>
    <row r="21" spans="1:5" ht="33.6">
      <c r="A21" s="44" t="s">
        <v>1237</v>
      </c>
      <c r="B21" s="45" t="s">
        <v>1238</v>
      </c>
      <c r="C21" s="46">
        <v>9.9</v>
      </c>
      <c r="D21" s="45" t="s">
        <v>1239</v>
      </c>
      <c r="E21" s="62" t="s">
        <v>1240</v>
      </c>
    </row>
    <row r="22" spans="1:5" ht="16.8">
      <c r="A22" s="44" t="s">
        <v>1233</v>
      </c>
      <c r="B22" s="45" t="s">
        <v>1234</v>
      </c>
      <c r="C22" s="46">
        <v>9.9</v>
      </c>
      <c r="D22" s="45" t="s">
        <v>1235</v>
      </c>
      <c r="E22" s="47" t="s">
        <v>1236</v>
      </c>
    </row>
    <row r="23" spans="1:5" ht="33.6">
      <c r="A23" s="44" t="s">
        <v>1229</v>
      </c>
      <c r="B23" s="45" t="s">
        <v>1230</v>
      </c>
      <c r="C23" s="46">
        <v>14.9</v>
      </c>
      <c r="D23" s="45" t="s">
        <v>1231</v>
      </c>
      <c r="E23" s="47" t="s">
        <v>1232</v>
      </c>
    </row>
    <row r="24" spans="1:5" ht="50.4">
      <c r="A24" s="44" t="s">
        <v>1225</v>
      </c>
      <c r="B24" s="45" t="s">
        <v>1226</v>
      </c>
      <c r="C24" s="46">
        <v>9.9</v>
      </c>
      <c r="D24" s="45" t="s">
        <v>1227</v>
      </c>
      <c r="E24" s="47" t="s">
        <v>1228</v>
      </c>
    </row>
    <row r="25" spans="1:5" ht="33.6">
      <c r="A25" s="52" t="s">
        <v>1222</v>
      </c>
      <c r="B25" s="53" t="s">
        <v>1223</v>
      </c>
      <c r="C25" s="54">
        <v>0</v>
      </c>
      <c r="D25" s="53" t="s">
        <v>1224</v>
      </c>
      <c r="E25" s="55"/>
    </row>
    <row r="26" spans="1:5" ht="16.8">
      <c r="A26" s="52" t="s">
        <v>1219</v>
      </c>
      <c r="B26" s="53" t="s">
        <v>1220</v>
      </c>
      <c r="C26" s="54">
        <v>0</v>
      </c>
      <c r="D26" s="53" t="s">
        <v>1221</v>
      </c>
      <c r="E26" s="55"/>
    </row>
    <row r="27" spans="1:5" ht="16.8">
      <c r="A27" s="52" t="s">
        <v>1216</v>
      </c>
      <c r="B27" s="53" t="s">
        <v>1217</v>
      </c>
      <c r="C27" s="54">
        <v>0</v>
      </c>
      <c r="D27" s="53" t="s">
        <v>1218</v>
      </c>
      <c r="E27" s="55"/>
    </row>
    <row r="28" spans="1:5" ht="16.8">
      <c r="A28" s="52" t="s">
        <v>1213</v>
      </c>
      <c r="B28" s="53" t="s">
        <v>1214</v>
      </c>
      <c r="C28" s="54">
        <v>0</v>
      </c>
      <c r="D28" s="53" t="s">
        <v>1215</v>
      </c>
      <c r="E28" s="55"/>
    </row>
    <row r="29" spans="1:5" ht="16.8">
      <c r="A29" s="44" t="s">
        <v>1210</v>
      </c>
      <c r="B29" s="45" t="s">
        <v>1211</v>
      </c>
      <c r="C29" s="46">
        <v>7.9</v>
      </c>
      <c r="D29" s="45" t="s">
        <v>1212</v>
      </c>
      <c r="E29" s="47"/>
    </row>
    <row r="30" spans="1:5" ht="16.8">
      <c r="A30" s="61" t="s">
        <v>1206</v>
      </c>
      <c r="B30" s="45" t="s">
        <v>1207</v>
      </c>
      <c r="C30" s="46">
        <v>9.9</v>
      </c>
      <c r="D30" s="45" t="s">
        <v>1208</v>
      </c>
      <c r="E30" s="47" t="s">
        <v>1209</v>
      </c>
    </row>
    <row r="31" spans="1:5" ht="16.8">
      <c r="A31" s="44" t="s">
        <v>1203</v>
      </c>
      <c r="B31" s="45" t="s">
        <v>1204</v>
      </c>
      <c r="C31" s="46">
        <v>7.9</v>
      </c>
      <c r="D31" s="45" t="s">
        <v>1205</v>
      </c>
      <c r="E31" s="47"/>
    </row>
    <row r="32" spans="1:5" ht="16.8">
      <c r="A32" s="52" t="s">
        <v>1200</v>
      </c>
      <c r="B32" s="53" t="s">
        <v>1201</v>
      </c>
      <c r="C32" s="54">
        <v>0</v>
      </c>
      <c r="D32" s="53" t="s">
        <v>1202</v>
      </c>
      <c r="E32" s="55"/>
    </row>
    <row r="33" spans="1:5" ht="16.8">
      <c r="A33" s="52" t="s">
        <v>1197</v>
      </c>
      <c r="B33" s="53" t="s">
        <v>1198</v>
      </c>
      <c r="C33" s="54">
        <v>0</v>
      </c>
      <c r="D33" s="53" t="s">
        <v>1199</v>
      </c>
      <c r="E33" s="55"/>
    </row>
    <row r="34" spans="1:5" ht="16.8">
      <c r="A34" s="44" t="s">
        <v>1193</v>
      </c>
      <c r="B34" s="45" t="s">
        <v>1194</v>
      </c>
      <c r="C34" s="46">
        <v>9.9</v>
      </c>
      <c r="D34" s="45" t="s">
        <v>1195</v>
      </c>
      <c r="E34" s="47" t="s">
        <v>1196</v>
      </c>
    </row>
    <row r="35" spans="1:5" ht="16.8">
      <c r="A35" s="44" t="s">
        <v>1190</v>
      </c>
      <c r="B35" s="45" t="s">
        <v>1191</v>
      </c>
      <c r="C35" s="46">
        <v>7.9</v>
      </c>
      <c r="D35" s="45" t="s">
        <v>1192</v>
      </c>
      <c r="E35" s="47"/>
    </row>
    <row r="36" spans="1:5" ht="33.6">
      <c r="A36" s="44" t="s">
        <v>1187</v>
      </c>
      <c r="B36" s="45" t="s">
        <v>1188</v>
      </c>
      <c r="C36" s="46">
        <v>8.9</v>
      </c>
      <c r="D36" s="45" t="s">
        <v>1189</v>
      </c>
      <c r="E36" s="47"/>
    </row>
    <row r="37" spans="1:5" ht="16.8">
      <c r="A37" s="44" t="s">
        <v>1184</v>
      </c>
      <c r="B37" s="45" t="s">
        <v>1185</v>
      </c>
      <c r="C37" s="46">
        <v>7.9</v>
      </c>
      <c r="D37" s="45" t="s">
        <v>1186</v>
      </c>
      <c r="E37" s="47"/>
    </row>
    <row r="38" spans="1:5" ht="16.8">
      <c r="A38" s="44" t="s">
        <v>1181</v>
      </c>
      <c r="B38" s="45" t="s">
        <v>1182</v>
      </c>
      <c r="C38" s="46">
        <v>8.9</v>
      </c>
      <c r="D38" s="45" t="s">
        <v>1183</v>
      </c>
      <c r="E38" s="47"/>
    </row>
    <row r="39" spans="1:5" ht="16.8">
      <c r="A39" s="44" t="s">
        <v>1178</v>
      </c>
      <c r="B39" s="45" t="s">
        <v>1179</v>
      </c>
      <c r="C39" s="46">
        <v>7.9</v>
      </c>
      <c r="D39" s="45" t="s">
        <v>1180</v>
      </c>
      <c r="E39" s="47"/>
    </row>
    <row r="40" spans="1:5" ht="33.6">
      <c r="A40" s="44" t="s">
        <v>1174</v>
      </c>
      <c r="B40" s="45" t="s">
        <v>1175</v>
      </c>
      <c r="C40" s="46">
        <v>9.9</v>
      </c>
      <c r="D40" s="45" t="s">
        <v>1176</v>
      </c>
      <c r="E40" s="47" t="s">
        <v>1177</v>
      </c>
    </row>
    <row r="41" spans="1:5" ht="16.8">
      <c r="A41" s="44" t="s">
        <v>1171</v>
      </c>
      <c r="B41" s="45" t="s">
        <v>1172</v>
      </c>
      <c r="C41" s="46">
        <v>5</v>
      </c>
      <c r="D41" s="45" t="s">
        <v>1173</v>
      </c>
      <c r="E41" s="47"/>
    </row>
    <row r="42" spans="1:5" ht="16.8">
      <c r="A42" s="44" t="s">
        <v>1168</v>
      </c>
      <c r="B42" s="45" t="s">
        <v>1169</v>
      </c>
      <c r="C42" s="46">
        <v>8.9</v>
      </c>
      <c r="D42" s="45" t="s">
        <v>1170</v>
      </c>
      <c r="E42" s="47"/>
    </row>
    <row r="43" spans="1:5" ht="16.8">
      <c r="A43" s="44" t="s">
        <v>1165</v>
      </c>
      <c r="B43" s="45" t="s">
        <v>1166</v>
      </c>
      <c r="C43" s="46">
        <v>7.9</v>
      </c>
      <c r="D43" s="45" t="s">
        <v>1167</v>
      </c>
      <c r="E43" s="47"/>
    </row>
    <row r="44" spans="1:5" ht="16.8">
      <c r="A44" s="44" t="s">
        <v>1162</v>
      </c>
      <c r="B44" s="45" t="s">
        <v>1163</v>
      </c>
      <c r="C44" s="46">
        <v>7.9</v>
      </c>
      <c r="D44" s="45" t="s">
        <v>1164</v>
      </c>
      <c r="E44" s="47"/>
    </row>
    <row r="45" spans="1:5" ht="16.8">
      <c r="A45" s="44" t="s">
        <v>1159</v>
      </c>
      <c r="B45" s="45" t="s">
        <v>1160</v>
      </c>
      <c r="C45" s="46">
        <v>8.9</v>
      </c>
      <c r="D45" s="45" t="s">
        <v>1161</v>
      </c>
      <c r="E45" s="47"/>
    </row>
    <row r="46" spans="1:5" ht="16.8">
      <c r="A46" s="44" t="s">
        <v>1156</v>
      </c>
      <c r="B46" s="45" t="s">
        <v>1157</v>
      </c>
      <c r="C46" s="46">
        <v>7.9</v>
      </c>
      <c r="D46" s="45" t="s">
        <v>1158</v>
      </c>
      <c r="E46" s="47"/>
    </row>
    <row r="47" spans="1:5" ht="16.8">
      <c r="A47" s="44" t="s">
        <v>1153</v>
      </c>
      <c r="B47" s="45" t="s">
        <v>1154</v>
      </c>
      <c r="C47" s="46">
        <v>7.9</v>
      </c>
      <c r="D47" s="45" t="s">
        <v>1155</v>
      </c>
      <c r="E47" s="47"/>
    </row>
    <row r="48" spans="1:5" ht="16.8">
      <c r="A48" s="44" t="s">
        <v>1150</v>
      </c>
      <c r="B48" s="45" t="s">
        <v>1151</v>
      </c>
      <c r="C48" s="46">
        <v>8.9</v>
      </c>
      <c r="D48" s="45" t="s">
        <v>1152</v>
      </c>
      <c r="E48" s="47"/>
    </row>
    <row r="49" spans="1:5" ht="33.6">
      <c r="A49" s="44" t="s">
        <v>1147</v>
      </c>
      <c r="B49" s="45" t="s">
        <v>1148</v>
      </c>
      <c r="C49" s="46">
        <v>14.99</v>
      </c>
      <c r="D49" s="45" t="s">
        <v>1149</v>
      </c>
      <c r="E49" s="47"/>
    </row>
    <row r="50" spans="1:5" ht="16.8">
      <c r="A50" s="48" t="s">
        <v>1144</v>
      </c>
      <c r="B50" s="49" t="s">
        <v>1145</v>
      </c>
      <c r="C50" s="50">
        <v>-1</v>
      </c>
      <c r="D50" s="49" t="s">
        <v>1146</v>
      </c>
      <c r="E50" s="51"/>
    </row>
    <row r="51" spans="1:5" ht="16.8">
      <c r="A51" s="44" t="s">
        <v>1141</v>
      </c>
      <c r="B51" s="45" t="s">
        <v>1142</v>
      </c>
      <c r="C51" s="46">
        <v>7.9</v>
      </c>
      <c r="D51" s="45" t="s">
        <v>1143</v>
      </c>
      <c r="E51" s="47"/>
    </row>
    <row r="52" spans="1:5" ht="33.6">
      <c r="A52" s="52" t="s">
        <v>1138</v>
      </c>
      <c r="B52" s="53" t="s">
        <v>1139</v>
      </c>
      <c r="C52" s="54">
        <v>14.99</v>
      </c>
      <c r="D52" s="53" t="s">
        <v>1140</v>
      </c>
      <c r="E52" s="55"/>
    </row>
    <row r="53" spans="1:5" ht="16.8">
      <c r="A53" s="52" t="s">
        <v>1135</v>
      </c>
      <c r="B53" s="53" t="s">
        <v>1136</v>
      </c>
      <c r="C53" s="54">
        <v>-1</v>
      </c>
      <c r="D53" s="53" t="s">
        <v>1137</v>
      </c>
      <c r="E53" s="55"/>
    </row>
    <row r="54" spans="1:5" ht="33.6">
      <c r="A54" s="44" t="s">
        <v>1131</v>
      </c>
      <c r="B54" s="45" t="s">
        <v>1132</v>
      </c>
      <c r="C54" s="46">
        <v>9.9</v>
      </c>
      <c r="D54" s="45" t="s">
        <v>1133</v>
      </c>
      <c r="E54" s="62" t="s">
        <v>1134</v>
      </c>
    </row>
    <row r="55" spans="1:5" ht="16.8">
      <c r="A55" s="44" t="s">
        <v>1128</v>
      </c>
      <c r="B55" s="45" t="s">
        <v>1129</v>
      </c>
      <c r="C55" s="46">
        <v>7.9</v>
      </c>
      <c r="D55" s="45" t="s">
        <v>1130</v>
      </c>
      <c r="E55" s="47"/>
    </row>
    <row r="56" spans="1:5" ht="16.8">
      <c r="A56" s="44" t="s">
        <v>1125</v>
      </c>
      <c r="B56" s="45" t="s">
        <v>1126</v>
      </c>
      <c r="C56" s="46">
        <v>8.9</v>
      </c>
      <c r="D56" s="45" t="s">
        <v>1127</v>
      </c>
      <c r="E56" s="47"/>
    </row>
    <row r="57" spans="1:5" ht="16.8">
      <c r="A57" s="44" t="s">
        <v>1122</v>
      </c>
      <c r="B57" s="45" t="s">
        <v>1123</v>
      </c>
      <c r="C57" s="46">
        <v>7.9</v>
      </c>
      <c r="D57" s="45" t="s">
        <v>1124</v>
      </c>
      <c r="E57" s="47"/>
    </row>
    <row r="58" spans="1:5" ht="16.8">
      <c r="A58" s="44" t="s">
        <v>1119</v>
      </c>
      <c r="B58" s="45" t="s">
        <v>1120</v>
      </c>
      <c r="C58" s="46">
        <v>63</v>
      </c>
      <c r="D58" s="45" t="s">
        <v>1121</v>
      </c>
      <c r="E58" s="47"/>
    </row>
    <row r="59" spans="1:5" ht="33.6">
      <c r="A59" s="44" t="s">
        <v>1114</v>
      </c>
      <c r="B59" s="45" t="s">
        <v>1115</v>
      </c>
      <c r="C59" s="46">
        <v>-1</v>
      </c>
      <c r="D59" s="45" t="s">
        <v>1116</v>
      </c>
      <c r="E59" s="47"/>
    </row>
    <row r="60" spans="1:5" ht="33.6">
      <c r="A60" s="44" t="s">
        <v>1117</v>
      </c>
      <c r="B60" s="45" t="s">
        <v>1118</v>
      </c>
      <c r="C60" s="46">
        <v>-1</v>
      </c>
      <c r="D60" s="45" t="s">
        <v>1116</v>
      </c>
      <c r="E60" s="47"/>
    </row>
    <row r="61" spans="1:5" ht="16.8">
      <c r="A61" s="44" t="s">
        <v>1109</v>
      </c>
      <c r="B61" s="45" t="s">
        <v>1110</v>
      </c>
      <c r="C61" s="46">
        <v>-1</v>
      </c>
      <c r="D61" s="45" t="s">
        <v>1111</v>
      </c>
      <c r="E61" s="47"/>
    </row>
    <row r="62" spans="1:5" ht="16.8">
      <c r="A62" s="44" t="s">
        <v>1112</v>
      </c>
      <c r="B62" s="45" t="s">
        <v>1113</v>
      </c>
      <c r="C62" s="46">
        <v>39.9</v>
      </c>
      <c r="D62" s="45" t="s">
        <v>1111</v>
      </c>
      <c r="E62" s="47"/>
    </row>
    <row r="63" spans="1:5" ht="33.6">
      <c r="A63" s="44" t="s">
        <v>1104</v>
      </c>
      <c r="B63" s="45" t="s">
        <v>1105</v>
      </c>
      <c r="C63" s="46">
        <v>-1</v>
      </c>
      <c r="D63" s="45" t="s">
        <v>1106</v>
      </c>
      <c r="E63" s="47"/>
    </row>
    <row r="64" spans="1:5" ht="33.6">
      <c r="A64" s="44" t="s">
        <v>1107</v>
      </c>
      <c r="B64" s="45" t="s">
        <v>1108</v>
      </c>
      <c r="C64" s="46">
        <v>-1</v>
      </c>
      <c r="D64" s="45" t="s">
        <v>1106</v>
      </c>
      <c r="E64" s="47"/>
    </row>
    <row r="65" spans="1:5" ht="33.6">
      <c r="A65" s="44" t="s">
        <v>1101</v>
      </c>
      <c r="B65" s="45" t="s">
        <v>1102</v>
      </c>
      <c r="C65" s="46">
        <v>33.9</v>
      </c>
      <c r="D65" s="45" t="s">
        <v>1103</v>
      </c>
      <c r="E65" s="47"/>
    </row>
    <row r="66" spans="1:5" ht="33.6">
      <c r="A66" s="44" t="s">
        <v>1097</v>
      </c>
      <c r="B66" s="45" t="s">
        <v>1098</v>
      </c>
      <c r="C66" s="46">
        <v>4.9000000000000004</v>
      </c>
      <c r="D66" s="45" t="s">
        <v>1099</v>
      </c>
      <c r="E66" s="47" t="s">
        <v>1100</v>
      </c>
    </row>
    <row r="67" spans="1:5" ht="16.8">
      <c r="A67" s="44" t="s">
        <v>1094</v>
      </c>
      <c r="B67" s="45" t="s">
        <v>1095</v>
      </c>
      <c r="C67" s="46">
        <v>7.9</v>
      </c>
      <c r="D67" s="45" t="s">
        <v>1096</v>
      </c>
      <c r="E67" s="47"/>
    </row>
    <row r="68" spans="1:5" ht="33.6">
      <c r="A68" s="44" t="s">
        <v>1091</v>
      </c>
      <c r="B68" s="45" t="s">
        <v>1092</v>
      </c>
      <c r="C68" s="46">
        <v>9.9</v>
      </c>
      <c r="D68" s="45" t="s">
        <v>1093</v>
      </c>
      <c r="E68" s="47"/>
    </row>
    <row r="69" spans="1:5" ht="33.6">
      <c r="A69" s="44" t="s">
        <v>1086</v>
      </c>
      <c r="B69" s="45" t="s">
        <v>1087</v>
      </c>
      <c r="C69" s="46">
        <v>-1</v>
      </c>
      <c r="D69" s="45" t="s">
        <v>1088</v>
      </c>
      <c r="E69" s="47"/>
    </row>
    <row r="70" spans="1:5" ht="16.8">
      <c r="A70" s="44" t="s">
        <v>1089</v>
      </c>
      <c r="B70" s="45" t="s">
        <v>1090</v>
      </c>
      <c r="C70" s="46">
        <v>8.9</v>
      </c>
      <c r="D70" s="45" t="s">
        <v>1088</v>
      </c>
      <c r="E70" s="47"/>
    </row>
    <row r="71" spans="1:5" ht="50.4">
      <c r="A71" s="44" t="s">
        <v>1083</v>
      </c>
      <c r="B71" s="45" t="s">
        <v>1084</v>
      </c>
      <c r="C71" s="46">
        <v>2.9</v>
      </c>
      <c r="D71" s="45" t="s">
        <v>1085</v>
      </c>
      <c r="E71" s="47"/>
    </row>
    <row r="72" spans="1:5" ht="33.6">
      <c r="A72" s="44" t="s">
        <v>1080</v>
      </c>
      <c r="B72" s="45" t="s">
        <v>1081</v>
      </c>
      <c r="C72" s="46">
        <v>-1</v>
      </c>
      <c r="D72" s="45" t="s">
        <v>1082</v>
      </c>
      <c r="E72" s="47"/>
    </row>
    <row r="73" spans="1:5" ht="16.8">
      <c r="A73" s="44" t="s">
        <v>1077</v>
      </c>
      <c r="B73" s="45" t="s">
        <v>1078</v>
      </c>
      <c r="C73" s="46">
        <v>7.9</v>
      </c>
      <c r="D73" s="45" t="s">
        <v>1079</v>
      </c>
      <c r="E73" s="47"/>
    </row>
    <row r="74" spans="1:5" ht="33.6">
      <c r="A74" s="44" t="s">
        <v>1073</v>
      </c>
      <c r="B74" s="45" t="s">
        <v>1074</v>
      </c>
      <c r="C74" s="46">
        <v>9.9</v>
      </c>
      <c r="D74" s="45" t="s">
        <v>1075</v>
      </c>
      <c r="E74" s="47" t="s">
        <v>1076</v>
      </c>
    </row>
    <row r="75" spans="1:5" ht="33.6">
      <c r="A75" s="44" t="s">
        <v>1069</v>
      </c>
      <c r="B75" s="45" t="s">
        <v>1070</v>
      </c>
      <c r="C75" s="46">
        <v>4.9000000000000004</v>
      </c>
      <c r="D75" s="45" t="s">
        <v>1071</v>
      </c>
      <c r="E75" s="47" t="s">
        <v>1072</v>
      </c>
    </row>
    <row r="76" spans="1:5" ht="16.8">
      <c r="A76" s="44" t="s">
        <v>1066</v>
      </c>
      <c r="B76" s="45" t="s">
        <v>1067</v>
      </c>
      <c r="C76" s="46">
        <v>7.9</v>
      </c>
      <c r="D76" s="45" t="s">
        <v>1068</v>
      </c>
      <c r="E76" s="47"/>
    </row>
    <row r="77" spans="1:5" ht="16.8">
      <c r="A77" s="44" t="s">
        <v>1063</v>
      </c>
      <c r="B77" s="45" t="s">
        <v>1064</v>
      </c>
      <c r="C77" s="46">
        <v>8.9</v>
      </c>
      <c r="D77" s="45" t="s">
        <v>1065</v>
      </c>
      <c r="E77" s="47"/>
    </row>
    <row r="78" spans="1:5" ht="16.8">
      <c r="A78" s="52" t="s">
        <v>1056</v>
      </c>
      <c r="B78" s="53" t="s">
        <v>1057</v>
      </c>
      <c r="C78" s="54">
        <v>0</v>
      </c>
      <c r="D78" s="53" t="s">
        <v>1058</v>
      </c>
      <c r="E78" s="55"/>
    </row>
    <row r="79" spans="1:5" ht="33.6">
      <c r="A79" s="44" t="s">
        <v>1059</v>
      </c>
      <c r="B79" s="45" t="s">
        <v>1060</v>
      </c>
      <c r="C79" s="46">
        <v>16.899999999999999</v>
      </c>
      <c r="D79" s="45" t="s">
        <v>1058</v>
      </c>
      <c r="E79" s="47"/>
    </row>
    <row r="80" spans="1:5" ht="16.8">
      <c r="A80" s="44" t="s">
        <v>1061</v>
      </c>
      <c r="B80" s="45" t="s">
        <v>1062</v>
      </c>
      <c r="C80" s="46">
        <v>7.9</v>
      </c>
      <c r="D80" s="45" t="s">
        <v>1058</v>
      </c>
      <c r="E80" s="47"/>
    </row>
    <row r="81" spans="1:5" ht="33.6">
      <c r="A81" s="44" t="s">
        <v>1040</v>
      </c>
      <c r="B81" s="45" t="s">
        <v>1041</v>
      </c>
      <c r="C81" s="46">
        <v>2.9</v>
      </c>
      <c r="D81" s="45" t="s">
        <v>1042</v>
      </c>
      <c r="E81" s="47" t="s">
        <v>1043</v>
      </c>
    </row>
    <row r="82" spans="1:5" ht="33.6">
      <c r="A82" s="44" t="s">
        <v>1044</v>
      </c>
      <c r="B82" s="45" t="s">
        <v>1045</v>
      </c>
      <c r="C82" s="46">
        <v>2.9</v>
      </c>
      <c r="D82" s="45" t="s">
        <v>1042</v>
      </c>
      <c r="E82" s="47" t="s">
        <v>1046</v>
      </c>
    </row>
    <row r="83" spans="1:5" ht="33.6">
      <c r="A83" s="44" t="s">
        <v>1047</v>
      </c>
      <c r="B83" s="45" t="s">
        <v>1048</v>
      </c>
      <c r="C83" s="46">
        <v>2.9</v>
      </c>
      <c r="D83" s="45" t="s">
        <v>1042</v>
      </c>
      <c r="E83" s="47" t="s">
        <v>1049</v>
      </c>
    </row>
    <row r="84" spans="1:5" ht="33.6">
      <c r="A84" s="44" t="s">
        <v>1050</v>
      </c>
      <c r="B84" s="45" t="s">
        <v>1051</v>
      </c>
      <c r="C84" s="46">
        <v>2.9</v>
      </c>
      <c r="D84" s="45" t="s">
        <v>1042</v>
      </c>
      <c r="E84" s="47" t="s">
        <v>1052</v>
      </c>
    </row>
    <row r="85" spans="1:5" ht="33.6">
      <c r="A85" s="44" t="s">
        <v>1053</v>
      </c>
      <c r="B85" s="45" t="s">
        <v>1054</v>
      </c>
      <c r="C85" s="46">
        <v>2.9</v>
      </c>
      <c r="D85" s="45" t="s">
        <v>1042</v>
      </c>
      <c r="E85" s="47" t="s">
        <v>1055</v>
      </c>
    </row>
    <row r="86" spans="1:5" ht="33.6">
      <c r="A86" s="44" t="s">
        <v>1035</v>
      </c>
      <c r="B86" s="45" t="s">
        <v>1036</v>
      </c>
      <c r="C86" s="46">
        <v>19.899999999999999</v>
      </c>
      <c r="D86" s="45" t="s">
        <v>1037</v>
      </c>
      <c r="E86" s="47"/>
    </row>
    <row r="87" spans="1:5" ht="16.8">
      <c r="A87" s="44" t="s">
        <v>1038</v>
      </c>
      <c r="B87" s="45" t="s">
        <v>1039</v>
      </c>
      <c r="C87" s="46">
        <v>7.9</v>
      </c>
      <c r="D87" s="45" t="s">
        <v>1037</v>
      </c>
      <c r="E87" s="47"/>
    </row>
    <row r="88" spans="1:5" ht="50.4">
      <c r="A88" s="44" t="s">
        <v>1031</v>
      </c>
      <c r="B88" s="45" t="s">
        <v>1032</v>
      </c>
      <c r="C88" s="46">
        <v>9.9</v>
      </c>
      <c r="D88" s="45" t="s">
        <v>1033</v>
      </c>
      <c r="E88" s="62" t="s">
        <v>1034</v>
      </c>
    </row>
    <row r="89" spans="1:5" ht="16.8">
      <c r="A89" s="44" t="s">
        <v>1028</v>
      </c>
      <c r="B89" s="45" t="s">
        <v>1029</v>
      </c>
      <c r="C89" s="46">
        <v>8.9</v>
      </c>
      <c r="D89" s="45" t="s">
        <v>1030</v>
      </c>
      <c r="E89" s="47"/>
    </row>
    <row r="90" spans="1:5" ht="33.6">
      <c r="A90" s="44" t="s">
        <v>1012</v>
      </c>
      <c r="B90" s="45" t="s">
        <v>1013</v>
      </c>
      <c r="C90" s="46">
        <v>2.9</v>
      </c>
      <c r="D90" s="45" t="s">
        <v>1014</v>
      </c>
      <c r="E90" s="47" t="s">
        <v>1015</v>
      </c>
    </row>
    <row r="91" spans="1:5" ht="33.6">
      <c r="A91" s="44" t="s">
        <v>1016</v>
      </c>
      <c r="B91" s="45" t="s">
        <v>1017</v>
      </c>
      <c r="C91" s="46">
        <v>2.9</v>
      </c>
      <c r="D91" s="45" t="s">
        <v>1014</v>
      </c>
      <c r="E91" s="47" t="s">
        <v>1018</v>
      </c>
    </row>
    <row r="92" spans="1:5" ht="33.6">
      <c r="A92" s="44" t="s">
        <v>1019</v>
      </c>
      <c r="B92" s="45" t="s">
        <v>1020</v>
      </c>
      <c r="C92" s="46">
        <v>2.9</v>
      </c>
      <c r="D92" s="45" t="s">
        <v>1014</v>
      </c>
      <c r="E92" s="47" t="s">
        <v>1021</v>
      </c>
    </row>
    <row r="93" spans="1:5" ht="33.6">
      <c r="A93" s="44" t="s">
        <v>1022</v>
      </c>
      <c r="B93" s="45" t="s">
        <v>1023</v>
      </c>
      <c r="C93" s="46">
        <v>2.9</v>
      </c>
      <c r="D93" s="45" t="s">
        <v>1014</v>
      </c>
      <c r="E93" s="47" t="s">
        <v>1024</v>
      </c>
    </row>
    <row r="94" spans="1:5" ht="33.6">
      <c r="A94" s="44" t="s">
        <v>1025</v>
      </c>
      <c r="B94" s="45" t="s">
        <v>1026</v>
      </c>
      <c r="C94" s="46">
        <v>2.9</v>
      </c>
      <c r="D94" s="45" t="s">
        <v>1014</v>
      </c>
      <c r="E94" s="47" t="s">
        <v>1027</v>
      </c>
    </row>
    <row r="95" spans="1:5" ht="33.6">
      <c r="A95" s="44" t="s">
        <v>1009</v>
      </c>
      <c r="B95" s="45" t="s">
        <v>1010</v>
      </c>
      <c r="C95" s="46">
        <v>20</v>
      </c>
      <c r="D95" s="45" t="s">
        <v>1011</v>
      </c>
      <c r="E95" s="47"/>
    </row>
    <row r="96" spans="1:5" ht="16.8">
      <c r="A96" s="44" t="s">
        <v>1006</v>
      </c>
      <c r="B96" s="45" t="s">
        <v>1007</v>
      </c>
      <c r="C96" s="46">
        <v>7.9</v>
      </c>
      <c r="D96" s="45" t="s">
        <v>1008</v>
      </c>
      <c r="E96" s="47"/>
    </row>
    <row r="97" spans="1:5" ht="33.6">
      <c r="A97" s="44" t="s">
        <v>1002</v>
      </c>
      <c r="B97" s="45" t="s">
        <v>1003</v>
      </c>
      <c r="C97" s="46">
        <v>9.9</v>
      </c>
      <c r="D97" s="45" t="s">
        <v>1004</v>
      </c>
      <c r="E97" s="47" t="s">
        <v>1005</v>
      </c>
    </row>
    <row r="98" spans="1:5" ht="16.8">
      <c r="A98" s="44" t="s">
        <v>999</v>
      </c>
      <c r="B98" s="45" t="s">
        <v>1000</v>
      </c>
      <c r="C98" s="46">
        <v>7.9</v>
      </c>
      <c r="D98" s="45" t="s">
        <v>1001</v>
      </c>
      <c r="E98" s="47"/>
    </row>
    <row r="99" spans="1:5" ht="33.6">
      <c r="A99" s="44" t="s">
        <v>995</v>
      </c>
      <c r="B99" s="45" t="s">
        <v>996</v>
      </c>
      <c r="C99" s="46">
        <v>8.9</v>
      </c>
      <c r="D99" s="45" t="s">
        <v>997</v>
      </c>
      <c r="E99" s="62" t="s">
        <v>998</v>
      </c>
    </row>
    <row r="100" spans="1:5" ht="16.8">
      <c r="A100" s="44" t="s">
        <v>992</v>
      </c>
      <c r="B100" s="45" t="s">
        <v>993</v>
      </c>
      <c r="C100" s="46">
        <v>7.9</v>
      </c>
      <c r="D100" s="45" t="s">
        <v>994</v>
      </c>
      <c r="E100" s="47"/>
    </row>
    <row r="101" spans="1:5" ht="33.6">
      <c r="A101" s="48" t="s">
        <v>989</v>
      </c>
      <c r="B101" s="49" t="s">
        <v>990</v>
      </c>
      <c r="C101" s="50">
        <v>0</v>
      </c>
      <c r="D101" s="49" t="s">
        <v>991</v>
      </c>
      <c r="E101" s="51"/>
    </row>
    <row r="102" spans="1:5" ht="33.6">
      <c r="A102" s="44" t="s">
        <v>986</v>
      </c>
      <c r="B102" s="45" t="s">
        <v>987</v>
      </c>
      <c r="C102" s="46">
        <v>20</v>
      </c>
      <c r="D102" s="45" t="s">
        <v>988</v>
      </c>
      <c r="E102" s="47"/>
    </row>
    <row r="103" spans="1:5" ht="50.4">
      <c r="A103" s="44" t="s">
        <v>981</v>
      </c>
      <c r="B103" s="45" t="s">
        <v>982</v>
      </c>
      <c r="C103" s="46">
        <v>25</v>
      </c>
      <c r="D103" s="45" t="s">
        <v>983</v>
      </c>
      <c r="E103" s="47"/>
    </row>
    <row r="104" spans="1:5" ht="50.4">
      <c r="A104" s="44" t="s">
        <v>984</v>
      </c>
      <c r="B104" s="45" t="s">
        <v>985</v>
      </c>
      <c r="C104" s="46">
        <v>48</v>
      </c>
      <c r="D104" s="45" t="s">
        <v>983</v>
      </c>
      <c r="E104" s="47"/>
    </row>
    <row r="105" spans="1:5" ht="33.6">
      <c r="A105" s="44" t="s">
        <v>965</v>
      </c>
      <c r="B105" s="45" t="s">
        <v>966</v>
      </c>
      <c r="C105" s="46">
        <v>2.9</v>
      </c>
      <c r="D105" s="45" t="s">
        <v>967</v>
      </c>
      <c r="E105" s="47" t="s">
        <v>968</v>
      </c>
    </row>
    <row r="106" spans="1:5" ht="33.6">
      <c r="A106" s="44" t="s">
        <v>969</v>
      </c>
      <c r="B106" s="45" t="s">
        <v>970</v>
      </c>
      <c r="C106" s="46">
        <v>2.9</v>
      </c>
      <c r="D106" s="45" t="s">
        <v>967</v>
      </c>
      <c r="E106" s="47" t="s">
        <v>971</v>
      </c>
    </row>
    <row r="107" spans="1:5" ht="33.6">
      <c r="A107" s="44" t="s">
        <v>972</v>
      </c>
      <c r="B107" s="45" t="s">
        <v>973</v>
      </c>
      <c r="C107" s="46">
        <v>2.9</v>
      </c>
      <c r="D107" s="45" t="s">
        <v>967</v>
      </c>
      <c r="E107" s="47" t="s">
        <v>974</v>
      </c>
    </row>
    <row r="108" spans="1:5" ht="33.6">
      <c r="A108" s="44" t="s">
        <v>975</v>
      </c>
      <c r="B108" s="45" t="s">
        <v>976</v>
      </c>
      <c r="C108" s="46">
        <v>2.9</v>
      </c>
      <c r="D108" s="45" t="s">
        <v>967</v>
      </c>
      <c r="E108" s="47" t="s">
        <v>977</v>
      </c>
    </row>
    <row r="109" spans="1:5" ht="33.6">
      <c r="A109" s="44" t="s">
        <v>978</v>
      </c>
      <c r="B109" s="45" t="s">
        <v>979</v>
      </c>
      <c r="C109" s="46">
        <v>2.9</v>
      </c>
      <c r="D109" s="45" t="s">
        <v>967</v>
      </c>
      <c r="E109" s="47" t="s">
        <v>980</v>
      </c>
    </row>
    <row r="110" spans="1:5" ht="50.4">
      <c r="A110" s="44" t="s">
        <v>959</v>
      </c>
      <c r="B110" s="45" t="s">
        <v>960</v>
      </c>
      <c r="C110" s="46">
        <v>21</v>
      </c>
      <c r="D110" s="45" t="s">
        <v>961</v>
      </c>
      <c r="E110" s="47" t="s">
        <v>656</v>
      </c>
    </row>
    <row r="111" spans="1:5" ht="50.4">
      <c r="A111" s="44" t="s">
        <v>962</v>
      </c>
      <c r="B111" s="45" t="s">
        <v>963</v>
      </c>
      <c r="C111" s="46">
        <v>40</v>
      </c>
      <c r="D111" s="45" t="s">
        <v>961</v>
      </c>
      <c r="E111" s="47" t="s">
        <v>964</v>
      </c>
    </row>
    <row r="112" spans="1:5" ht="33.6">
      <c r="A112" s="44" t="s">
        <v>955</v>
      </c>
      <c r="B112" s="45" t="s">
        <v>956</v>
      </c>
      <c r="C112" s="46">
        <v>9.9</v>
      </c>
      <c r="D112" s="45" t="s">
        <v>957</v>
      </c>
      <c r="E112" s="47" t="s">
        <v>958</v>
      </c>
    </row>
    <row r="113" spans="1:5" ht="16.8">
      <c r="A113" s="48" t="s">
        <v>952</v>
      </c>
      <c r="B113" s="49" t="s">
        <v>953</v>
      </c>
      <c r="C113" s="50">
        <v>-1</v>
      </c>
      <c r="D113" s="49" t="s">
        <v>954</v>
      </c>
      <c r="E113" s="51"/>
    </row>
    <row r="114" spans="1:5" ht="16.8">
      <c r="A114" s="44" t="s">
        <v>949</v>
      </c>
      <c r="B114" s="45" t="s">
        <v>950</v>
      </c>
      <c r="C114" s="46">
        <v>7.9</v>
      </c>
      <c r="D114" s="45" t="s">
        <v>951</v>
      </c>
      <c r="E114" s="47"/>
    </row>
    <row r="115" spans="1:5" ht="33.6">
      <c r="A115" s="44" t="s">
        <v>945</v>
      </c>
      <c r="B115" s="45" t="s">
        <v>946</v>
      </c>
      <c r="C115" s="46">
        <v>8.9</v>
      </c>
      <c r="D115" s="45" t="s">
        <v>947</v>
      </c>
      <c r="E115" s="62" t="s">
        <v>948</v>
      </c>
    </row>
    <row r="116" spans="1:5" ht="33.6">
      <c r="A116" s="44" t="s">
        <v>939</v>
      </c>
      <c r="B116" s="45" t="s">
        <v>940</v>
      </c>
      <c r="C116" s="46">
        <v>9.9</v>
      </c>
      <c r="D116" s="45" t="s">
        <v>941</v>
      </c>
      <c r="E116" s="47" t="s">
        <v>942</v>
      </c>
    </row>
    <row r="117" spans="1:5" ht="16.8">
      <c r="A117" s="44" t="s">
        <v>943</v>
      </c>
      <c r="B117" s="45" t="s">
        <v>944</v>
      </c>
      <c r="C117" s="46">
        <v>7.9</v>
      </c>
      <c r="D117" s="45" t="s">
        <v>941</v>
      </c>
      <c r="E117" s="47"/>
    </row>
    <row r="118" spans="1:5" ht="16.8">
      <c r="A118" s="44" t="s">
        <v>936</v>
      </c>
      <c r="B118" s="45" t="s">
        <v>937</v>
      </c>
      <c r="C118" s="46">
        <v>47</v>
      </c>
      <c r="D118" s="45" t="s">
        <v>938</v>
      </c>
      <c r="E118" s="47"/>
    </row>
    <row r="119" spans="1:5" ht="33.6">
      <c r="A119" s="44" t="s">
        <v>920</v>
      </c>
      <c r="B119" s="45" t="s">
        <v>921</v>
      </c>
      <c r="C119" s="46">
        <v>2.9</v>
      </c>
      <c r="D119" s="45" t="s">
        <v>922</v>
      </c>
      <c r="E119" s="47" t="s">
        <v>923</v>
      </c>
    </row>
    <row r="120" spans="1:5" ht="33.6">
      <c r="A120" s="44" t="s">
        <v>924</v>
      </c>
      <c r="B120" s="45" t="s">
        <v>925</v>
      </c>
      <c r="C120" s="46">
        <v>2.9</v>
      </c>
      <c r="D120" s="45" t="s">
        <v>922</v>
      </c>
      <c r="E120" s="47" t="s">
        <v>926</v>
      </c>
    </row>
    <row r="121" spans="1:5" ht="33.6">
      <c r="A121" s="44" t="s">
        <v>927</v>
      </c>
      <c r="B121" s="45" t="s">
        <v>928</v>
      </c>
      <c r="C121" s="46">
        <v>2.9</v>
      </c>
      <c r="D121" s="45" t="s">
        <v>922</v>
      </c>
      <c r="E121" s="47" t="s">
        <v>929</v>
      </c>
    </row>
    <row r="122" spans="1:5" ht="33.6">
      <c r="A122" s="44" t="s">
        <v>930</v>
      </c>
      <c r="B122" s="45" t="s">
        <v>931</v>
      </c>
      <c r="C122" s="46">
        <v>2.9</v>
      </c>
      <c r="D122" s="45" t="s">
        <v>922</v>
      </c>
      <c r="E122" s="47" t="s">
        <v>932</v>
      </c>
    </row>
    <row r="123" spans="1:5" ht="33.6">
      <c r="A123" s="44" t="s">
        <v>933</v>
      </c>
      <c r="B123" s="45" t="s">
        <v>934</v>
      </c>
      <c r="C123" s="46">
        <v>2.9</v>
      </c>
      <c r="D123" s="45" t="s">
        <v>922</v>
      </c>
      <c r="E123" s="62" t="s">
        <v>935</v>
      </c>
    </row>
    <row r="124" spans="1:5" ht="16.8">
      <c r="A124" s="44" t="s">
        <v>917</v>
      </c>
      <c r="B124" s="45" t="s">
        <v>918</v>
      </c>
      <c r="C124" s="46">
        <v>7.9</v>
      </c>
      <c r="D124" s="45" t="s">
        <v>919</v>
      </c>
      <c r="E124" s="47"/>
    </row>
    <row r="125" spans="1:5" ht="33.6">
      <c r="A125" s="44" t="s">
        <v>913</v>
      </c>
      <c r="B125" s="45" t="s">
        <v>914</v>
      </c>
      <c r="C125" s="46">
        <v>9.9</v>
      </c>
      <c r="D125" s="45" t="s">
        <v>915</v>
      </c>
      <c r="E125" s="47" t="s">
        <v>916</v>
      </c>
    </row>
    <row r="126" spans="1:5" ht="33.6">
      <c r="A126" s="44" t="s">
        <v>909</v>
      </c>
      <c r="B126" s="45" t="s">
        <v>910</v>
      </c>
      <c r="C126" s="46">
        <v>16.899999999999999</v>
      </c>
      <c r="D126" s="45" t="s">
        <v>911</v>
      </c>
      <c r="E126" s="47" t="s">
        <v>912</v>
      </c>
    </row>
    <row r="127" spans="1:5" ht="33.6">
      <c r="A127" s="44" t="s">
        <v>905</v>
      </c>
      <c r="B127" s="45" t="s">
        <v>906</v>
      </c>
      <c r="C127" s="46">
        <v>8.9</v>
      </c>
      <c r="D127" s="45" t="s">
        <v>907</v>
      </c>
      <c r="E127" s="47" t="s">
        <v>908</v>
      </c>
    </row>
    <row r="128" spans="1:5" ht="16.8">
      <c r="A128" s="44" t="s">
        <v>902</v>
      </c>
      <c r="B128" s="45" t="s">
        <v>903</v>
      </c>
      <c r="C128" s="46">
        <v>7.9</v>
      </c>
      <c r="D128" s="45" t="s">
        <v>904</v>
      </c>
      <c r="E128" s="47"/>
    </row>
    <row r="129" spans="1:5" ht="33.6">
      <c r="A129" s="44" t="s">
        <v>899</v>
      </c>
      <c r="B129" s="45" t="s">
        <v>900</v>
      </c>
      <c r="C129" s="46">
        <v>75</v>
      </c>
      <c r="D129" s="45" t="s">
        <v>901</v>
      </c>
      <c r="E129" s="47" t="s">
        <v>883</v>
      </c>
    </row>
    <row r="130" spans="1:5" ht="50.4">
      <c r="A130" s="44" t="s">
        <v>896</v>
      </c>
      <c r="B130" s="45" t="s">
        <v>897</v>
      </c>
      <c r="C130" s="46">
        <v>9.99</v>
      </c>
      <c r="D130" s="45" t="s">
        <v>898</v>
      </c>
      <c r="E130" s="47"/>
    </row>
    <row r="131" spans="1:5" ht="67.2">
      <c r="A131" s="44" t="s">
        <v>893</v>
      </c>
      <c r="B131" s="45" t="s">
        <v>894</v>
      </c>
      <c r="C131" s="46">
        <v>9.99</v>
      </c>
      <c r="D131" s="45" t="s">
        <v>895</v>
      </c>
      <c r="E131" s="47"/>
    </row>
    <row r="132" spans="1:5" ht="50.4">
      <c r="A132" s="44" t="s">
        <v>890</v>
      </c>
      <c r="B132" s="45" t="s">
        <v>891</v>
      </c>
      <c r="C132" s="46">
        <v>9.99</v>
      </c>
      <c r="D132" s="45" t="s">
        <v>892</v>
      </c>
      <c r="E132" s="47"/>
    </row>
    <row r="133" spans="1:5" ht="67.2">
      <c r="A133" s="44" t="s">
        <v>887</v>
      </c>
      <c r="B133" s="45" t="s">
        <v>888</v>
      </c>
      <c r="C133" s="46">
        <v>9.99</v>
      </c>
      <c r="D133" s="45" t="s">
        <v>889</v>
      </c>
      <c r="E133" s="47"/>
    </row>
    <row r="134" spans="1:5" ht="50.4">
      <c r="A134" s="44" t="s">
        <v>884</v>
      </c>
      <c r="B134" s="45" t="s">
        <v>885</v>
      </c>
      <c r="C134" s="46">
        <v>9.99</v>
      </c>
      <c r="D134" s="45" t="s">
        <v>886</v>
      </c>
      <c r="E134" s="47"/>
    </row>
    <row r="135" spans="1:5" ht="67.2">
      <c r="A135" s="44" t="s">
        <v>878</v>
      </c>
      <c r="B135" s="45" t="s">
        <v>879</v>
      </c>
      <c r="C135" s="46">
        <v>9.99</v>
      </c>
      <c r="D135" s="45" t="s">
        <v>880</v>
      </c>
      <c r="E135" s="47"/>
    </row>
    <row r="136" spans="1:5" ht="50.4">
      <c r="A136" s="44" t="s">
        <v>881</v>
      </c>
      <c r="B136" s="45" t="s">
        <v>882</v>
      </c>
      <c r="C136" s="46">
        <v>123</v>
      </c>
      <c r="D136" s="45" t="s">
        <v>880</v>
      </c>
      <c r="E136" s="47" t="s">
        <v>883</v>
      </c>
    </row>
    <row r="137" spans="1:5" ht="50.4">
      <c r="A137" s="44" t="s">
        <v>875</v>
      </c>
      <c r="B137" s="45" t="s">
        <v>876</v>
      </c>
      <c r="C137" s="46">
        <v>9.99</v>
      </c>
      <c r="D137" s="45" t="s">
        <v>877</v>
      </c>
      <c r="E137" s="47"/>
    </row>
    <row r="138" spans="1:5" ht="33.6">
      <c r="A138" s="44" t="s">
        <v>872</v>
      </c>
      <c r="B138" s="45" t="s">
        <v>873</v>
      </c>
      <c r="C138" s="46">
        <v>69.95</v>
      </c>
      <c r="D138" s="45" t="s">
        <v>874</v>
      </c>
      <c r="E138" s="47"/>
    </row>
    <row r="139" spans="1:5" ht="50.4">
      <c r="A139" s="44" t="s">
        <v>869</v>
      </c>
      <c r="B139" s="45" t="s">
        <v>870</v>
      </c>
      <c r="C139" s="46">
        <v>149.94999999999999</v>
      </c>
      <c r="D139" s="45" t="s">
        <v>871</v>
      </c>
      <c r="E139" s="47"/>
    </row>
    <row r="140" spans="1:5" ht="33.6">
      <c r="A140" s="44" t="s">
        <v>830</v>
      </c>
      <c r="B140" s="45" t="s">
        <v>831</v>
      </c>
      <c r="C140" s="46">
        <v>149</v>
      </c>
      <c r="D140" s="45" t="s">
        <v>832</v>
      </c>
      <c r="E140" s="47"/>
    </row>
    <row r="141" spans="1:5" ht="33.6">
      <c r="A141" s="44" t="s">
        <v>833</v>
      </c>
      <c r="B141" s="45" t="s">
        <v>834</v>
      </c>
      <c r="C141" s="46">
        <v>0</v>
      </c>
      <c r="D141" s="45" t="s">
        <v>832</v>
      </c>
      <c r="E141" s="47"/>
    </row>
    <row r="142" spans="1:5" ht="33.6">
      <c r="A142" s="44" t="s">
        <v>835</v>
      </c>
      <c r="B142" s="45" t="s">
        <v>836</v>
      </c>
      <c r="C142" s="46">
        <v>0</v>
      </c>
      <c r="D142" s="45" t="s">
        <v>832</v>
      </c>
      <c r="E142" s="47"/>
    </row>
    <row r="143" spans="1:5" ht="33.6">
      <c r="A143" s="44" t="s">
        <v>837</v>
      </c>
      <c r="B143" s="45" t="s">
        <v>838</v>
      </c>
      <c r="C143" s="46">
        <v>0</v>
      </c>
      <c r="D143" s="45" t="s">
        <v>832</v>
      </c>
      <c r="E143" s="47"/>
    </row>
    <row r="144" spans="1:5" ht="33.6">
      <c r="A144" s="44" t="s">
        <v>839</v>
      </c>
      <c r="B144" s="45" t="s">
        <v>840</v>
      </c>
      <c r="C144" s="46">
        <v>0</v>
      </c>
      <c r="D144" s="45" t="s">
        <v>832</v>
      </c>
      <c r="E144" s="47"/>
    </row>
    <row r="145" spans="1:5" ht="33.6">
      <c r="A145" s="44" t="s">
        <v>841</v>
      </c>
      <c r="B145" s="45" t="s">
        <v>842</v>
      </c>
      <c r="C145" s="46">
        <v>0</v>
      </c>
      <c r="D145" s="45" t="s">
        <v>832</v>
      </c>
      <c r="E145" s="47"/>
    </row>
    <row r="146" spans="1:5" ht="33.6">
      <c r="A146" s="44" t="s">
        <v>843</v>
      </c>
      <c r="B146" s="45" t="s">
        <v>844</v>
      </c>
      <c r="C146" s="46">
        <v>0</v>
      </c>
      <c r="D146" s="45" t="s">
        <v>832</v>
      </c>
      <c r="E146" s="47"/>
    </row>
    <row r="147" spans="1:5" ht="33.6">
      <c r="A147" s="44" t="s">
        <v>845</v>
      </c>
      <c r="B147" s="45" t="s">
        <v>846</v>
      </c>
      <c r="C147" s="46">
        <v>0</v>
      </c>
      <c r="D147" s="45" t="s">
        <v>832</v>
      </c>
      <c r="E147" s="47"/>
    </row>
    <row r="148" spans="1:5" ht="33.6">
      <c r="A148" s="44" t="s">
        <v>847</v>
      </c>
      <c r="B148" s="45" t="s">
        <v>848</v>
      </c>
      <c r="C148" s="46">
        <v>0</v>
      </c>
      <c r="D148" s="45" t="s">
        <v>832</v>
      </c>
      <c r="E148" s="47"/>
    </row>
    <row r="149" spans="1:5" ht="33.6">
      <c r="A149" s="44" t="s">
        <v>849</v>
      </c>
      <c r="B149" s="45" t="s">
        <v>850</v>
      </c>
      <c r="C149" s="46">
        <v>0</v>
      </c>
      <c r="D149" s="45" t="s">
        <v>832</v>
      </c>
      <c r="E149" s="47"/>
    </row>
    <row r="150" spans="1:5" ht="50.4">
      <c r="A150" s="44" t="s">
        <v>851</v>
      </c>
      <c r="B150" s="45" t="s">
        <v>852</v>
      </c>
      <c r="C150" s="46">
        <v>0</v>
      </c>
      <c r="D150" s="45" t="s">
        <v>832</v>
      </c>
      <c r="E150" s="47"/>
    </row>
    <row r="151" spans="1:5" ht="33.6">
      <c r="A151" s="44" t="s">
        <v>853</v>
      </c>
      <c r="B151" s="45" t="s">
        <v>854</v>
      </c>
      <c r="C151" s="46">
        <v>0</v>
      </c>
      <c r="D151" s="45" t="s">
        <v>832</v>
      </c>
      <c r="E151" s="47"/>
    </row>
    <row r="152" spans="1:5" ht="33.6">
      <c r="A152" s="44" t="s">
        <v>855</v>
      </c>
      <c r="B152" s="45" t="s">
        <v>856</v>
      </c>
      <c r="C152" s="46">
        <v>0</v>
      </c>
      <c r="D152" s="45" t="s">
        <v>832</v>
      </c>
      <c r="E152" s="47" t="s">
        <v>855</v>
      </c>
    </row>
    <row r="153" spans="1:5" ht="33.6">
      <c r="A153" s="44" t="s">
        <v>857</v>
      </c>
      <c r="B153" s="45" t="s">
        <v>858</v>
      </c>
      <c r="C153" s="46">
        <v>0</v>
      </c>
      <c r="D153" s="45" t="s">
        <v>832</v>
      </c>
      <c r="E153" s="47"/>
    </row>
    <row r="154" spans="1:5" ht="33.6">
      <c r="A154" s="44" t="s">
        <v>859</v>
      </c>
      <c r="B154" s="45" t="s">
        <v>860</v>
      </c>
      <c r="C154" s="46">
        <v>0</v>
      </c>
      <c r="D154" s="45" t="s">
        <v>832</v>
      </c>
      <c r="E154" s="47"/>
    </row>
    <row r="155" spans="1:5" ht="33.6">
      <c r="A155" s="44" t="s">
        <v>861</v>
      </c>
      <c r="B155" s="45" t="s">
        <v>862</v>
      </c>
      <c r="C155" s="46">
        <v>0</v>
      </c>
      <c r="D155" s="45" t="s">
        <v>832</v>
      </c>
      <c r="E155" s="47"/>
    </row>
    <row r="156" spans="1:5" ht="33.6">
      <c r="A156" s="44" t="s">
        <v>863</v>
      </c>
      <c r="B156" s="45" t="s">
        <v>864</v>
      </c>
      <c r="C156" s="46">
        <v>0</v>
      </c>
      <c r="D156" s="45" t="s">
        <v>832</v>
      </c>
      <c r="E156" s="47"/>
    </row>
    <row r="157" spans="1:5" ht="33.6">
      <c r="A157" s="44" t="s">
        <v>865</v>
      </c>
      <c r="B157" s="45" t="s">
        <v>866</v>
      </c>
      <c r="C157" s="46">
        <v>0</v>
      </c>
      <c r="D157" s="45" t="s">
        <v>832</v>
      </c>
      <c r="E157" s="47"/>
    </row>
    <row r="158" spans="1:5" ht="33.6">
      <c r="A158" s="44" t="s">
        <v>867</v>
      </c>
      <c r="B158" s="45" t="s">
        <v>868</v>
      </c>
      <c r="C158" s="46">
        <v>0</v>
      </c>
      <c r="D158" s="45" t="s">
        <v>832</v>
      </c>
      <c r="E158" s="47"/>
    </row>
    <row r="159" spans="1:5" ht="33.6">
      <c r="A159" s="44" t="s">
        <v>739</v>
      </c>
      <c r="B159" s="45" t="s">
        <v>740</v>
      </c>
      <c r="C159" s="46">
        <v>0</v>
      </c>
      <c r="D159" s="45" t="s">
        <v>741</v>
      </c>
      <c r="E159" s="47"/>
    </row>
    <row r="160" spans="1:5" ht="33.6">
      <c r="A160" s="44" t="s">
        <v>742</v>
      </c>
      <c r="B160" s="45" t="s">
        <v>743</v>
      </c>
      <c r="C160" s="46">
        <v>0</v>
      </c>
      <c r="D160" s="45" t="s">
        <v>741</v>
      </c>
      <c r="E160" s="47"/>
    </row>
    <row r="161" spans="1:5" ht="33.6">
      <c r="A161" s="44" t="s">
        <v>744</v>
      </c>
      <c r="B161" s="45" t="s">
        <v>745</v>
      </c>
      <c r="C161" s="46">
        <v>0</v>
      </c>
      <c r="D161" s="45" t="s">
        <v>741</v>
      </c>
      <c r="E161" s="47"/>
    </row>
    <row r="162" spans="1:5" ht="33.6">
      <c r="A162" s="44" t="s">
        <v>746</v>
      </c>
      <c r="B162" s="45" t="s">
        <v>747</v>
      </c>
      <c r="C162" s="46">
        <v>0</v>
      </c>
      <c r="D162" s="45" t="s">
        <v>741</v>
      </c>
      <c r="E162" s="47"/>
    </row>
    <row r="163" spans="1:5" ht="33.6">
      <c r="A163" s="44" t="s">
        <v>748</v>
      </c>
      <c r="B163" s="45" t="s">
        <v>749</v>
      </c>
      <c r="C163" s="46">
        <v>0</v>
      </c>
      <c r="D163" s="45" t="s">
        <v>741</v>
      </c>
      <c r="E163" s="47"/>
    </row>
    <row r="164" spans="1:5" ht="33.6">
      <c r="A164" s="63" t="s">
        <v>750</v>
      </c>
      <c r="B164" s="45" t="s">
        <v>751</v>
      </c>
      <c r="C164" s="46">
        <v>0</v>
      </c>
      <c r="D164" s="45" t="s">
        <v>741</v>
      </c>
      <c r="E164" s="47"/>
    </row>
    <row r="165" spans="1:5" ht="33.6">
      <c r="A165" s="44" t="s">
        <v>752</v>
      </c>
      <c r="B165" s="45" t="s">
        <v>753</v>
      </c>
      <c r="C165" s="46">
        <v>0</v>
      </c>
      <c r="D165" s="45" t="s">
        <v>741</v>
      </c>
      <c r="E165" s="47"/>
    </row>
    <row r="166" spans="1:5" ht="33.6">
      <c r="A166" s="44" t="s">
        <v>754</v>
      </c>
      <c r="B166" s="45" t="s">
        <v>755</v>
      </c>
      <c r="C166" s="46">
        <v>0</v>
      </c>
      <c r="D166" s="45" t="s">
        <v>741</v>
      </c>
      <c r="E166" s="47"/>
    </row>
    <row r="167" spans="1:5" ht="33.6">
      <c r="A167" s="44" t="s">
        <v>756</v>
      </c>
      <c r="B167" s="45" t="s">
        <v>757</v>
      </c>
      <c r="C167" s="46">
        <v>0</v>
      </c>
      <c r="D167" s="45" t="s">
        <v>741</v>
      </c>
      <c r="E167" s="47"/>
    </row>
    <row r="168" spans="1:5" ht="33.6">
      <c r="A168" s="44" t="s">
        <v>758</v>
      </c>
      <c r="B168" s="45" t="s">
        <v>759</v>
      </c>
      <c r="C168" s="46">
        <v>0</v>
      </c>
      <c r="D168" s="45" t="s">
        <v>741</v>
      </c>
      <c r="E168" s="47"/>
    </row>
    <row r="169" spans="1:5" ht="33.6">
      <c r="A169" s="44" t="s">
        <v>760</v>
      </c>
      <c r="B169" s="45" t="s">
        <v>761</v>
      </c>
      <c r="C169" s="46">
        <v>0</v>
      </c>
      <c r="D169" s="45" t="s">
        <v>741</v>
      </c>
      <c r="E169" s="47"/>
    </row>
    <row r="170" spans="1:5" ht="33.6">
      <c r="A170" s="44" t="s">
        <v>762</v>
      </c>
      <c r="B170" s="45" t="s">
        <v>763</v>
      </c>
      <c r="C170" s="46">
        <v>0</v>
      </c>
      <c r="D170" s="45" t="s">
        <v>741</v>
      </c>
      <c r="E170" s="47"/>
    </row>
    <row r="171" spans="1:5" ht="50.4">
      <c r="A171" s="44" t="s">
        <v>764</v>
      </c>
      <c r="B171" s="45" t="s">
        <v>765</v>
      </c>
      <c r="C171" s="46">
        <v>0</v>
      </c>
      <c r="D171" s="45" t="s">
        <v>741</v>
      </c>
      <c r="E171" s="47"/>
    </row>
    <row r="172" spans="1:5" ht="33.6">
      <c r="A172" s="44" t="s">
        <v>766</v>
      </c>
      <c r="B172" s="45" t="s">
        <v>767</v>
      </c>
      <c r="C172" s="46">
        <v>0</v>
      </c>
      <c r="D172" s="45" t="s">
        <v>741</v>
      </c>
      <c r="E172" s="47"/>
    </row>
    <row r="173" spans="1:5" ht="33.6">
      <c r="A173" s="44" t="s">
        <v>768</v>
      </c>
      <c r="B173" s="45" t="s">
        <v>769</v>
      </c>
      <c r="C173" s="46">
        <v>0</v>
      </c>
      <c r="D173" s="45" t="s">
        <v>741</v>
      </c>
      <c r="E173" s="47"/>
    </row>
    <row r="174" spans="1:5" ht="33.6">
      <c r="A174" s="44" t="s">
        <v>770</v>
      </c>
      <c r="B174" s="45" t="s">
        <v>771</v>
      </c>
      <c r="C174" s="46">
        <v>0</v>
      </c>
      <c r="D174" s="45" t="s">
        <v>741</v>
      </c>
      <c r="E174" s="47"/>
    </row>
    <row r="175" spans="1:5" ht="33.6">
      <c r="A175" s="44" t="s">
        <v>772</v>
      </c>
      <c r="B175" s="45" t="s">
        <v>773</v>
      </c>
      <c r="C175" s="46">
        <v>0</v>
      </c>
      <c r="D175" s="45" t="s">
        <v>741</v>
      </c>
      <c r="E175" s="47"/>
    </row>
    <row r="176" spans="1:5" ht="50.4">
      <c r="A176" s="44" t="s">
        <v>774</v>
      </c>
      <c r="B176" s="45" t="s">
        <v>775</v>
      </c>
      <c r="C176" s="46">
        <v>0</v>
      </c>
      <c r="D176" s="45" t="s">
        <v>741</v>
      </c>
      <c r="E176" s="47"/>
    </row>
    <row r="177" spans="1:5" ht="33.6">
      <c r="A177" s="44" t="s">
        <v>776</v>
      </c>
      <c r="B177" s="45" t="s">
        <v>777</v>
      </c>
      <c r="C177" s="46">
        <v>0</v>
      </c>
      <c r="D177" s="45" t="s">
        <v>741</v>
      </c>
      <c r="E177" s="47"/>
    </row>
    <row r="178" spans="1:5" ht="33.6">
      <c r="A178" s="44" t="s">
        <v>778</v>
      </c>
      <c r="B178" s="45" t="s">
        <v>779</v>
      </c>
      <c r="C178" s="46">
        <v>0</v>
      </c>
      <c r="D178" s="45" t="s">
        <v>741</v>
      </c>
      <c r="E178" s="47"/>
    </row>
    <row r="179" spans="1:5" ht="33.6">
      <c r="A179" s="44" t="s">
        <v>780</v>
      </c>
      <c r="B179" s="45" t="s">
        <v>781</v>
      </c>
      <c r="C179" s="46">
        <v>0</v>
      </c>
      <c r="D179" s="45" t="s">
        <v>741</v>
      </c>
      <c r="E179" s="47"/>
    </row>
    <row r="180" spans="1:5" ht="33.6">
      <c r="A180" s="44" t="s">
        <v>782</v>
      </c>
      <c r="B180" s="45" t="s">
        <v>783</v>
      </c>
      <c r="C180" s="46">
        <v>0</v>
      </c>
      <c r="D180" s="45" t="s">
        <v>741</v>
      </c>
      <c r="E180" s="47"/>
    </row>
    <row r="181" spans="1:5" ht="33.6">
      <c r="A181" s="44" t="s">
        <v>784</v>
      </c>
      <c r="B181" s="45" t="s">
        <v>785</v>
      </c>
      <c r="C181" s="46">
        <v>0</v>
      </c>
      <c r="D181" s="45" t="s">
        <v>741</v>
      </c>
      <c r="E181" s="47"/>
    </row>
    <row r="182" spans="1:5" ht="33.6">
      <c r="A182" s="44" t="s">
        <v>786</v>
      </c>
      <c r="B182" s="45" t="s">
        <v>787</v>
      </c>
      <c r="C182" s="46">
        <v>0</v>
      </c>
      <c r="D182" s="45" t="s">
        <v>741</v>
      </c>
      <c r="E182" s="47"/>
    </row>
    <row r="183" spans="1:5" ht="33.6">
      <c r="A183" s="44" t="s">
        <v>788</v>
      </c>
      <c r="B183" s="45" t="s">
        <v>789</v>
      </c>
      <c r="C183" s="46">
        <v>0</v>
      </c>
      <c r="D183" s="45" t="s">
        <v>741</v>
      </c>
      <c r="E183" s="47"/>
    </row>
    <row r="184" spans="1:5" ht="33.6">
      <c r="A184" s="44" t="s">
        <v>790</v>
      </c>
      <c r="B184" s="45" t="s">
        <v>791</v>
      </c>
      <c r="C184" s="46">
        <v>0</v>
      </c>
      <c r="D184" s="45" t="s">
        <v>741</v>
      </c>
      <c r="E184" s="47"/>
    </row>
    <row r="185" spans="1:5" ht="33.6">
      <c r="A185" s="44" t="s">
        <v>792</v>
      </c>
      <c r="B185" s="45" t="s">
        <v>793</v>
      </c>
      <c r="C185" s="46">
        <v>0</v>
      </c>
      <c r="D185" s="45" t="s">
        <v>741</v>
      </c>
      <c r="E185" s="47"/>
    </row>
    <row r="186" spans="1:5" ht="33.6">
      <c r="A186" s="44" t="s">
        <v>794</v>
      </c>
      <c r="B186" s="45" t="s">
        <v>795</v>
      </c>
      <c r="C186" s="46">
        <v>0</v>
      </c>
      <c r="D186" s="45" t="s">
        <v>741</v>
      </c>
      <c r="E186" s="47"/>
    </row>
    <row r="187" spans="1:5" ht="33.6">
      <c r="A187" s="44" t="s">
        <v>796</v>
      </c>
      <c r="B187" s="45" t="s">
        <v>797</v>
      </c>
      <c r="C187" s="46">
        <v>0</v>
      </c>
      <c r="D187" s="45" t="s">
        <v>741</v>
      </c>
      <c r="E187" s="47"/>
    </row>
    <row r="188" spans="1:5" ht="33.6">
      <c r="A188" s="44" t="s">
        <v>798</v>
      </c>
      <c r="B188" s="45" t="s">
        <v>799</v>
      </c>
      <c r="C188" s="46">
        <v>0</v>
      </c>
      <c r="D188" s="45" t="s">
        <v>741</v>
      </c>
      <c r="E188" s="47"/>
    </row>
    <row r="189" spans="1:5" ht="33.6">
      <c r="A189" s="44" t="s">
        <v>800</v>
      </c>
      <c r="B189" s="45" t="s">
        <v>801</v>
      </c>
      <c r="C189" s="46">
        <v>0</v>
      </c>
      <c r="D189" s="45" t="s">
        <v>741</v>
      </c>
      <c r="E189" s="47"/>
    </row>
    <row r="190" spans="1:5" ht="33.6">
      <c r="A190" s="44" t="s">
        <v>802</v>
      </c>
      <c r="B190" s="45" t="s">
        <v>803</v>
      </c>
      <c r="C190" s="46">
        <v>0</v>
      </c>
      <c r="D190" s="45" t="s">
        <v>741</v>
      </c>
      <c r="E190" s="47"/>
    </row>
    <row r="191" spans="1:5" ht="33.6">
      <c r="A191" s="44" t="s">
        <v>804</v>
      </c>
      <c r="B191" s="45" t="s">
        <v>805</v>
      </c>
      <c r="C191" s="46">
        <v>0</v>
      </c>
      <c r="D191" s="45" t="s">
        <v>741</v>
      </c>
      <c r="E191" s="47"/>
    </row>
    <row r="192" spans="1:5" ht="33.6">
      <c r="A192" s="44" t="s">
        <v>806</v>
      </c>
      <c r="B192" s="45" t="s">
        <v>807</v>
      </c>
      <c r="C192" s="46">
        <v>0</v>
      </c>
      <c r="D192" s="45" t="s">
        <v>741</v>
      </c>
      <c r="E192" s="47"/>
    </row>
    <row r="193" spans="1:5" ht="33.6">
      <c r="A193" s="44" t="s">
        <v>808</v>
      </c>
      <c r="B193" s="45" t="s">
        <v>809</v>
      </c>
      <c r="C193" s="46">
        <v>0</v>
      </c>
      <c r="D193" s="45" t="s">
        <v>741</v>
      </c>
      <c r="E193" s="47"/>
    </row>
    <row r="194" spans="1:5" ht="33.6">
      <c r="A194" s="44" t="s">
        <v>810</v>
      </c>
      <c r="B194" s="45" t="s">
        <v>811</v>
      </c>
      <c r="C194" s="46">
        <v>0</v>
      </c>
      <c r="D194" s="45" t="s">
        <v>741</v>
      </c>
      <c r="E194" s="47"/>
    </row>
    <row r="195" spans="1:5" ht="33.6">
      <c r="A195" s="44" t="s">
        <v>812</v>
      </c>
      <c r="B195" s="45" t="s">
        <v>813</v>
      </c>
      <c r="C195" s="46">
        <v>0</v>
      </c>
      <c r="D195" s="45" t="s">
        <v>741</v>
      </c>
      <c r="E195" s="47"/>
    </row>
    <row r="196" spans="1:5" ht="33.6">
      <c r="A196" s="44" t="s">
        <v>814</v>
      </c>
      <c r="B196" s="45" t="s">
        <v>815</v>
      </c>
      <c r="C196" s="46">
        <v>0</v>
      </c>
      <c r="D196" s="45" t="s">
        <v>741</v>
      </c>
      <c r="E196" s="47"/>
    </row>
    <row r="197" spans="1:5" ht="33.6">
      <c r="A197" s="44" t="s">
        <v>816</v>
      </c>
      <c r="B197" s="45" t="s">
        <v>817</v>
      </c>
      <c r="C197" s="46">
        <v>0</v>
      </c>
      <c r="D197" s="45" t="s">
        <v>741</v>
      </c>
      <c r="E197" s="47"/>
    </row>
    <row r="198" spans="1:5" ht="33.6">
      <c r="A198" s="44" t="s">
        <v>818</v>
      </c>
      <c r="B198" s="45" t="s">
        <v>819</v>
      </c>
      <c r="C198" s="46">
        <v>0</v>
      </c>
      <c r="D198" s="45" t="s">
        <v>741</v>
      </c>
      <c r="E198" s="47"/>
    </row>
    <row r="199" spans="1:5" ht="50.4">
      <c r="A199" s="44" t="s">
        <v>820</v>
      </c>
      <c r="B199" s="45" t="s">
        <v>821</v>
      </c>
      <c r="C199" s="46">
        <v>0</v>
      </c>
      <c r="D199" s="45" t="s">
        <v>741</v>
      </c>
      <c r="E199" s="47"/>
    </row>
    <row r="200" spans="1:5" ht="33.6">
      <c r="A200" s="44" t="s">
        <v>822</v>
      </c>
      <c r="B200" s="45" t="s">
        <v>823</v>
      </c>
      <c r="C200" s="46">
        <v>0</v>
      </c>
      <c r="D200" s="45" t="s">
        <v>741</v>
      </c>
      <c r="E200" s="47"/>
    </row>
    <row r="201" spans="1:5" ht="33.6">
      <c r="A201" s="44" t="s">
        <v>824</v>
      </c>
      <c r="B201" s="45" t="s">
        <v>825</v>
      </c>
      <c r="C201" s="46">
        <v>0</v>
      </c>
      <c r="D201" s="45" t="s">
        <v>741</v>
      </c>
      <c r="E201" s="47"/>
    </row>
    <row r="202" spans="1:5" ht="33.6">
      <c r="A202" s="44" t="s">
        <v>826</v>
      </c>
      <c r="B202" s="45" t="s">
        <v>827</v>
      </c>
      <c r="C202" s="46">
        <v>0</v>
      </c>
      <c r="D202" s="45" t="s">
        <v>741</v>
      </c>
      <c r="E202" s="47"/>
    </row>
    <row r="203" spans="1:5" ht="33.6">
      <c r="A203" s="44" t="s">
        <v>828</v>
      </c>
      <c r="B203" s="45" t="s">
        <v>829</v>
      </c>
      <c r="C203" s="46">
        <v>0</v>
      </c>
      <c r="D203" s="45" t="s">
        <v>741</v>
      </c>
      <c r="E203" s="47"/>
    </row>
    <row r="204" spans="1:5" ht="33.6">
      <c r="A204" s="44" t="s">
        <v>736</v>
      </c>
      <c r="B204" s="45" t="s">
        <v>737</v>
      </c>
      <c r="C204" s="46">
        <v>0</v>
      </c>
      <c r="D204" s="45" t="s">
        <v>738</v>
      </c>
      <c r="E204" s="47"/>
    </row>
    <row r="205" spans="1:5" ht="33.6">
      <c r="A205" s="44" t="s">
        <v>723</v>
      </c>
      <c r="B205" s="45" t="s">
        <v>724</v>
      </c>
      <c r="C205" s="46">
        <v>0</v>
      </c>
      <c r="D205" s="45" t="s">
        <v>725</v>
      </c>
      <c r="E205" s="47"/>
    </row>
    <row r="206" spans="1:5" ht="50.4">
      <c r="A206" s="44" t="s">
        <v>726</v>
      </c>
      <c r="B206" s="45" t="s">
        <v>727</v>
      </c>
      <c r="C206" s="46">
        <v>0</v>
      </c>
      <c r="D206" s="45" t="s">
        <v>725</v>
      </c>
      <c r="E206" s="47"/>
    </row>
    <row r="207" spans="1:5" ht="33.6">
      <c r="A207" s="44" t="s">
        <v>728</v>
      </c>
      <c r="B207" s="45" t="s">
        <v>729</v>
      </c>
      <c r="C207" s="46">
        <v>0</v>
      </c>
      <c r="D207" s="45" t="s">
        <v>725</v>
      </c>
      <c r="E207" s="47"/>
    </row>
    <row r="208" spans="1:5" ht="33.6">
      <c r="A208" s="44" t="s">
        <v>730</v>
      </c>
      <c r="B208" s="45" t="s">
        <v>731</v>
      </c>
      <c r="C208" s="46">
        <v>0</v>
      </c>
      <c r="D208" s="45" t="s">
        <v>725</v>
      </c>
      <c r="E208" s="47"/>
    </row>
    <row r="209" spans="1:5" ht="33.6">
      <c r="A209" s="44" t="s">
        <v>732</v>
      </c>
      <c r="B209" s="45" t="s">
        <v>733</v>
      </c>
      <c r="C209" s="46">
        <v>0</v>
      </c>
      <c r="D209" s="45" t="s">
        <v>725</v>
      </c>
      <c r="E209" s="47"/>
    </row>
    <row r="210" spans="1:5" ht="33.6">
      <c r="A210" s="44" t="s">
        <v>734</v>
      </c>
      <c r="B210" s="45" t="s">
        <v>735</v>
      </c>
      <c r="C210" s="46">
        <v>0</v>
      </c>
      <c r="D210" s="45" t="s">
        <v>725</v>
      </c>
      <c r="E210" s="47"/>
    </row>
    <row r="211" spans="1:5" ht="33.6">
      <c r="A211" s="48" t="s">
        <v>712</v>
      </c>
      <c r="B211" s="49" t="s">
        <v>713</v>
      </c>
      <c r="C211" s="50">
        <v>0</v>
      </c>
      <c r="D211" s="49" t="s">
        <v>714</v>
      </c>
      <c r="E211" s="51"/>
    </row>
    <row r="212" spans="1:5" ht="33.6">
      <c r="A212" s="48" t="s">
        <v>715</v>
      </c>
      <c r="B212" s="49" t="s">
        <v>716</v>
      </c>
      <c r="C212" s="50">
        <v>0</v>
      </c>
      <c r="D212" s="49" t="s">
        <v>714</v>
      </c>
      <c r="E212" s="51"/>
    </row>
    <row r="213" spans="1:5" ht="33.6">
      <c r="A213" s="48" t="s">
        <v>717</v>
      </c>
      <c r="B213" s="49" t="s">
        <v>718</v>
      </c>
      <c r="C213" s="50">
        <v>0</v>
      </c>
      <c r="D213" s="49" t="s">
        <v>714</v>
      </c>
      <c r="E213" s="51"/>
    </row>
    <row r="214" spans="1:5" ht="33.6">
      <c r="A214" s="48" t="s">
        <v>719</v>
      </c>
      <c r="B214" s="49" t="s">
        <v>720</v>
      </c>
      <c r="C214" s="50">
        <v>0</v>
      </c>
      <c r="D214" s="49" t="s">
        <v>714</v>
      </c>
      <c r="E214" s="51"/>
    </row>
    <row r="215" spans="1:5" ht="33.6">
      <c r="A215" s="48" t="s">
        <v>721</v>
      </c>
      <c r="B215" s="49" t="s">
        <v>722</v>
      </c>
      <c r="C215" s="50">
        <v>0</v>
      </c>
      <c r="D215" s="49" t="s">
        <v>714</v>
      </c>
      <c r="E215" s="51"/>
    </row>
    <row r="216" spans="1:5" ht="50.4">
      <c r="A216" s="44" t="s">
        <v>708</v>
      </c>
      <c r="B216" s="45" t="s">
        <v>709</v>
      </c>
      <c r="C216" s="46">
        <v>8.9</v>
      </c>
      <c r="D216" s="45" t="s">
        <v>710</v>
      </c>
      <c r="E216" s="47" t="s">
        <v>711</v>
      </c>
    </row>
    <row r="217" spans="1:5" ht="50.4">
      <c r="A217" s="44" t="s">
        <v>703</v>
      </c>
      <c r="B217" s="45" t="s">
        <v>704</v>
      </c>
      <c r="C217" s="46">
        <v>75</v>
      </c>
      <c r="D217" s="45" t="s">
        <v>705</v>
      </c>
      <c r="E217" s="47" t="s">
        <v>656</v>
      </c>
    </row>
    <row r="218" spans="1:5" ht="16.8">
      <c r="A218" s="44" t="s">
        <v>706</v>
      </c>
      <c r="B218" s="45" t="s">
        <v>707</v>
      </c>
      <c r="C218" s="46">
        <v>7.9</v>
      </c>
      <c r="D218" s="45" t="s">
        <v>705</v>
      </c>
      <c r="E218" s="47"/>
    </row>
    <row r="219" spans="1:5" ht="16.8">
      <c r="A219" s="44" t="s">
        <v>700</v>
      </c>
      <c r="B219" s="45" t="s">
        <v>701</v>
      </c>
      <c r="C219" s="46">
        <v>7.9</v>
      </c>
      <c r="D219" s="45" t="s">
        <v>702</v>
      </c>
      <c r="E219" s="47"/>
    </row>
    <row r="220" spans="1:5" ht="33.6">
      <c r="A220" s="44" t="s">
        <v>696</v>
      </c>
      <c r="B220" s="45" t="s">
        <v>697</v>
      </c>
      <c r="C220" s="46">
        <v>9.9</v>
      </c>
      <c r="D220" s="45" t="s">
        <v>698</v>
      </c>
      <c r="E220" s="47" t="s">
        <v>699</v>
      </c>
    </row>
    <row r="221" spans="1:5" ht="16.8">
      <c r="A221" s="44" t="s">
        <v>691</v>
      </c>
      <c r="B221" s="45" t="s">
        <v>692</v>
      </c>
      <c r="C221" s="46">
        <v>0</v>
      </c>
      <c r="D221" s="45" t="s">
        <v>693</v>
      </c>
      <c r="E221" s="47"/>
    </row>
    <row r="222" spans="1:5" ht="33.6">
      <c r="A222" s="44" t="s">
        <v>694</v>
      </c>
      <c r="B222" s="45" t="s">
        <v>695</v>
      </c>
      <c r="C222" s="46">
        <v>0</v>
      </c>
      <c r="D222" s="45" t="s">
        <v>693</v>
      </c>
      <c r="E222" s="47"/>
    </row>
    <row r="223" spans="1:5" ht="16.8">
      <c r="A223" s="44" t="s">
        <v>688</v>
      </c>
      <c r="B223" s="45" t="s">
        <v>689</v>
      </c>
      <c r="C223" s="46">
        <v>7.9</v>
      </c>
      <c r="D223" s="45" t="s">
        <v>690</v>
      </c>
      <c r="E223" s="47"/>
    </row>
    <row r="224" spans="1:5" ht="67.2">
      <c r="A224" s="44" t="s">
        <v>684</v>
      </c>
      <c r="B224" s="45" t="s">
        <v>685</v>
      </c>
      <c r="C224" s="46">
        <v>79</v>
      </c>
      <c r="D224" s="45" t="s">
        <v>686</v>
      </c>
      <c r="E224" s="47" t="s">
        <v>687</v>
      </c>
    </row>
    <row r="225" spans="1:5" ht="50.4">
      <c r="A225" s="44" t="s">
        <v>680</v>
      </c>
      <c r="B225" s="45" t="s">
        <v>681</v>
      </c>
      <c r="C225" s="46">
        <v>8.9</v>
      </c>
      <c r="D225" s="45" t="s">
        <v>682</v>
      </c>
      <c r="E225" s="47" t="s">
        <v>683</v>
      </c>
    </row>
    <row r="226" spans="1:5" ht="33.6">
      <c r="A226" s="44" t="s">
        <v>664</v>
      </c>
      <c r="B226" s="45" t="s">
        <v>665</v>
      </c>
      <c r="C226" s="46">
        <v>2.9</v>
      </c>
      <c r="D226" s="45" t="s">
        <v>666</v>
      </c>
      <c r="E226" s="47" t="s">
        <v>667</v>
      </c>
    </row>
    <row r="227" spans="1:5" ht="33.6">
      <c r="A227" s="44" t="s">
        <v>668</v>
      </c>
      <c r="B227" s="45" t="s">
        <v>669</v>
      </c>
      <c r="C227" s="46">
        <v>2.9</v>
      </c>
      <c r="D227" s="45" t="s">
        <v>666</v>
      </c>
      <c r="E227" s="47" t="s">
        <v>670</v>
      </c>
    </row>
    <row r="228" spans="1:5" ht="33.6">
      <c r="A228" s="63" t="s">
        <v>671</v>
      </c>
      <c r="B228" s="45" t="s">
        <v>672</v>
      </c>
      <c r="C228" s="46">
        <v>2.9</v>
      </c>
      <c r="D228" s="45" t="s">
        <v>666</v>
      </c>
      <c r="E228" s="62" t="s">
        <v>673</v>
      </c>
    </row>
    <row r="229" spans="1:5" ht="33.6">
      <c r="A229" s="44" t="s">
        <v>674</v>
      </c>
      <c r="B229" s="45" t="s">
        <v>675</v>
      </c>
      <c r="C229" s="46">
        <v>2.9</v>
      </c>
      <c r="D229" s="45" t="s">
        <v>666</v>
      </c>
      <c r="E229" s="47" t="s">
        <v>676</v>
      </c>
    </row>
    <row r="230" spans="1:5" ht="33.6">
      <c r="A230" s="44" t="s">
        <v>677</v>
      </c>
      <c r="B230" s="45" t="s">
        <v>678</v>
      </c>
      <c r="C230" s="46">
        <v>2.9</v>
      </c>
      <c r="D230" s="45" t="s">
        <v>666</v>
      </c>
      <c r="E230" s="47" t="s">
        <v>679</v>
      </c>
    </row>
    <row r="231" spans="1:5" ht="50.4">
      <c r="A231" s="44" t="s">
        <v>647</v>
      </c>
      <c r="B231" s="45" t="s">
        <v>648</v>
      </c>
      <c r="C231" s="46">
        <v>79</v>
      </c>
      <c r="D231" s="45" t="s">
        <v>649</v>
      </c>
      <c r="E231" s="47" t="s">
        <v>650</v>
      </c>
    </row>
    <row r="232" spans="1:5" ht="33.6">
      <c r="A232" s="44" t="s">
        <v>651</v>
      </c>
      <c r="B232" s="45" t="s">
        <v>652</v>
      </c>
      <c r="C232" s="46">
        <v>99</v>
      </c>
      <c r="D232" s="45" t="s">
        <v>649</v>
      </c>
      <c r="E232" s="47" t="s">
        <v>653</v>
      </c>
    </row>
    <row r="233" spans="1:5" ht="50.4">
      <c r="A233" s="44" t="s">
        <v>654</v>
      </c>
      <c r="B233" s="45" t="s">
        <v>655</v>
      </c>
      <c r="C233" s="46">
        <v>99</v>
      </c>
      <c r="D233" s="45" t="s">
        <v>649</v>
      </c>
      <c r="E233" s="47" t="s">
        <v>656</v>
      </c>
    </row>
    <row r="234" spans="1:5" ht="50.4">
      <c r="A234" s="44" t="s">
        <v>657</v>
      </c>
      <c r="B234" s="45" t="s">
        <v>658</v>
      </c>
      <c r="C234" s="46">
        <v>123</v>
      </c>
      <c r="D234" s="45" t="s">
        <v>649</v>
      </c>
      <c r="E234" s="47" t="s">
        <v>659</v>
      </c>
    </row>
    <row r="235" spans="1:5" ht="33.6">
      <c r="A235" s="44" t="s">
        <v>660</v>
      </c>
      <c r="B235" s="45" t="s">
        <v>661</v>
      </c>
      <c r="C235" s="46">
        <v>109</v>
      </c>
      <c r="D235" s="45" t="s">
        <v>649</v>
      </c>
      <c r="E235" s="47" t="s">
        <v>653</v>
      </c>
    </row>
    <row r="236" spans="1:5" ht="50.4">
      <c r="A236" s="44" t="s">
        <v>662</v>
      </c>
      <c r="B236" s="45" t="s">
        <v>663</v>
      </c>
      <c r="C236" s="46">
        <v>109</v>
      </c>
      <c r="D236" s="45" t="s">
        <v>649</v>
      </c>
      <c r="E236" s="47" t="s">
        <v>659</v>
      </c>
    </row>
    <row r="237" spans="1:5" ht="16.8">
      <c r="A237" s="44" t="s">
        <v>642</v>
      </c>
      <c r="B237" s="45" t="s">
        <v>643</v>
      </c>
      <c r="C237" s="46">
        <v>0</v>
      </c>
      <c r="D237" s="45" t="s">
        <v>644</v>
      </c>
      <c r="E237" s="47"/>
    </row>
    <row r="238" spans="1:5" ht="33.6">
      <c r="A238" s="44" t="s">
        <v>645</v>
      </c>
      <c r="B238" s="45" t="s">
        <v>646</v>
      </c>
      <c r="C238" s="46">
        <v>0</v>
      </c>
      <c r="D238" s="45" t="s">
        <v>644</v>
      </c>
      <c r="E238" s="47"/>
    </row>
    <row r="239" spans="1:5" ht="50.4">
      <c r="A239" s="44" t="s">
        <v>638</v>
      </c>
      <c r="B239" s="45" t="s">
        <v>639</v>
      </c>
      <c r="C239" s="46">
        <v>99</v>
      </c>
      <c r="D239" s="45" t="s">
        <v>640</v>
      </c>
      <c r="E239" s="47" t="s">
        <v>641</v>
      </c>
    </row>
    <row r="240" spans="1:5" ht="33.6">
      <c r="A240" s="44" t="s">
        <v>630</v>
      </c>
      <c r="B240" s="45" t="s">
        <v>631</v>
      </c>
      <c r="C240" s="46">
        <v>110</v>
      </c>
      <c r="D240" s="45" t="s">
        <v>632</v>
      </c>
      <c r="E240" s="47"/>
    </row>
    <row r="241" spans="1:5" ht="33.6">
      <c r="A241" s="44" t="s">
        <v>633</v>
      </c>
      <c r="B241" s="45" t="s">
        <v>634</v>
      </c>
      <c r="C241" s="46">
        <v>29.9</v>
      </c>
      <c r="D241" s="45" t="s">
        <v>632</v>
      </c>
      <c r="E241" s="47" t="s">
        <v>635</v>
      </c>
    </row>
    <row r="242" spans="1:5" ht="16.8">
      <c r="A242" s="44" t="s">
        <v>636</v>
      </c>
      <c r="B242" s="45" t="s">
        <v>637</v>
      </c>
      <c r="C242" s="46">
        <v>7.9</v>
      </c>
      <c r="D242" s="45" t="s">
        <v>632</v>
      </c>
      <c r="E242" s="47"/>
    </row>
    <row r="243" spans="1:5" ht="33.6">
      <c r="A243" s="52" t="s">
        <v>627</v>
      </c>
      <c r="B243" s="53" t="s">
        <v>628</v>
      </c>
      <c r="C243" s="54">
        <v>99</v>
      </c>
      <c r="D243" s="53" t="s">
        <v>629</v>
      </c>
      <c r="E243" s="55"/>
    </row>
    <row r="244" spans="1:5" ht="50.4">
      <c r="A244" s="44" t="s">
        <v>624</v>
      </c>
      <c r="B244" s="45" t="s">
        <v>625</v>
      </c>
      <c r="C244" s="46">
        <v>7.9</v>
      </c>
      <c r="D244" s="45" t="s">
        <v>626</v>
      </c>
      <c r="E244" s="47"/>
    </row>
    <row r="245" spans="1:5" ht="33.6">
      <c r="A245" s="44" t="s">
        <v>616</v>
      </c>
      <c r="B245" s="45" t="s">
        <v>617</v>
      </c>
      <c r="C245" s="46">
        <v>0</v>
      </c>
      <c r="D245" s="45" t="s">
        <v>618</v>
      </c>
      <c r="E245" s="47"/>
    </row>
    <row r="246" spans="1:5" ht="16.8">
      <c r="A246" s="44" t="s">
        <v>619</v>
      </c>
      <c r="B246" s="45" t="s">
        <v>620</v>
      </c>
      <c r="C246" s="46">
        <v>0</v>
      </c>
      <c r="D246" s="45" t="s">
        <v>618</v>
      </c>
      <c r="E246" s="47"/>
    </row>
    <row r="247" spans="1:5" ht="33.6">
      <c r="A247" s="44" t="s">
        <v>621</v>
      </c>
      <c r="B247" s="45" t="s">
        <v>622</v>
      </c>
      <c r="C247" s="46">
        <v>0</v>
      </c>
      <c r="D247" s="45" t="s">
        <v>618</v>
      </c>
      <c r="E247" s="47" t="s">
        <v>623</v>
      </c>
    </row>
    <row r="248" spans="1:5" ht="16.8">
      <c r="A248" s="44" t="s">
        <v>613</v>
      </c>
      <c r="B248" s="45" t="s">
        <v>614</v>
      </c>
      <c r="C248" s="46">
        <v>7.9</v>
      </c>
      <c r="D248" s="45" t="s">
        <v>615</v>
      </c>
      <c r="E248" s="47"/>
    </row>
    <row r="249" spans="1:5" ht="16.8">
      <c r="A249" s="44" t="s">
        <v>609</v>
      </c>
      <c r="B249" s="45" t="s">
        <v>610</v>
      </c>
      <c r="C249" s="46">
        <v>9.9</v>
      </c>
      <c r="D249" s="45" t="s">
        <v>611</v>
      </c>
      <c r="E249" s="62" t="s">
        <v>612</v>
      </c>
    </row>
    <row r="250" spans="1:5" ht="33.6">
      <c r="A250" s="44" t="s">
        <v>605</v>
      </c>
      <c r="B250" s="45" t="s">
        <v>606</v>
      </c>
      <c r="C250" s="46">
        <v>8.9</v>
      </c>
      <c r="D250" s="45" t="s">
        <v>607</v>
      </c>
      <c r="E250" s="47" t="s">
        <v>608</v>
      </c>
    </row>
    <row r="251" spans="1:5" ht="16.8">
      <c r="A251" s="44" t="s">
        <v>598</v>
      </c>
      <c r="B251" s="45" t="s">
        <v>599</v>
      </c>
      <c r="C251" s="46">
        <v>0</v>
      </c>
      <c r="D251" s="45" t="s">
        <v>600</v>
      </c>
      <c r="E251" s="47"/>
    </row>
    <row r="252" spans="1:5" ht="33.6">
      <c r="A252" s="44" t="s">
        <v>601</v>
      </c>
      <c r="B252" s="45" t="s">
        <v>602</v>
      </c>
      <c r="C252" s="46">
        <v>0</v>
      </c>
      <c r="D252" s="45" t="s">
        <v>600</v>
      </c>
      <c r="E252" s="47"/>
    </row>
    <row r="253" spans="1:5" ht="16.8">
      <c r="A253" s="44" t="s">
        <v>603</v>
      </c>
      <c r="B253" s="45" t="s">
        <v>604</v>
      </c>
      <c r="C253" s="46">
        <v>7.9</v>
      </c>
      <c r="D253" s="45" t="s">
        <v>600</v>
      </c>
      <c r="E253" s="47"/>
    </row>
    <row r="254" spans="1:5" ht="33.6">
      <c r="A254" s="48" t="s">
        <v>592</v>
      </c>
      <c r="B254" s="49" t="s">
        <v>593</v>
      </c>
      <c r="C254" s="50">
        <v>0</v>
      </c>
      <c r="D254" s="49" t="s">
        <v>594</v>
      </c>
      <c r="E254" s="51" t="s">
        <v>595</v>
      </c>
    </row>
    <row r="255" spans="1:5" ht="16.8">
      <c r="A255" s="44" t="s">
        <v>596</v>
      </c>
      <c r="B255" s="45" t="s">
        <v>597</v>
      </c>
      <c r="C255" s="46">
        <v>7.9</v>
      </c>
      <c r="D255" s="45" t="s">
        <v>594</v>
      </c>
      <c r="E255" s="47"/>
    </row>
    <row r="256" spans="1:5" ht="16.8">
      <c r="A256" s="44" t="s">
        <v>589</v>
      </c>
      <c r="B256" s="45" t="s">
        <v>590</v>
      </c>
      <c r="C256" s="46">
        <v>0</v>
      </c>
      <c r="D256" s="45" t="s">
        <v>591</v>
      </c>
      <c r="E256" s="47"/>
    </row>
    <row r="257" spans="1:5" ht="33.6">
      <c r="A257" s="44" t="s">
        <v>586</v>
      </c>
      <c r="B257" s="45" t="s">
        <v>587</v>
      </c>
      <c r="C257" s="46">
        <v>0</v>
      </c>
      <c r="D257" s="45" t="s">
        <v>588</v>
      </c>
      <c r="E257" s="47"/>
    </row>
    <row r="258" spans="1:5" ht="50.4">
      <c r="A258" s="44" t="s">
        <v>582</v>
      </c>
      <c r="B258" s="45" t="s">
        <v>583</v>
      </c>
      <c r="C258" s="46">
        <v>8.9</v>
      </c>
      <c r="D258" s="45" t="s">
        <v>584</v>
      </c>
      <c r="E258" s="47" t="s">
        <v>585</v>
      </c>
    </row>
    <row r="259" spans="1:5" ht="33.6">
      <c r="A259" s="48" t="s">
        <v>576</v>
      </c>
      <c r="B259" s="49" t="s">
        <v>577</v>
      </c>
      <c r="C259" s="50">
        <v>0</v>
      </c>
      <c r="D259" s="49" t="s">
        <v>578</v>
      </c>
      <c r="E259" s="51" t="s">
        <v>579</v>
      </c>
    </row>
    <row r="260" spans="1:5" ht="16.8">
      <c r="A260" s="44" t="s">
        <v>580</v>
      </c>
      <c r="B260" s="45" t="s">
        <v>581</v>
      </c>
      <c r="C260" s="46">
        <v>7.9</v>
      </c>
      <c r="D260" s="45" t="s">
        <v>578</v>
      </c>
      <c r="E260" s="47"/>
    </row>
    <row r="261" spans="1:5" ht="16.8">
      <c r="A261" s="44" t="s">
        <v>573</v>
      </c>
      <c r="B261" s="45" t="s">
        <v>574</v>
      </c>
      <c r="C261" s="46">
        <v>0</v>
      </c>
      <c r="D261" s="45" t="s">
        <v>575</v>
      </c>
      <c r="E261" s="47"/>
    </row>
    <row r="262" spans="1:5" ht="33.6">
      <c r="A262" s="44" t="s">
        <v>570</v>
      </c>
      <c r="B262" s="45" t="s">
        <v>571</v>
      </c>
      <c r="C262" s="46">
        <v>0</v>
      </c>
      <c r="D262" s="45" t="s">
        <v>572</v>
      </c>
      <c r="E262" s="47"/>
    </row>
    <row r="263" spans="1:5" ht="33.6">
      <c r="A263" s="56" t="s">
        <v>563</v>
      </c>
      <c r="B263" s="57" t="s">
        <v>564</v>
      </c>
      <c r="C263" s="58">
        <v>63</v>
      </c>
      <c r="D263" s="57" t="s">
        <v>565</v>
      </c>
      <c r="E263" s="59"/>
    </row>
    <row r="264" spans="1:5" ht="67.2">
      <c r="A264" s="56" t="s">
        <v>566</v>
      </c>
      <c r="B264" s="57" t="s">
        <v>567</v>
      </c>
      <c r="C264" s="58">
        <v>105</v>
      </c>
      <c r="D264" s="57" t="s">
        <v>565</v>
      </c>
      <c r="E264" s="59"/>
    </row>
    <row r="265" spans="1:5" ht="33.6">
      <c r="A265" s="56" t="s">
        <v>568</v>
      </c>
      <c r="B265" s="57" t="s">
        <v>569</v>
      </c>
      <c r="C265" s="58">
        <v>40</v>
      </c>
      <c r="D265" s="57" t="s">
        <v>565</v>
      </c>
      <c r="E265" s="59"/>
    </row>
    <row r="266" spans="1:5" ht="16.8">
      <c r="A266" s="44" t="s">
        <v>559</v>
      </c>
      <c r="B266" s="45" t="s">
        <v>560</v>
      </c>
      <c r="C266" s="46">
        <v>9.9</v>
      </c>
      <c r="D266" s="45" t="s">
        <v>561</v>
      </c>
      <c r="E266" s="62" t="s">
        <v>562</v>
      </c>
    </row>
    <row r="267" spans="1:5" ht="33.6">
      <c r="A267" s="44" t="s">
        <v>553</v>
      </c>
      <c r="B267" s="45" t="s">
        <v>554</v>
      </c>
      <c r="C267" s="46">
        <v>9.9</v>
      </c>
      <c r="D267" s="45" t="s">
        <v>555</v>
      </c>
      <c r="E267" s="47" t="s">
        <v>556</v>
      </c>
    </row>
    <row r="268" spans="1:5" ht="16.8">
      <c r="A268" s="44" t="s">
        <v>557</v>
      </c>
      <c r="B268" s="45" t="s">
        <v>558</v>
      </c>
      <c r="C268" s="46">
        <v>7.9</v>
      </c>
      <c r="D268" s="45" t="s">
        <v>555</v>
      </c>
      <c r="E268" s="47"/>
    </row>
    <row r="269" spans="1:5" ht="67.2">
      <c r="A269" s="44" t="s">
        <v>549</v>
      </c>
      <c r="B269" s="45" t="s">
        <v>550</v>
      </c>
      <c r="C269" s="46">
        <v>8.9</v>
      </c>
      <c r="D269" s="45" t="s">
        <v>551</v>
      </c>
      <c r="E269" s="47" t="s">
        <v>552</v>
      </c>
    </row>
    <row r="270" spans="1:5" ht="33.6">
      <c r="A270" s="48" t="s">
        <v>543</v>
      </c>
      <c r="B270" s="49" t="s">
        <v>544</v>
      </c>
      <c r="C270" s="50">
        <v>0</v>
      </c>
      <c r="D270" s="49" t="s">
        <v>545</v>
      </c>
      <c r="E270" s="51" t="s">
        <v>546</v>
      </c>
    </row>
    <row r="271" spans="1:5" ht="16.8">
      <c r="A271" s="44" t="s">
        <v>547</v>
      </c>
      <c r="B271" s="45" t="s">
        <v>548</v>
      </c>
      <c r="C271" s="46">
        <v>7.9</v>
      </c>
      <c r="D271" s="45" t="s">
        <v>545</v>
      </c>
      <c r="E271" s="47"/>
    </row>
    <row r="272" spans="1:5" ht="16.8">
      <c r="A272" s="44" t="s">
        <v>538</v>
      </c>
      <c r="B272" s="45" t="s">
        <v>539</v>
      </c>
      <c r="C272" s="46">
        <v>0</v>
      </c>
      <c r="D272" s="45" t="s">
        <v>540</v>
      </c>
      <c r="E272" s="47"/>
    </row>
    <row r="273" spans="1:5" ht="33.6">
      <c r="A273" s="44" t="s">
        <v>541</v>
      </c>
      <c r="B273" s="45" t="s">
        <v>542</v>
      </c>
      <c r="C273" s="46">
        <v>0</v>
      </c>
      <c r="D273" s="45" t="s">
        <v>540</v>
      </c>
      <c r="E273" s="47"/>
    </row>
    <row r="274" spans="1:5" ht="50.4">
      <c r="A274" s="44" t="s">
        <v>535</v>
      </c>
      <c r="B274" s="45" t="s">
        <v>536</v>
      </c>
      <c r="C274" s="46">
        <v>8.9</v>
      </c>
      <c r="D274" s="45" t="s">
        <v>537</v>
      </c>
      <c r="E274" s="47"/>
    </row>
    <row r="275" spans="1:5" ht="67.2">
      <c r="A275" s="52" t="s">
        <v>532</v>
      </c>
      <c r="B275" s="53" t="s">
        <v>533</v>
      </c>
      <c r="C275" s="54">
        <v>0</v>
      </c>
      <c r="D275" s="53" t="s">
        <v>534</v>
      </c>
      <c r="E275" s="55"/>
    </row>
    <row r="276" spans="1:5" ht="84">
      <c r="A276" s="44" t="s">
        <v>528</v>
      </c>
      <c r="B276" s="45" t="s">
        <v>529</v>
      </c>
      <c r="C276" s="46">
        <v>7.9</v>
      </c>
      <c r="D276" s="45" t="s">
        <v>530</v>
      </c>
      <c r="E276" s="62" t="s">
        <v>531</v>
      </c>
    </row>
    <row r="277" spans="1:5" ht="16.8">
      <c r="A277" s="44" t="s">
        <v>524</v>
      </c>
      <c r="B277" s="45" t="s">
        <v>525</v>
      </c>
      <c r="C277" s="46">
        <v>9.9</v>
      </c>
      <c r="D277" s="45" t="s">
        <v>526</v>
      </c>
      <c r="E277" s="47" t="s">
        <v>527</v>
      </c>
    </row>
    <row r="278" spans="1:5" ht="16.8">
      <c r="A278" s="44" t="s">
        <v>521</v>
      </c>
      <c r="B278" s="45" t="s">
        <v>522</v>
      </c>
      <c r="C278" s="46">
        <v>0</v>
      </c>
      <c r="D278" s="45" t="s">
        <v>523</v>
      </c>
      <c r="E278" s="47"/>
    </row>
    <row r="279" spans="1:5" ht="84">
      <c r="A279" s="44" t="s">
        <v>517</v>
      </c>
      <c r="B279" s="45" t="s">
        <v>518</v>
      </c>
      <c r="C279" s="46">
        <v>8.9</v>
      </c>
      <c r="D279" s="45" t="s">
        <v>519</v>
      </c>
      <c r="E279" s="47" t="s">
        <v>520</v>
      </c>
    </row>
    <row r="280" spans="1:5" ht="67.2">
      <c r="A280" s="44" t="s">
        <v>513</v>
      </c>
      <c r="B280" s="45" t="s">
        <v>514</v>
      </c>
      <c r="C280" s="46">
        <v>7.9</v>
      </c>
      <c r="D280" s="45" t="s">
        <v>515</v>
      </c>
      <c r="E280" s="47" t="s">
        <v>516</v>
      </c>
    </row>
    <row r="281" spans="1:5" ht="33.6">
      <c r="A281" s="44" t="s">
        <v>509</v>
      </c>
      <c r="B281" s="45" t="s">
        <v>510</v>
      </c>
      <c r="C281" s="46">
        <v>0</v>
      </c>
      <c r="D281" s="45" t="s">
        <v>511</v>
      </c>
      <c r="E281" s="47" t="s">
        <v>512</v>
      </c>
    </row>
    <row r="282" spans="1:5" ht="33.6">
      <c r="A282" s="48" t="s">
        <v>502</v>
      </c>
      <c r="B282" s="49" t="s">
        <v>503</v>
      </c>
      <c r="C282" s="50">
        <v>0</v>
      </c>
      <c r="D282" s="49" t="s">
        <v>504</v>
      </c>
      <c r="E282" s="51" t="s">
        <v>505</v>
      </c>
    </row>
    <row r="283" spans="1:5" ht="67.2">
      <c r="A283" s="44" t="s">
        <v>506</v>
      </c>
      <c r="B283" s="45" t="s">
        <v>507</v>
      </c>
      <c r="C283" s="46">
        <v>7.9</v>
      </c>
      <c r="D283" s="45" t="s">
        <v>504</v>
      </c>
      <c r="E283" s="62" t="s">
        <v>508</v>
      </c>
    </row>
    <row r="284" spans="1:5" ht="67.2">
      <c r="A284" s="44" t="s">
        <v>498</v>
      </c>
      <c r="B284" s="45" t="s">
        <v>499</v>
      </c>
      <c r="C284" s="46">
        <v>8.9</v>
      </c>
      <c r="D284" s="45" t="s">
        <v>500</v>
      </c>
      <c r="E284" s="62" t="s">
        <v>501</v>
      </c>
    </row>
    <row r="285" spans="1:5" ht="67.2">
      <c r="A285" s="44" t="s">
        <v>494</v>
      </c>
      <c r="B285" s="45" t="s">
        <v>495</v>
      </c>
      <c r="C285" s="46">
        <v>7.9</v>
      </c>
      <c r="D285" s="45" t="s">
        <v>496</v>
      </c>
      <c r="E285" s="62" t="s">
        <v>497</v>
      </c>
    </row>
    <row r="286" spans="1:5" ht="16.8">
      <c r="A286" s="44" t="s">
        <v>490</v>
      </c>
      <c r="B286" s="45" t="s">
        <v>491</v>
      </c>
      <c r="C286" s="46">
        <v>9.9</v>
      </c>
      <c r="D286" s="45" t="s">
        <v>492</v>
      </c>
      <c r="E286" s="47" t="s">
        <v>493</v>
      </c>
    </row>
    <row r="287" spans="1:5" ht="16.8">
      <c r="A287" s="63" t="s">
        <v>484</v>
      </c>
      <c r="B287" s="45" t="s">
        <v>485</v>
      </c>
      <c r="C287" s="46">
        <v>0</v>
      </c>
      <c r="D287" s="45" t="s">
        <v>486</v>
      </c>
      <c r="E287" s="47"/>
    </row>
    <row r="288" spans="1:5" ht="33.6">
      <c r="A288" s="44" t="s">
        <v>487</v>
      </c>
      <c r="B288" s="45" t="s">
        <v>488</v>
      </c>
      <c r="C288" s="46">
        <v>7.9</v>
      </c>
      <c r="D288" s="45" t="s">
        <v>486</v>
      </c>
      <c r="E288" s="62" t="s">
        <v>489</v>
      </c>
    </row>
    <row r="289" spans="1:5" ht="50.4">
      <c r="A289" s="44" t="s">
        <v>480</v>
      </c>
      <c r="B289" s="45" t="s">
        <v>481</v>
      </c>
      <c r="C289" s="46">
        <v>8.9</v>
      </c>
      <c r="D289" s="45" t="s">
        <v>482</v>
      </c>
      <c r="E289" s="62" t="s">
        <v>483</v>
      </c>
    </row>
    <row r="290" spans="1:5" ht="33.6">
      <c r="A290" s="60" t="s">
        <v>476</v>
      </c>
      <c r="B290" s="45" t="s">
        <v>477</v>
      </c>
      <c r="C290" s="46">
        <v>9.9</v>
      </c>
      <c r="D290" s="45" t="s">
        <v>478</v>
      </c>
      <c r="E290" s="47" t="s">
        <v>479</v>
      </c>
    </row>
    <row r="291" spans="1:5" ht="50.4">
      <c r="A291" s="44" t="s">
        <v>472</v>
      </c>
      <c r="B291" s="45" t="s">
        <v>473</v>
      </c>
      <c r="C291" s="46">
        <v>7.9</v>
      </c>
      <c r="D291" s="45" t="s">
        <v>474</v>
      </c>
      <c r="E291" s="47" t="s">
        <v>475</v>
      </c>
    </row>
    <row r="292" spans="1:5" ht="67.2">
      <c r="A292" s="44" t="s">
        <v>469</v>
      </c>
      <c r="B292" s="45" t="s">
        <v>470</v>
      </c>
      <c r="C292" s="46">
        <v>10.9</v>
      </c>
      <c r="D292" s="45" t="s">
        <v>471</v>
      </c>
      <c r="E292" s="47"/>
    </row>
    <row r="293" spans="1:5" ht="33.6">
      <c r="A293" s="60" t="s">
        <v>465</v>
      </c>
      <c r="B293" s="45" t="s">
        <v>466</v>
      </c>
      <c r="C293" s="46">
        <v>29.9</v>
      </c>
      <c r="D293" s="45" t="s">
        <v>467</v>
      </c>
      <c r="E293" s="47" t="s">
        <v>468</v>
      </c>
    </row>
    <row r="294" spans="1:5" ht="33.6">
      <c r="A294" s="44" t="s">
        <v>461</v>
      </c>
      <c r="B294" s="45" t="s">
        <v>462</v>
      </c>
      <c r="C294" s="46">
        <v>7.9</v>
      </c>
      <c r="D294" s="45" t="s">
        <v>463</v>
      </c>
      <c r="E294" s="47" t="s">
        <v>464</v>
      </c>
    </row>
    <row r="295" spans="1:5" ht="16.8">
      <c r="A295" s="61" t="s">
        <v>457</v>
      </c>
      <c r="B295" s="45" t="s">
        <v>458</v>
      </c>
      <c r="C295" s="46">
        <v>9.9</v>
      </c>
      <c r="D295" s="45" t="s">
        <v>459</v>
      </c>
      <c r="E295" s="62" t="s">
        <v>460</v>
      </c>
    </row>
    <row r="296" spans="1:5" ht="33.6">
      <c r="A296" s="44" t="s">
        <v>453</v>
      </c>
      <c r="B296" s="45" t="s">
        <v>454</v>
      </c>
      <c r="C296" s="46">
        <v>8.9</v>
      </c>
      <c r="D296" s="45" t="s">
        <v>455</v>
      </c>
      <c r="E296" s="47" t="s">
        <v>456</v>
      </c>
    </row>
    <row r="297" spans="1:5" ht="16.8">
      <c r="A297" s="60" t="s">
        <v>450</v>
      </c>
      <c r="B297" s="45" t="s">
        <v>451</v>
      </c>
      <c r="C297" s="46">
        <v>7.9</v>
      </c>
      <c r="D297" s="45" t="s">
        <v>452</v>
      </c>
      <c r="E297" s="47"/>
    </row>
    <row r="298" spans="1:5" ht="33.6">
      <c r="A298" s="44" t="s">
        <v>446</v>
      </c>
      <c r="B298" s="45" t="s">
        <v>447</v>
      </c>
      <c r="C298" s="46">
        <v>7.9</v>
      </c>
      <c r="D298" s="45" t="s">
        <v>448</v>
      </c>
      <c r="E298" s="47" t="s">
        <v>449</v>
      </c>
    </row>
    <row r="299" spans="1:5" ht="33.6">
      <c r="A299" s="44" t="s">
        <v>442</v>
      </c>
      <c r="B299" s="45" t="s">
        <v>443</v>
      </c>
      <c r="C299" s="46">
        <v>8.9</v>
      </c>
      <c r="D299" s="45" t="s">
        <v>444</v>
      </c>
      <c r="E299" s="47" t="s">
        <v>445</v>
      </c>
    </row>
    <row r="300" spans="1:5" ht="33.6">
      <c r="A300" s="60" t="s">
        <v>438</v>
      </c>
      <c r="B300" s="45" t="s">
        <v>439</v>
      </c>
      <c r="C300" s="46">
        <v>9.9</v>
      </c>
      <c r="D300" s="45" t="s">
        <v>440</v>
      </c>
      <c r="E300" s="47" t="s">
        <v>441</v>
      </c>
    </row>
    <row r="301" spans="1:5" ht="33.6">
      <c r="A301" s="44" t="s">
        <v>434</v>
      </c>
      <c r="B301" s="45" t="s">
        <v>435</v>
      </c>
      <c r="C301" s="46">
        <v>0</v>
      </c>
      <c r="D301" s="45" t="s">
        <v>436</v>
      </c>
      <c r="E301" s="47" t="s">
        <v>437</v>
      </c>
    </row>
    <row r="302" spans="1:5" ht="16.8">
      <c r="A302" s="52" t="s">
        <v>431</v>
      </c>
      <c r="B302" s="53" t="s">
        <v>432</v>
      </c>
      <c r="C302" s="54">
        <v>7.9</v>
      </c>
      <c r="D302" s="53" t="s">
        <v>433</v>
      </c>
      <c r="E302" s="55"/>
    </row>
    <row r="303" spans="1:5" ht="16.8">
      <c r="A303" s="52" t="s">
        <v>428</v>
      </c>
      <c r="B303" s="53" t="s">
        <v>429</v>
      </c>
      <c r="C303" s="54">
        <v>7.9</v>
      </c>
      <c r="D303" s="53" t="s">
        <v>430</v>
      </c>
      <c r="E303" s="55"/>
    </row>
    <row r="304" spans="1:5" ht="16.8">
      <c r="A304" s="52" t="s">
        <v>425</v>
      </c>
      <c r="B304" s="53" t="s">
        <v>426</v>
      </c>
      <c r="C304" s="54">
        <v>8.9</v>
      </c>
      <c r="D304" s="53" t="s">
        <v>427</v>
      </c>
      <c r="E304" s="55"/>
    </row>
    <row r="305" spans="1:5" ht="16.8">
      <c r="A305" s="52" t="s">
        <v>422</v>
      </c>
      <c r="B305" s="53" t="s">
        <v>423</v>
      </c>
      <c r="C305" s="54">
        <v>7.9</v>
      </c>
      <c r="D305" s="53" t="s">
        <v>424</v>
      </c>
      <c r="E305" s="55"/>
    </row>
    <row r="306" spans="1:5" ht="16.8">
      <c r="A306" s="52" t="s">
        <v>419</v>
      </c>
      <c r="B306" s="53" t="s">
        <v>420</v>
      </c>
      <c r="C306" s="54">
        <v>7.9</v>
      </c>
      <c r="D306" s="53" t="s">
        <v>421</v>
      </c>
      <c r="E306" s="55"/>
    </row>
    <row r="307" spans="1:5" ht="16.8">
      <c r="A307" s="52" t="s">
        <v>416</v>
      </c>
      <c r="B307" s="53" t="s">
        <v>417</v>
      </c>
      <c r="C307" s="54">
        <v>8.9</v>
      </c>
      <c r="D307" s="53" t="s">
        <v>418</v>
      </c>
      <c r="E307" s="55"/>
    </row>
    <row r="308" spans="1:5" ht="16.8">
      <c r="A308" s="52" t="s">
        <v>413</v>
      </c>
      <c r="B308" s="53" t="s">
        <v>414</v>
      </c>
      <c r="C308" s="54">
        <v>7.9</v>
      </c>
      <c r="D308" s="53" t="s">
        <v>415</v>
      </c>
      <c r="E308" s="55"/>
    </row>
    <row r="309" spans="1:5" ht="16.8">
      <c r="A309" s="52" t="s">
        <v>410</v>
      </c>
      <c r="B309" s="53" t="s">
        <v>411</v>
      </c>
      <c r="C309" s="54">
        <v>7.9</v>
      </c>
      <c r="D309" s="53" t="s">
        <v>412</v>
      </c>
      <c r="E309" s="55"/>
    </row>
    <row r="310" spans="1:5" ht="16.8">
      <c r="A310" s="52" t="s">
        <v>407</v>
      </c>
      <c r="B310" s="53" t="s">
        <v>408</v>
      </c>
      <c r="C310" s="54">
        <v>8.9</v>
      </c>
      <c r="D310" s="53" t="s">
        <v>409</v>
      </c>
      <c r="E310" s="55"/>
    </row>
    <row r="311" spans="1:5" ht="16.8">
      <c r="A311" s="52" t="s">
        <v>404</v>
      </c>
      <c r="B311" s="53" t="s">
        <v>405</v>
      </c>
      <c r="C311" s="54">
        <v>7.9</v>
      </c>
      <c r="D311" s="53" t="s">
        <v>406</v>
      </c>
      <c r="E311" s="55"/>
    </row>
    <row r="312" spans="1:5" ht="16.8">
      <c r="A312" s="52" t="s">
        <v>401</v>
      </c>
      <c r="B312" s="53" t="s">
        <v>402</v>
      </c>
      <c r="C312" s="54">
        <v>7.9</v>
      </c>
      <c r="D312" s="53" t="s">
        <v>403</v>
      </c>
      <c r="E312" s="55"/>
    </row>
    <row r="313" spans="1:5" ht="16.8">
      <c r="A313" s="52" t="s">
        <v>398</v>
      </c>
      <c r="B313" s="53" t="s">
        <v>399</v>
      </c>
      <c r="C313" s="54">
        <v>8.9</v>
      </c>
      <c r="D313" s="53" t="s">
        <v>400</v>
      </c>
      <c r="E313" s="55"/>
    </row>
    <row r="314" spans="1:5" ht="16.8">
      <c r="A314" s="52" t="s">
        <v>395</v>
      </c>
      <c r="B314" s="53" t="s">
        <v>396</v>
      </c>
      <c r="C314" s="54">
        <v>7.9</v>
      </c>
      <c r="D314" s="53" t="s">
        <v>397</v>
      </c>
      <c r="E314" s="55"/>
    </row>
    <row r="315" spans="1:5" ht="16.8">
      <c r="A315" s="52" t="s">
        <v>392</v>
      </c>
      <c r="B315" s="53" t="s">
        <v>393</v>
      </c>
      <c r="C315" s="54">
        <v>7.9</v>
      </c>
      <c r="D315" s="53" t="s">
        <v>394</v>
      </c>
      <c r="E315" s="55"/>
    </row>
    <row r="316" spans="1:5" ht="16.8">
      <c r="A316" s="52" t="s">
        <v>389</v>
      </c>
      <c r="B316" s="53" t="s">
        <v>390</v>
      </c>
      <c r="C316" s="54">
        <v>8.9</v>
      </c>
      <c r="D316" s="53" t="s">
        <v>391</v>
      </c>
      <c r="E316" s="55"/>
    </row>
    <row r="317" spans="1:5" ht="16.8">
      <c r="A317" s="52" t="s">
        <v>386</v>
      </c>
      <c r="B317" s="53" t="s">
        <v>387</v>
      </c>
      <c r="C317" s="54">
        <v>7.9</v>
      </c>
      <c r="D317" s="53" t="s">
        <v>388</v>
      </c>
      <c r="E317" s="55"/>
    </row>
    <row r="318" spans="1:5" ht="16.8">
      <c r="A318" s="52" t="s">
        <v>383</v>
      </c>
      <c r="B318" s="53" t="s">
        <v>384</v>
      </c>
      <c r="C318" s="54">
        <v>7.9</v>
      </c>
      <c r="D318" s="53" t="s">
        <v>385</v>
      </c>
      <c r="E318" s="55"/>
    </row>
    <row r="319" spans="1:5" ht="16.8">
      <c r="A319" s="52" t="s">
        <v>380</v>
      </c>
      <c r="B319" s="53" t="s">
        <v>381</v>
      </c>
      <c r="C319" s="54">
        <v>8.9</v>
      </c>
      <c r="D319" s="53" t="s">
        <v>382</v>
      </c>
      <c r="E319" s="55"/>
    </row>
    <row r="320" spans="1:5" ht="16.8">
      <c r="A320" s="52" t="s">
        <v>377</v>
      </c>
      <c r="B320" s="53" t="s">
        <v>378</v>
      </c>
      <c r="C320" s="54">
        <v>7.9</v>
      </c>
      <c r="D320" s="53" t="s">
        <v>379</v>
      </c>
      <c r="E320" s="55"/>
    </row>
    <row r="321" spans="1:5" ht="16.8">
      <c r="A321" s="52" t="s">
        <v>374</v>
      </c>
      <c r="B321" s="53" t="s">
        <v>375</v>
      </c>
      <c r="C321" s="54">
        <v>7.9</v>
      </c>
      <c r="D321" s="53" t="s">
        <v>376</v>
      </c>
      <c r="E321" s="55"/>
    </row>
    <row r="322" spans="1:5" ht="16.8">
      <c r="A322" s="52" t="s">
        <v>371</v>
      </c>
      <c r="B322" s="53" t="s">
        <v>372</v>
      </c>
      <c r="C322" s="54">
        <v>8.9</v>
      </c>
      <c r="D322" s="53" t="s">
        <v>373</v>
      </c>
      <c r="E322" s="55"/>
    </row>
    <row r="323" spans="1:5" ht="16.8">
      <c r="A323" s="52" t="s">
        <v>368</v>
      </c>
      <c r="B323" s="53" t="s">
        <v>369</v>
      </c>
      <c r="C323" s="54">
        <v>7.9</v>
      </c>
      <c r="D323" s="53" t="s">
        <v>370</v>
      </c>
      <c r="E323" s="55"/>
    </row>
    <row r="324" spans="1:5" ht="16.8">
      <c r="A324" s="52" t="s">
        <v>365</v>
      </c>
      <c r="B324" s="53" t="s">
        <v>366</v>
      </c>
      <c r="C324" s="54">
        <v>7.9</v>
      </c>
      <c r="D324" s="53" t="s">
        <v>367</v>
      </c>
      <c r="E324" s="55"/>
    </row>
    <row r="325" spans="1:5" ht="16.8">
      <c r="A325" s="52" t="s">
        <v>362</v>
      </c>
      <c r="B325" s="53" t="s">
        <v>363</v>
      </c>
      <c r="C325" s="54">
        <v>8.9</v>
      </c>
      <c r="D325" s="53" t="s">
        <v>364</v>
      </c>
      <c r="E325" s="55"/>
    </row>
    <row r="326" spans="1:5" ht="16.8">
      <c r="A326" s="52" t="s">
        <v>359</v>
      </c>
      <c r="B326" s="53" t="s">
        <v>360</v>
      </c>
      <c r="C326" s="54">
        <v>7.9</v>
      </c>
      <c r="D326" s="53" t="s">
        <v>361</v>
      </c>
      <c r="E326" s="55"/>
    </row>
    <row r="327" spans="1:5" ht="16.8">
      <c r="A327" s="52" t="s">
        <v>356</v>
      </c>
      <c r="B327" s="53" t="s">
        <v>357</v>
      </c>
      <c r="C327" s="54">
        <v>7.9</v>
      </c>
      <c r="D327" s="53" t="s">
        <v>358</v>
      </c>
      <c r="E327" s="55"/>
    </row>
    <row r="328" spans="1:5" ht="16.8">
      <c r="A328" s="52" t="s">
        <v>353</v>
      </c>
      <c r="B328" s="53" t="s">
        <v>354</v>
      </c>
      <c r="C328" s="54">
        <v>8.9</v>
      </c>
      <c r="D328" s="53" t="s">
        <v>355</v>
      </c>
      <c r="E328" s="55"/>
    </row>
    <row r="329" spans="1:5" ht="16.8">
      <c r="A329" s="52" t="s">
        <v>350</v>
      </c>
      <c r="B329" s="53" t="s">
        <v>351</v>
      </c>
      <c r="C329" s="54">
        <v>7.9</v>
      </c>
      <c r="D329" s="53" t="s">
        <v>352</v>
      </c>
      <c r="E329" s="55"/>
    </row>
    <row r="330" spans="1:5" ht="16.8">
      <c r="A330" s="52" t="s">
        <v>347</v>
      </c>
      <c r="B330" s="53" t="s">
        <v>348</v>
      </c>
      <c r="C330" s="54">
        <v>7.9</v>
      </c>
      <c r="D330" s="53" t="s">
        <v>349</v>
      </c>
      <c r="E330" s="55"/>
    </row>
    <row r="331" spans="1:5" ht="16.8">
      <c r="A331" s="52" t="s">
        <v>344</v>
      </c>
      <c r="B331" s="53" t="s">
        <v>345</v>
      </c>
      <c r="C331" s="54">
        <v>8.9</v>
      </c>
      <c r="D331" s="53" t="s">
        <v>346</v>
      </c>
      <c r="E331" s="55"/>
    </row>
    <row r="332" spans="1:5" ht="16.8">
      <c r="A332" s="52" t="s">
        <v>341</v>
      </c>
      <c r="B332" s="53" t="s">
        <v>342</v>
      </c>
      <c r="C332" s="54">
        <v>7.9</v>
      </c>
      <c r="D332" s="53" t="s">
        <v>343</v>
      </c>
      <c r="E332" s="55"/>
    </row>
    <row r="333" spans="1:5" ht="16.8">
      <c r="A333" s="52" t="s">
        <v>338</v>
      </c>
      <c r="B333" s="53" t="s">
        <v>339</v>
      </c>
      <c r="C333" s="54">
        <v>7.9</v>
      </c>
      <c r="D333" s="53" t="s">
        <v>340</v>
      </c>
      <c r="E333" s="55"/>
    </row>
    <row r="334" spans="1:5" ht="16.8">
      <c r="A334" s="52" t="s">
        <v>335</v>
      </c>
      <c r="B334" s="53" t="s">
        <v>336</v>
      </c>
      <c r="C334" s="54">
        <v>8.9</v>
      </c>
      <c r="D334" s="53" t="s">
        <v>337</v>
      </c>
      <c r="E334" s="55"/>
    </row>
  </sheetData>
  <sortState xmlns:xlrd2="http://schemas.microsoft.com/office/spreadsheetml/2017/richdata2" ref="A2:E334">
    <sortCondition ref="D2"/>
  </sortState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Arkusz21">
    <tabColor rgb="FF1E73BE"/>
  </sheetPr>
  <dimension ref="A1:E334"/>
  <sheetViews>
    <sheetView workbookViewId="0"/>
  </sheetViews>
  <sheetFormatPr defaultRowHeight="14.4"/>
  <cols>
    <col min="1" max="1" width="25.5546875" style="37" customWidth="1"/>
    <col min="2" max="2" width="7.5546875" style="37" customWidth="1"/>
    <col min="3" max="3" width="9" style="37" bestFit="1" customWidth="1"/>
    <col min="4" max="4" width="14.109375" style="37" bestFit="1" customWidth="1"/>
    <col min="5" max="5" width="24.6640625" style="37" customWidth="1"/>
    <col min="6" max="16384" width="8.88671875" style="37"/>
  </cols>
  <sheetData>
    <row r="1" spans="1:5">
      <c r="A1" s="41" t="s">
        <v>1304</v>
      </c>
      <c r="B1" s="41" t="s">
        <v>203</v>
      </c>
      <c r="C1" s="41" t="s">
        <v>16</v>
      </c>
      <c r="D1" s="41" t="s">
        <v>333</v>
      </c>
      <c r="E1" s="41" t="s">
        <v>1305</v>
      </c>
    </row>
    <row r="2" spans="1:5" ht="16.8">
      <c r="A2" s="44" t="s">
        <v>1300</v>
      </c>
      <c r="B2" s="45" t="s">
        <v>1301</v>
      </c>
      <c r="C2" s="46">
        <v>9.9</v>
      </c>
      <c r="D2" s="45">
        <v>38427</v>
      </c>
      <c r="E2" s="47" t="s">
        <v>1303</v>
      </c>
    </row>
    <row r="3" spans="1:5" ht="16.8">
      <c r="A3" s="44" t="s">
        <v>1297</v>
      </c>
      <c r="B3" s="45" t="s">
        <v>1298</v>
      </c>
      <c r="C3" s="46">
        <v>9.9</v>
      </c>
      <c r="D3" s="45">
        <v>38991</v>
      </c>
      <c r="E3" s="47" t="s">
        <v>1556</v>
      </c>
    </row>
    <row r="4" spans="1:5" ht="16.8">
      <c r="A4" s="44" t="s">
        <v>1294</v>
      </c>
      <c r="B4" s="45" t="s">
        <v>1295</v>
      </c>
      <c r="C4" s="46">
        <v>6.9</v>
      </c>
      <c r="D4" s="45">
        <v>39162</v>
      </c>
      <c r="E4" s="47" t="s">
        <v>1557</v>
      </c>
    </row>
    <row r="5" spans="1:5" ht="16.8">
      <c r="A5" s="44" t="s">
        <v>1290</v>
      </c>
      <c r="B5" s="45" t="s">
        <v>1291</v>
      </c>
      <c r="C5" s="46">
        <v>9.9</v>
      </c>
      <c r="D5" s="45">
        <v>39351</v>
      </c>
      <c r="E5" s="47" t="s">
        <v>1293</v>
      </c>
    </row>
    <row r="6" spans="1:5" ht="16.8">
      <c r="A6" s="44" t="s">
        <v>1286</v>
      </c>
      <c r="B6" s="45" t="s">
        <v>1287</v>
      </c>
      <c r="C6" s="46">
        <v>9.9</v>
      </c>
      <c r="D6" s="45">
        <v>39692</v>
      </c>
      <c r="E6" s="47" t="s">
        <v>1289</v>
      </c>
    </row>
    <row r="7" spans="1:5" ht="33.6">
      <c r="A7" s="44" t="s">
        <v>1282</v>
      </c>
      <c r="B7" s="45" t="s">
        <v>1283</v>
      </c>
      <c r="C7" s="46">
        <v>9.9</v>
      </c>
      <c r="D7" s="45">
        <v>39790</v>
      </c>
      <c r="E7" s="47" t="s">
        <v>1555</v>
      </c>
    </row>
    <row r="8" spans="1:5" ht="16.8">
      <c r="A8" s="48" t="s">
        <v>1280</v>
      </c>
      <c r="B8" s="49"/>
      <c r="C8" s="50">
        <v>0</v>
      </c>
      <c r="D8" s="49">
        <v>40114</v>
      </c>
      <c r="E8" s="51"/>
    </row>
    <row r="9" spans="1:5" ht="50.4">
      <c r="A9" s="44" t="s">
        <v>1277</v>
      </c>
      <c r="B9" s="45" t="s">
        <v>1278</v>
      </c>
      <c r="C9" s="46">
        <v>9.9</v>
      </c>
      <c r="D9" s="45">
        <v>40163</v>
      </c>
      <c r="E9" s="47" t="s">
        <v>1276</v>
      </c>
    </row>
    <row r="10" spans="1:5" ht="50.4">
      <c r="A10" s="44" t="s">
        <v>1273</v>
      </c>
      <c r="B10" s="45" t="s">
        <v>1274</v>
      </c>
      <c r="C10" s="46">
        <v>14.9</v>
      </c>
      <c r="D10" s="45">
        <v>40380</v>
      </c>
      <c r="E10" s="47" t="s">
        <v>1276</v>
      </c>
    </row>
    <row r="11" spans="1:5" ht="33.6">
      <c r="A11" s="44" t="s">
        <v>1270</v>
      </c>
      <c r="B11" s="45" t="s">
        <v>1271</v>
      </c>
      <c r="C11" s="46">
        <v>9.9</v>
      </c>
      <c r="D11" s="45">
        <v>40457</v>
      </c>
      <c r="E11" s="47" t="s">
        <v>1535</v>
      </c>
    </row>
    <row r="12" spans="1:5" ht="16.8">
      <c r="A12" s="48" t="s">
        <v>1268</v>
      </c>
      <c r="B12" s="49"/>
      <c r="C12" s="50">
        <v>0</v>
      </c>
      <c r="D12" s="49">
        <v>40513</v>
      </c>
      <c r="E12" s="51"/>
    </row>
    <row r="13" spans="1:5" ht="16.8">
      <c r="A13" s="48" t="s">
        <v>1266</v>
      </c>
      <c r="B13" s="49"/>
      <c r="C13" s="50">
        <v>0</v>
      </c>
      <c r="D13" s="49">
        <v>40522</v>
      </c>
      <c r="E13" s="51"/>
    </row>
    <row r="14" spans="1:5" ht="50.4">
      <c r="A14" s="44" t="s">
        <v>1263</v>
      </c>
      <c r="B14" s="45" t="s">
        <v>1264</v>
      </c>
      <c r="C14" s="46">
        <v>9.9</v>
      </c>
      <c r="D14" s="45">
        <v>40583</v>
      </c>
      <c r="E14" s="47" t="s">
        <v>942</v>
      </c>
    </row>
    <row r="15" spans="1:5" ht="16.8">
      <c r="A15" s="52" t="s">
        <v>1260</v>
      </c>
      <c r="B15" s="53" t="s">
        <v>1261</v>
      </c>
      <c r="C15" s="54">
        <v>9.9</v>
      </c>
      <c r="D15" s="53">
        <v>40603</v>
      </c>
      <c r="E15" s="55"/>
    </row>
    <row r="16" spans="1:5" ht="50.4">
      <c r="A16" s="44" t="s">
        <v>1553</v>
      </c>
      <c r="B16" s="45" t="s">
        <v>1257</v>
      </c>
      <c r="C16" s="46">
        <v>14.99</v>
      </c>
      <c r="D16" s="45">
        <v>40618</v>
      </c>
      <c r="E16" s="47" t="s">
        <v>1554</v>
      </c>
    </row>
    <row r="17" spans="1:5" ht="67.2">
      <c r="A17" s="44" t="s">
        <v>1551</v>
      </c>
      <c r="B17" s="45" t="s">
        <v>1253</v>
      </c>
      <c r="C17" s="46">
        <v>14.99</v>
      </c>
      <c r="D17" s="45">
        <v>40701</v>
      </c>
      <c r="E17" s="47" t="s">
        <v>1552</v>
      </c>
    </row>
    <row r="18" spans="1:5" ht="50.4">
      <c r="A18" s="44" t="s">
        <v>1549</v>
      </c>
      <c r="B18" s="45" t="s">
        <v>1249</v>
      </c>
      <c r="C18" s="46">
        <v>14.99</v>
      </c>
      <c r="D18" s="45">
        <v>40800</v>
      </c>
      <c r="E18" s="47" t="s">
        <v>1550</v>
      </c>
    </row>
    <row r="19" spans="1:5" ht="33.6">
      <c r="A19" s="44" t="s">
        <v>1547</v>
      </c>
      <c r="B19" s="45" t="s">
        <v>1245</v>
      </c>
      <c r="C19" s="46">
        <v>14.99</v>
      </c>
      <c r="D19" s="45">
        <v>40861</v>
      </c>
      <c r="E19" s="47" t="s">
        <v>1548</v>
      </c>
    </row>
    <row r="20" spans="1:5" ht="33.6">
      <c r="A20" s="52" t="s">
        <v>1241</v>
      </c>
      <c r="B20" s="53" t="s">
        <v>1242</v>
      </c>
      <c r="C20" s="54">
        <v>14.9</v>
      </c>
      <c r="D20" s="53">
        <v>40876</v>
      </c>
      <c r="E20" s="55"/>
    </row>
    <row r="21" spans="1:5" ht="67.2">
      <c r="A21" s="44" t="s">
        <v>1237</v>
      </c>
      <c r="B21" s="45" t="s">
        <v>1238</v>
      </c>
      <c r="C21" s="46">
        <v>9.9</v>
      </c>
      <c r="D21" s="45">
        <v>40891</v>
      </c>
      <c r="E21" s="47" t="s">
        <v>1546</v>
      </c>
    </row>
    <row r="22" spans="1:5" ht="16.8">
      <c r="A22" s="44" t="s">
        <v>1233</v>
      </c>
      <c r="B22" s="45" t="s">
        <v>1234</v>
      </c>
      <c r="C22" s="46">
        <v>9.9</v>
      </c>
      <c r="D22" s="45">
        <v>40947</v>
      </c>
      <c r="E22" s="47" t="s">
        <v>1236</v>
      </c>
    </row>
    <row r="23" spans="1:5" ht="33.6">
      <c r="A23" s="44" t="s">
        <v>1544</v>
      </c>
      <c r="B23" s="45" t="s">
        <v>1230</v>
      </c>
      <c r="C23" s="46">
        <v>14.9</v>
      </c>
      <c r="D23" s="45">
        <v>40996</v>
      </c>
      <c r="E23" s="47" t="s">
        <v>1545</v>
      </c>
    </row>
    <row r="24" spans="1:5" ht="84">
      <c r="A24" s="44" t="s">
        <v>1225</v>
      </c>
      <c r="B24" s="45" t="s">
        <v>1226</v>
      </c>
      <c r="C24" s="46">
        <v>9.9</v>
      </c>
      <c r="D24" s="45">
        <v>41010</v>
      </c>
      <c r="E24" s="47" t="s">
        <v>1543</v>
      </c>
    </row>
    <row r="25" spans="1:5" ht="16.8">
      <c r="A25" s="52" t="s">
        <v>1542</v>
      </c>
      <c r="B25" s="53" t="s">
        <v>1223</v>
      </c>
      <c r="C25" s="54">
        <v>0</v>
      </c>
      <c r="D25" s="53">
        <v>41052</v>
      </c>
      <c r="E25" s="55"/>
    </row>
    <row r="26" spans="1:5" ht="16.8">
      <c r="A26" s="52" t="s">
        <v>1541</v>
      </c>
      <c r="B26" s="53" t="s">
        <v>1220</v>
      </c>
      <c r="C26" s="54">
        <v>0</v>
      </c>
      <c r="D26" s="53">
        <v>41064</v>
      </c>
      <c r="E26" s="55"/>
    </row>
    <row r="27" spans="1:5" ht="16.8">
      <c r="A27" s="52" t="s">
        <v>1216</v>
      </c>
      <c r="B27" s="53" t="s">
        <v>1217</v>
      </c>
      <c r="C27" s="54">
        <v>0</v>
      </c>
      <c r="D27" s="53">
        <v>41072</v>
      </c>
      <c r="E27" s="55"/>
    </row>
    <row r="28" spans="1:5" ht="16.8">
      <c r="A28" s="52" t="s">
        <v>1540</v>
      </c>
      <c r="B28" s="53" t="s">
        <v>1214</v>
      </c>
      <c r="C28" s="54">
        <v>0</v>
      </c>
      <c r="D28" s="53">
        <v>41080</v>
      </c>
      <c r="E28" s="55"/>
    </row>
    <row r="29" spans="1:5" ht="16.8">
      <c r="A29" s="44" t="s">
        <v>1539</v>
      </c>
      <c r="B29" s="45" t="s">
        <v>1211</v>
      </c>
      <c r="C29" s="46">
        <v>7.9</v>
      </c>
      <c r="D29" s="45">
        <v>41092</v>
      </c>
      <c r="E29" s="47"/>
    </row>
    <row r="30" spans="1:5" ht="33.6">
      <c r="A30" s="44" t="s">
        <v>1206</v>
      </c>
      <c r="B30" s="45" t="s">
        <v>1207</v>
      </c>
      <c r="C30" s="46">
        <v>9.9</v>
      </c>
      <c r="D30" s="45">
        <v>41101</v>
      </c>
      <c r="E30" s="47" t="s">
        <v>1538</v>
      </c>
    </row>
    <row r="31" spans="1:5" ht="16.8">
      <c r="A31" s="44" t="s">
        <v>1537</v>
      </c>
      <c r="B31" s="45" t="s">
        <v>1204</v>
      </c>
      <c r="C31" s="46">
        <v>7.9</v>
      </c>
      <c r="D31" s="45">
        <v>41127</v>
      </c>
      <c r="E31" s="47"/>
    </row>
    <row r="32" spans="1:5" ht="16.8">
      <c r="A32" s="52" t="s">
        <v>1200</v>
      </c>
      <c r="B32" s="53" t="s">
        <v>1201</v>
      </c>
      <c r="C32" s="54">
        <v>0</v>
      </c>
      <c r="D32" s="53">
        <v>41135</v>
      </c>
      <c r="E32" s="55"/>
    </row>
    <row r="33" spans="1:5" ht="16.8">
      <c r="A33" s="52" t="s">
        <v>1536</v>
      </c>
      <c r="B33" s="53" t="s">
        <v>1198</v>
      </c>
      <c r="C33" s="54">
        <v>0</v>
      </c>
      <c r="D33" s="53">
        <v>41143</v>
      </c>
      <c r="E33" s="55"/>
    </row>
    <row r="34" spans="1:5" ht="33.6">
      <c r="A34" s="44" t="s">
        <v>1193</v>
      </c>
      <c r="B34" s="45" t="s">
        <v>1194</v>
      </c>
      <c r="C34" s="46">
        <v>9.9</v>
      </c>
      <c r="D34" s="45">
        <v>41150</v>
      </c>
      <c r="E34" s="47" t="s">
        <v>1535</v>
      </c>
    </row>
    <row r="35" spans="1:5" ht="16.8">
      <c r="A35" s="44" t="s">
        <v>1534</v>
      </c>
      <c r="B35" s="45" t="s">
        <v>1191</v>
      </c>
      <c r="C35" s="46">
        <v>7.9</v>
      </c>
      <c r="D35" s="45">
        <v>41155</v>
      </c>
      <c r="E35" s="47"/>
    </row>
    <row r="36" spans="1:5" ht="16.8">
      <c r="A36" s="44" t="s">
        <v>1533</v>
      </c>
      <c r="B36" s="45" t="s">
        <v>1188</v>
      </c>
      <c r="C36" s="46">
        <v>8.9</v>
      </c>
      <c r="D36" s="45">
        <v>41171</v>
      </c>
      <c r="E36" s="47"/>
    </row>
    <row r="37" spans="1:5" ht="16.8">
      <c r="A37" s="44" t="s">
        <v>1532</v>
      </c>
      <c r="B37" s="45" t="s">
        <v>1185</v>
      </c>
      <c r="C37" s="46">
        <v>7.9</v>
      </c>
      <c r="D37" s="45">
        <v>41183</v>
      </c>
      <c r="E37" s="47"/>
    </row>
    <row r="38" spans="1:5" ht="16.8">
      <c r="A38" s="44" t="s">
        <v>1531</v>
      </c>
      <c r="B38" s="45" t="s">
        <v>1182</v>
      </c>
      <c r="C38" s="46">
        <v>8.9</v>
      </c>
      <c r="D38" s="45">
        <v>41199</v>
      </c>
      <c r="E38" s="47"/>
    </row>
    <row r="39" spans="1:5" ht="16.8">
      <c r="A39" s="44" t="s">
        <v>1530</v>
      </c>
      <c r="B39" s="45" t="s">
        <v>1179</v>
      </c>
      <c r="C39" s="46">
        <v>7.9</v>
      </c>
      <c r="D39" s="45">
        <v>41218</v>
      </c>
      <c r="E39" s="47"/>
    </row>
    <row r="40" spans="1:5" ht="50.4">
      <c r="A40" s="44" t="s">
        <v>1174</v>
      </c>
      <c r="B40" s="45" t="s">
        <v>1175</v>
      </c>
      <c r="C40" s="46">
        <v>9.9</v>
      </c>
      <c r="D40" s="45">
        <v>41228</v>
      </c>
      <c r="E40" s="47" t="s">
        <v>1529</v>
      </c>
    </row>
    <row r="41" spans="1:5" ht="16.8">
      <c r="A41" s="44" t="s">
        <v>1528</v>
      </c>
      <c r="B41" s="45" t="s">
        <v>1172</v>
      </c>
      <c r="C41" s="46">
        <v>5</v>
      </c>
      <c r="D41" s="45">
        <v>41246</v>
      </c>
      <c r="E41" s="47"/>
    </row>
    <row r="42" spans="1:5" ht="16.8">
      <c r="A42" s="44" t="s">
        <v>1527</v>
      </c>
      <c r="B42" s="45" t="s">
        <v>1169</v>
      </c>
      <c r="C42" s="46">
        <v>8.9</v>
      </c>
      <c r="D42" s="45">
        <v>41262</v>
      </c>
      <c r="E42" s="47"/>
    </row>
    <row r="43" spans="1:5" ht="16.8">
      <c r="A43" s="44" t="s">
        <v>1526</v>
      </c>
      <c r="B43" s="45" t="s">
        <v>1166</v>
      </c>
      <c r="C43" s="46">
        <v>7.9</v>
      </c>
      <c r="D43" s="45">
        <v>41281</v>
      </c>
      <c r="E43" s="47"/>
    </row>
    <row r="44" spans="1:5" ht="16.8">
      <c r="A44" s="44" t="s">
        <v>1525</v>
      </c>
      <c r="B44" s="45" t="s">
        <v>1163</v>
      </c>
      <c r="C44" s="46">
        <v>7.9</v>
      </c>
      <c r="D44" s="45">
        <v>41309</v>
      </c>
      <c r="E44" s="47"/>
    </row>
    <row r="45" spans="1:5" ht="16.8">
      <c r="A45" s="44" t="s">
        <v>1524</v>
      </c>
      <c r="B45" s="45" t="s">
        <v>1160</v>
      </c>
      <c r="C45" s="46">
        <v>8.9</v>
      </c>
      <c r="D45" s="45">
        <v>41318</v>
      </c>
      <c r="E45" s="47"/>
    </row>
    <row r="46" spans="1:5" ht="16.8">
      <c r="A46" s="44" t="s">
        <v>1523</v>
      </c>
      <c r="B46" s="45" t="s">
        <v>1157</v>
      </c>
      <c r="C46" s="46">
        <v>7.9</v>
      </c>
      <c r="D46" s="45">
        <v>41337</v>
      </c>
      <c r="E46" s="47"/>
    </row>
    <row r="47" spans="1:5" ht="16.8">
      <c r="A47" s="44" t="s">
        <v>1522</v>
      </c>
      <c r="B47" s="45" t="s">
        <v>1154</v>
      </c>
      <c r="C47" s="46">
        <v>7.9</v>
      </c>
      <c r="D47" s="45">
        <v>41366</v>
      </c>
      <c r="E47" s="47"/>
    </row>
    <row r="48" spans="1:5" ht="16.8">
      <c r="A48" s="44" t="s">
        <v>1521</v>
      </c>
      <c r="B48" s="45" t="s">
        <v>1151</v>
      </c>
      <c r="C48" s="46">
        <v>8.9</v>
      </c>
      <c r="D48" s="45">
        <v>41381</v>
      </c>
      <c r="E48" s="47"/>
    </row>
    <row r="49" spans="1:5" ht="16.8">
      <c r="A49" s="44" t="s">
        <v>1520</v>
      </c>
      <c r="B49" s="45" t="s">
        <v>1148</v>
      </c>
      <c r="C49" s="46">
        <v>14.99</v>
      </c>
      <c r="D49" s="45">
        <v>41383</v>
      </c>
      <c r="E49" s="47"/>
    </row>
    <row r="50" spans="1:5" ht="16.8">
      <c r="A50" s="48" t="s">
        <v>1519</v>
      </c>
      <c r="B50" s="49" t="s">
        <v>1145</v>
      </c>
      <c r="C50" s="50">
        <v>-1</v>
      </c>
      <c r="D50" s="49">
        <v>41390</v>
      </c>
      <c r="E50" s="51"/>
    </row>
    <row r="51" spans="1:5" ht="16.8">
      <c r="A51" s="44" t="s">
        <v>1518</v>
      </c>
      <c r="B51" s="45" t="s">
        <v>1142</v>
      </c>
      <c r="C51" s="46">
        <v>7.9</v>
      </c>
      <c r="D51" s="45">
        <v>41400</v>
      </c>
      <c r="E51" s="47"/>
    </row>
    <row r="52" spans="1:5" ht="16.8">
      <c r="A52" s="52" t="s">
        <v>1517</v>
      </c>
      <c r="B52" s="53" t="s">
        <v>1139</v>
      </c>
      <c r="C52" s="54">
        <v>14.99</v>
      </c>
      <c r="D52" s="53">
        <v>41404</v>
      </c>
      <c r="E52" s="55"/>
    </row>
    <row r="53" spans="1:5" ht="16.8">
      <c r="A53" s="52" t="s">
        <v>1516</v>
      </c>
      <c r="B53" s="53" t="s">
        <v>1136</v>
      </c>
      <c r="C53" s="54">
        <v>-1</v>
      </c>
      <c r="D53" s="53">
        <v>41407</v>
      </c>
      <c r="E53" s="55"/>
    </row>
    <row r="54" spans="1:5" ht="50.4">
      <c r="A54" s="44" t="s">
        <v>1131</v>
      </c>
      <c r="B54" s="45" t="s">
        <v>1132</v>
      </c>
      <c r="C54" s="46">
        <v>9.9</v>
      </c>
      <c r="D54" s="45">
        <v>41423</v>
      </c>
      <c r="E54" s="47" t="s">
        <v>1515</v>
      </c>
    </row>
    <row r="55" spans="1:5" ht="16.8">
      <c r="A55" s="44" t="s">
        <v>1514</v>
      </c>
      <c r="B55" s="45" t="s">
        <v>1129</v>
      </c>
      <c r="C55" s="46">
        <v>7.9</v>
      </c>
      <c r="D55" s="45">
        <v>41428</v>
      </c>
      <c r="E55" s="47"/>
    </row>
    <row r="56" spans="1:5" ht="16.8">
      <c r="A56" s="44" t="s">
        <v>1513</v>
      </c>
      <c r="B56" s="45" t="s">
        <v>1126</v>
      </c>
      <c r="C56" s="46">
        <v>8.9</v>
      </c>
      <c r="D56" s="45">
        <v>41444</v>
      </c>
      <c r="E56" s="47"/>
    </row>
    <row r="57" spans="1:5" ht="16.8">
      <c r="A57" s="44" t="s">
        <v>1512</v>
      </c>
      <c r="B57" s="45" t="s">
        <v>1123</v>
      </c>
      <c r="C57" s="46">
        <v>7.9</v>
      </c>
      <c r="D57" s="45">
        <v>41456</v>
      </c>
      <c r="E57" s="47"/>
    </row>
    <row r="58" spans="1:5" ht="16.8">
      <c r="A58" s="44" t="s">
        <v>1119</v>
      </c>
      <c r="B58" s="45" t="s">
        <v>1120</v>
      </c>
      <c r="C58" s="46">
        <v>63</v>
      </c>
      <c r="D58" s="45">
        <v>41466</v>
      </c>
      <c r="E58" s="47"/>
    </row>
    <row r="59" spans="1:5" ht="16.8">
      <c r="A59" s="44" t="s">
        <v>1114</v>
      </c>
      <c r="B59" s="45" t="s">
        <v>1115</v>
      </c>
      <c r="C59" s="46">
        <v>-1</v>
      </c>
      <c r="D59" s="45">
        <v>41474</v>
      </c>
      <c r="E59" s="47"/>
    </row>
    <row r="60" spans="1:5" ht="16.8">
      <c r="A60" s="44" t="s">
        <v>1117</v>
      </c>
      <c r="B60" s="45" t="s">
        <v>1118</v>
      </c>
      <c r="C60" s="46">
        <v>-1</v>
      </c>
      <c r="D60" s="45">
        <v>41474</v>
      </c>
      <c r="E60" s="47"/>
    </row>
    <row r="61" spans="1:5" ht="16.8">
      <c r="A61" s="44" t="s">
        <v>1510</v>
      </c>
      <c r="B61" s="45" t="s">
        <v>1110</v>
      </c>
      <c r="C61" s="46">
        <v>-1</v>
      </c>
      <c r="D61" s="45">
        <v>41481</v>
      </c>
      <c r="E61" s="47"/>
    </row>
    <row r="62" spans="1:5" ht="16.8">
      <c r="A62" s="44" t="s">
        <v>1511</v>
      </c>
      <c r="B62" s="45" t="s">
        <v>1113</v>
      </c>
      <c r="C62" s="46">
        <v>39.9</v>
      </c>
      <c r="D62" s="45">
        <v>41481</v>
      </c>
      <c r="E62" s="47"/>
    </row>
    <row r="63" spans="1:5" ht="16.8">
      <c r="A63" s="44" t="s">
        <v>1104</v>
      </c>
      <c r="B63" s="45" t="s">
        <v>1105</v>
      </c>
      <c r="C63" s="46">
        <v>-1</v>
      </c>
      <c r="D63" s="45">
        <v>41486</v>
      </c>
      <c r="E63" s="47"/>
    </row>
    <row r="64" spans="1:5" ht="16.8">
      <c r="A64" s="44" t="s">
        <v>1107</v>
      </c>
      <c r="B64" s="45" t="s">
        <v>1108</v>
      </c>
      <c r="C64" s="46">
        <v>-1</v>
      </c>
      <c r="D64" s="45">
        <v>41486</v>
      </c>
      <c r="E64" s="47"/>
    </row>
    <row r="65" spans="1:5" ht="16.8">
      <c r="A65" s="44" t="s">
        <v>1509</v>
      </c>
      <c r="B65" s="45" t="s">
        <v>1102</v>
      </c>
      <c r="C65" s="46">
        <v>33.9</v>
      </c>
      <c r="D65" s="45">
        <v>41487</v>
      </c>
      <c r="E65" s="47"/>
    </row>
    <row r="66" spans="1:5" ht="33.6">
      <c r="A66" s="44" t="s">
        <v>1508</v>
      </c>
      <c r="B66" s="45" t="s">
        <v>1098</v>
      </c>
      <c r="C66" s="46">
        <v>4.9000000000000004</v>
      </c>
      <c r="D66" s="45">
        <v>41488</v>
      </c>
      <c r="E66" s="47" t="s">
        <v>1100</v>
      </c>
    </row>
    <row r="67" spans="1:5" ht="16.8">
      <c r="A67" s="44" t="s">
        <v>1507</v>
      </c>
      <c r="B67" s="45" t="s">
        <v>1095</v>
      </c>
      <c r="C67" s="46">
        <v>7.9</v>
      </c>
      <c r="D67" s="45">
        <v>41491</v>
      </c>
      <c r="E67" s="47"/>
    </row>
    <row r="68" spans="1:5" ht="33.6">
      <c r="A68" s="44" t="s">
        <v>1506</v>
      </c>
      <c r="B68" s="45" t="s">
        <v>1092</v>
      </c>
      <c r="C68" s="46">
        <v>9.9</v>
      </c>
      <c r="D68" s="45">
        <v>41499</v>
      </c>
      <c r="E68" s="47"/>
    </row>
    <row r="69" spans="1:5" ht="33.6">
      <c r="A69" s="44" t="s">
        <v>1086</v>
      </c>
      <c r="B69" s="45" t="s">
        <v>1087</v>
      </c>
      <c r="C69" s="46">
        <v>-1</v>
      </c>
      <c r="D69" s="45">
        <v>41507</v>
      </c>
      <c r="E69" s="47"/>
    </row>
    <row r="70" spans="1:5" ht="16.8">
      <c r="A70" s="44" t="s">
        <v>1505</v>
      </c>
      <c r="B70" s="45" t="s">
        <v>1090</v>
      </c>
      <c r="C70" s="46">
        <v>8.9</v>
      </c>
      <c r="D70" s="45">
        <v>41507</v>
      </c>
      <c r="E70" s="47"/>
    </row>
    <row r="71" spans="1:5" ht="33.6">
      <c r="A71" s="44" t="s">
        <v>1504</v>
      </c>
      <c r="B71" s="45" t="s">
        <v>1084</v>
      </c>
      <c r="C71" s="46">
        <v>2.9</v>
      </c>
      <c r="D71" s="45">
        <v>41509</v>
      </c>
      <c r="E71" s="47"/>
    </row>
    <row r="72" spans="1:5" ht="33.6">
      <c r="A72" s="44" t="s">
        <v>1503</v>
      </c>
      <c r="B72" s="45" t="s">
        <v>1081</v>
      </c>
      <c r="C72" s="46">
        <v>-1</v>
      </c>
      <c r="D72" s="45">
        <v>41516</v>
      </c>
      <c r="E72" s="47"/>
    </row>
    <row r="73" spans="1:5" ht="16.8">
      <c r="A73" s="44" t="s">
        <v>1502</v>
      </c>
      <c r="B73" s="45" t="s">
        <v>1078</v>
      </c>
      <c r="C73" s="46">
        <v>7.9</v>
      </c>
      <c r="D73" s="45">
        <v>41519</v>
      </c>
      <c r="E73" s="47"/>
    </row>
    <row r="74" spans="1:5" ht="84">
      <c r="A74" s="44" t="s">
        <v>1073</v>
      </c>
      <c r="B74" s="45" t="s">
        <v>1074</v>
      </c>
      <c r="C74" s="46">
        <v>9.9</v>
      </c>
      <c r="D74" s="45">
        <v>41528</v>
      </c>
      <c r="E74" s="47" t="s">
        <v>1501</v>
      </c>
    </row>
    <row r="75" spans="1:5" ht="33.6">
      <c r="A75" s="44" t="s">
        <v>1499</v>
      </c>
      <c r="B75" s="45" t="s">
        <v>1070</v>
      </c>
      <c r="C75" s="46">
        <v>4.9000000000000004</v>
      </c>
      <c r="D75" s="45">
        <v>41550</v>
      </c>
      <c r="E75" s="47" t="s">
        <v>1500</v>
      </c>
    </row>
    <row r="76" spans="1:5" ht="16.8">
      <c r="A76" s="44" t="s">
        <v>1498</v>
      </c>
      <c r="B76" s="45" t="s">
        <v>1067</v>
      </c>
      <c r="C76" s="46">
        <v>7.9</v>
      </c>
      <c r="D76" s="45">
        <v>41554</v>
      </c>
      <c r="E76" s="47"/>
    </row>
    <row r="77" spans="1:5" ht="16.8">
      <c r="A77" s="44" t="s">
        <v>1497</v>
      </c>
      <c r="B77" s="45" t="s">
        <v>1064</v>
      </c>
      <c r="C77" s="46">
        <v>8.9</v>
      </c>
      <c r="D77" s="45">
        <v>41570</v>
      </c>
      <c r="E77" s="47"/>
    </row>
    <row r="78" spans="1:5" ht="16.8">
      <c r="A78" s="52" t="s">
        <v>1494</v>
      </c>
      <c r="B78" s="53" t="s">
        <v>1057</v>
      </c>
      <c r="C78" s="54">
        <v>0</v>
      </c>
      <c r="D78" s="53">
        <v>41582</v>
      </c>
      <c r="E78" s="55"/>
    </row>
    <row r="79" spans="1:5" ht="16.8">
      <c r="A79" s="44" t="s">
        <v>1495</v>
      </c>
      <c r="B79" s="45" t="s">
        <v>1060</v>
      </c>
      <c r="C79" s="46">
        <v>16.899999999999999</v>
      </c>
      <c r="D79" s="45">
        <v>41582</v>
      </c>
      <c r="E79" s="47"/>
    </row>
    <row r="80" spans="1:5" ht="16.8">
      <c r="A80" s="44" t="s">
        <v>1496</v>
      </c>
      <c r="B80" s="45" t="s">
        <v>1062</v>
      </c>
      <c r="C80" s="46">
        <v>7.9</v>
      </c>
      <c r="D80" s="45">
        <v>41582</v>
      </c>
      <c r="E80" s="47"/>
    </row>
    <row r="81" spans="1:5" ht="33.6">
      <c r="A81" s="44" t="s">
        <v>1040</v>
      </c>
      <c r="B81" s="45" t="s">
        <v>1041</v>
      </c>
      <c r="C81" s="46">
        <v>2.9</v>
      </c>
      <c r="D81" s="45">
        <v>41593</v>
      </c>
      <c r="E81" s="47" t="s">
        <v>1043</v>
      </c>
    </row>
    <row r="82" spans="1:5" ht="50.4">
      <c r="A82" s="44" t="s">
        <v>1044</v>
      </c>
      <c r="B82" s="45" t="s">
        <v>1045</v>
      </c>
      <c r="C82" s="46">
        <v>2.9</v>
      </c>
      <c r="D82" s="45">
        <v>41593</v>
      </c>
      <c r="E82" s="47" t="s">
        <v>1491</v>
      </c>
    </row>
    <row r="83" spans="1:5" ht="33.6">
      <c r="A83" s="44" t="s">
        <v>1047</v>
      </c>
      <c r="B83" s="45" t="s">
        <v>1048</v>
      </c>
      <c r="C83" s="46">
        <v>2.9</v>
      </c>
      <c r="D83" s="45">
        <v>41593</v>
      </c>
      <c r="E83" s="47" t="s">
        <v>1049</v>
      </c>
    </row>
    <row r="84" spans="1:5" ht="33.6">
      <c r="A84" s="44" t="s">
        <v>1050</v>
      </c>
      <c r="B84" s="45" t="s">
        <v>1051</v>
      </c>
      <c r="C84" s="46">
        <v>2.9</v>
      </c>
      <c r="D84" s="45">
        <v>41593</v>
      </c>
      <c r="E84" s="47" t="s">
        <v>1492</v>
      </c>
    </row>
    <row r="85" spans="1:5" ht="33.6">
      <c r="A85" s="44" t="s">
        <v>1053</v>
      </c>
      <c r="B85" s="45" t="s">
        <v>1054</v>
      </c>
      <c r="C85" s="46">
        <v>2.9</v>
      </c>
      <c r="D85" s="45">
        <v>41593</v>
      </c>
      <c r="E85" s="47" t="s">
        <v>1493</v>
      </c>
    </row>
    <row r="86" spans="1:5" ht="16.8">
      <c r="A86" s="44" t="s">
        <v>1035</v>
      </c>
      <c r="B86" s="45" t="s">
        <v>1036</v>
      </c>
      <c r="C86" s="46">
        <v>19.899999999999999</v>
      </c>
      <c r="D86" s="45">
        <v>41610</v>
      </c>
      <c r="E86" s="47"/>
    </row>
    <row r="87" spans="1:5" ht="16.8">
      <c r="A87" s="44" t="s">
        <v>1490</v>
      </c>
      <c r="B87" s="45" t="s">
        <v>1039</v>
      </c>
      <c r="C87" s="46">
        <v>7.9</v>
      </c>
      <c r="D87" s="45">
        <v>41610</v>
      </c>
      <c r="E87" s="47"/>
    </row>
    <row r="88" spans="1:5" ht="84">
      <c r="A88" s="44" t="s">
        <v>1031</v>
      </c>
      <c r="B88" s="45" t="s">
        <v>1032</v>
      </c>
      <c r="C88" s="46">
        <v>9.9</v>
      </c>
      <c r="D88" s="45">
        <v>41625</v>
      </c>
      <c r="E88" s="47" t="s">
        <v>1034</v>
      </c>
    </row>
    <row r="89" spans="1:5" ht="16.8">
      <c r="A89" s="44" t="s">
        <v>1489</v>
      </c>
      <c r="B89" s="45" t="s">
        <v>1029</v>
      </c>
      <c r="C89" s="46">
        <v>8.9</v>
      </c>
      <c r="D89" s="45">
        <v>41626</v>
      </c>
      <c r="E89" s="47"/>
    </row>
    <row r="90" spans="1:5" ht="50.4">
      <c r="A90" s="44" t="s">
        <v>1012</v>
      </c>
      <c r="B90" s="45" t="s">
        <v>1013</v>
      </c>
      <c r="C90" s="46">
        <v>2.9</v>
      </c>
      <c r="D90" s="45">
        <v>41627</v>
      </c>
      <c r="E90" s="47" t="s">
        <v>1015</v>
      </c>
    </row>
    <row r="91" spans="1:5" ht="33.6">
      <c r="A91" s="44" t="s">
        <v>1016</v>
      </c>
      <c r="B91" s="45" t="s">
        <v>1017</v>
      </c>
      <c r="C91" s="46">
        <v>2.9</v>
      </c>
      <c r="D91" s="45">
        <v>41627</v>
      </c>
      <c r="E91" s="47" t="s">
        <v>1018</v>
      </c>
    </row>
    <row r="92" spans="1:5" ht="67.2">
      <c r="A92" s="44" t="s">
        <v>1019</v>
      </c>
      <c r="B92" s="45" t="s">
        <v>1020</v>
      </c>
      <c r="C92" s="46">
        <v>2.9</v>
      </c>
      <c r="D92" s="45">
        <v>41627</v>
      </c>
      <c r="E92" s="47" t="s">
        <v>1488</v>
      </c>
    </row>
    <row r="93" spans="1:5" ht="50.4">
      <c r="A93" s="44" t="s">
        <v>1022</v>
      </c>
      <c r="B93" s="45" t="s">
        <v>1023</v>
      </c>
      <c r="C93" s="46">
        <v>2.9</v>
      </c>
      <c r="D93" s="45">
        <v>41627</v>
      </c>
      <c r="E93" s="47" t="s">
        <v>1024</v>
      </c>
    </row>
    <row r="94" spans="1:5" ht="67.2">
      <c r="A94" s="44" t="s">
        <v>1025</v>
      </c>
      <c r="B94" s="45" t="s">
        <v>1026</v>
      </c>
      <c r="C94" s="46">
        <v>2.9</v>
      </c>
      <c r="D94" s="45">
        <v>41627</v>
      </c>
      <c r="E94" s="47" t="s">
        <v>1027</v>
      </c>
    </row>
    <row r="95" spans="1:5" ht="33.6">
      <c r="A95" s="44" t="s">
        <v>1487</v>
      </c>
      <c r="B95" s="45" t="s">
        <v>1010</v>
      </c>
      <c r="C95" s="46">
        <v>20</v>
      </c>
      <c r="D95" s="45">
        <v>41628</v>
      </c>
      <c r="E95" s="47"/>
    </row>
    <row r="96" spans="1:5" ht="16.8">
      <c r="A96" s="44" t="s">
        <v>1486</v>
      </c>
      <c r="B96" s="45" t="s">
        <v>1007</v>
      </c>
      <c r="C96" s="46">
        <v>7.9</v>
      </c>
      <c r="D96" s="45">
        <v>41646</v>
      </c>
      <c r="E96" s="47"/>
    </row>
    <row r="97" spans="1:5" ht="33.6">
      <c r="A97" s="44" t="s">
        <v>1002</v>
      </c>
      <c r="B97" s="45" t="s">
        <v>1003</v>
      </c>
      <c r="C97" s="46">
        <v>9.9</v>
      </c>
      <c r="D97" s="45">
        <v>41670</v>
      </c>
      <c r="E97" s="47" t="s">
        <v>1005</v>
      </c>
    </row>
    <row r="98" spans="1:5" ht="16.8">
      <c r="A98" s="44" t="s">
        <v>1485</v>
      </c>
      <c r="B98" s="45" t="s">
        <v>1000</v>
      </c>
      <c r="C98" s="46">
        <v>7.9</v>
      </c>
      <c r="D98" s="45">
        <v>41673</v>
      </c>
      <c r="E98" s="47"/>
    </row>
    <row r="99" spans="1:5" ht="84">
      <c r="A99" s="44" t="s">
        <v>1483</v>
      </c>
      <c r="B99" s="45" t="s">
        <v>996</v>
      </c>
      <c r="C99" s="46">
        <v>8.9</v>
      </c>
      <c r="D99" s="45">
        <v>41689</v>
      </c>
      <c r="E99" s="47" t="s">
        <v>1484</v>
      </c>
    </row>
    <row r="100" spans="1:5" ht="16.8">
      <c r="A100" s="44" t="s">
        <v>1482</v>
      </c>
      <c r="B100" s="45" t="s">
        <v>993</v>
      </c>
      <c r="C100" s="46">
        <v>7.9</v>
      </c>
      <c r="D100" s="45">
        <v>41701</v>
      </c>
      <c r="E100" s="47"/>
    </row>
    <row r="101" spans="1:5" ht="33.6">
      <c r="A101" s="48" t="s">
        <v>989</v>
      </c>
      <c r="B101" s="49" t="s">
        <v>990</v>
      </c>
      <c r="C101" s="50">
        <v>0</v>
      </c>
      <c r="D101" s="49">
        <v>41704</v>
      </c>
      <c r="E101" s="51"/>
    </row>
    <row r="102" spans="1:5" ht="16.8">
      <c r="A102" s="44" t="s">
        <v>986</v>
      </c>
      <c r="B102" s="45" t="s">
        <v>987</v>
      </c>
      <c r="C102" s="46">
        <v>20</v>
      </c>
      <c r="D102" s="45">
        <v>41710</v>
      </c>
      <c r="E102" s="47"/>
    </row>
    <row r="103" spans="1:5" ht="33.6">
      <c r="A103" s="44" t="s">
        <v>1480</v>
      </c>
      <c r="B103" s="45" t="s">
        <v>982</v>
      </c>
      <c r="C103" s="46">
        <v>25</v>
      </c>
      <c r="D103" s="45">
        <v>41711</v>
      </c>
      <c r="E103" s="47"/>
    </row>
    <row r="104" spans="1:5" ht="33.6">
      <c r="A104" s="44" t="s">
        <v>1481</v>
      </c>
      <c r="B104" s="45" t="s">
        <v>985</v>
      </c>
      <c r="C104" s="46">
        <v>48</v>
      </c>
      <c r="D104" s="45">
        <v>41711</v>
      </c>
      <c r="E104" s="47"/>
    </row>
    <row r="105" spans="1:5" ht="33.6">
      <c r="A105" s="44" t="s">
        <v>965</v>
      </c>
      <c r="B105" s="45" t="s">
        <v>966</v>
      </c>
      <c r="C105" s="46">
        <v>2.9</v>
      </c>
      <c r="D105" s="45">
        <v>41712</v>
      </c>
      <c r="E105" s="47" t="s">
        <v>1479</v>
      </c>
    </row>
    <row r="106" spans="1:5" ht="33.6">
      <c r="A106" s="44" t="s">
        <v>969</v>
      </c>
      <c r="B106" s="45" t="s">
        <v>970</v>
      </c>
      <c r="C106" s="46">
        <v>2.9</v>
      </c>
      <c r="D106" s="45">
        <v>41712</v>
      </c>
      <c r="E106" s="47" t="s">
        <v>971</v>
      </c>
    </row>
    <row r="107" spans="1:5" ht="33.6">
      <c r="A107" s="44" t="s">
        <v>972</v>
      </c>
      <c r="B107" s="45" t="s">
        <v>973</v>
      </c>
      <c r="C107" s="46">
        <v>2.9</v>
      </c>
      <c r="D107" s="45">
        <v>41712</v>
      </c>
      <c r="E107" s="47" t="s">
        <v>974</v>
      </c>
    </row>
    <row r="108" spans="1:5" ht="33.6">
      <c r="A108" s="44" t="s">
        <v>975</v>
      </c>
      <c r="B108" s="45" t="s">
        <v>976</v>
      </c>
      <c r="C108" s="46">
        <v>2.9</v>
      </c>
      <c r="D108" s="45">
        <v>41712</v>
      </c>
      <c r="E108" s="47" t="s">
        <v>977</v>
      </c>
    </row>
    <row r="109" spans="1:5" ht="33.6">
      <c r="A109" s="44" t="s">
        <v>978</v>
      </c>
      <c r="B109" s="45" t="s">
        <v>979</v>
      </c>
      <c r="C109" s="46">
        <v>2.9</v>
      </c>
      <c r="D109" s="45">
        <v>41712</v>
      </c>
      <c r="E109" s="47" t="s">
        <v>980</v>
      </c>
    </row>
    <row r="110" spans="1:5" ht="50.4">
      <c r="A110" s="44" t="s">
        <v>1476</v>
      </c>
      <c r="B110" s="45" t="s">
        <v>960</v>
      </c>
      <c r="C110" s="46">
        <v>21</v>
      </c>
      <c r="D110" s="45">
        <v>41716</v>
      </c>
      <c r="E110" s="47" t="s">
        <v>656</v>
      </c>
    </row>
    <row r="111" spans="1:5" ht="50.4">
      <c r="A111" s="44" t="s">
        <v>1477</v>
      </c>
      <c r="B111" s="45" t="s">
        <v>963</v>
      </c>
      <c r="C111" s="46">
        <v>40</v>
      </c>
      <c r="D111" s="45">
        <v>41716</v>
      </c>
      <c r="E111" s="47" t="s">
        <v>1478</v>
      </c>
    </row>
    <row r="112" spans="1:5" ht="84">
      <c r="A112" s="44" t="s">
        <v>955</v>
      </c>
      <c r="B112" s="45" t="s">
        <v>956</v>
      </c>
      <c r="C112" s="46">
        <v>9.9</v>
      </c>
      <c r="D112" s="45">
        <v>41717</v>
      </c>
      <c r="E112" s="47" t="s">
        <v>1475</v>
      </c>
    </row>
    <row r="113" spans="1:5" ht="16.8">
      <c r="A113" s="48" t="s">
        <v>952</v>
      </c>
      <c r="B113" s="49" t="s">
        <v>953</v>
      </c>
      <c r="C113" s="50">
        <v>-1</v>
      </c>
      <c r="D113" s="49">
        <v>41726</v>
      </c>
      <c r="E113" s="51"/>
    </row>
    <row r="114" spans="1:5" ht="16.8">
      <c r="A114" s="44" t="s">
        <v>1474</v>
      </c>
      <c r="B114" s="45" t="s">
        <v>950</v>
      </c>
      <c r="C114" s="46">
        <v>7.9</v>
      </c>
      <c r="D114" s="45">
        <v>41736</v>
      </c>
      <c r="E114" s="47"/>
    </row>
    <row r="115" spans="1:5" ht="84">
      <c r="A115" s="44" t="s">
        <v>1472</v>
      </c>
      <c r="B115" s="45" t="s">
        <v>946</v>
      </c>
      <c r="C115" s="46">
        <v>8.9</v>
      </c>
      <c r="D115" s="45">
        <v>41745</v>
      </c>
      <c r="E115" s="47" t="s">
        <v>1473</v>
      </c>
    </row>
    <row r="116" spans="1:5" ht="50.4">
      <c r="A116" s="44" t="s">
        <v>939</v>
      </c>
      <c r="B116" s="45" t="s">
        <v>940</v>
      </c>
      <c r="C116" s="46">
        <v>9.9</v>
      </c>
      <c r="D116" s="45">
        <v>41764</v>
      </c>
      <c r="E116" s="47" t="s">
        <v>942</v>
      </c>
    </row>
    <row r="117" spans="1:5" ht="16.8">
      <c r="A117" s="44" t="s">
        <v>1471</v>
      </c>
      <c r="B117" s="45" t="s">
        <v>944</v>
      </c>
      <c r="C117" s="46">
        <v>7.9</v>
      </c>
      <c r="D117" s="45">
        <v>41764</v>
      </c>
      <c r="E117" s="47"/>
    </row>
    <row r="118" spans="1:5" ht="16.8">
      <c r="A118" s="44" t="s">
        <v>1470</v>
      </c>
      <c r="B118" s="45" t="s">
        <v>937</v>
      </c>
      <c r="C118" s="46">
        <v>47</v>
      </c>
      <c r="D118" s="45">
        <v>41768</v>
      </c>
      <c r="E118" s="47"/>
    </row>
    <row r="119" spans="1:5" ht="50.4">
      <c r="A119" s="44" t="s">
        <v>920</v>
      </c>
      <c r="B119" s="45" t="s">
        <v>921</v>
      </c>
      <c r="C119" s="46">
        <v>2.9</v>
      </c>
      <c r="D119" s="45">
        <v>41778</v>
      </c>
      <c r="E119" s="47" t="s">
        <v>923</v>
      </c>
    </row>
    <row r="120" spans="1:5" ht="33.6">
      <c r="A120" s="44" t="s">
        <v>924</v>
      </c>
      <c r="B120" s="45" t="s">
        <v>925</v>
      </c>
      <c r="C120" s="46">
        <v>2.9</v>
      </c>
      <c r="D120" s="45">
        <v>41778</v>
      </c>
      <c r="E120" s="47" t="s">
        <v>926</v>
      </c>
    </row>
    <row r="121" spans="1:5" ht="50.4">
      <c r="A121" s="44" t="s">
        <v>927</v>
      </c>
      <c r="B121" s="45" t="s">
        <v>928</v>
      </c>
      <c r="C121" s="46">
        <v>2.9</v>
      </c>
      <c r="D121" s="45">
        <v>41778</v>
      </c>
      <c r="E121" s="47" t="s">
        <v>929</v>
      </c>
    </row>
    <row r="122" spans="1:5" ht="33.6">
      <c r="A122" s="44" t="s">
        <v>930</v>
      </c>
      <c r="B122" s="45" t="s">
        <v>931</v>
      </c>
      <c r="C122" s="46">
        <v>2.9</v>
      </c>
      <c r="D122" s="45">
        <v>41778</v>
      </c>
      <c r="E122" s="47" t="s">
        <v>1467</v>
      </c>
    </row>
    <row r="123" spans="1:5" ht="50.4">
      <c r="A123" s="44" t="s">
        <v>1468</v>
      </c>
      <c r="B123" s="45" t="s">
        <v>934</v>
      </c>
      <c r="C123" s="46">
        <v>2.9</v>
      </c>
      <c r="D123" s="45">
        <v>41778</v>
      </c>
      <c r="E123" s="47" t="s">
        <v>1469</v>
      </c>
    </row>
    <row r="124" spans="1:5" ht="16.8">
      <c r="A124" s="44" t="s">
        <v>1466</v>
      </c>
      <c r="B124" s="45" t="s">
        <v>918</v>
      </c>
      <c r="C124" s="46">
        <v>7.9</v>
      </c>
      <c r="D124" s="45">
        <v>41792</v>
      </c>
      <c r="E124" s="47"/>
    </row>
    <row r="125" spans="1:5" ht="67.2">
      <c r="A125" s="44" t="s">
        <v>913</v>
      </c>
      <c r="B125" s="45" t="s">
        <v>914</v>
      </c>
      <c r="C125" s="46">
        <v>9.9</v>
      </c>
      <c r="D125" s="45">
        <v>41801</v>
      </c>
      <c r="E125" s="47" t="s">
        <v>916</v>
      </c>
    </row>
    <row r="126" spans="1:5" ht="33.6">
      <c r="A126" s="44" t="s">
        <v>909</v>
      </c>
      <c r="B126" s="45" t="s">
        <v>910</v>
      </c>
      <c r="C126" s="46">
        <v>16.899999999999999</v>
      </c>
      <c r="D126" s="45">
        <v>41803</v>
      </c>
      <c r="E126" s="47" t="s">
        <v>912</v>
      </c>
    </row>
    <row r="127" spans="1:5" ht="67.2">
      <c r="A127" s="44" t="s">
        <v>1465</v>
      </c>
      <c r="B127" s="45" t="s">
        <v>906</v>
      </c>
      <c r="C127" s="46">
        <v>8.9</v>
      </c>
      <c r="D127" s="45">
        <v>41808</v>
      </c>
      <c r="E127" s="47" t="s">
        <v>908</v>
      </c>
    </row>
    <row r="128" spans="1:5" ht="16.8">
      <c r="A128" s="44" t="s">
        <v>1464</v>
      </c>
      <c r="B128" s="45" t="s">
        <v>903</v>
      </c>
      <c r="C128" s="46">
        <v>7.9</v>
      </c>
      <c r="D128" s="45">
        <v>41827</v>
      </c>
      <c r="E128" s="47"/>
    </row>
    <row r="129" spans="1:5" ht="50.4">
      <c r="A129" s="44" t="s">
        <v>1463</v>
      </c>
      <c r="B129" s="45" t="s">
        <v>900</v>
      </c>
      <c r="C129" s="46">
        <v>75</v>
      </c>
      <c r="D129" s="45">
        <v>41862</v>
      </c>
      <c r="E129" s="47" t="s">
        <v>1459</v>
      </c>
    </row>
    <row r="130" spans="1:5" ht="50.4">
      <c r="A130" s="44" t="s">
        <v>1462</v>
      </c>
      <c r="B130" s="45" t="s">
        <v>897</v>
      </c>
      <c r="C130" s="46">
        <v>9.99</v>
      </c>
      <c r="D130" s="45">
        <v>41864</v>
      </c>
      <c r="E130" s="47"/>
    </row>
    <row r="131" spans="1:5" ht="50.4">
      <c r="A131" s="44" t="s">
        <v>1461</v>
      </c>
      <c r="B131" s="45" t="s">
        <v>894</v>
      </c>
      <c r="C131" s="46">
        <v>9.99</v>
      </c>
      <c r="D131" s="45">
        <v>41865</v>
      </c>
      <c r="E131" s="47"/>
    </row>
    <row r="132" spans="1:5" ht="50.4">
      <c r="A132" s="44" t="s">
        <v>1460</v>
      </c>
      <c r="B132" s="45" t="s">
        <v>891</v>
      </c>
      <c r="C132" s="46">
        <v>9.99</v>
      </c>
      <c r="D132" s="45">
        <v>41866</v>
      </c>
      <c r="E132" s="47"/>
    </row>
    <row r="133" spans="1:5" ht="50.4">
      <c r="A133" s="44" t="s">
        <v>887</v>
      </c>
      <c r="B133" s="45" t="s">
        <v>888</v>
      </c>
      <c r="C133" s="46">
        <v>9.99</v>
      </c>
      <c r="D133" s="45">
        <v>41867</v>
      </c>
      <c r="E133" s="47"/>
    </row>
    <row r="134" spans="1:5" ht="50.4">
      <c r="A134" s="44" t="s">
        <v>884</v>
      </c>
      <c r="B134" s="45" t="s">
        <v>885</v>
      </c>
      <c r="C134" s="46">
        <v>9.99</v>
      </c>
      <c r="D134" s="45">
        <v>41868</v>
      </c>
      <c r="E134" s="47"/>
    </row>
    <row r="135" spans="1:5" ht="50.4">
      <c r="A135" s="44" t="s">
        <v>878</v>
      </c>
      <c r="B135" s="45" t="s">
        <v>879</v>
      </c>
      <c r="C135" s="46">
        <v>9.99</v>
      </c>
      <c r="D135" s="45">
        <v>41869</v>
      </c>
      <c r="E135" s="47"/>
    </row>
    <row r="136" spans="1:5" ht="50.4">
      <c r="A136" s="44" t="s">
        <v>1458</v>
      </c>
      <c r="B136" s="45" t="s">
        <v>882</v>
      </c>
      <c r="C136" s="46">
        <v>123</v>
      </c>
      <c r="D136" s="45">
        <v>41869</v>
      </c>
      <c r="E136" s="47" t="s">
        <v>1459</v>
      </c>
    </row>
    <row r="137" spans="1:5" ht="50.4">
      <c r="A137" s="44" t="s">
        <v>1457</v>
      </c>
      <c r="B137" s="45" t="s">
        <v>876</v>
      </c>
      <c r="C137" s="46">
        <v>9.99</v>
      </c>
      <c r="D137" s="45">
        <v>41870</v>
      </c>
      <c r="E137" s="47"/>
    </row>
    <row r="138" spans="1:5" ht="33.6">
      <c r="A138" s="44" t="s">
        <v>872</v>
      </c>
      <c r="B138" s="45" t="s">
        <v>873</v>
      </c>
      <c r="C138" s="46">
        <v>69.95</v>
      </c>
      <c r="D138" s="45">
        <v>41871</v>
      </c>
      <c r="E138" s="47"/>
    </row>
    <row r="139" spans="1:5" ht="33.6">
      <c r="A139" s="44" t="s">
        <v>869</v>
      </c>
      <c r="B139" s="45" t="s">
        <v>870</v>
      </c>
      <c r="C139" s="46">
        <v>149.94999999999999</v>
      </c>
      <c r="D139" s="45">
        <v>41872</v>
      </c>
      <c r="E139" s="47"/>
    </row>
    <row r="140" spans="1:5" ht="33.6">
      <c r="A140" s="44" t="s">
        <v>830</v>
      </c>
      <c r="B140" s="45" t="s">
        <v>831</v>
      </c>
      <c r="C140" s="46">
        <v>149</v>
      </c>
      <c r="D140" s="45">
        <v>41873</v>
      </c>
      <c r="E140" s="47"/>
    </row>
    <row r="141" spans="1:5" ht="33.6">
      <c r="A141" s="44" t="s">
        <v>833</v>
      </c>
      <c r="B141" s="45" t="s">
        <v>834</v>
      </c>
      <c r="C141" s="46">
        <v>0</v>
      </c>
      <c r="D141" s="45">
        <v>41873</v>
      </c>
      <c r="E141" s="47"/>
    </row>
    <row r="142" spans="1:5" ht="16.8">
      <c r="A142" s="44" t="s">
        <v>835</v>
      </c>
      <c r="B142" s="45" t="s">
        <v>836</v>
      </c>
      <c r="C142" s="46">
        <v>0</v>
      </c>
      <c r="D142" s="45">
        <v>41873</v>
      </c>
      <c r="E142" s="47"/>
    </row>
    <row r="143" spans="1:5" ht="16.8">
      <c r="A143" s="44" t="s">
        <v>837</v>
      </c>
      <c r="B143" s="45" t="s">
        <v>838</v>
      </c>
      <c r="C143" s="46">
        <v>0</v>
      </c>
      <c r="D143" s="45">
        <v>41873</v>
      </c>
      <c r="E143" s="47"/>
    </row>
    <row r="144" spans="1:5" ht="33.6">
      <c r="A144" s="44" t="s">
        <v>839</v>
      </c>
      <c r="B144" s="45" t="s">
        <v>840</v>
      </c>
      <c r="C144" s="46">
        <v>0</v>
      </c>
      <c r="D144" s="45">
        <v>41873</v>
      </c>
      <c r="E144" s="47"/>
    </row>
    <row r="145" spans="1:5" ht="16.8">
      <c r="A145" s="44" t="s">
        <v>841</v>
      </c>
      <c r="B145" s="45" t="s">
        <v>842</v>
      </c>
      <c r="C145" s="46">
        <v>0</v>
      </c>
      <c r="D145" s="45">
        <v>41873</v>
      </c>
      <c r="E145" s="47"/>
    </row>
    <row r="146" spans="1:5" ht="16.8">
      <c r="A146" s="44" t="s">
        <v>843</v>
      </c>
      <c r="B146" s="45" t="s">
        <v>844</v>
      </c>
      <c r="C146" s="46">
        <v>0</v>
      </c>
      <c r="D146" s="45">
        <v>41873</v>
      </c>
      <c r="E146" s="47"/>
    </row>
    <row r="147" spans="1:5" ht="16.8">
      <c r="A147" s="44" t="s">
        <v>845</v>
      </c>
      <c r="B147" s="45" t="s">
        <v>846</v>
      </c>
      <c r="C147" s="46">
        <v>0</v>
      </c>
      <c r="D147" s="45">
        <v>41873</v>
      </c>
      <c r="E147" s="47"/>
    </row>
    <row r="148" spans="1:5" ht="16.8">
      <c r="A148" s="44" t="s">
        <v>847</v>
      </c>
      <c r="B148" s="45" t="s">
        <v>848</v>
      </c>
      <c r="C148" s="46">
        <v>0</v>
      </c>
      <c r="D148" s="45">
        <v>41873</v>
      </c>
      <c r="E148" s="47"/>
    </row>
    <row r="149" spans="1:5" ht="16.8">
      <c r="A149" s="44" t="s">
        <v>849</v>
      </c>
      <c r="B149" s="45" t="s">
        <v>850</v>
      </c>
      <c r="C149" s="46">
        <v>0</v>
      </c>
      <c r="D149" s="45">
        <v>41873</v>
      </c>
      <c r="E149" s="47"/>
    </row>
    <row r="150" spans="1:5" ht="33.6">
      <c r="A150" s="44" t="s">
        <v>1452</v>
      </c>
      <c r="B150" s="45" t="s">
        <v>852</v>
      </c>
      <c r="C150" s="46">
        <v>0</v>
      </c>
      <c r="D150" s="45">
        <v>41873</v>
      </c>
      <c r="E150" s="47"/>
    </row>
    <row r="151" spans="1:5" ht="16.8">
      <c r="A151" s="44" t="s">
        <v>1453</v>
      </c>
      <c r="B151" s="45" t="s">
        <v>854</v>
      </c>
      <c r="C151" s="46">
        <v>0</v>
      </c>
      <c r="D151" s="45">
        <v>41873</v>
      </c>
      <c r="E151" s="47"/>
    </row>
    <row r="152" spans="1:5" ht="33.6">
      <c r="A152" s="44" t="s">
        <v>855</v>
      </c>
      <c r="B152" s="45" t="s">
        <v>856</v>
      </c>
      <c r="C152" s="46">
        <v>0</v>
      </c>
      <c r="D152" s="45">
        <v>41873</v>
      </c>
      <c r="E152" s="47" t="s">
        <v>855</v>
      </c>
    </row>
    <row r="153" spans="1:5" ht="16.8">
      <c r="A153" s="44" t="s">
        <v>1454</v>
      </c>
      <c r="B153" s="45" t="s">
        <v>858</v>
      </c>
      <c r="C153" s="46">
        <v>0</v>
      </c>
      <c r="D153" s="45">
        <v>41873</v>
      </c>
      <c r="E153" s="47"/>
    </row>
    <row r="154" spans="1:5" ht="16.8">
      <c r="A154" s="44" t="s">
        <v>1455</v>
      </c>
      <c r="B154" s="45" t="s">
        <v>860</v>
      </c>
      <c r="C154" s="46">
        <v>0</v>
      </c>
      <c r="D154" s="45">
        <v>41873</v>
      </c>
      <c r="E154" s="47"/>
    </row>
    <row r="155" spans="1:5" ht="16.8">
      <c r="A155" s="44" t="s">
        <v>861</v>
      </c>
      <c r="B155" s="45" t="s">
        <v>862</v>
      </c>
      <c r="C155" s="46">
        <v>0</v>
      </c>
      <c r="D155" s="45">
        <v>41873</v>
      </c>
      <c r="E155" s="47"/>
    </row>
    <row r="156" spans="1:5" ht="16.8">
      <c r="A156" s="44" t="s">
        <v>863</v>
      </c>
      <c r="B156" s="45" t="s">
        <v>864</v>
      </c>
      <c r="C156" s="46">
        <v>0</v>
      </c>
      <c r="D156" s="45">
        <v>41873</v>
      </c>
      <c r="E156" s="47"/>
    </row>
    <row r="157" spans="1:5" ht="16.8">
      <c r="A157" s="44" t="s">
        <v>865</v>
      </c>
      <c r="B157" s="45" t="s">
        <v>866</v>
      </c>
      <c r="C157" s="46">
        <v>0</v>
      </c>
      <c r="D157" s="45">
        <v>41873</v>
      </c>
      <c r="E157" s="47"/>
    </row>
    <row r="158" spans="1:5" ht="16.8">
      <c r="A158" s="44" t="s">
        <v>1456</v>
      </c>
      <c r="B158" s="45" t="s">
        <v>868</v>
      </c>
      <c r="C158" s="46">
        <v>0</v>
      </c>
      <c r="D158" s="45">
        <v>41873</v>
      </c>
      <c r="E158" s="47"/>
    </row>
    <row r="159" spans="1:5" ht="33.6">
      <c r="A159" s="44" t="s">
        <v>739</v>
      </c>
      <c r="B159" s="45" t="s">
        <v>740</v>
      </c>
      <c r="C159" s="46">
        <v>0</v>
      </c>
      <c r="D159" s="45">
        <v>41874</v>
      </c>
      <c r="E159" s="47"/>
    </row>
    <row r="160" spans="1:5" ht="33.6">
      <c r="A160" s="44" t="s">
        <v>742</v>
      </c>
      <c r="B160" s="45" t="s">
        <v>743</v>
      </c>
      <c r="C160" s="46">
        <v>0</v>
      </c>
      <c r="D160" s="45">
        <v>41874</v>
      </c>
      <c r="E160" s="47"/>
    </row>
    <row r="161" spans="1:5" ht="16.8">
      <c r="A161" s="44" t="s">
        <v>1434</v>
      </c>
      <c r="B161" s="45" t="s">
        <v>745</v>
      </c>
      <c r="C161" s="46">
        <v>0</v>
      </c>
      <c r="D161" s="45">
        <v>41874</v>
      </c>
      <c r="E161" s="47"/>
    </row>
    <row r="162" spans="1:5" ht="33.6">
      <c r="A162" s="44" t="s">
        <v>1435</v>
      </c>
      <c r="B162" s="45" t="s">
        <v>747</v>
      </c>
      <c r="C162" s="46">
        <v>0</v>
      </c>
      <c r="D162" s="45">
        <v>41874</v>
      </c>
      <c r="E162" s="47"/>
    </row>
    <row r="163" spans="1:5" ht="16.8">
      <c r="A163" s="44" t="s">
        <v>1436</v>
      </c>
      <c r="B163" s="45" t="s">
        <v>749</v>
      </c>
      <c r="C163" s="46">
        <v>0</v>
      </c>
      <c r="D163" s="45">
        <v>41874</v>
      </c>
      <c r="E163" s="47"/>
    </row>
    <row r="164" spans="1:5" ht="16.8">
      <c r="A164" s="44" t="s">
        <v>1437</v>
      </c>
      <c r="B164" s="45" t="s">
        <v>751</v>
      </c>
      <c r="C164" s="46">
        <v>0</v>
      </c>
      <c r="D164" s="45">
        <v>41874</v>
      </c>
      <c r="E164" s="47"/>
    </row>
    <row r="165" spans="1:5" ht="33.6">
      <c r="A165" s="44" t="s">
        <v>752</v>
      </c>
      <c r="B165" s="45" t="s">
        <v>753</v>
      </c>
      <c r="C165" s="46">
        <v>0</v>
      </c>
      <c r="D165" s="45">
        <v>41874</v>
      </c>
      <c r="E165" s="47"/>
    </row>
    <row r="166" spans="1:5" ht="33.6">
      <c r="A166" s="44" t="s">
        <v>754</v>
      </c>
      <c r="B166" s="45" t="s">
        <v>755</v>
      </c>
      <c r="C166" s="46">
        <v>0</v>
      </c>
      <c r="D166" s="45">
        <v>41874</v>
      </c>
      <c r="E166" s="47"/>
    </row>
    <row r="167" spans="1:5" ht="33.6">
      <c r="A167" s="44" t="s">
        <v>756</v>
      </c>
      <c r="B167" s="45" t="s">
        <v>757</v>
      </c>
      <c r="C167" s="46">
        <v>0</v>
      </c>
      <c r="D167" s="45">
        <v>41874</v>
      </c>
      <c r="E167" s="47"/>
    </row>
    <row r="168" spans="1:5" ht="33.6">
      <c r="A168" s="44" t="s">
        <v>758</v>
      </c>
      <c r="B168" s="45" t="s">
        <v>759</v>
      </c>
      <c r="C168" s="46">
        <v>0</v>
      </c>
      <c r="D168" s="45">
        <v>41874</v>
      </c>
      <c r="E168" s="47"/>
    </row>
    <row r="169" spans="1:5" ht="16.8">
      <c r="A169" s="44" t="s">
        <v>760</v>
      </c>
      <c r="B169" s="45" t="s">
        <v>761</v>
      </c>
      <c r="C169" s="46">
        <v>0</v>
      </c>
      <c r="D169" s="45">
        <v>41874</v>
      </c>
      <c r="E169" s="47"/>
    </row>
    <row r="170" spans="1:5" ht="33.6">
      <c r="A170" s="44" t="s">
        <v>1438</v>
      </c>
      <c r="B170" s="45" t="s">
        <v>763</v>
      </c>
      <c r="C170" s="46">
        <v>0</v>
      </c>
      <c r="D170" s="45">
        <v>41874</v>
      </c>
      <c r="E170" s="47"/>
    </row>
    <row r="171" spans="1:5" ht="50.4">
      <c r="A171" s="44" t="s">
        <v>1439</v>
      </c>
      <c r="B171" s="45" t="s">
        <v>765</v>
      </c>
      <c r="C171" s="46">
        <v>0</v>
      </c>
      <c r="D171" s="45">
        <v>41874</v>
      </c>
      <c r="E171" s="47"/>
    </row>
    <row r="172" spans="1:5" ht="33.6">
      <c r="A172" s="44" t="s">
        <v>766</v>
      </c>
      <c r="B172" s="45" t="s">
        <v>767</v>
      </c>
      <c r="C172" s="46">
        <v>0</v>
      </c>
      <c r="D172" s="45">
        <v>41874</v>
      </c>
      <c r="E172" s="47"/>
    </row>
    <row r="173" spans="1:5" ht="33.6">
      <c r="A173" s="44" t="s">
        <v>768</v>
      </c>
      <c r="B173" s="45" t="s">
        <v>769</v>
      </c>
      <c r="C173" s="46">
        <v>0</v>
      </c>
      <c r="D173" s="45">
        <v>41874</v>
      </c>
      <c r="E173" s="47"/>
    </row>
    <row r="174" spans="1:5" ht="33.6">
      <c r="A174" s="44" t="s">
        <v>1440</v>
      </c>
      <c r="B174" s="45" t="s">
        <v>771</v>
      </c>
      <c r="C174" s="46">
        <v>0</v>
      </c>
      <c r="D174" s="45">
        <v>41874</v>
      </c>
      <c r="E174" s="47"/>
    </row>
    <row r="175" spans="1:5" ht="33.6">
      <c r="A175" s="44" t="s">
        <v>772</v>
      </c>
      <c r="B175" s="45" t="s">
        <v>773</v>
      </c>
      <c r="C175" s="46">
        <v>0</v>
      </c>
      <c r="D175" s="45">
        <v>41874</v>
      </c>
      <c r="E175" s="47"/>
    </row>
    <row r="176" spans="1:5" ht="33.6">
      <c r="A176" s="44" t="s">
        <v>1441</v>
      </c>
      <c r="B176" s="45" t="s">
        <v>775</v>
      </c>
      <c r="C176" s="46">
        <v>0</v>
      </c>
      <c r="D176" s="45">
        <v>41874</v>
      </c>
      <c r="E176" s="47"/>
    </row>
    <row r="177" spans="1:5" ht="33.6">
      <c r="A177" s="44" t="s">
        <v>1442</v>
      </c>
      <c r="B177" s="45" t="s">
        <v>777</v>
      </c>
      <c r="C177" s="46">
        <v>0</v>
      </c>
      <c r="D177" s="45">
        <v>41874</v>
      </c>
      <c r="E177" s="47"/>
    </row>
    <row r="178" spans="1:5" ht="16.8">
      <c r="A178" s="44" t="s">
        <v>778</v>
      </c>
      <c r="B178" s="45" t="s">
        <v>779</v>
      </c>
      <c r="C178" s="46">
        <v>0</v>
      </c>
      <c r="D178" s="45">
        <v>41874</v>
      </c>
      <c r="E178" s="47"/>
    </row>
    <row r="179" spans="1:5" ht="16.8">
      <c r="A179" s="44" t="s">
        <v>780</v>
      </c>
      <c r="B179" s="45" t="s">
        <v>781</v>
      </c>
      <c r="C179" s="46">
        <v>0</v>
      </c>
      <c r="D179" s="45">
        <v>41874</v>
      </c>
      <c r="E179" s="47"/>
    </row>
    <row r="180" spans="1:5" ht="16.8">
      <c r="A180" s="44" t="s">
        <v>782</v>
      </c>
      <c r="B180" s="45" t="s">
        <v>783</v>
      </c>
      <c r="C180" s="46">
        <v>0</v>
      </c>
      <c r="D180" s="45">
        <v>41874</v>
      </c>
      <c r="E180" s="47"/>
    </row>
    <row r="181" spans="1:5" ht="33.6">
      <c r="A181" s="44" t="s">
        <v>1443</v>
      </c>
      <c r="B181" s="45" t="s">
        <v>785</v>
      </c>
      <c r="C181" s="46">
        <v>0</v>
      </c>
      <c r="D181" s="45">
        <v>41874</v>
      </c>
      <c r="E181" s="47"/>
    </row>
    <row r="182" spans="1:5" ht="33.6">
      <c r="A182" s="44" t="s">
        <v>786</v>
      </c>
      <c r="B182" s="45" t="s">
        <v>787</v>
      </c>
      <c r="C182" s="46">
        <v>0</v>
      </c>
      <c r="D182" s="45">
        <v>41874</v>
      </c>
      <c r="E182" s="47"/>
    </row>
    <row r="183" spans="1:5" ht="33.6">
      <c r="A183" s="44" t="s">
        <v>1444</v>
      </c>
      <c r="B183" s="45" t="s">
        <v>789</v>
      </c>
      <c r="C183" s="46">
        <v>0</v>
      </c>
      <c r="D183" s="45">
        <v>41874</v>
      </c>
      <c r="E183" s="47"/>
    </row>
    <row r="184" spans="1:5" ht="16.8">
      <c r="A184" s="44" t="s">
        <v>790</v>
      </c>
      <c r="B184" s="45" t="s">
        <v>791</v>
      </c>
      <c r="C184" s="46">
        <v>0</v>
      </c>
      <c r="D184" s="45">
        <v>41874</v>
      </c>
      <c r="E184" s="47"/>
    </row>
    <row r="185" spans="1:5" ht="33.6">
      <c r="A185" s="44" t="s">
        <v>1445</v>
      </c>
      <c r="B185" s="45" t="s">
        <v>793</v>
      </c>
      <c r="C185" s="46">
        <v>0</v>
      </c>
      <c r="D185" s="45">
        <v>41874</v>
      </c>
      <c r="E185" s="47"/>
    </row>
    <row r="186" spans="1:5" ht="33.6">
      <c r="A186" s="44" t="s">
        <v>794</v>
      </c>
      <c r="B186" s="45" t="s">
        <v>795</v>
      </c>
      <c r="C186" s="46">
        <v>0</v>
      </c>
      <c r="D186" s="45">
        <v>41874</v>
      </c>
      <c r="E186" s="47"/>
    </row>
    <row r="187" spans="1:5" ht="16.8">
      <c r="A187" s="44" t="s">
        <v>796</v>
      </c>
      <c r="B187" s="45" t="s">
        <v>797</v>
      </c>
      <c r="C187" s="46">
        <v>0</v>
      </c>
      <c r="D187" s="45">
        <v>41874</v>
      </c>
      <c r="E187" s="47"/>
    </row>
    <row r="188" spans="1:5" ht="33.6">
      <c r="A188" s="44" t="s">
        <v>798</v>
      </c>
      <c r="B188" s="45" t="s">
        <v>799</v>
      </c>
      <c r="C188" s="46">
        <v>0</v>
      </c>
      <c r="D188" s="45">
        <v>41874</v>
      </c>
      <c r="E188" s="47"/>
    </row>
    <row r="189" spans="1:5" ht="16.8">
      <c r="A189" s="44" t="s">
        <v>1446</v>
      </c>
      <c r="B189" s="45" t="s">
        <v>801</v>
      </c>
      <c r="C189" s="46">
        <v>0</v>
      </c>
      <c r="D189" s="45">
        <v>41874</v>
      </c>
      <c r="E189" s="47"/>
    </row>
    <row r="190" spans="1:5" ht="16.8">
      <c r="A190" s="44" t="s">
        <v>1447</v>
      </c>
      <c r="B190" s="45" t="s">
        <v>803</v>
      </c>
      <c r="C190" s="46">
        <v>0</v>
      </c>
      <c r="D190" s="45">
        <v>41874</v>
      </c>
      <c r="E190" s="47"/>
    </row>
    <row r="191" spans="1:5" ht="16.8">
      <c r="A191" s="44" t="s">
        <v>804</v>
      </c>
      <c r="B191" s="45" t="s">
        <v>805</v>
      </c>
      <c r="C191" s="46">
        <v>0</v>
      </c>
      <c r="D191" s="45">
        <v>41874</v>
      </c>
      <c r="E191" s="47"/>
    </row>
    <row r="192" spans="1:5" ht="16.8">
      <c r="A192" s="44" t="s">
        <v>806</v>
      </c>
      <c r="B192" s="45" t="s">
        <v>807</v>
      </c>
      <c r="C192" s="46">
        <v>0</v>
      </c>
      <c r="D192" s="45">
        <v>41874</v>
      </c>
      <c r="E192" s="47"/>
    </row>
    <row r="193" spans="1:5" ht="16.8">
      <c r="A193" s="44" t="s">
        <v>808</v>
      </c>
      <c r="B193" s="45" t="s">
        <v>809</v>
      </c>
      <c r="C193" s="46">
        <v>0</v>
      </c>
      <c r="D193" s="45">
        <v>41874</v>
      </c>
      <c r="E193" s="47"/>
    </row>
    <row r="194" spans="1:5" ht="16.8">
      <c r="A194" s="44" t="s">
        <v>810</v>
      </c>
      <c r="B194" s="45" t="s">
        <v>811</v>
      </c>
      <c r="C194" s="46">
        <v>0</v>
      </c>
      <c r="D194" s="45">
        <v>41874</v>
      </c>
      <c r="E194" s="47"/>
    </row>
    <row r="195" spans="1:5" ht="16.8">
      <c r="A195" s="44" t="s">
        <v>812</v>
      </c>
      <c r="B195" s="45" t="s">
        <v>813</v>
      </c>
      <c r="C195" s="46">
        <v>0</v>
      </c>
      <c r="D195" s="45">
        <v>41874</v>
      </c>
      <c r="E195" s="47"/>
    </row>
    <row r="196" spans="1:5" ht="33.6">
      <c r="A196" s="44" t="s">
        <v>1448</v>
      </c>
      <c r="B196" s="45" t="s">
        <v>815</v>
      </c>
      <c r="C196" s="46">
        <v>0</v>
      </c>
      <c r="D196" s="45">
        <v>41874</v>
      </c>
      <c r="E196" s="47"/>
    </row>
    <row r="197" spans="1:5" ht="33.6">
      <c r="A197" s="44" t="s">
        <v>1449</v>
      </c>
      <c r="B197" s="45" t="s">
        <v>817</v>
      </c>
      <c r="C197" s="46">
        <v>0</v>
      </c>
      <c r="D197" s="45">
        <v>41874</v>
      </c>
      <c r="E197" s="47"/>
    </row>
    <row r="198" spans="1:5" ht="33.6">
      <c r="A198" s="44" t="s">
        <v>818</v>
      </c>
      <c r="B198" s="45" t="s">
        <v>819</v>
      </c>
      <c r="C198" s="46">
        <v>0</v>
      </c>
      <c r="D198" s="45">
        <v>41874</v>
      </c>
      <c r="E198" s="47"/>
    </row>
    <row r="199" spans="1:5" ht="33.6">
      <c r="A199" s="44" t="s">
        <v>1450</v>
      </c>
      <c r="B199" s="45" t="s">
        <v>821</v>
      </c>
      <c r="C199" s="46">
        <v>0</v>
      </c>
      <c r="D199" s="45">
        <v>41874</v>
      </c>
      <c r="E199" s="47"/>
    </row>
    <row r="200" spans="1:5" ht="16.8">
      <c r="A200" s="44" t="s">
        <v>822</v>
      </c>
      <c r="B200" s="45" t="s">
        <v>823</v>
      </c>
      <c r="C200" s="46">
        <v>0</v>
      </c>
      <c r="D200" s="45">
        <v>41874</v>
      </c>
      <c r="E200" s="47"/>
    </row>
    <row r="201" spans="1:5" ht="16.8">
      <c r="A201" s="44" t="s">
        <v>824</v>
      </c>
      <c r="B201" s="45" t="s">
        <v>825</v>
      </c>
      <c r="C201" s="46">
        <v>0</v>
      </c>
      <c r="D201" s="45">
        <v>41874</v>
      </c>
      <c r="E201" s="47"/>
    </row>
    <row r="202" spans="1:5" ht="33.6">
      <c r="A202" s="44" t="s">
        <v>1451</v>
      </c>
      <c r="B202" s="45" t="s">
        <v>827</v>
      </c>
      <c r="C202" s="46">
        <v>0</v>
      </c>
      <c r="D202" s="45">
        <v>41874</v>
      </c>
      <c r="E202" s="47"/>
    </row>
    <row r="203" spans="1:5" ht="16.8">
      <c r="A203" s="44" t="s">
        <v>828</v>
      </c>
      <c r="B203" s="45" t="s">
        <v>829</v>
      </c>
      <c r="C203" s="46">
        <v>0</v>
      </c>
      <c r="D203" s="45">
        <v>41874</v>
      </c>
      <c r="E203" s="47"/>
    </row>
    <row r="204" spans="1:5" ht="33.6">
      <c r="A204" s="44" t="s">
        <v>1433</v>
      </c>
      <c r="B204" s="45" t="s">
        <v>737</v>
      </c>
      <c r="C204" s="46">
        <v>0</v>
      </c>
      <c r="D204" s="45">
        <v>41876</v>
      </c>
      <c r="E204" s="47"/>
    </row>
    <row r="205" spans="1:5" ht="33.6">
      <c r="A205" s="44" t="s">
        <v>1427</v>
      </c>
      <c r="B205" s="45" t="s">
        <v>724</v>
      </c>
      <c r="C205" s="46">
        <v>0</v>
      </c>
      <c r="D205" s="45">
        <v>41877</v>
      </c>
      <c r="E205" s="47"/>
    </row>
    <row r="206" spans="1:5" ht="33.6">
      <c r="A206" s="44" t="s">
        <v>1428</v>
      </c>
      <c r="B206" s="45" t="s">
        <v>727</v>
      </c>
      <c r="C206" s="46">
        <v>0</v>
      </c>
      <c r="D206" s="45">
        <v>41877</v>
      </c>
      <c r="E206" s="47"/>
    </row>
    <row r="207" spans="1:5" ht="33.6">
      <c r="A207" s="44" t="s">
        <v>1429</v>
      </c>
      <c r="B207" s="45" t="s">
        <v>729</v>
      </c>
      <c r="C207" s="46">
        <v>0</v>
      </c>
      <c r="D207" s="45">
        <v>41877</v>
      </c>
      <c r="E207" s="47"/>
    </row>
    <row r="208" spans="1:5" ht="16.8">
      <c r="A208" s="44" t="s">
        <v>1430</v>
      </c>
      <c r="B208" s="45" t="s">
        <v>731</v>
      </c>
      <c r="C208" s="46">
        <v>0</v>
      </c>
      <c r="D208" s="45">
        <v>41877</v>
      </c>
      <c r="E208" s="47"/>
    </row>
    <row r="209" spans="1:5" ht="16.8">
      <c r="A209" s="44" t="s">
        <v>1431</v>
      </c>
      <c r="B209" s="45" t="s">
        <v>733</v>
      </c>
      <c r="C209" s="46">
        <v>0</v>
      </c>
      <c r="D209" s="45">
        <v>41877</v>
      </c>
      <c r="E209" s="47"/>
    </row>
    <row r="210" spans="1:5" ht="16.8">
      <c r="A210" s="44" t="s">
        <v>1432</v>
      </c>
      <c r="B210" s="45" t="s">
        <v>735</v>
      </c>
      <c r="C210" s="46">
        <v>0</v>
      </c>
      <c r="D210" s="45">
        <v>41877</v>
      </c>
      <c r="E210" s="47"/>
    </row>
    <row r="211" spans="1:5" ht="33.6">
      <c r="A211" s="48" t="s">
        <v>712</v>
      </c>
      <c r="B211" s="49" t="s">
        <v>713</v>
      </c>
      <c r="C211" s="50">
        <v>0</v>
      </c>
      <c r="D211" s="49">
        <v>41878</v>
      </c>
      <c r="E211" s="51"/>
    </row>
    <row r="212" spans="1:5" ht="33.6">
      <c r="A212" s="48" t="s">
        <v>1425</v>
      </c>
      <c r="B212" s="49" t="s">
        <v>716</v>
      </c>
      <c r="C212" s="50">
        <v>0</v>
      </c>
      <c r="D212" s="49">
        <v>41878</v>
      </c>
      <c r="E212" s="51"/>
    </row>
    <row r="213" spans="1:5" ht="33.6">
      <c r="A213" s="48" t="s">
        <v>1426</v>
      </c>
      <c r="B213" s="49" t="s">
        <v>718</v>
      </c>
      <c r="C213" s="50">
        <v>0</v>
      </c>
      <c r="D213" s="49">
        <v>41878</v>
      </c>
      <c r="E213" s="51"/>
    </row>
    <row r="214" spans="1:5" ht="16.8">
      <c r="A214" s="48" t="s">
        <v>719</v>
      </c>
      <c r="B214" s="49" t="s">
        <v>720</v>
      </c>
      <c r="C214" s="50">
        <v>0</v>
      </c>
      <c r="D214" s="49">
        <v>41878</v>
      </c>
      <c r="E214" s="51"/>
    </row>
    <row r="215" spans="1:5" ht="16.8">
      <c r="A215" s="48" t="s">
        <v>721</v>
      </c>
      <c r="B215" s="49" t="s">
        <v>722</v>
      </c>
      <c r="C215" s="50">
        <v>0</v>
      </c>
      <c r="D215" s="49">
        <v>41878</v>
      </c>
      <c r="E215" s="51"/>
    </row>
    <row r="216" spans="1:5" ht="84">
      <c r="A216" s="44" t="s">
        <v>1423</v>
      </c>
      <c r="B216" s="45" t="s">
        <v>709</v>
      </c>
      <c r="C216" s="46">
        <v>8.9</v>
      </c>
      <c r="D216" s="45">
        <v>41881</v>
      </c>
      <c r="E216" s="47" t="s">
        <v>1424</v>
      </c>
    </row>
    <row r="217" spans="1:5" ht="33.6">
      <c r="A217" s="44" t="s">
        <v>1421</v>
      </c>
      <c r="B217" s="45" t="s">
        <v>704</v>
      </c>
      <c r="C217" s="46">
        <v>75</v>
      </c>
      <c r="D217" s="45">
        <v>41882</v>
      </c>
      <c r="E217" s="47" t="s">
        <v>656</v>
      </c>
    </row>
    <row r="218" spans="1:5" ht="16.8">
      <c r="A218" s="44" t="s">
        <v>1422</v>
      </c>
      <c r="B218" s="45" t="s">
        <v>707</v>
      </c>
      <c r="C218" s="46">
        <v>7.9</v>
      </c>
      <c r="D218" s="45">
        <v>41882</v>
      </c>
      <c r="E218" s="47"/>
    </row>
    <row r="219" spans="1:5" ht="16.8">
      <c r="A219" s="44" t="s">
        <v>1420</v>
      </c>
      <c r="B219" s="45" t="s">
        <v>701</v>
      </c>
      <c r="C219" s="46">
        <v>7.9</v>
      </c>
      <c r="D219" s="45">
        <v>41883</v>
      </c>
      <c r="E219" s="47"/>
    </row>
    <row r="220" spans="1:5" ht="50.4">
      <c r="A220" s="44" t="s">
        <v>696</v>
      </c>
      <c r="B220" s="45" t="s">
        <v>697</v>
      </c>
      <c r="C220" s="46">
        <v>9.9</v>
      </c>
      <c r="D220" s="45">
        <v>41885</v>
      </c>
      <c r="E220" s="47" t="s">
        <v>699</v>
      </c>
    </row>
    <row r="221" spans="1:5" ht="16.8">
      <c r="A221" s="44" t="s">
        <v>1419</v>
      </c>
      <c r="B221" s="45" t="s">
        <v>692</v>
      </c>
      <c r="C221" s="46">
        <v>0</v>
      </c>
      <c r="D221" s="45">
        <v>41901</v>
      </c>
      <c r="E221" s="47"/>
    </row>
    <row r="222" spans="1:5" ht="16.8">
      <c r="A222" s="44" t="s">
        <v>694</v>
      </c>
      <c r="B222" s="45" t="s">
        <v>695</v>
      </c>
      <c r="C222" s="46">
        <v>0</v>
      </c>
      <c r="D222" s="45">
        <v>41901</v>
      </c>
      <c r="E222" s="47"/>
    </row>
    <row r="223" spans="1:5" ht="16.8">
      <c r="A223" s="44" t="s">
        <v>1418</v>
      </c>
      <c r="B223" s="45" t="s">
        <v>689</v>
      </c>
      <c r="C223" s="46">
        <v>7.9</v>
      </c>
      <c r="D223" s="45">
        <v>41918</v>
      </c>
      <c r="E223" s="47"/>
    </row>
    <row r="224" spans="1:5" ht="50.4">
      <c r="A224" s="44" t="s">
        <v>1417</v>
      </c>
      <c r="B224" s="45" t="s">
        <v>685</v>
      </c>
      <c r="C224" s="46">
        <v>79</v>
      </c>
      <c r="D224" s="45">
        <v>41919</v>
      </c>
      <c r="E224" s="47" t="s">
        <v>687</v>
      </c>
    </row>
    <row r="225" spans="1:5" ht="84">
      <c r="A225" s="44" t="s">
        <v>1415</v>
      </c>
      <c r="B225" s="45" t="s">
        <v>681</v>
      </c>
      <c r="C225" s="46">
        <v>8.9</v>
      </c>
      <c r="D225" s="45">
        <v>41927</v>
      </c>
      <c r="E225" s="47" t="s">
        <v>1416</v>
      </c>
    </row>
    <row r="226" spans="1:5" ht="50.4">
      <c r="A226" s="44" t="s">
        <v>664</v>
      </c>
      <c r="B226" s="45" t="s">
        <v>665</v>
      </c>
      <c r="C226" s="46">
        <v>2.9</v>
      </c>
      <c r="D226" s="45">
        <v>41935</v>
      </c>
      <c r="E226" s="47" t="s">
        <v>1411</v>
      </c>
    </row>
    <row r="227" spans="1:5" ht="67.2">
      <c r="A227" s="44" t="s">
        <v>668</v>
      </c>
      <c r="B227" s="45" t="s">
        <v>669</v>
      </c>
      <c r="C227" s="46">
        <v>2.9</v>
      </c>
      <c r="D227" s="45">
        <v>41935</v>
      </c>
      <c r="E227" s="47" t="s">
        <v>670</v>
      </c>
    </row>
    <row r="228" spans="1:5" ht="33.6">
      <c r="A228" s="44" t="s">
        <v>671</v>
      </c>
      <c r="B228" s="45" t="s">
        <v>672</v>
      </c>
      <c r="C228" s="46">
        <v>2.9</v>
      </c>
      <c r="D228" s="45">
        <v>41935</v>
      </c>
      <c r="E228" s="47" t="s">
        <v>1412</v>
      </c>
    </row>
    <row r="229" spans="1:5" ht="33.6">
      <c r="A229" s="44" t="s">
        <v>674</v>
      </c>
      <c r="B229" s="45" t="s">
        <v>675</v>
      </c>
      <c r="C229" s="46">
        <v>2.9</v>
      </c>
      <c r="D229" s="45">
        <v>41935</v>
      </c>
      <c r="E229" s="47" t="s">
        <v>1413</v>
      </c>
    </row>
    <row r="230" spans="1:5" ht="50.4">
      <c r="A230" s="44" t="s">
        <v>677</v>
      </c>
      <c r="B230" s="45" t="s">
        <v>678</v>
      </c>
      <c r="C230" s="46">
        <v>2.9</v>
      </c>
      <c r="D230" s="45">
        <v>41935</v>
      </c>
      <c r="E230" s="47" t="s">
        <v>1414</v>
      </c>
    </row>
    <row r="231" spans="1:5" ht="50.4">
      <c r="A231" s="44" t="s">
        <v>1403</v>
      </c>
      <c r="B231" s="45" t="s">
        <v>648</v>
      </c>
      <c r="C231" s="46">
        <v>79</v>
      </c>
      <c r="D231" s="45">
        <v>41936</v>
      </c>
      <c r="E231" s="47" t="s">
        <v>1404</v>
      </c>
    </row>
    <row r="232" spans="1:5" ht="50.4">
      <c r="A232" s="44" t="s">
        <v>1405</v>
      </c>
      <c r="B232" s="45" t="s">
        <v>652</v>
      </c>
      <c r="C232" s="46">
        <v>99</v>
      </c>
      <c r="D232" s="45">
        <v>41936</v>
      </c>
      <c r="E232" s="47" t="s">
        <v>1406</v>
      </c>
    </row>
    <row r="233" spans="1:5" ht="33.6">
      <c r="A233" s="44" t="s">
        <v>1407</v>
      </c>
      <c r="B233" s="45" t="s">
        <v>655</v>
      </c>
      <c r="C233" s="46">
        <v>99</v>
      </c>
      <c r="D233" s="45">
        <v>41936</v>
      </c>
      <c r="E233" s="47" t="s">
        <v>656</v>
      </c>
    </row>
    <row r="234" spans="1:5" ht="50.4">
      <c r="A234" s="44" t="s">
        <v>1408</v>
      </c>
      <c r="B234" s="45" t="s">
        <v>658</v>
      </c>
      <c r="C234" s="46">
        <v>123</v>
      </c>
      <c r="D234" s="45">
        <v>41936</v>
      </c>
      <c r="E234" s="47" t="s">
        <v>659</v>
      </c>
    </row>
    <row r="235" spans="1:5" ht="50.4">
      <c r="A235" s="44" t="s">
        <v>1409</v>
      </c>
      <c r="B235" s="45" t="s">
        <v>661</v>
      </c>
      <c r="C235" s="46">
        <v>109</v>
      </c>
      <c r="D235" s="45">
        <v>41936</v>
      </c>
      <c r="E235" s="47" t="s">
        <v>1406</v>
      </c>
    </row>
    <row r="236" spans="1:5" ht="33.6">
      <c r="A236" s="44" t="s">
        <v>1410</v>
      </c>
      <c r="B236" s="45" t="s">
        <v>663</v>
      </c>
      <c r="C236" s="46">
        <v>109</v>
      </c>
      <c r="D236" s="45">
        <v>41936</v>
      </c>
      <c r="E236" s="47" t="s">
        <v>659</v>
      </c>
    </row>
    <row r="237" spans="1:5" ht="16.8">
      <c r="A237" s="44" t="s">
        <v>1402</v>
      </c>
      <c r="B237" s="45" t="s">
        <v>643</v>
      </c>
      <c r="C237" s="46">
        <v>0</v>
      </c>
      <c r="D237" s="45">
        <v>41940</v>
      </c>
      <c r="E237" s="47"/>
    </row>
    <row r="238" spans="1:5" ht="16.8">
      <c r="A238" s="44" t="s">
        <v>645</v>
      </c>
      <c r="B238" s="45" t="s">
        <v>646</v>
      </c>
      <c r="C238" s="46">
        <v>0</v>
      </c>
      <c r="D238" s="45">
        <v>41940</v>
      </c>
      <c r="E238" s="47"/>
    </row>
    <row r="239" spans="1:5" ht="50.4">
      <c r="A239" s="44" t="s">
        <v>1401</v>
      </c>
      <c r="B239" s="45" t="s">
        <v>639</v>
      </c>
      <c r="C239" s="46">
        <v>99</v>
      </c>
      <c r="D239" s="45">
        <v>41945</v>
      </c>
      <c r="E239" s="47" t="s">
        <v>641</v>
      </c>
    </row>
    <row r="240" spans="1:5" ht="33.6">
      <c r="A240" s="44" t="s">
        <v>1399</v>
      </c>
      <c r="B240" s="45" t="s">
        <v>631</v>
      </c>
      <c r="C240" s="46">
        <v>110</v>
      </c>
      <c r="D240" s="45">
        <v>41946</v>
      </c>
      <c r="E240" s="47"/>
    </row>
    <row r="241" spans="1:5" ht="16.8">
      <c r="A241" s="44" t="s">
        <v>633</v>
      </c>
      <c r="B241" s="45" t="s">
        <v>634</v>
      </c>
      <c r="C241" s="46">
        <v>29.9</v>
      </c>
      <c r="D241" s="45">
        <v>41946</v>
      </c>
      <c r="E241" s="47" t="s">
        <v>635</v>
      </c>
    </row>
    <row r="242" spans="1:5" ht="16.8">
      <c r="A242" s="44" t="s">
        <v>1400</v>
      </c>
      <c r="B242" s="45" t="s">
        <v>637</v>
      </c>
      <c r="C242" s="46">
        <v>7.9</v>
      </c>
      <c r="D242" s="45">
        <v>41946</v>
      </c>
      <c r="E242" s="47"/>
    </row>
    <row r="243" spans="1:5" ht="16.8">
      <c r="A243" s="52" t="s">
        <v>627</v>
      </c>
      <c r="B243" s="53" t="s">
        <v>628</v>
      </c>
      <c r="C243" s="54">
        <v>99</v>
      </c>
      <c r="D243" s="53">
        <v>41948</v>
      </c>
      <c r="E243" s="55"/>
    </row>
    <row r="244" spans="1:5" ht="33.6">
      <c r="A244" s="44" t="s">
        <v>1398</v>
      </c>
      <c r="B244" s="45" t="s">
        <v>625</v>
      </c>
      <c r="C244" s="46">
        <v>7.9</v>
      </c>
      <c r="D244" s="45">
        <v>41962</v>
      </c>
      <c r="E244" s="47"/>
    </row>
    <row r="245" spans="1:5" ht="16.8">
      <c r="A245" s="44" t="s">
        <v>616</v>
      </c>
      <c r="B245" s="45" t="s">
        <v>617</v>
      </c>
      <c r="C245" s="46">
        <v>0</v>
      </c>
      <c r="D245" s="45">
        <v>41971</v>
      </c>
      <c r="E245" s="47"/>
    </row>
    <row r="246" spans="1:5" ht="16.8">
      <c r="A246" s="44" t="s">
        <v>1396</v>
      </c>
      <c r="B246" s="45" t="s">
        <v>620</v>
      </c>
      <c r="C246" s="46">
        <v>0</v>
      </c>
      <c r="D246" s="45">
        <v>41971</v>
      </c>
      <c r="E246" s="47"/>
    </row>
    <row r="247" spans="1:5" ht="33.6">
      <c r="A247" s="44" t="s">
        <v>1397</v>
      </c>
      <c r="B247" s="45" t="s">
        <v>622</v>
      </c>
      <c r="C247" s="46">
        <v>0</v>
      </c>
      <c r="D247" s="45">
        <v>41971</v>
      </c>
      <c r="E247" s="47" t="s">
        <v>623</v>
      </c>
    </row>
    <row r="248" spans="1:5" ht="16.8">
      <c r="A248" s="44" t="s">
        <v>1395</v>
      </c>
      <c r="B248" s="45" t="s">
        <v>614</v>
      </c>
      <c r="C248" s="46">
        <v>7.9</v>
      </c>
      <c r="D248" s="45">
        <v>41974</v>
      </c>
      <c r="E248" s="47"/>
    </row>
    <row r="249" spans="1:5" ht="33.6">
      <c r="A249" s="44" t="s">
        <v>609</v>
      </c>
      <c r="B249" s="45" t="s">
        <v>610</v>
      </c>
      <c r="C249" s="46">
        <v>9.9</v>
      </c>
      <c r="D249" s="45">
        <v>41976</v>
      </c>
      <c r="E249" s="47" t="s">
        <v>612</v>
      </c>
    </row>
    <row r="250" spans="1:5" ht="67.2">
      <c r="A250" s="44" t="s">
        <v>1393</v>
      </c>
      <c r="B250" s="45" t="s">
        <v>606</v>
      </c>
      <c r="C250" s="46">
        <v>8.9</v>
      </c>
      <c r="D250" s="45">
        <v>41990</v>
      </c>
      <c r="E250" s="47" t="s">
        <v>1394</v>
      </c>
    </row>
    <row r="251" spans="1:5" ht="16.8">
      <c r="A251" s="44" t="s">
        <v>1391</v>
      </c>
      <c r="B251" s="45" t="s">
        <v>599</v>
      </c>
      <c r="C251" s="46">
        <v>0</v>
      </c>
      <c r="D251" s="45">
        <v>42009</v>
      </c>
      <c r="E251" s="47"/>
    </row>
    <row r="252" spans="1:5" ht="16.8">
      <c r="A252" s="44" t="s">
        <v>601</v>
      </c>
      <c r="B252" s="45" t="s">
        <v>602</v>
      </c>
      <c r="C252" s="46">
        <v>0</v>
      </c>
      <c r="D252" s="45">
        <v>42009</v>
      </c>
      <c r="E252" s="47"/>
    </row>
    <row r="253" spans="1:5" ht="16.8">
      <c r="A253" s="44" t="s">
        <v>1392</v>
      </c>
      <c r="B253" s="45" t="s">
        <v>604</v>
      </c>
      <c r="C253" s="46">
        <v>7.9</v>
      </c>
      <c r="D253" s="45">
        <v>42009</v>
      </c>
      <c r="E253" s="47"/>
    </row>
    <row r="254" spans="1:5" ht="16.8">
      <c r="A254" s="48" t="s">
        <v>592</v>
      </c>
      <c r="B254" s="49" t="s">
        <v>593</v>
      </c>
      <c r="C254" s="50">
        <v>0</v>
      </c>
      <c r="D254" s="49">
        <v>42037</v>
      </c>
      <c r="E254" s="51" t="s">
        <v>595</v>
      </c>
    </row>
    <row r="255" spans="1:5" ht="16.8">
      <c r="A255" s="44" t="s">
        <v>1390</v>
      </c>
      <c r="B255" s="45" t="s">
        <v>597</v>
      </c>
      <c r="C255" s="46">
        <v>7.9</v>
      </c>
      <c r="D255" s="45">
        <v>42037</v>
      </c>
      <c r="E255" s="47"/>
    </row>
    <row r="256" spans="1:5" ht="16.8">
      <c r="A256" s="44" t="s">
        <v>1389</v>
      </c>
      <c r="B256" s="45" t="s">
        <v>590</v>
      </c>
      <c r="C256" s="46">
        <v>0</v>
      </c>
      <c r="D256" s="45">
        <v>42038</v>
      </c>
      <c r="E256" s="47"/>
    </row>
    <row r="257" spans="1:5" ht="16.8">
      <c r="A257" s="44" t="s">
        <v>586</v>
      </c>
      <c r="B257" s="45" t="s">
        <v>587</v>
      </c>
      <c r="C257" s="46">
        <v>0</v>
      </c>
      <c r="D257" s="45">
        <v>42041</v>
      </c>
      <c r="E257" s="47"/>
    </row>
    <row r="258" spans="1:5" ht="117.6">
      <c r="A258" s="44" t="s">
        <v>1387</v>
      </c>
      <c r="B258" s="45" t="s">
        <v>583</v>
      </c>
      <c r="C258" s="46">
        <v>8.9</v>
      </c>
      <c r="D258" s="45">
        <v>42053</v>
      </c>
      <c r="E258" s="47" t="s">
        <v>1388</v>
      </c>
    </row>
    <row r="259" spans="1:5" ht="16.8">
      <c r="A259" s="48" t="s">
        <v>1384</v>
      </c>
      <c r="B259" s="49" t="s">
        <v>577</v>
      </c>
      <c r="C259" s="50">
        <v>0</v>
      </c>
      <c r="D259" s="49">
        <v>42065</v>
      </c>
      <c r="E259" s="51" t="s">
        <v>1385</v>
      </c>
    </row>
    <row r="260" spans="1:5" ht="16.8">
      <c r="A260" s="44" t="s">
        <v>1386</v>
      </c>
      <c r="B260" s="45" t="s">
        <v>581</v>
      </c>
      <c r="C260" s="46">
        <v>7.9</v>
      </c>
      <c r="D260" s="45">
        <v>42065</v>
      </c>
      <c r="E260" s="47"/>
    </row>
    <row r="261" spans="1:5" ht="16.8">
      <c r="A261" s="44" t="s">
        <v>1383</v>
      </c>
      <c r="B261" s="45" t="s">
        <v>574</v>
      </c>
      <c r="C261" s="46">
        <v>0</v>
      </c>
      <c r="D261" s="45">
        <v>42066</v>
      </c>
      <c r="E261" s="47"/>
    </row>
    <row r="262" spans="1:5" ht="16.8">
      <c r="A262" s="44" t="s">
        <v>570</v>
      </c>
      <c r="B262" s="45" t="s">
        <v>571</v>
      </c>
      <c r="C262" s="46">
        <v>0</v>
      </c>
      <c r="D262" s="45">
        <v>42069</v>
      </c>
      <c r="E262" s="47"/>
    </row>
    <row r="263" spans="1:5" ht="16.8">
      <c r="A263" s="56" t="s">
        <v>1380</v>
      </c>
      <c r="B263" s="57" t="s">
        <v>564</v>
      </c>
      <c r="C263" s="58">
        <v>63</v>
      </c>
      <c r="D263" s="57">
        <v>42083</v>
      </c>
      <c r="E263" s="59"/>
    </row>
    <row r="264" spans="1:5" ht="50.4">
      <c r="A264" s="56" t="s">
        <v>1381</v>
      </c>
      <c r="B264" s="57" t="s">
        <v>567</v>
      </c>
      <c r="C264" s="58">
        <v>105</v>
      </c>
      <c r="D264" s="57">
        <v>42083</v>
      </c>
      <c r="E264" s="59"/>
    </row>
    <row r="265" spans="1:5" ht="33.6">
      <c r="A265" s="56" t="s">
        <v>1382</v>
      </c>
      <c r="B265" s="57" t="s">
        <v>569</v>
      </c>
      <c r="C265" s="58">
        <v>40</v>
      </c>
      <c r="D265" s="57">
        <v>42083</v>
      </c>
      <c r="E265" s="59"/>
    </row>
    <row r="266" spans="1:5" ht="50.4">
      <c r="A266" s="44" t="s">
        <v>559</v>
      </c>
      <c r="B266" s="45" t="s">
        <v>560</v>
      </c>
      <c r="C266" s="46">
        <v>9.9</v>
      </c>
      <c r="D266" s="45">
        <v>42088</v>
      </c>
      <c r="E266" s="47" t="s">
        <v>1379</v>
      </c>
    </row>
    <row r="267" spans="1:5" ht="33.6">
      <c r="A267" s="44" t="s">
        <v>553</v>
      </c>
      <c r="B267" s="45" t="s">
        <v>554</v>
      </c>
      <c r="C267" s="46">
        <v>9.9</v>
      </c>
      <c r="D267" s="45">
        <v>42101</v>
      </c>
      <c r="E267" s="47" t="s">
        <v>1377</v>
      </c>
    </row>
    <row r="268" spans="1:5" ht="16.8">
      <c r="A268" s="44" t="s">
        <v>1378</v>
      </c>
      <c r="B268" s="45" t="s">
        <v>558</v>
      </c>
      <c r="C268" s="46">
        <v>7.9</v>
      </c>
      <c r="D268" s="45">
        <v>42101</v>
      </c>
      <c r="E268" s="47"/>
    </row>
    <row r="269" spans="1:5" ht="151.19999999999999">
      <c r="A269" s="44" t="s">
        <v>1375</v>
      </c>
      <c r="B269" s="45" t="s">
        <v>550</v>
      </c>
      <c r="C269" s="46">
        <v>8.9</v>
      </c>
      <c r="D269" s="45">
        <v>42109</v>
      </c>
      <c r="E269" s="47" t="s">
        <v>1376</v>
      </c>
    </row>
    <row r="270" spans="1:5" ht="33.6">
      <c r="A270" s="48" t="s">
        <v>543</v>
      </c>
      <c r="B270" s="49" t="s">
        <v>544</v>
      </c>
      <c r="C270" s="50">
        <v>0</v>
      </c>
      <c r="D270" s="49">
        <v>42128</v>
      </c>
      <c r="E270" s="51" t="s">
        <v>546</v>
      </c>
    </row>
    <row r="271" spans="1:5" ht="16.8">
      <c r="A271" s="44" t="s">
        <v>1374</v>
      </c>
      <c r="B271" s="45" t="s">
        <v>548</v>
      </c>
      <c r="C271" s="46">
        <v>7.9</v>
      </c>
      <c r="D271" s="45">
        <v>42128</v>
      </c>
      <c r="E271" s="47"/>
    </row>
    <row r="272" spans="1:5" ht="16.8">
      <c r="A272" s="44" t="s">
        <v>1373</v>
      </c>
      <c r="B272" s="45" t="s">
        <v>539</v>
      </c>
      <c r="C272" s="46">
        <v>0</v>
      </c>
      <c r="D272" s="45">
        <v>42131</v>
      </c>
      <c r="E272" s="47"/>
    </row>
    <row r="273" spans="1:5" ht="16.8">
      <c r="A273" s="44" t="s">
        <v>541</v>
      </c>
      <c r="B273" s="45" t="s">
        <v>542</v>
      </c>
      <c r="C273" s="46">
        <v>0</v>
      </c>
      <c r="D273" s="45">
        <v>42131</v>
      </c>
      <c r="E273" s="47"/>
    </row>
    <row r="274" spans="1:5" ht="33.6">
      <c r="A274" s="44" t="s">
        <v>1372</v>
      </c>
      <c r="B274" s="45" t="s">
        <v>536</v>
      </c>
      <c r="C274" s="46">
        <v>8.9</v>
      </c>
      <c r="D274" s="45">
        <v>42143</v>
      </c>
      <c r="E274" s="47"/>
    </row>
    <row r="275" spans="1:5" ht="50.4">
      <c r="A275" s="52" t="s">
        <v>532</v>
      </c>
      <c r="B275" s="53" t="s">
        <v>533</v>
      </c>
      <c r="C275" s="54">
        <v>0</v>
      </c>
      <c r="D275" s="53">
        <v>42150</v>
      </c>
      <c r="E275" s="55"/>
    </row>
    <row r="276" spans="1:5" ht="168">
      <c r="A276" s="44" t="s">
        <v>1370</v>
      </c>
      <c r="B276" s="45" t="s">
        <v>529</v>
      </c>
      <c r="C276" s="46">
        <v>7.9</v>
      </c>
      <c r="D276" s="45">
        <v>42156</v>
      </c>
      <c r="E276" s="47" t="s">
        <v>1371</v>
      </c>
    </row>
    <row r="277" spans="1:5" ht="50.4">
      <c r="A277" s="44" t="s">
        <v>524</v>
      </c>
      <c r="B277" s="45" t="s">
        <v>525</v>
      </c>
      <c r="C277" s="46">
        <v>9.9</v>
      </c>
      <c r="D277" s="45">
        <v>42165</v>
      </c>
      <c r="E277" s="47" t="s">
        <v>527</v>
      </c>
    </row>
    <row r="278" spans="1:5" ht="16.8">
      <c r="A278" s="44" t="s">
        <v>1369</v>
      </c>
      <c r="B278" s="45" t="s">
        <v>522</v>
      </c>
      <c r="C278" s="46">
        <v>0</v>
      </c>
      <c r="D278" s="45">
        <v>42166</v>
      </c>
      <c r="E278" s="47"/>
    </row>
    <row r="279" spans="1:5" ht="168">
      <c r="A279" s="44" t="s">
        <v>1367</v>
      </c>
      <c r="B279" s="45" t="s">
        <v>518</v>
      </c>
      <c r="C279" s="46">
        <v>8.9</v>
      </c>
      <c r="D279" s="45">
        <v>42172</v>
      </c>
      <c r="E279" s="47" t="s">
        <v>1368</v>
      </c>
    </row>
    <row r="280" spans="1:5" ht="134.4">
      <c r="A280" s="44" t="s">
        <v>1365</v>
      </c>
      <c r="B280" s="45" t="s">
        <v>514</v>
      </c>
      <c r="C280" s="46">
        <v>7.9</v>
      </c>
      <c r="D280" s="45">
        <v>42191</v>
      </c>
      <c r="E280" s="47" t="s">
        <v>1366</v>
      </c>
    </row>
    <row r="281" spans="1:5" ht="16.8">
      <c r="A281" s="44" t="s">
        <v>1364</v>
      </c>
      <c r="B281" s="45" t="s">
        <v>510</v>
      </c>
      <c r="C281" s="46">
        <v>0</v>
      </c>
      <c r="D281" s="45">
        <v>42218</v>
      </c>
      <c r="E281" s="47" t="s">
        <v>512</v>
      </c>
    </row>
    <row r="282" spans="1:5" ht="16.8">
      <c r="A282" s="48" t="s">
        <v>502</v>
      </c>
      <c r="B282" s="49" t="s">
        <v>503</v>
      </c>
      <c r="C282" s="50">
        <v>0</v>
      </c>
      <c r="D282" s="49">
        <v>42219</v>
      </c>
      <c r="E282" s="51" t="s">
        <v>505</v>
      </c>
    </row>
    <row r="283" spans="1:5" ht="151.19999999999999">
      <c r="A283" s="44" t="s">
        <v>1362</v>
      </c>
      <c r="B283" s="45" t="s">
        <v>507</v>
      </c>
      <c r="C283" s="46">
        <v>7.9</v>
      </c>
      <c r="D283" s="45">
        <v>42219</v>
      </c>
      <c r="E283" s="47" t="s">
        <v>1363</v>
      </c>
    </row>
    <row r="284" spans="1:5" ht="134.4">
      <c r="A284" s="44" t="s">
        <v>1360</v>
      </c>
      <c r="B284" s="45" t="s">
        <v>499</v>
      </c>
      <c r="C284" s="46">
        <v>8.9</v>
      </c>
      <c r="D284" s="45">
        <v>42235</v>
      </c>
      <c r="E284" s="47" t="s">
        <v>1361</v>
      </c>
    </row>
    <row r="285" spans="1:5" ht="134.4">
      <c r="A285" s="44" t="s">
        <v>1358</v>
      </c>
      <c r="B285" s="45" t="s">
        <v>495</v>
      </c>
      <c r="C285" s="46">
        <v>7.9</v>
      </c>
      <c r="D285" s="45">
        <v>42254</v>
      </c>
      <c r="E285" s="47" t="s">
        <v>1359</v>
      </c>
    </row>
    <row r="286" spans="1:5" ht="33.6">
      <c r="A286" s="44" t="s">
        <v>490</v>
      </c>
      <c r="B286" s="45" t="s">
        <v>491</v>
      </c>
      <c r="C286" s="46">
        <v>9.9</v>
      </c>
      <c r="D286" s="45">
        <v>42256</v>
      </c>
      <c r="E286" s="47" t="s">
        <v>493</v>
      </c>
    </row>
    <row r="287" spans="1:5" ht="16.8">
      <c r="A287" s="44" t="s">
        <v>484</v>
      </c>
      <c r="B287" s="45" t="s">
        <v>485</v>
      </c>
      <c r="C287" s="46">
        <v>0</v>
      </c>
      <c r="D287" s="45">
        <v>42282</v>
      </c>
      <c r="E287" s="47"/>
    </row>
    <row r="288" spans="1:5" ht="67.2">
      <c r="A288" s="44" t="s">
        <v>1356</v>
      </c>
      <c r="B288" s="45" t="s">
        <v>488</v>
      </c>
      <c r="C288" s="46">
        <v>7.9</v>
      </c>
      <c r="D288" s="45">
        <v>42282</v>
      </c>
      <c r="E288" s="47" t="s">
        <v>1357</v>
      </c>
    </row>
    <row r="289" spans="1:5" ht="117.6">
      <c r="A289" s="44" t="s">
        <v>1354</v>
      </c>
      <c r="B289" s="45" t="s">
        <v>481</v>
      </c>
      <c r="C289" s="46">
        <v>8.9</v>
      </c>
      <c r="D289" s="45">
        <v>42291</v>
      </c>
      <c r="E289" s="47" t="s">
        <v>1355</v>
      </c>
    </row>
    <row r="290" spans="1:5" ht="33.6">
      <c r="A290" s="60" t="s">
        <v>476</v>
      </c>
      <c r="B290" s="45" t="s">
        <v>477</v>
      </c>
      <c r="C290" s="46">
        <v>9.9</v>
      </c>
      <c r="D290" s="45">
        <v>42305</v>
      </c>
      <c r="E290" s="47" t="s">
        <v>1353</v>
      </c>
    </row>
    <row r="291" spans="1:5" ht="117.6">
      <c r="A291" s="44" t="s">
        <v>1351</v>
      </c>
      <c r="B291" s="45" t="s">
        <v>473</v>
      </c>
      <c r="C291" s="46">
        <v>7.9</v>
      </c>
      <c r="D291" s="45">
        <v>42310</v>
      </c>
      <c r="E291" s="47" t="s">
        <v>1352</v>
      </c>
    </row>
    <row r="292" spans="1:5" ht="50.4">
      <c r="A292" s="44" t="s">
        <v>1350</v>
      </c>
      <c r="B292" s="45" t="s">
        <v>470</v>
      </c>
      <c r="C292" s="46">
        <v>10.9</v>
      </c>
      <c r="D292" s="45">
        <v>42342</v>
      </c>
      <c r="E292" s="47"/>
    </row>
    <row r="293" spans="1:5" ht="16.8">
      <c r="A293" s="60" t="s">
        <v>465</v>
      </c>
      <c r="B293" s="45" t="s">
        <v>466</v>
      </c>
      <c r="C293" s="46">
        <v>29.9</v>
      </c>
      <c r="D293" s="45">
        <v>42344</v>
      </c>
      <c r="E293" s="47" t="s">
        <v>468</v>
      </c>
    </row>
    <row r="294" spans="1:5" ht="67.2">
      <c r="A294" s="44" t="s">
        <v>1348</v>
      </c>
      <c r="B294" s="45" t="s">
        <v>462</v>
      </c>
      <c r="C294" s="46">
        <v>7.9</v>
      </c>
      <c r="D294" s="45">
        <v>42345</v>
      </c>
      <c r="E294" s="47" t="s">
        <v>1349</v>
      </c>
    </row>
    <row r="295" spans="1:5" ht="33.6">
      <c r="A295" s="61" t="s">
        <v>457</v>
      </c>
      <c r="B295" s="45" t="s">
        <v>458</v>
      </c>
      <c r="C295" s="46">
        <v>9.9</v>
      </c>
      <c r="D295" s="45">
        <v>42347</v>
      </c>
      <c r="E295" s="47" t="s">
        <v>1347</v>
      </c>
    </row>
    <row r="296" spans="1:5" ht="67.2">
      <c r="A296" s="44" t="s">
        <v>1345</v>
      </c>
      <c r="B296" s="45" t="s">
        <v>454</v>
      </c>
      <c r="C296" s="46">
        <v>8.9</v>
      </c>
      <c r="D296" s="45">
        <v>42354</v>
      </c>
      <c r="E296" s="47" t="s">
        <v>1346</v>
      </c>
    </row>
    <row r="297" spans="1:5" ht="16.8">
      <c r="A297" s="60" t="s">
        <v>1344</v>
      </c>
      <c r="B297" s="45" t="s">
        <v>451</v>
      </c>
      <c r="C297" s="46">
        <v>7.9</v>
      </c>
      <c r="D297" s="45">
        <v>42373</v>
      </c>
      <c r="E297" s="47"/>
    </row>
    <row r="298" spans="1:5" ht="50.4">
      <c r="A298" s="44" t="s">
        <v>1342</v>
      </c>
      <c r="B298" s="45" t="s">
        <v>447</v>
      </c>
      <c r="C298" s="46">
        <v>7.9</v>
      </c>
      <c r="D298" s="45">
        <v>42401</v>
      </c>
      <c r="E298" s="47" t="s">
        <v>1343</v>
      </c>
    </row>
    <row r="299" spans="1:5" ht="50.4">
      <c r="A299" s="44" t="s">
        <v>1340</v>
      </c>
      <c r="B299" s="45" t="s">
        <v>443</v>
      </c>
      <c r="C299" s="46">
        <v>8.9</v>
      </c>
      <c r="D299" s="45">
        <v>42417</v>
      </c>
      <c r="E299" s="47" t="s">
        <v>1341</v>
      </c>
    </row>
    <row r="300" spans="1:5" ht="50.4">
      <c r="A300" s="60" t="s">
        <v>438</v>
      </c>
      <c r="B300" s="45" t="s">
        <v>439</v>
      </c>
      <c r="C300" s="46">
        <v>9.9</v>
      </c>
      <c r="D300" s="45">
        <v>42424</v>
      </c>
      <c r="E300" s="47" t="s">
        <v>1339</v>
      </c>
    </row>
    <row r="301" spans="1:5" ht="33.6">
      <c r="A301" s="44" t="s">
        <v>434</v>
      </c>
      <c r="B301" s="45" t="s">
        <v>435</v>
      </c>
      <c r="C301" s="46">
        <v>0</v>
      </c>
      <c r="D301" s="45">
        <v>42425</v>
      </c>
      <c r="E301" s="47" t="s">
        <v>437</v>
      </c>
    </row>
    <row r="302" spans="1:5" ht="16.8">
      <c r="A302" s="52" t="s">
        <v>1338</v>
      </c>
      <c r="B302" s="53" t="s">
        <v>432</v>
      </c>
      <c r="C302" s="54">
        <v>7.9</v>
      </c>
      <c r="D302" s="53">
        <v>42436</v>
      </c>
      <c r="E302" s="55"/>
    </row>
    <row r="303" spans="1:5" ht="16.8">
      <c r="A303" s="52" t="s">
        <v>1337</v>
      </c>
      <c r="B303" s="53" t="s">
        <v>429</v>
      </c>
      <c r="C303" s="54">
        <v>7.9</v>
      </c>
      <c r="D303" s="53">
        <v>42464</v>
      </c>
      <c r="E303" s="55"/>
    </row>
    <row r="304" spans="1:5" ht="16.8">
      <c r="A304" s="52" t="s">
        <v>1336</v>
      </c>
      <c r="B304" s="53" t="s">
        <v>426</v>
      </c>
      <c r="C304" s="54">
        <v>8.9</v>
      </c>
      <c r="D304" s="53">
        <v>42489</v>
      </c>
      <c r="E304" s="55"/>
    </row>
    <row r="305" spans="1:5" ht="16.8">
      <c r="A305" s="52" t="s">
        <v>1335</v>
      </c>
      <c r="B305" s="53" t="s">
        <v>423</v>
      </c>
      <c r="C305" s="54">
        <v>7.9</v>
      </c>
      <c r="D305" s="53">
        <v>42492</v>
      </c>
      <c r="E305" s="55"/>
    </row>
    <row r="306" spans="1:5" ht="16.8">
      <c r="A306" s="52" t="s">
        <v>1334</v>
      </c>
      <c r="B306" s="53" t="s">
        <v>420</v>
      </c>
      <c r="C306" s="54">
        <v>7.9</v>
      </c>
      <c r="D306" s="53">
        <v>42527</v>
      </c>
      <c r="E306" s="55"/>
    </row>
    <row r="307" spans="1:5" ht="16.8">
      <c r="A307" s="52" t="s">
        <v>1333</v>
      </c>
      <c r="B307" s="53" t="s">
        <v>417</v>
      </c>
      <c r="C307" s="54">
        <v>8.9</v>
      </c>
      <c r="D307" s="53">
        <v>42550</v>
      </c>
      <c r="E307" s="55"/>
    </row>
    <row r="308" spans="1:5" ht="16.8">
      <c r="A308" s="52" t="s">
        <v>1332</v>
      </c>
      <c r="B308" s="53" t="s">
        <v>414</v>
      </c>
      <c r="C308" s="54">
        <v>7.9</v>
      </c>
      <c r="D308" s="53">
        <v>42555</v>
      </c>
      <c r="E308" s="55"/>
    </row>
    <row r="309" spans="1:5" ht="16.8">
      <c r="A309" s="52" t="s">
        <v>1331</v>
      </c>
      <c r="B309" s="53" t="s">
        <v>411</v>
      </c>
      <c r="C309" s="54">
        <v>7.9</v>
      </c>
      <c r="D309" s="53">
        <v>42583</v>
      </c>
      <c r="E309" s="55"/>
    </row>
    <row r="310" spans="1:5" ht="16.8">
      <c r="A310" s="52" t="s">
        <v>1330</v>
      </c>
      <c r="B310" s="53" t="s">
        <v>408</v>
      </c>
      <c r="C310" s="54">
        <v>8.9</v>
      </c>
      <c r="D310" s="53">
        <v>42611</v>
      </c>
      <c r="E310" s="55"/>
    </row>
    <row r="311" spans="1:5" ht="16.8">
      <c r="A311" s="52" t="s">
        <v>1329</v>
      </c>
      <c r="B311" s="53" t="s">
        <v>405</v>
      </c>
      <c r="C311" s="54">
        <v>7.9</v>
      </c>
      <c r="D311" s="53">
        <v>42618</v>
      </c>
      <c r="E311" s="55"/>
    </row>
    <row r="312" spans="1:5" ht="16.8">
      <c r="A312" s="52" t="s">
        <v>1328</v>
      </c>
      <c r="B312" s="53" t="s">
        <v>402</v>
      </c>
      <c r="C312" s="54">
        <v>7.9</v>
      </c>
      <c r="D312" s="53">
        <v>42646</v>
      </c>
      <c r="E312" s="55"/>
    </row>
    <row r="313" spans="1:5" ht="16.8">
      <c r="A313" s="52" t="s">
        <v>1327</v>
      </c>
      <c r="B313" s="53" t="s">
        <v>399</v>
      </c>
      <c r="C313" s="54">
        <v>8.9</v>
      </c>
      <c r="D313" s="53">
        <v>42672</v>
      </c>
      <c r="E313" s="55"/>
    </row>
    <row r="314" spans="1:5" ht="16.8">
      <c r="A314" s="52" t="s">
        <v>1326</v>
      </c>
      <c r="B314" s="53" t="s">
        <v>396</v>
      </c>
      <c r="C314" s="54">
        <v>7.9</v>
      </c>
      <c r="D314" s="53">
        <v>42681</v>
      </c>
      <c r="E314" s="55"/>
    </row>
    <row r="315" spans="1:5" ht="16.8">
      <c r="A315" s="52" t="s">
        <v>1325</v>
      </c>
      <c r="B315" s="53" t="s">
        <v>393</v>
      </c>
      <c r="C315" s="54">
        <v>7.9</v>
      </c>
      <c r="D315" s="53">
        <v>42709</v>
      </c>
      <c r="E315" s="55"/>
    </row>
    <row r="316" spans="1:5" ht="16.8">
      <c r="A316" s="52" t="s">
        <v>1324</v>
      </c>
      <c r="B316" s="53" t="s">
        <v>390</v>
      </c>
      <c r="C316" s="54">
        <v>8.9</v>
      </c>
      <c r="D316" s="53">
        <v>42733</v>
      </c>
      <c r="E316" s="55"/>
    </row>
    <row r="317" spans="1:5" ht="16.8">
      <c r="A317" s="52" t="s">
        <v>1323</v>
      </c>
      <c r="B317" s="53" t="s">
        <v>387</v>
      </c>
      <c r="C317" s="54">
        <v>7.9</v>
      </c>
      <c r="D317" s="53">
        <v>42737</v>
      </c>
      <c r="E317" s="55"/>
    </row>
    <row r="318" spans="1:5" ht="16.8">
      <c r="A318" s="52" t="s">
        <v>1322</v>
      </c>
      <c r="B318" s="53" t="s">
        <v>384</v>
      </c>
      <c r="C318" s="54">
        <v>7.9</v>
      </c>
      <c r="D318" s="53">
        <v>42767</v>
      </c>
      <c r="E318" s="55"/>
    </row>
    <row r="319" spans="1:5" ht="16.8">
      <c r="A319" s="52" t="s">
        <v>1321</v>
      </c>
      <c r="B319" s="53" t="s">
        <v>381</v>
      </c>
      <c r="C319" s="54">
        <v>8.9</v>
      </c>
      <c r="D319" s="53">
        <v>42794</v>
      </c>
      <c r="E319" s="55"/>
    </row>
    <row r="320" spans="1:5" ht="16.8">
      <c r="A320" s="52" t="s">
        <v>1320</v>
      </c>
      <c r="B320" s="53" t="s">
        <v>378</v>
      </c>
      <c r="C320" s="54">
        <v>7.9</v>
      </c>
      <c r="D320" s="53">
        <v>42795</v>
      </c>
      <c r="E320" s="55"/>
    </row>
    <row r="321" spans="1:5" ht="16.8">
      <c r="A321" s="52" t="s">
        <v>1319</v>
      </c>
      <c r="B321" s="53" t="s">
        <v>375</v>
      </c>
      <c r="C321" s="54">
        <v>7.9</v>
      </c>
      <c r="D321" s="53">
        <v>42826</v>
      </c>
      <c r="E321" s="55"/>
    </row>
    <row r="322" spans="1:5" ht="16.8">
      <c r="A322" s="52" t="s">
        <v>1318</v>
      </c>
      <c r="B322" s="53" t="s">
        <v>372</v>
      </c>
      <c r="C322" s="54">
        <v>8.9</v>
      </c>
      <c r="D322" s="53">
        <v>42853</v>
      </c>
      <c r="E322" s="55"/>
    </row>
    <row r="323" spans="1:5" ht="16.8">
      <c r="A323" s="52" t="s">
        <v>1317</v>
      </c>
      <c r="B323" s="53" t="s">
        <v>369</v>
      </c>
      <c r="C323" s="54">
        <v>7.9</v>
      </c>
      <c r="D323" s="53">
        <v>42856</v>
      </c>
      <c r="E323" s="55"/>
    </row>
    <row r="324" spans="1:5" ht="16.8">
      <c r="A324" s="52" t="s">
        <v>1316</v>
      </c>
      <c r="B324" s="53" t="s">
        <v>366</v>
      </c>
      <c r="C324" s="54">
        <v>7.9</v>
      </c>
      <c r="D324" s="53">
        <v>42887</v>
      </c>
      <c r="E324" s="55"/>
    </row>
    <row r="325" spans="1:5" ht="16.8">
      <c r="A325" s="52" t="s">
        <v>1315</v>
      </c>
      <c r="B325" s="53" t="s">
        <v>363</v>
      </c>
      <c r="C325" s="54">
        <v>8.9</v>
      </c>
      <c r="D325" s="53">
        <v>42914</v>
      </c>
      <c r="E325" s="55"/>
    </row>
    <row r="326" spans="1:5" ht="16.8">
      <c r="A326" s="52" t="s">
        <v>1314</v>
      </c>
      <c r="B326" s="53" t="s">
        <v>360</v>
      </c>
      <c r="C326" s="54">
        <v>7.9</v>
      </c>
      <c r="D326" s="53">
        <v>42917</v>
      </c>
      <c r="E326" s="55"/>
    </row>
    <row r="327" spans="1:5" ht="16.8">
      <c r="A327" s="52" t="s">
        <v>1313</v>
      </c>
      <c r="B327" s="53" t="s">
        <v>357</v>
      </c>
      <c r="C327" s="54">
        <v>7.9</v>
      </c>
      <c r="D327" s="53">
        <v>42948</v>
      </c>
      <c r="E327" s="55"/>
    </row>
    <row r="328" spans="1:5" ht="16.8">
      <c r="A328" s="52" t="s">
        <v>1312</v>
      </c>
      <c r="B328" s="53" t="s">
        <v>354</v>
      </c>
      <c r="C328" s="54">
        <v>8.9</v>
      </c>
      <c r="D328" s="53">
        <v>42975</v>
      </c>
      <c r="E328" s="55"/>
    </row>
    <row r="329" spans="1:5" ht="16.8">
      <c r="A329" s="52" t="s">
        <v>1311</v>
      </c>
      <c r="B329" s="53" t="s">
        <v>351</v>
      </c>
      <c r="C329" s="54">
        <v>7.9</v>
      </c>
      <c r="D329" s="53">
        <v>42979</v>
      </c>
      <c r="E329" s="55"/>
    </row>
    <row r="330" spans="1:5" ht="16.8">
      <c r="A330" s="52" t="s">
        <v>1310</v>
      </c>
      <c r="B330" s="53" t="s">
        <v>348</v>
      </c>
      <c r="C330" s="54">
        <v>7.9</v>
      </c>
      <c r="D330" s="53">
        <v>43009</v>
      </c>
      <c r="E330" s="55"/>
    </row>
    <row r="331" spans="1:5" ht="16.8">
      <c r="A331" s="52" t="s">
        <v>1309</v>
      </c>
      <c r="B331" s="53" t="s">
        <v>345</v>
      </c>
      <c r="C331" s="54">
        <v>8.9</v>
      </c>
      <c r="D331" s="53">
        <v>43036</v>
      </c>
      <c r="E331" s="55"/>
    </row>
    <row r="332" spans="1:5" ht="16.8">
      <c r="A332" s="52" t="s">
        <v>1308</v>
      </c>
      <c r="B332" s="53" t="s">
        <v>342</v>
      </c>
      <c r="C332" s="54">
        <v>7.9</v>
      </c>
      <c r="D332" s="53">
        <v>43040</v>
      </c>
      <c r="E332" s="55"/>
    </row>
    <row r="333" spans="1:5" ht="16.8">
      <c r="A333" s="52" t="s">
        <v>1307</v>
      </c>
      <c r="B333" s="53" t="s">
        <v>339</v>
      </c>
      <c r="C333" s="54">
        <v>7.9</v>
      </c>
      <c r="D333" s="53">
        <v>43070</v>
      </c>
      <c r="E333" s="55"/>
    </row>
    <row r="334" spans="1:5" ht="16.8">
      <c r="A334" s="52" t="s">
        <v>1306</v>
      </c>
      <c r="B334" s="53" t="s">
        <v>336</v>
      </c>
      <c r="C334" s="54">
        <v>8.9</v>
      </c>
      <c r="D334" s="53">
        <v>43097</v>
      </c>
      <c r="E334" s="55"/>
    </row>
  </sheetData>
  <sortState xmlns:xlrd2="http://schemas.microsoft.com/office/spreadsheetml/2017/richdata2" ref="A2:E334">
    <sortCondition ref="D2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Arkusz22">
    <tabColor rgb="FF1E73BE"/>
  </sheetPr>
  <dimension ref="A1:C9"/>
  <sheetViews>
    <sheetView zoomScale="130" zoomScaleNormal="130" workbookViewId="0"/>
  </sheetViews>
  <sheetFormatPr defaultRowHeight="14.4"/>
  <cols>
    <col min="1" max="1" width="16.6640625" style="37" customWidth="1"/>
    <col min="2" max="2" width="9.44140625" style="37" bestFit="1" customWidth="1"/>
    <col min="3" max="3" width="15.33203125" style="37" bestFit="1" customWidth="1"/>
    <col min="4" max="16384" width="8.88671875" style="37"/>
  </cols>
  <sheetData>
    <row r="1" spans="1:3">
      <c r="A1" s="41" t="s">
        <v>205</v>
      </c>
      <c r="B1" s="41" t="s">
        <v>204</v>
      </c>
      <c r="C1" s="41" t="s">
        <v>294</v>
      </c>
    </row>
    <row r="2" spans="1:3">
      <c r="A2" s="42" t="s">
        <v>295</v>
      </c>
      <c r="B2" s="42" t="s">
        <v>296</v>
      </c>
      <c r="C2" s="43" t="str">
        <f t="shared" ref="C2:C7" si="0">CONCATENATE(A2," ",B2)</f>
        <v>Ryszard; Mały</v>
      </c>
    </row>
    <row r="3" spans="1:3">
      <c r="A3" s="42" t="s">
        <v>297</v>
      </c>
      <c r="B3" s="42" t="s">
        <v>298</v>
      </c>
      <c r="C3" s="43" t="str">
        <f t="shared" si="0"/>
        <v>Tomasz; Dziupla</v>
      </c>
    </row>
    <row r="4" spans="1:3">
      <c r="A4" s="42" t="s">
        <v>299</v>
      </c>
      <c r="B4" s="42" t="s">
        <v>300</v>
      </c>
      <c r="C4" s="43" t="str">
        <f t="shared" si="0"/>
        <v>Renata; Dzień</v>
      </c>
    </row>
    <row r="5" spans="1:3">
      <c r="A5" s="42" t="s">
        <v>301</v>
      </c>
      <c r="B5" s="42" t="s">
        <v>302</v>
      </c>
      <c r="C5" s="43" t="str">
        <f t="shared" si="0"/>
        <v>Ariel; Syrenka</v>
      </c>
    </row>
    <row r="6" spans="1:3">
      <c r="A6" s="42" t="s">
        <v>303</v>
      </c>
      <c r="B6" s="42" t="s">
        <v>304</v>
      </c>
      <c r="C6" s="43" t="str">
        <f t="shared" si="0"/>
        <v>Sebastian; Krab</v>
      </c>
    </row>
    <row r="7" spans="1:3">
      <c r="A7" s="42" t="s">
        <v>305</v>
      </c>
      <c r="B7" s="42" t="s">
        <v>210</v>
      </c>
      <c r="C7" s="43" t="str">
        <f t="shared" si="0"/>
        <v>Florian; Ryba</v>
      </c>
    </row>
    <row r="9" spans="1:3">
      <c r="A9" s="37" t="s">
        <v>1569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Arkusz1">
    <tabColor rgb="FF0070C0"/>
  </sheetPr>
  <dimension ref="A1:E6"/>
  <sheetViews>
    <sheetView zoomScale="145" zoomScaleNormal="145" workbookViewId="0"/>
  </sheetViews>
  <sheetFormatPr defaultRowHeight="14.4"/>
  <cols>
    <col min="1" max="1" width="10.33203125" style="37" customWidth="1"/>
    <col min="2" max="4" width="11.5546875" style="37" bestFit="1" customWidth="1"/>
    <col min="5" max="5" width="12.6640625" style="37" bestFit="1" customWidth="1"/>
    <col min="6" max="16384" width="8.88671875" style="37"/>
  </cols>
  <sheetData>
    <row r="1" spans="1:5" ht="43.2">
      <c r="A1" s="35" t="s">
        <v>1558</v>
      </c>
      <c r="B1" s="36" t="s">
        <v>1559</v>
      </c>
      <c r="C1" s="36" t="s">
        <v>1560</v>
      </c>
      <c r="D1" s="36" t="s">
        <v>248</v>
      </c>
      <c r="E1" s="36" t="s">
        <v>1570</v>
      </c>
    </row>
    <row r="2" spans="1:5">
      <c r="A2" s="38" t="s">
        <v>1561</v>
      </c>
      <c r="B2" s="39">
        <v>4749.34</v>
      </c>
      <c r="C2" s="39">
        <v>5611.98</v>
      </c>
      <c r="D2" s="39">
        <v>6535.97</v>
      </c>
      <c r="E2" s="39">
        <f>AVERAGE(B2:D2)</f>
        <v>5632.43</v>
      </c>
    </row>
    <row r="3" spans="1:5">
      <c r="A3" s="38" t="s">
        <v>1562</v>
      </c>
      <c r="B3" s="39">
        <v>6531.39</v>
      </c>
      <c r="C3" s="39">
        <v>3743.4</v>
      </c>
      <c r="D3" s="40">
        <v>8600.07</v>
      </c>
      <c r="E3" s="39">
        <f>AVERAGE(B3:D3)</f>
        <v>6291.62</v>
      </c>
    </row>
    <row r="4" spans="1:5">
      <c r="A4" s="38" t="s">
        <v>1563</v>
      </c>
      <c r="B4" s="39">
        <v>3302.34</v>
      </c>
      <c r="C4" s="39">
        <v>12815.38</v>
      </c>
      <c r="D4" s="39">
        <v>11109.62</v>
      </c>
      <c r="E4" s="39">
        <f>AVERAGE(B4:D4)</f>
        <v>9075.7800000000007</v>
      </c>
    </row>
    <row r="5" spans="1:5">
      <c r="A5" s="38" t="s">
        <v>1564</v>
      </c>
      <c r="B5" s="39">
        <v>7588.67</v>
      </c>
      <c r="C5" s="39">
        <v>3830.09</v>
      </c>
      <c r="D5" s="39">
        <v>9777.68</v>
      </c>
      <c r="E5" s="39">
        <f>AVERAGE(B5:D5)</f>
        <v>7065.4800000000005</v>
      </c>
    </row>
    <row r="6" spans="1:5">
      <c r="A6" s="36" t="s">
        <v>1570</v>
      </c>
      <c r="B6" s="39">
        <f>AVERAGE(B2:B5)</f>
        <v>5542.9349999999995</v>
      </c>
      <c r="C6" s="39">
        <f>AVERAGE(C2:C5)</f>
        <v>6500.2124999999996</v>
      </c>
      <c r="D6" s="39">
        <f>AVERAGE(D2:D5)</f>
        <v>9005.8350000000009</v>
      </c>
      <c r="E6" s="39">
        <f>AVERAGE(B6:D6)</f>
        <v>7016.3274999999994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21</vt:i4>
      </vt:variant>
      <vt:variant>
        <vt:lpstr>Nazwane zakresy</vt:lpstr>
      </vt:variant>
      <vt:variant>
        <vt:i4>1</vt:i4>
      </vt:variant>
    </vt:vector>
  </HeadingPairs>
  <TitlesOfParts>
    <vt:vector size="22" baseType="lpstr">
      <vt:lpstr>ExceliAdam</vt:lpstr>
      <vt:lpstr>Spis treści</vt:lpstr>
      <vt:lpstr>BłędySpacje</vt:lpstr>
      <vt:lpstr>BłędyFormatowanie</vt:lpstr>
      <vt:lpstr>BłędyLiczbaTekst</vt:lpstr>
      <vt:lpstr>Zamówienie</vt:lpstr>
      <vt:lpstr>PierwszaWartość</vt:lpstr>
      <vt:lpstr>Wyszukaj vs Jeżeli</vt:lpstr>
      <vt:lpstr>Poziomo</vt:lpstr>
      <vt:lpstr>Wieloznaczne</vt:lpstr>
      <vt:lpstr>2Warunki</vt:lpstr>
      <vt:lpstr>RóżneKolumny</vt:lpstr>
      <vt:lpstr>POZYCJA</vt:lpstr>
      <vt:lpstr>WLewo</vt:lpstr>
      <vt:lpstr>2D</vt:lpstr>
      <vt:lpstr>SumaWierszKolumna</vt:lpstr>
      <vt:lpstr>INDEKS_LOS</vt:lpstr>
      <vt:lpstr>Znajdź</vt:lpstr>
      <vt:lpstr>Zamień</vt:lpstr>
      <vt:lpstr>ZamieńFormuły</vt:lpstr>
      <vt:lpstr>Suma</vt:lpstr>
      <vt:lpstr>Zamień!plik_z_danymi_2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LENOVO</cp:lastModifiedBy>
  <cp:lastPrinted>2015-08-01T08:25:32Z</cp:lastPrinted>
  <dcterms:created xsi:type="dcterms:W3CDTF">2013-08-21T20:08:04Z</dcterms:created>
  <dcterms:modified xsi:type="dcterms:W3CDTF">2019-05-13T08:03:23Z</dcterms:modified>
</cp:coreProperties>
</file>