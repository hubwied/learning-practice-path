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19E530CC-850B-43E1-BC52-8C682ED4BA8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9" r:id="rId1"/>
    <sheet name="Zakresy" sheetId="2" r:id="rId2"/>
    <sheet name="Stałe" sheetId="3" r:id="rId3"/>
    <sheet name="Formuła" sheetId="8" r:id="rId4"/>
    <sheet name="Kalendarz" sheetId="4" r:id="rId5"/>
  </sheets>
  <definedNames>
    <definedName name="_xlnm._FilterDatabase" localSheetId="3" hidden="1">Formuła!$A$3:$A$60</definedName>
    <definedName name="_xlnm._FilterDatabase" localSheetId="4" hidden="1">Kalendarz!$H$3:$H$60</definedName>
    <definedName name="_xlnm._FilterDatabase" localSheetId="2" hidden="1">Stałe!$A$2:$A$59</definedName>
    <definedName name="_xlnm._FilterDatabase" localSheetId="1" hidden="1">Zakresy!#REF!</definedName>
    <definedName name="Koszt">Zakresy!$B$2</definedName>
    <definedName name="liczba_Eulera">2.71828182845904</definedName>
    <definedName name="PowyżejPlus7">Kalendarz!A1048576+7</definedName>
    <definedName name="Przychód">Zakresy!$B$1</definedName>
    <definedName name="Seria">OFFSET(Formuła!$A$3:$A$11,0,MATCH(Formuła!$F$1,Formuła!$B$2:$D$2,0))</definedName>
    <definedName name="VAT">Zakresy!$E$7</definedName>
    <definedName name="Zysk">Zakresy!$B$3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4" l="1"/>
  <c r="A6" i="4"/>
  <c r="I8" i="4" s="1"/>
  <c r="A7" i="4"/>
  <c r="A8" i="4" s="1"/>
  <c r="A9" i="4" s="1"/>
  <c r="A10" i="4" s="1"/>
  <c r="F3" i="8"/>
  <c r="C5" i="3"/>
  <c r="C6" i="3"/>
  <c r="C7" i="3"/>
  <c r="C4" i="3"/>
  <c r="C8" i="2"/>
  <c r="C9" i="2"/>
  <c r="C10" i="2"/>
  <c r="C11" i="2"/>
  <c r="C12" i="2"/>
  <c r="C7" i="2"/>
  <c r="B3" i="2"/>
  <c r="J8" i="4"/>
  <c r="J7" i="4"/>
  <c r="J6" i="4"/>
  <c r="I6" i="4" l="1"/>
  <c r="I5" i="4"/>
  <c r="B5" i="4"/>
  <c r="B6" i="4" s="1"/>
  <c r="B7" i="4" s="1"/>
  <c r="B8" i="4" s="1"/>
  <c r="B9" i="4" s="1"/>
  <c r="B10" i="4" s="1"/>
  <c r="C5" i="4" l="1"/>
  <c r="B5" i="3"/>
  <c r="B6" i="3"/>
  <c r="B7" i="3"/>
  <c r="B4" i="3"/>
  <c r="C6" i="4" l="1"/>
  <c r="C7" i="4" s="1"/>
  <c r="C8" i="4" s="1"/>
  <c r="C9" i="4" s="1"/>
  <c r="C10" i="4" s="1"/>
  <c r="D5" i="4"/>
  <c r="E5" i="4" l="1"/>
  <c r="D6" i="4"/>
  <c r="D7" i="4" s="1"/>
  <c r="D8" i="4" s="1"/>
  <c r="D9" i="4" s="1"/>
  <c r="D10" i="4" s="1"/>
  <c r="F5" i="4" l="1"/>
  <c r="E6" i="4"/>
  <c r="E7" i="4" s="1"/>
  <c r="E8" i="4" s="1"/>
  <c r="E9" i="4" s="1"/>
  <c r="E10" i="4" s="1"/>
  <c r="G5" i="4" l="1"/>
  <c r="G6" i="4" s="1"/>
  <c r="G7" i="4" s="1"/>
  <c r="G8" i="4" s="1"/>
  <c r="G9" i="4" s="1"/>
  <c r="G10" i="4" s="1"/>
  <c r="F6" i="4"/>
  <c r="F7" i="4" s="1"/>
  <c r="F8" i="4" s="1"/>
  <c r="F9" i="4" s="1"/>
  <c r="F10" i="4" s="1"/>
</calcChain>
</file>

<file path=xl/sharedStrings.xml><?xml version="1.0" encoding="utf-8"?>
<sst xmlns="http://schemas.openxmlformats.org/spreadsheetml/2006/main" count="92" uniqueCount="84">
  <si>
    <t>Przychód</t>
  </si>
  <si>
    <t>Koszt</t>
  </si>
  <si>
    <t>Zysk</t>
  </si>
  <si>
    <t>Produkt</t>
  </si>
  <si>
    <t>Cena</t>
  </si>
  <si>
    <t>Produkt A</t>
  </si>
  <si>
    <t>Produkt B</t>
  </si>
  <si>
    <t>Produkt C</t>
  </si>
  <si>
    <t>Produkt D</t>
  </si>
  <si>
    <t>Produkt E</t>
  </si>
  <si>
    <t>Produkt RA</t>
  </si>
  <si>
    <t>VAT</t>
  </si>
  <si>
    <t>liczba Eulera</t>
  </si>
  <si>
    <t>Wartość</t>
  </si>
  <si>
    <t>Logarytm naturalny</t>
  </si>
  <si>
    <t>ID pracownika</t>
  </si>
  <si>
    <t>Liczba telefonów</t>
  </si>
  <si>
    <t>Sprzedana</t>
  </si>
  <si>
    <t>Opcja I</t>
  </si>
  <si>
    <t>Opcja II</t>
  </si>
  <si>
    <t>N-1</t>
  </si>
  <si>
    <t>N-2</t>
  </si>
  <si>
    <t>N-3</t>
  </si>
  <si>
    <t>N-4</t>
  </si>
  <si>
    <t>N-5</t>
  </si>
  <si>
    <t>C-1</t>
  </si>
  <si>
    <t>C-2</t>
  </si>
  <si>
    <t>C-3</t>
  </si>
  <si>
    <t>C-4</t>
  </si>
  <si>
    <t>Logarytm o podstawie e</t>
  </si>
  <si>
    <t>Pn</t>
  </si>
  <si>
    <t>Wt</t>
  </si>
  <si>
    <t>Śr</t>
  </si>
  <si>
    <t>Cz</t>
  </si>
  <si>
    <t>Pt</t>
  </si>
  <si>
    <t>So</t>
  </si>
  <si>
    <t>N</t>
  </si>
  <si>
    <t xml:space="preserve">Styczeń </t>
  </si>
  <si>
    <t>Rok</t>
  </si>
  <si>
    <t>2016</t>
  </si>
  <si>
    <t>=Zakresy!$B$2</t>
  </si>
  <si>
    <t>liczba_Eulera</t>
  </si>
  <si>
    <t>=2,71828182845904</t>
  </si>
  <si>
    <t>=Zakresy!$B$1</t>
  </si>
  <si>
    <t>=Zakresy!$E$7</t>
  </si>
  <si>
    <t>=Zakresy!$B$3</t>
  </si>
  <si>
    <r>
      <t>e</t>
    </r>
    <r>
      <rPr>
        <vertAlign val="superscript"/>
        <sz val="10.5"/>
        <color theme="1"/>
        <rFont val="Calibri"/>
        <family val="2"/>
        <scheme val="minor"/>
      </rPr>
      <t>x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</si>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</sst>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zł&quot;;[Red]\-#,##0\ &quot;zł&quot;"/>
    <numFmt numFmtId="8" formatCode="#,##0.00\ &quot;zł&quot;;[Red]\-#,##0.00\ &quot;zł&quot;"/>
    <numFmt numFmtId="164" formatCode="0.00000000000000"/>
    <numFmt numFmtId="165" formatCode="d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vertAlign val="superscript"/>
      <sz val="10.5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1"/>
    <xf numFmtId="0" fontId="4" fillId="5" borderId="1" xfId="0" applyFont="1" applyFill="1" applyBorder="1" applyAlignment="1">
      <alignment horizontal="center" vertical="center"/>
    </xf>
    <xf numFmtId="6" fontId="5" fillId="3" borderId="1" xfId="1" applyNumberFormat="1" applyFont="1" applyFill="1" applyBorder="1"/>
    <xf numFmtId="0" fontId="5" fillId="0" borderId="0" xfId="1" applyFont="1"/>
    <xf numFmtId="6" fontId="5" fillId="0" borderId="0" xfId="1" applyNumberFormat="1" applyFont="1"/>
    <xf numFmtId="0" fontId="5" fillId="0" borderId="2" xfId="1" applyFont="1" applyBorder="1"/>
    <xf numFmtId="8" fontId="5" fillId="0" borderId="3" xfId="1" applyNumberFormat="1" applyFont="1" applyBorder="1"/>
    <xf numFmtId="8" fontId="6" fillId="4" borderId="1" xfId="1" applyNumberFormat="1" applyFont="1" applyFill="1" applyBorder="1"/>
    <xf numFmtId="9" fontId="5" fillId="0" borderId="1" xfId="1" applyNumberFormat="1" applyFont="1" applyBorder="1"/>
    <xf numFmtId="0" fontId="5" fillId="0" borderId="4" xfId="1" applyFont="1" applyBorder="1"/>
    <xf numFmtId="8" fontId="5" fillId="0" borderId="1" xfId="1" applyNumberFormat="1" applyFont="1" applyBorder="1"/>
    <xf numFmtId="20" fontId="5" fillId="0" borderId="0" xfId="1" applyNumberFormat="1" applyFont="1"/>
    <xf numFmtId="49" fontId="5" fillId="0" borderId="0" xfId="1" applyNumberFormat="1" applyFont="1"/>
    <xf numFmtId="164" fontId="5" fillId="0" borderId="0" xfId="1" applyNumberFormat="1" applyFont="1" applyBorder="1"/>
    <xf numFmtId="0" fontId="7" fillId="2" borderId="0" xfId="1" applyFont="1" applyFill="1" applyAlignment="1">
      <alignment horizontal="centerContinuous"/>
    </xf>
    <xf numFmtId="0" fontId="8" fillId="2" borderId="0" xfId="1" applyFont="1" applyFill="1" applyAlignment="1">
      <alignment horizontal="centerContinuous"/>
    </xf>
    <xf numFmtId="165" fontId="5" fillId="0" borderId="1" xfId="1" applyNumberFormat="1" applyFont="1" applyFill="1" applyBorder="1" applyAlignment="1"/>
    <xf numFmtId="165" fontId="5" fillId="0" borderId="1" xfId="1" applyNumberFormat="1" applyFont="1" applyFill="1" applyBorder="1"/>
    <xf numFmtId="0" fontId="4" fillId="5" borderId="5" xfId="0" applyFont="1" applyFill="1" applyBorder="1" applyAlignment="1">
      <alignment horizontal="centerContinuous" vertical="center"/>
    </xf>
    <xf numFmtId="0" fontId="4" fillId="5" borderId="6" xfId="0" applyFont="1" applyFill="1" applyBorder="1" applyAlignment="1">
      <alignment horizontal="centerContinuous" vertical="center"/>
    </xf>
    <xf numFmtId="0" fontId="4" fillId="5" borderId="1" xfId="0" applyFont="1" applyFill="1" applyBorder="1" applyAlignment="1">
      <alignment vertical="center"/>
    </xf>
    <xf numFmtId="0" fontId="5" fillId="0" borderId="0" xfId="1" applyFont="1" applyBorder="1"/>
    <xf numFmtId="0" fontId="5" fillId="0" borderId="1" xfId="1" applyFont="1" applyBorder="1"/>
    <xf numFmtId="164" fontId="5" fillId="0" borderId="1" xfId="1" applyNumberFormat="1" applyFont="1" applyBorder="1"/>
    <xf numFmtId="0" fontId="5" fillId="3" borderId="1" xfId="1" applyFont="1" applyFill="1" applyBorder="1"/>
    <xf numFmtId="0" fontId="2" fillId="0" borderId="0" xfId="2"/>
    <xf numFmtId="0" fontId="3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11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2" fillId="0" borderId="7" xfId="2" applyBorder="1"/>
    <xf numFmtId="0" fontId="3" fillId="0" borderId="7" xfId="2" applyFont="1" applyBorder="1" applyAlignment="1">
      <alignment wrapText="1"/>
    </xf>
    <xf numFmtId="0" fontId="3" fillId="0" borderId="0" xfId="2" applyFont="1" applyBorder="1" applyAlignment="1">
      <alignment wrapText="1"/>
    </xf>
    <xf numFmtId="0" fontId="0" fillId="0" borderId="7" xfId="2" applyFont="1" applyBorder="1" applyAlignment="1">
      <alignment vertical="top"/>
    </xf>
    <xf numFmtId="0" fontId="0" fillId="0" borderId="0" xfId="2" applyFont="1" applyBorder="1" applyAlignment="1">
      <alignment vertical="top"/>
    </xf>
    <xf numFmtId="0" fontId="3" fillId="0" borderId="0" xfId="2" applyFont="1" applyBorder="1" applyAlignment="1">
      <alignment wrapText="1"/>
    </xf>
    <xf numFmtId="0" fontId="0" fillId="0" borderId="0" xfId="2" applyFont="1" applyBorder="1" applyAlignment="1">
      <alignment vertical="top"/>
    </xf>
    <xf numFmtId="0" fontId="11" fillId="0" borderId="0" xfId="4" applyFont="1" applyAlignment="1"/>
    <xf numFmtId="0" fontId="10" fillId="0" borderId="0" xfId="4" applyAlignment="1"/>
    <xf numFmtId="0" fontId="2" fillId="0" borderId="0" xfId="2" applyFont="1" applyAlignment="1">
      <alignment vertical="top"/>
    </xf>
    <xf numFmtId="0" fontId="2" fillId="0" borderId="0" xfId="2" applyFont="1" applyAlignment="1">
      <alignment vertical="top"/>
    </xf>
    <xf numFmtId="0" fontId="11" fillId="0" borderId="0" xfId="5" applyFont="1" applyAlignment="1"/>
    <xf numFmtId="0" fontId="11" fillId="0" borderId="0" xfId="5" applyFont="1" applyAlignment="1"/>
    <xf numFmtId="0" fontId="3" fillId="0" borderId="7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13" fillId="0" borderId="0" xfId="5" applyAlignment="1"/>
    <xf numFmtId="0" fontId="3" fillId="0" borderId="7" xfId="2" applyFont="1" applyBorder="1" applyAlignment="1">
      <alignment vertical="top" wrapText="1"/>
    </xf>
    <xf numFmtId="0" fontId="3" fillId="0" borderId="0" xfId="2" applyFont="1" applyBorder="1" applyAlignment="1">
      <alignment vertical="top" wrapText="1"/>
    </xf>
    <xf numFmtId="0" fontId="3" fillId="0" borderId="0" xfId="2" applyFont="1" applyBorder="1" applyAlignment="1">
      <alignment vertical="top" wrapText="1"/>
    </xf>
    <xf numFmtId="0" fontId="10" fillId="0" borderId="0" xfId="4" applyAlignment="1">
      <alignment vertical="center"/>
    </xf>
    <xf numFmtId="0" fontId="3" fillId="0" borderId="0" xfId="2" applyFont="1" applyAlignment="1"/>
    <xf numFmtId="0" fontId="10" fillId="0" borderId="0" xfId="4" applyAlignment="1">
      <alignment vertical="center"/>
    </xf>
    <xf numFmtId="0" fontId="13" fillId="0" borderId="0" xfId="6" applyAlignment="1">
      <alignment vertical="center"/>
    </xf>
    <xf numFmtId="0" fontId="2" fillId="6" borderId="0" xfId="2" applyFont="1" applyFill="1" applyAlignment="1">
      <alignment vertical="top" wrapText="1"/>
    </xf>
    <xf numFmtId="0" fontId="2" fillId="6" borderId="0" xfId="2" applyFont="1" applyFill="1" applyAlignment="1">
      <alignment vertical="top" wrapText="1"/>
    </xf>
    <xf numFmtId="0" fontId="2" fillId="6" borderId="0" xfId="2" applyFont="1" applyFill="1" applyAlignment="1">
      <alignment wrapText="1"/>
    </xf>
    <xf numFmtId="0" fontId="2" fillId="6" borderId="0" xfId="2" applyFont="1" applyFill="1" applyAlignment="1">
      <alignment wrapText="1"/>
    </xf>
    <xf numFmtId="0" fontId="2" fillId="0" borderId="0" xfId="2" applyFont="1" applyAlignment="1">
      <alignment vertical="top" wrapText="1"/>
    </xf>
  </cellXfs>
  <cellStyles count="7">
    <cellStyle name="Hiperłącze 2" xfId="4" xr:uid="{818790A0-DE37-4E98-B580-C64062F0D5C0}"/>
    <cellStyle name="Hiperłącze 2 3" xfId="6" xr:uid="{733F249E-217F-4030-8AE5-BE4E0CBD9BEC}"/>
    <cellStyle name="Hiperłącze 3" xfId="5" xr:uid="{23E255E8-7D62-4B8A-8758-459D85F4105E}"/>
    <cellStyle name="Normalny" xfId="0" builtinId="0"/>
    <cellStyle name="Normalny 2" xfId="1" xr:uid="{00000000-0005-0000-0000-000001000000}"/>
    <cellStyle name="Normalny 2 3" xfId="2" xr:uid="{5BE62473-7238-489A-BB9D-6EA33CBFA9AA}"/>
    <cellStyle name="Normalny 4" xfId="3" xr:uid="{98F865A9-15B9-4CBC-B091-39D3F5FC1D12}"/>
  </cellStyles>
  <dxfs count="1">
    <dxf>
      <font>
        <color theme="0" tint="-0.499984740745262"/>
      </font>
    </dxf>
  </dxfs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Formuła!$F$1</c:f>
          <c:strCache>
            <c:ptCount val="1"/>
            <c:pt idx="0">
              <c:v>Opcja II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Formuła!$F$1</c:f>
              <c:strCache>
                <c:ptCount val="1"/>
                <c:pt idx="0">
                  <c:v>Opcja II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Formuła!$A$3:$A$11</c:f>
              <c:strCache>
                <c:ptCount val="9"/>
                <c:pt idx="0">
                  <c:v>N-1</c:v>
                </c:pt>
                <c:pt idx="1">
                  <c:v>N-2</c:v>
                </c:pt>
                <c:pt idx="2">
                  <c:v>N-3</c:v>
                </c:pt>
                <c:pt idx="3">
                  <c:v>N-4</c:v>
                </c:pt>
                <c:pt idx="4">
                  <c:v>N-5</c:v>
                </c:pt>
                <c:pt idx="5">
                  <c:v>C-1</c:v>
                </c:pt>
                <c:pt idx="6">
                  <c:v>C-2</c:v>
                </c:pt>
                <c:pt idx="7">
                  <c:v>C-3</c:v>
                </c:pt>
                <c:pt idx="8">
                  <c:v>C-4</c:v>
                </c:pt>
              </c:strCache>
            </c:strRef>
          </c:cat>
          <c:val>
            <c:numRef>
              <c:f>[0]!Seria</c:f>
              <c:numCache>
                <c:formatCode>General</c:formatCode>
                <c:ptCount val="9"/>
                <c:pt idx="0">
                  <c:v>169</c:v>
                </c:pt>
                <c:pt idx="1">
                  <c:v>162</c:v>
                </c:pt>
                <c:pt idx="2">
                  <c:v>133</c:v>
                </c:pt>
                <c:pt idx="3">
                  <c:v>236</c:v>
                </c:pt>
                <c:pt idx="4">
                  <c:v>264</c:v>
                </c:pt>
                <c:pt idx="5">
                  <c:v>222</c:v>
                </c:pt>
                <c:pt idx="6">
                  <c:v>190</c:v>
                </c:pt>
                <c:pt idx="7">
                  <c:v>222</c:v>
                </c:pt>
                <c:pt idx="8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6-4E21-84DD-A01D885DE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824480"/>
        <c:axId val="427825656"/>
      </c:barChart>
      <c:catAx>
        <c:axId val="42782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825656"/>
        <c:crosses val="autoZero"/>
        <c:auto val="1"/>
        <c:lblAlgn val="ctr"/>
        <c:lblOffset val="100"/>
        <c:noMultiLvlLbl val="0"/>
      </c:catAx>
      <c:valAx>
        <c:axId val="42782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82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3023D383-FA25-4C9E-A92F-13C3A8BFB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CA3059D-CD50-491E-8342-45CD685F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40B5A9EA-67B8-4CE4-8D7C-5C23AB920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7811C2A6-7E97-4752-A402-FBCE93285EAD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897C40-32D2-4D3B-AC7A-60BE80B0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AAC926B-46D4-4C58-AE77-9366955AC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26CFDC-D71E-477C-876A-0DECF763D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B201643-8DE8-40B5-854B-BD8B325DE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38E869-B523-4E4C-996D-D5C44B24D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00EC46-082C-4A26-9991-EC2B7395D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1CC1A461-F67D-4540-9474-68B9B6EE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417DD560-4938-4D9F-BFB7-6E2E77498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9B18CA42-BAB0-4A92-AEBF-77A79F49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307731</xdr:colOff>
      <xdr:row>2</xdr:row>
      <xdr:rowOff>124557</xdr:rowOff>
    </xdr:from>
    <xdr:to>
      <xdr:col>12</xdr:col>
      <xdr:colOff>461595</xdr:colOff>
      <xdr:row>15</xdr:row>
      <xdr:rowOff>56415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32F6-6847-485F-A455-B33DDBE81D0E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26" customWidth="1"/>
    <col min="100" max="101" width="2.44140625" style="1" customWidth="1"/>
    <col min="102" max="105" width="9.109375" style="26"/>
    <col min="106" max="106" width="10.6640625" style="26" customWidth="1"/>
    <col min="107" max="107" width="73.6640625" style="26" customWidth="1"/>
    <col min="108" max="108" width="6.33203125" style="26" customWidth="1"/>
    <col min="109" max="16384" width="9.109375" style="26"/>
  </cols>
  <sheetData>
    <row r="1" spans="18:99" ht="6" customHeight="1" x14ac:dyDescent="0.3"/>
    <row r="2" spans="18:99" ht="6" customHeight="1" x14ac:dyDescent="0.3">
      <c r="Z2" s="27" t="s">
        <v>47</v>
      </c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8"/>
    </row>
    <row r="3" spans="18:99" ht="6" customHeight="1" x14ac:dyDescent="0.3"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8"/>
    </row>
    <row r="4" spans="18:99" ht="6" customHeight="1" x14ac:dyDescent="0.3">
      <c r="Z4" s="29" t="s">
        <v>48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30"/>
    </row>
    <row r="5" spans="18:99" ht="6" customHeight="1" x14ac:dyDescent="0.3">
      <c r="R5" s="31" t="s">
        <v>49</v>
      </c>
      <c r="S5" s="31"/>
      <c r="T5" s="31"/>
      <c r="U5" s="31"/>
      <c r="V5" s="31"/>
      <c r="W5" s="31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30"/>
      <c r="BF5" s="31" t="s">
        <v>50</v>
      </c>
      <c r="BG5" s="31"/>
      <c r="BH5" s="31"/>
      <c r="BI5" s="31"/>
      <c r="BJ5" s="31"/>
      <c r="BK5" s="31"/>
    </row>
    <row r="6" spans="18:99" ht="6" customHeight="1" x14ac:dyDescent="0.3">
      <c r="R6" s="31"/>
      <c r="S6" s="31"/>
      <c r="T6" s="31"/>
      <c r="U6" s="31"/>
      <c r="V6" s="31"/>
      <c r="W6" s="31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30"/>
      <c r="BF6" s="31"/>
      <c r="BG6" s="31"/>
      <c r="BH6" s="31"/>
      <c r="BI6" s="31"/>
      <c r="BJ6" s="31"/>
      <c r="BK6" s="31"/>
    </row>
    <row r="7" spans="18:99" ht="6" customHeight="1" x14ac:dyDescent="0.3">
      <c r="R7" s="31"/>
      <c r="S7" s="31"/>
      <c r="T7" s="31"/>
      <c r="U7" s="31"/>
      <c r="V7" s="31"/>
      <c r="W7" s="31"/>
      <c r="X7" s="32"/>
      <c r="BF7" s="31"/>
      <c r="BG7" s="31"/>
      <c r="BH7" s="31"/>
      <c r="BI7" s="31"/>
      <c r="BJ7" s="31"/>
      <c r="BK7" s="31"/>
    </row>
    <row r="8" spans="18:99" ht="6" customHeight="1" x14ac:dyDescent="0.3"/>
    <row r="9" spans="18:99" ht="6" customHeight="1" x14ac:dyDescent="0.3">
      <c r="R9" s="33"/>
      <c r="S9" s="33"/>
      <c r="T9" s="33"/>
      <c r="U9" s="33"/>
      <c r="V9" s="33"/>
      <c r="W9" s="33"/>
      <c r="X9" s="33"/>
      <c r="Y9" s="33"/>
      <c r="Z9" s="34" t="s">
        <v>51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5"/>
      <c r="BF9" s="33"/>
      <c r="BG9" s="33"/>
      <c r="BH9" s="33"/>
      <c r="BI9" s="33"/>
      <c r="BJ9" s="33"/>
      <c r="BK9" s="33"/>
      <c r="BL9" s="33"/>
      <c r="BM9" s="33"/>
      <c r="BN9" s="36" t="s">
        <v>52</v>
      </c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7"/>
      <c r="CS9" s="37"/>
      <c r="CT9" s="37"/>
      <c r="CU9" s="37"/>
    </row>
    <row r="10" spans="18:99" ht="6" customHeight="1" x14ac:dyDescent="0.3"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5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7"/>
      <c r="CS10" s="37"/>
      <c r="CT10" s="37"/>
      <c r="CU10" s="37"/>
    </row>
    <row r="11" spans="18:99" ht="6" customHeight="1" x14ac:dyDescent="0.3"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5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7"/>
      <c r="CS11" s="37"/>
      <c r="CT11" s="37"/>
      <c r="CU11" s="37"/>
    </row>
    <row r="12" spans="18:99" ht="6" customHeight="1" x14ac:dyDescent="0.3"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5"/>
      <c r="BN12" s="40" t="s">
        <v>53</v>
      </c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1"/>
      <c r="CS12" s="41"/>
      <c r="CT12" s="41"/>
      <c r="CU12" s="41"/>
    </row>
    <row r="13" spans="18:99" ht="6" customHeight="1" x14ac:dyDescent="0.3"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5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1"/>
      <c r="CS13" s="41"/>
      <c r="CT13" s="41"/>
      <c r="CU13" s="41"/>
    </row>
    <row r="14" spans="18:99" ht="6" customHeight="1" x14ac:dyDescent="0.3">
      <c r="Z14" s="42" t="s">
        <v>54</v>
      </c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3"/>
    </row>
    <row r="15" spans="18:99" ht="6" customHeight="1" x14ac:dyDescent="0.3"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3"/>
    </row>
    <row r="16" spans="18:99" ht="6" customHeight="1" x14ac:dyDescent="0.3"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3"/>
    </row>
    <row r="17" spans="18:56" ht="6" customHeight="1" x14ac:dyDescent="0.3">
      <c r="Z17" s="44" t="s">
        <v>55</v>
      </c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5"/>
    </row>
    <row r="18" spans="18:56" ht="6" customHeight="1" x14ac:dyDescent="0.3"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5"/>
    </row>
    <row r="19" spans="18:56" ht="6" customHeight="1" x14ac:dyDescent="0.3"/>
    <row r="20" spans="18:56" ht="6" customHeight="1" x14ac:dyDescent="0.3"/>
    <row r="21" spans="18:56" ht="6" customHeight="1" x14ac:dyDescent="0.3">
      <c r="R21" s="33"/>
      <c r="S21" s="33"/>
      <c r="T21" s="33"/>
      <c r="U21" s="33"/>
      <c r="V21" s="33"/>
      <c r="W21" s="33"/>
      <c r="X21" s="33"/>
      <c r="Y21" s="33"/>
      <c r="Z21" s="46" t="s">
        <v>56</v>
      </c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7"/>
    </row>
    <row r="22" spans="18:56" ht="6" customHeight="1" x14ac:dyDescent="0.3"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7"/>
    </row>
    <row r="23" spans="18:56" ht="6" customHeight="1" x14ac:dyDescent="0.3">
      <c r="Z23" s="49" t="s">
        <v>57</v>
      </c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</row>
    <row r="24" spans="18:56" ht="6" customHeight="1" x14ac:dyDescent="0.3"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50"/>
    </row>
    <row r="25" spans="18:56" ht="6" customHeight="1" x14ac:dyDescent="0.3"/>
    <row r="26" spans="18:56" ht="6" customHeight="1" x14ac:dyDescent="0.3">
      <c r="Z26" s="44" t="s">
        <v>58</v>
      </c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</row>
    <row r="27" spans="18:56" ht="6" customHeight="1" x14ac:dyDescent="0.3"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5"/>
    </row>
    <row r="28" spans="18:56" ht="6" customHeight="1" x14ac:dyDescent="0.3"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33"/>
      <c r="S32" s="33"/>
      <c r="T32" s="33"/>
      <c r="U32" s="33"/>
      <c r="V32" s="33"/>
      <c r="W32" s="33"/>
      <c r="X32" s="33"/>
      <c r="Y32" s="33"/>
      <c r="Z32" s="52" t="s">
        <v>59</v>
      </c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3"/>
    </row>
    <row r="33" spans="18:99" ht="6" customHeight="1" x14ac:dyDescent="0.3"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</row>
    <row r="34" spans="18:99" ht="6" customHeight="1" x14ac:dyDescent="0.3"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F34" s="33"/>
      <c r="BG34" s="33"/>
      <c r="BH34" s="33"/>
      <c r="BI34" s="33"/>
      <c r="BJ34" s="33"/>
      <c r="BK34" s="33"/>
      <c r="BL34" s="33"/>
      <c r="BM34" s="33"/>
      <c r="BN34" s="36" t="s">
        <v>60</v>
      </c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7"/>
      <c r="CS34" s="37"/>
      <c r="CT34" s="37"/>
      <c r="CU34" s="37"/>
    </row>
    <row r="35" spans="18:99" ht="6" customHeight="1" x14ac:dyDescent="0.3"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7"/>
      <c r="CS35" s="37"/>
      <c r="CT35" s="37"/>
      <c r="CU35" s="37"/>
    </row>
    <row r="36" spans="18:99" ht="6" customHeight="1" x14ac:dyDescent="0.3"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7"/>
      <c r="CS36" s="37"/>
      <c r="CT36" s="37"/>
      <c r="CU36" s="37"/>
    </row>
    <row r="37" spans="18:99" ht="6" customHeight="1" x14ac:dyDescent="0.3">
      <c r="Z37" s="42" t="s">
        <v>61</v>
      </c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3"/>
      <c r="BN37" s="40" t="s">
        <v>62</v>
      </c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1"/>
      <c r="CS37" s="41"/>
      <c r="CT37" s="41"/>
      <c r="CU37" s="41"/>
    </row>
    <row r="38" spans="18:99" ht="6" customHeight="1" x14ac:dyDescent="0.3"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3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1"/>
      <c r="CS38" s="41"/>
      <c r="CT38" s="41"/>
      <c r="CU38" s="41"/>
    </row>
    <row r="39" spans="18:99" ht="6" customHeight="1" x14ac:dyDescent="0.3"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3"/>
    </row>
    <row r="40" spans="18:99" ht="6" customHeight="1" x14ac:dyDescent="0.3">
      <c r="Z40" s="44" t="s">
        <v>63</v>
      </c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5"/>
      <c r="BN40" s="39" t="s">
        <v>64</v>
      </c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7"/>
      <c r="CS40" s="37"/>
      <c r="CT40" s="37"/>
      <c r="CU40" s="37"/>
    </row>
    <row r="41" spans="18:99" ht="6" customHeight="1" x14ac:dyDescent="0.3"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5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7"/>
      <c r="CS41" s="37"/>
      <c r="CT41" s="37"/>
      <c r="CU41" s="37"/>
    </row>
    <row r="42" spans="18:99" ht="6" customHeight="1" x14ac:dyDescent="0.3"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7"/>
      <c r="CS42" s="37"/>
      <c r="CT42" s="37"/>
      <c r="CU42" s="37"/>
    </row>
    <row r="43" spans="18:99" ht="6" customHeight="1" x14ac:dyDescent="0.3">
      <c r="R43" s="33"/>
      <c r="S43" s="33"/>
      <c r="T43" s="33"/>
      <c r="U43" s="33"/>
      <c r="V43" s="33"/>
      <c r="W43" s="33"/>
      <c r="X43" s="33"/>
      <c r="Y43" s="33"/>
      <c r="Z43" s="52" t="s">
        <v>65</v>
      </c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3"/>
      <c r="BN43" s="40" t="s">
        <v>66</v>
      </c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1"/>
      <c r="CS43" s="41"/>
      <c r="CT43" s="41"/>
      <c r="CU43" s="41"/>
    </row>
    <row r="44" spans="18:99" ht="6" customHeight="1" x14ac:dyDescent="0.3"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1"/>
      <c r="CS44" s="41"/>
      <c r="CT44" s="41"/>
      <c r="CU44" s="41"/>
    </row>
    <row r="45" spans="18:99" ht="6" customHeight="1" x14ac:dyDescent="0.3"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</row>
    <row r="46" spans="18:99" ht="6" customHeight="1" x14ac:dyDescent="0.3"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</row>
    <row r="47" spans="18:99" ht="6" customHeight="1" x14ac:dyDescent="0.3"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</row>
    <row r="48" spans="18:99" ht="6" customHeight="1" x14ac:dyDescent="0.3">
      <c r="Z48" s="42" t="s">
        <v>67</v>
      </c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3"/>
    </row>
    <row r="49" spans="2:99" ht="6" customHeight="1" x14ac:dyDescent="0.3"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3"/>
    </row>
    <row r="50" spans="2:99" ht="6" customHeight="1" x14ac:dyDescent="0.3"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3"/>
    </row>
    <row r="51" spans="2:99" ht="6" customHeight="1" x14ac:dyDescent="0.3">
      <c r="B51" s="29" t="s">
        <v>68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Z51" s="44" t="s">
        <v>69</v>
      </c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5"/>
    </row>
    <row r="52" spans="2:99" ht="6" customHeight="1" x14ac:dyDescent="0.3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5"/>
    </row>
    <row r="53" spans="2:99" ht="6" customHeight="1" x14ac:dyDescent="0.3"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</row>
    <row r="54" spans="2:99" ht="6" customHeight="1" x14ac:dyDescent="0.3">
      <c r="B54" s="56" t="s">
        <v>70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R54" s="33"/>
      <c r="S54" s="33"/>
      <c r="T54" s="33"/>
      <c r="U54" s="33"/>
      <c r="V54" s="33"/>
      <c r="W54" s="33"/>
      <c r="X54" s="33"/>
      <c r="Y54" s="33"/>
      <c r="Z54" s="52" t="s">
        <v>71</v>
      </c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3"/>
    </row>
    <row r="55" spans="2:99" ht="6" customHeight="1" x14ac:dyDescent="0.3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</row>
    <row r="56" spans="2:99" ht="6" customHeight="1" x14ac:dyDescent="0.3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</row>
    <row r="57" spans="2:99" ht="6" customHeight="1" x14ac:dyDescent="0.3">
      <c r="B57" s="57" t="s">
        <v>72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</row>
    <row r="58" spans="2:99" ht="6" customHeight="1" x14ac:dyDescent="0.3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/>
    </row>
    <row r="59" spans="2:99" ht="6" customHeight="1" x14ac:dyDescent="0.3">
      <c r="Z59" s="42" t="s">
        <v>73</v>
      </c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3"/>
      <c r="BF59" s="33"/>
      <c r="BG59" s="33"/>
      <c r="BH59" s="33"/>
      <c r="BI59" s="33"/>
      <c r="BJ59" s="33"/>
      <c r="BK59" s="33"/>
      <c r="BL59" s="33"/>
      <c r="BM59" s="33"/>
      <c r="BN59" s="36" t="s">
        <v>60</v>
      </c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7"/>
      <c r="CS59" s="37"/>
      <c r="CT59" s="37"/>
      <c r="CU59" s="37"/>
    </row>
    <row r="60" spans="2:99" ht="6" customHeight="1" x14ac:dyDescent="0.3">
      <c r="B60" s="56" t="s">
        <v>74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3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7"/>
      <c r="CS60" s="37"/>
      <c r="CT60" s="37"/>
      <c r="CU60" s="37"/>
    </row>
    <row r="61" spans="2:99" ht="6" customHeight="1" x14ac:dyDescent="0.3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3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7"/>
      <c r="CS61" s="37"/>
      <c r="CT61" s="37"/>
      <c r="CU61" s="37"/>
    </row>
    <row r="62" spans="2:99" ht="6" customHeight="1" x14ac:dyDescent="0.3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Z62" s="44" t="s">
        <v>75</v>
      </c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5"/>
      <c r="BN62" s="40" t="s">
        <v>76</v>
      </c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1"/>
      <c r="CS62" s="41"/>
      <c r="CT62" s="41"/>
      <c r="CU62" s="41"/>
    </row>
    <row r="63" spans="2:99" ht="6" customHeight="1" x14ac:dyDescent="0.3">
      <c r="B63" s="58" t="s">
        <v>77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5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1"/>
      <c r="CS63" s="41"/>
      <c r="CT63" s="41"/>
      <c r="CU63" s="41"/>
    </row>
    <row r="64" spans="2:99" ht="6" customHeight="1" x14ac:dyDescent="0.3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</row>
    <row r="65" spans="18:99" ht="6" customHeight="1" x14ac:dyDescent="0.3">
      <c r="R65" s="33"/>
      <c r="S65" s="33"/>
      <c r="T65" s="33"/>
      <c r="U65" s="33"/>
      <c r="V65" s="33"/>
      <c r="W65" s="33"/>
      <c r="X65" s="33"/>
      <c r="Y65" s="33"/>
      <c r="Z65" s="52" t="s">
        <v>78</v>
      </c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3"/>
      <c r="BN65" s="39" t="s">
        <v>64</v>
      </c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7"/>
      <c r="CS65" s="37"/>
      <c r="CT65" s="37"/>
      <c r="CU65" s="37"/>
    </row>
    <row r="66" spans="18:99" ht="6" customHeight="1" x14ac:dyDescent="0.3"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7"/>
      <c r="CS66" s="37"/>
      <c r="CT66" s="37"/>
      <c r="CU66" s="37"/>
    </row>
    <row r="67" spans="18:99" ht="6" customHeight="1" x14ac:dyDescent="0.3"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7"/>
      <c r="CS67" s="37"/>
      <c r="CT67" s="37"/>
      <c r="CU67" s="37"/>
    </row>
    <row r="68" spans="18:99" ht="6" customHeight="1" x14ac:dyDescent="0.3"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N68" s="40" t="s">
        <v>79</v>
      </c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1"/>
      <c r="CS68" s="41"/>
      <c r="CT68" s="41"/>
      <c r="CU68" s="41"/>
    </row>
    <row r="69" spans="18:99" ht="6" customHeight="1" x14ac:dyDescent="0.3"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1"/>
      <c r="CS69" s="41"/>
      <c r="CT69" s="41"/>
      <c r="CU69" s="41"/>
    </row>
    <row r="70" spans="18:99" ht="6" customHeight="1" x14ac:dyDescent="0.3"/>
    <row r="71" spans="18:99" ht="6" customHeight="1" x14ac:dyDescent="0.3">
      <c r="Z71" s="44" t="s">
        <v>80</v>
      </c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51"/>
    </row>
    <row r="72" spans="18:99" ht="6" customHeight="1" x14ac:dyDescent="0.3"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51"/>
    </row>
    <row r="73" spans="18:99" ht="6" customHeight="1" x14ac:dyDescent="0.3"/>
    <row r="74" spans="18:99" ht="6" customHeight="1" x14ac:dyDescent="0.3"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</row>
    <row r="75" spans="18:99" ht="6" customHeight="1" x14ac:dyDescent="0.3"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</row>
    <row r="76" spans="18:99" ht="6" customHeight="1" x14ac:dyDescent="0.3"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</row>
    <row r="77" spans="18:99" ht="6" customHeight="1" x14ac:dyDescent="0.3">
      <c r="Z77" s="59" t="s">
        <v>81</v>
      </c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60"/>
    </row>
    <row r="78" spans="18:99" ht="6" customHeight="1" x14ac:dyDescent="0.3"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60"/>
    </row>
    <row r="79" spans="18:99" ht="6" customHeight="1" x14ac:dyDescent="0.3"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60"/>
    </row>
    <row r="80" spans="18:99" ht="6" customHeight="1" x14ac:dyDescent="0.3"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60"/>
    </row>
    <row r="81" spans="26:56" ht="6" customHeight="1" x14ac:dyDescent="0.3"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60"/>
    </row>
    <row r="82" spans="26:56" ht="6" customHeight="1" x14ac:dyDescent="0.3">
      <c r="Z82" s="59" t="s">
        <v>82</v>
      </c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60"/>
    </row>
    <row r="83" spans="26:56" ht="6" customHeight="1" x14ac:dyDescent="0.3"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60"/>
    </row>
    <row r="84" spans="26:56" ht="6" customHeight="1" x14ac:dyDescent="0.3"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60"/>
    </row>
    <row r="85" spans="26:56" ht="6" customHeight="1" x14ac:dyDescent="0.3"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60"/>
    </row>
    <row r="86" spans="26:56" ht="6" customHeight="1" x14ac:dyDescent="0.3"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60"/>
    </row>
    <row r="87" spans="26:56" ht="6" customHeight="1" x14ac:dyDescent="0.3"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60"/>
    </row>
    <row r="88" spans="26:56" ht="6" customHeight="1" x14ac:dyDescent="0.3"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60"/>
    </row>
    <row r="89" spans="26:56" ht="6" customHeight="1" x14ac:dyDescent="0.3"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60"/>
    </row>
    <row r="90" spans="26:56" ht="6" customHeight="1" x14ac:dyDescent="0.3">
      <c r="Z90" s="61" t="s">
        <v>83</v>
      </c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2"/>
    </row>
    <row r="91" spans="26:56" ht="6" customHeight="1" x14ac:dyDescent="0.3"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2"/>
    </row>
    <row r="92" spans="26:56" ht="6" customHeight="1" x14ac:dyDescent="0.3"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</row>
    <row r="93" spans="26:56" ht="6" customHeight="1" x14ac:dyDescent="0.3"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</row>
    <row r="94" spans="26:56" ht="6" customHeight="1" x14ac:dyDescent="0.3"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</row>
    <row r="95" spans="26:56" ht="6" customHeight="1" x14ac:dyDescent="0.3"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FA9D7014-87AD-4C02-8887-299C1BEC98A4}"/>
    <hyperlink ref="B51" r:id="rId2" xr:uid="{038D5920-1511-4ADF-AD7B-4D6C3CB5CAD7}"/>
    <hyperlink ref="B57" r:id="rId3" xr:uid="{97BF2194-B6CC-4446-B23C-012C1FB9860B}"/>
    <hyperlink ref="Z4" r:id="rId4" xr:uid="{8B16856F-80DB-43B8-B5A9-EACFFF74AC58}"/>
    <hyperlink ref="Z17" r:id="rId5" display="https://www.udemy.com/excel-mistrz-formul/?couponCode=STANDARDOWY" xr:uid="{FC78EA20-5846-4173-B8FA-3B900A1EEFD1}"/>
    <hyperlink ref="Z26" r:id="rId6" xr:uid="{330FBA18-B1B5-4D45-8645-1C791CDB4973}"/>
    <hyperlink ref="Z40" r:id="rId7" display="https://www.udemy.com/excel-mistrz-formul/?couponCode=STANDARDOWY" xr:uid="{510B4674-7108-45D4-ACCF-13674025A67A}"/>
    <hyperlink ref="Z51" r:id="rId8" display="https://www.udemy.com/excel-mistrz-formul/?couponCode=STANDARDOWY" xr:uid="{8E3F0398-36AD-4EAD-9C2F-D7536808B123}"/>
    <hyperlink ref="Z62" r:id="rId9" display="https://www.udemy.com/excel-mistrz-formul/?couponCode=STANDARDOWY" xr:uid="{D41CE5E5-2D1A-4E90-90B0-E586494FCF31}"/>
    <hyperlink ref="Z71" r:id="rId10" display="https://www.udemy.com/excel-mistrz-formul/?couponCode=STANDARDOWY" xr:uid="{B97C7EBE-6083-4C26-8EBF-E8BAFAB28514}"/>
    <hyperlink ref="BN12" r:id="rId11" location="mistrz-excela-w-20-dni" xr:uid="{72A9B2C1-CCDE-49BF-B8BC-1B9B867BEE24}"/>
    <hyperlink ref="BN37" r:id="rId12" location="mistrz-excela-w-20-dni" display="http://ksplus.komputerswiat.pl/sklep#mistrz-excela-w-20-dni" xr:uid="{7FC8612A-6ABB-49DC-B517-F231FDEDB4B4}"/>
    <hyperlink ref="BN43" r:id="rId13" location="mistrz-excela-w-20-dni" display="http://ksplus.komputerswiat.pl/sklep#mistrz-excela-w-20-dni" xr:uid="{CA346E91-CBFF-4104-95FF-12A29312F10C}"/>
    <hyperlink ref="BN62" r:id="rId14" location="mistrz-excela-w-20-dni" display="http://ksplus.komputerswiat.pl/sklep#mistrz-excela-w-20-dni" xr:uid="{37CC6293-903B-4617-9F90-40E98B07C96C}"/>
    <hyperlink ref="BN68" r:id="rId15" location="mistrz-excela-w-20-dni" display="http://ksplus.komputerswiat.pl/sklep#mistrz-excela-w-20-dni" xr:uid="{1567DA92-258E-429C-96AF-5590175DF35D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F45"/>
  <sheetViews>
    <sheetView zoomScale="175" zoomScaleNormal="175" workbookViewId="0"/>
  </sheetViews>
  <sheetFormatPr defaultColWidth="9.109375" defaultRowHeight="14.4" x14ac:dyDescent="0.3"/>
  <cols>
    <col min="1" max="1" width="11.44140625" style="4" customWidth="1"/>
    <col min="2" max="2" width="11.5546875" style="4" bestFit="1" customWidth="1"/>
    <col min="3" max="16384" width="9.109375" style="4"/>
  </cols>
  <sheetData>
    <row r="1" spans="1:6" x14ac:dyDescent="0.3">
      <c r="A1" s="2" t="s">
        <v>0</v>
      </c>
      <c r="B1" s="3">
        <v>5000</v>
      </c>
    </row>
    <row r="2" spans="1:6" x14ac:dyDescent="0.3">
      <c r="A2" s="2" t="s">
        <v>1</v>
      </c>
      <c r="B2" s="3">
        <v>3000</v>
      </c>
    </row>
    <row r="3" spans="1:6" x14ac:dyDescent="0.3">
      <c r="A3" s="2" t="s">
        <v>2</v>
      </c>
      <c r="B3" s="3">
        <f>Przychód-Koszt</f>
        <v>2000</v>
      </c>
      <c r="D3" s="5"/>
      <c r="F3" s="5"/>
    </row>
    <row r="6" spans="1:6" x14ac:dyDescent="0.3">
      <c r="A6" s="2" t="s">
        <v>3</v>
      </c>
      <c r="B6" s="2" t="s">
        <v>4</v>
      </c>
      <c r="C6" s="2" t="s">
        <v>11</v>
      </c>
      <c r="E6" s="2" t="s">
        <v>11</v>
      </c>
    </row>
    <row r="7" spans="1:6" x14ac:dyDescent="0.3">
      <c r="A7" s="6" t="s">
        <v>5</v>
      </c>
      <c r="B7" s="7">
        <v>2</v>
      </c>
      <c r="C7" s="8">
        <f t="shared" ref="C7:C12" si="0">B7*VAT</f>
        <v>0.46</v>
      </c>
      <c r="E7" s="9">
        <v>0.23</v>
      </c>
    </row>
    <row r="8" spans="1:6" x14ac:dyDescent="0.3">
      <c r="A8" s="6" t="s">
        <v>6</v>
      </c>
      <c r="B8" s="7">
        <v>0.5</v>
      </c>
      <c r="C8" s="8">
        <f t="shared" si="0"/>
        <v>0.115</v>
      </c>
    </row>
    <row r="9" spans="1:6" x14ac:dyDescent="0.3">
      <c r="A9" s="6" t="s">
        <v>7</v>
      </c>
      <c r="B9" s="7">
        <v>2.5</v>
      </c>
      <c r="C9" s="8">
        <f t="shared" si="0"/>
        <v>0.57500000000000007</v>
      </c>
    </row>
    <row r="10" spans="1:6" x14ac:dyDescent="0.3">
      <c r="A10" s="6" t="s">
        <v>8</v>
      </c>
      <c r="B10" s="7">
        <v>5</v>
      </c>
      <c r="C10" s="8">
        <f t="shared" si="0"/>
        <v>1.1500000000000001</v>
      </c>
    </row>
    <row r="11" spans="1:6" x14ac:dyDescent="0.3">
      <c r="A11" s="6" t="s">
        <v>9</v>
      </c>
      <c r="B11" s="7">
        <v>0.2</v>
      </c>
      <c r="C11" s="8">
        <f t="shared" si="0"/>
        <v>4.6000000000000006E-2</v>
      </c>
    </row>
    <row r="12" spans="1:6" x14ac:dyDescent="0.3">
      <c r="A12" s="10" t="s">
        <v>10</v>
      </c>
      <c r="B12" s="11">
        <v>0.1</v>
      </c>
      <c r="C12" s="8">
        <f t="shared" si="0"/>
        <v>2.3000000000000003E-2</v>
      </c>
    </row>
    <row r="25" spans="3:4" x14ac:dyDescent="0.3">
      <c r="C25" s="12"/>
      <c r="D25" s="12"/>
    </row>
    <row r="26" spans="3:4" x14ac:dyDescent="0.3">
      <c r="C26" s="12"/>
      <c r="D26" s="12"/>
    </row>
    <row r="27" spans="3:4" x14ac:dyDescent="0.3">
      <c r="C27" s="12"/>
      <c r="D27" s="12"/>
    </row>
    <row r="28" spans="3:4" x14ac:dyDescent="0.3">
      <c r="C28" s="12"/>
      <c r="D28" s="12"/>
    </row>
    <row r="29" spans="3:4" x14ac:dyDescent="0.3">
      <c r="C29" s="12"/>
      <c r="D29" s="12"/>
    </row>
    <row r="30" spans="3:4" x14ac:dyDescent="0.3">
      <c r="C30" s="12"/>
      <c r="D30" s="12"/>
    </row>
    <row r="31" spans="3:4" x14ac:dyDescent="0.3">
      <c r="C31" s="12"/>
      <c r="D31" s="12"/>
    </row>
    <row r="32" spans="3:4" x14ac:dyDescent="0.3">
      <c r="C32" s="12"/>
      <c r="D32" s="12"/>
    </row>
    <row r="33" spans="3:4" x14ac:dyDescent="0.3">
      <c r="C33" s="12"/>
      <c r="D33" s="12"/>
    </row>
    <row r="34" spans="3:4" x14ac:dyDescent="0.3">
      <c r="C34" s="12"/>
      <c r="D34" s="12"/>
    </row>
    <row r="35" spans="3:4" x14ac:dyDescent="0.3">
      <c r="C35" s="12"/>
      <c r="D35" s="12"/>
    </row>
    <row r="36" spans="3:4" x14ac:dyDescent="0.3">
      <c r="C36" s="12"/>
      <c r="D36" s="12"/>
    </row>
    <row r="37" spans="3:4" x14ac:dyDescent="0.3">
      <c r="C37" s="12"/>
      <c r="D37" s="12"/>
    </row>
    <row r="38" spans="3:4" x14ac:dyDescent="0.3">
      <c r="D38" s="12"/>
    </row>
    <row r="39" spans="3:4" x14ac:dyDescent="0.3">
      <c r="D39" s="12"/>
    </row>
    <row r="40" spans="3:4" x14ac:dyDescent="0.3">
      <c r="D40" s="12"/>
    </row>
    <row r="41" spans="3:4" x14ac:dyDescent="0.3">
      <c r="D41" s="12"/>
    </row>
    <row r="42" spans="3:4" x14ac:dyDescent="0.3">
      <c r="D42" s="12"/>
    </row>
    <row r="43" spans="3:4" x14ac:dyDescent="0.3">
      <c r="D43" s="12"/>
    </row>
    <row r="44" spans="3:4" x14ac:dyDescent="0.3">
      <c r="D44" s="12"/>
    </row>
    <row r="45" spans="3:4" x14ac:dyDescent="0.3">
      <c r="D45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F8"/>
  <sheetViews>
    <sheetView zoomScale="130" zoomScaleNormal="130" workbookViewId="0"/>
  </sheetViews>
  <sheetFormatPr defaultColWidth="9.109375" defaultRowHeight="14.4" x14ac:dyDescent="0.3"/>
  <cols>
    <col min="1" max="1" width="12" style="4" bestFit="1" customWidth="1"/>
    <col min="2" max="2" width="19.6640625" style="4" customWidth="1"/>
    <col min="3" max="3" width="22.44140625" style="4" bestFit="1" customWidth="1"/>
    <col min="4" max="4" width="3" style="4" customWidth="1"/>
    <col min="5" max="5" width="12.5546875" style="4" bestFit="1" customWidth="1"/>
    <col min="6" max="6" width="19.33203125" style="4" bestFit="1" customWidth="1"/>
    <col min="7" max="16384" width="9.109375" style="4"/>
  </cols>
  <sheetData>
    <row r="1" spans="1:6" ht="16.2" x14ac:dyDescent="0.3">
      <c r="A1" s="2" t="s">
        <v>12</v>
      </c>
      <c r="B1" s="24">
        <v>2.7182818284590402</v>
      </c>
      <c r="C1" s="4" t="s">
        <v>46</v>
      </c>
    </row>
    <row r="3" spans="1:6" x14ac:dyDescent="0.3">
      <c r="A3" s="2" t="s">
        <v>13</v>
      </c>
      <c r="B3" s="2" t="s">
        <v>14</v>
      </c>
      <c r="C3" s="2" t="s">
        <v>29</v>
      </c>
    </row>
    <row r="4" spans="1:6" x14ac:dyDescent="0.3">
      <c r="A4" s="23">
        <v>148.41315910257524</v>
      </c>
      <c r="B4" s="25">
        <f>LN(A4)</f>
        <v>4.9999999999999911</v>
      </c>
      <c r="C4" s="25">
        <f>LOG(A4,liczba_Eulera)</f>
        <v>5.0000000000000009</v>
      </c>
      <c r="E4" s="4" t="s">
        <v>1</v>
      </c>
      <c r="F4" s="4" t="s">
        <v>40</v>
      </c>
    </row>
    <row r="5" spans="1:6" x14ac:dyDescent="0.3">
      <c r="A5" s="23">
        <v>10</v>
      </c>
      <c r="B5" s="25">
        <f t="shared" ref="B5:B7" si="0">LN(A5)</f>
        <v>2.3025850929940459</v>
      </c>
      <c r="C5" s="25">
        <f t="shared" ref="C5:C7" si="1">LOG(A5,liczba_Eulera)</f>
        <v>2.3025850929940503</v>
      </c>
      <c r="E5" s="4" t="s">
        <v>41</v>
      </c>
      <c r="F5" s="4" t="s">
        <v>42</v>
      </c>
    </row>
    <row r="6" spans="1:6" x14ac:dyDescent="0.3">
      <c r="A6" s="23">
        <v>100</v>
      </c>
      <c r="B6" s="25">
        <f t="shared" si="0"/>
        <v>4.6051701859880918</v>
      </c>
      <c r="C6" s="25">
        <f t="shared" si="1"/>
        <v>4.6051701859881007</v>
      </c>
      <c r="E6" s="4" t="s">
        <v>0</v>
      </c>
      <c r="F6" s="4" t="s">
        <v>43</v>
      </c>
    </row>
    <row r="7" spans="1:6" x14ac:dyDescent="0.3">
      <c r="A7" s="23">
        <v>4.055199966844663</v>
      </c>
      <c r="B7" s="25">
        <f t="shared" si="0"/>
        <v>1.3999999999999972</v>
      </c>
      <c r="C7" s="25">
        <f t="shared" si="1"/>
        <v>1.4</v>
      </c>
      <c r="E7" s="4" t="s">
        <v>11</v>
      </c>
      <c r="F7" s="4" t="s">
        <v>44</v>
      </c>
    </row>
    <row r="8" spans="1:6" x14ac:dyDescent="0.3">
      <c r="E8" s="4" t="s">
        <v>2</v>
      </c>
      <c r="F8" s="4" t="s">
        <v>45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F11"/>
  <sheetViews>
    <sheetView zoomScale="130" zoomScaleNormal="130" workbookViewId="0"/>
  </sheetViews>
  <sheetFormatPr defaultColWidth="9.109375" defaultRowHeight="14.4" x14ac:dyDescent="0.3"/>
  <cols>
    <col min="1" max="1" width="13.5546875" style="4" bestFit="1" customWidth="1"/>
    <col min="2" max="2" width="16.109375" style="4" bestFit="1" customWidth="1"/>
    <col min="3" max="4" width="9.109375" style="4"/>
    <col min="5" max="5" width="3.33203125" style="4" customWidth="1"/>
    <col min="6" max="6" width="16.109375" style="4" bestFit="1" customWidth="1"/>
    <col min="7" max="7" width="9.88671875" style="4" bestFit="1" customWidth="1"/>
    <col min="8" max="16384" width="9.109375" style="4"/>
  </cols>
  <sheetData>
    <row r="1" spans="1:6" ht="15" customHeight="1" x14ac:dyDescent="0.3">
      <c r="C1" s="19" t="s">
        <v>17</v>
      </c>
      <c r="D1" s="20"/>
      <c r="F1" s="4" t="s">
        <v>19</v>
      </c>
    </row>
    <row r="2" spans="1:6" s="22" customFormat="1" x14ac:dyDescent="0.3">
      <c r="A2" s="21" t="s">
        <v>15</v>
      </c>
      <c r="B2" s="21" t="s">
        <v>16</v>
      </c>
      <c r="C2" s="2" t="s">
        <v>18</v>
      </c>
      <c r="D2" s="2" t="s">
        <v>19</v>
      </c>
    </row>
    <row r="3" spans="1:6" x14ac:dyDescent="0.3">
      <c r="A3" s="23" t="s">
        <v>20</v>
      </c>
      <c r="B3" s="23">
        <v>1637</v>
      </c>
      <c r="C3" s="23">
        <v>241</v>
      </c>
      <c r="D3" s="23">
        <v>169</v>
      </c>
      <c r="F3" s="22">
        <f ca="1">OFFSET($A$3:$A$11,0,MATCH($F$1,$B$2:$D$2,0))</f>
        <v>169</v>
      </c>
    </row>
    <row r="4" spans="1:6" x14ac:dyDescent="0.3">
      <c r="A4" s="23" t="s">
        <v>21</v>
      </c>
      <c r="B4" s="23">
        <v>1339</v>
      </c>
      <c r="C4" s="23">
        <v>84</v>
      </c>
      <c r="D4" s="23">
        <v>162</v>
      </c>
    </row>
    <row r="5" spans="1:6" x14ac:dyDescent="0.3">
      <c r="A5" s="23" t="s">
        <v>22</v>
      </c>
      <c r="B5" s="23">
        <v>1216</v>
      </c>
      <c r="C5" s="23">
        <v>159</v>
      </c>
      <c r="D5" s="23">
        <v>133</v>
      </c>
    </row>
    <row r="6" spans="1:6" x14ac:dyDescent="0.3">
      <c r="A6" s="23" t="s">
        <v>23</v>
      </c>
      <c r="B6" s="23">
        <v>1411</v>
      </c>
      <c r="C6" s="23">
        <v>148</v>
      </c>
      <c r="D6" s="23">
        <v>236</v>
      </c>
    </row>
    <row r="7" spans="1:6" x14ac:dyDescent="0.3">
      <c r="A7" s="23" t="s">
        <v>24</v>
      </c>
      <c r="B7" s="23">
        <v>1695</v>
      </c>
      <c r="C7" s="23">
        <v>241</v>
      </c>
      <c r="D7" s="23">
        <v>264</v>
      </c>
    </row>
    <row r="8" spans="1:6" x14ac:dyDescent="0.3">
      <c r="A8" s="23" t="s">
        <v>25</v>
      </c>
      <c r="B8" s="23">
        <v>1378</v>
      </c>
      <c r="C8" s="23">
        <v>124</v>
      </c>
      <c r="D8" s="23">
        <v>222</v>
      </c>
    </row>
    <row r="9" spans="1:6" x14ac:dyDescent="0.3">
      <c r="A9" s="23" t="s">
        <v>26</v>
      </c>
      <c r="B9" s="23">
        <v>1300</v>
      </c>
      <c r="C9" s="23">
        <v>195</v>
      </c>
      <c r="D9" s="23">
        <v>190</v>
      </c>
    </row>
    <row r="10" spans="1:6" x14ac:dyDescent="0.3">
      <c r="A10" s="23" t="s">
        <v>27</v>
      </c>
      <c r="B10" s="23">
        <v>1371</v>
      </c>
      <c r="C10" s="23">
        <v>86</v>
      </c>
      <c r="D10" s="23">
        <v>222</v>
      </c>
    </row>
    <row r="11" spans="1:6" x14ac:dyDescent="0.3">
      <c r="A11" s="23" t="s">
        <v>28</v>
      </c>
      <c r="B11" s="23">
        <v>1488</v>
      </c>
      <c r="C11" s="23">
        <v>82</v>
      </c>
      <c r="D11" s="23">
        <v>289</v>
      </c>
    </row>
  </sheetData>
  <dataValidations count="1">
    <dataValidation type="list" allowBlank="1" showInputMessage="1" showErrorMessage="1" sqref="F1" xr:uid="{00000000-0002-0000-0200-000000000000}">
      <formula1>$B$2:$D$2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J10"/>
  <sheetViews>
    <sheetView zoomScale="160" zoomScaleNormal="160" workbookViewId="0"/>
  </sheetViews>
  <sheetFormatPr defaultColWidth="9.109375" defaultRowHeight="14.4" x14ac:dyDescent="0.3"/>
  <cols>
    <col min="1" max="7" width="4" style="4" customWidth="1"/>
    <col min="8" max="8" width="3.33203125" style="4" customWidth="1"/>
    <col min="9" max="9" width="12" style="4" bestFit="1" customWidth="1"/>
    <col min="10" max="10" width="13.109375" style="4" bestFit="1" customWidth="1"/>
    <col min="11" max="16384" width="9.109375" style="4"/>
  </cols>
  <sheetData>
    <row r="1" spans="1:10" x14ac:dyDescent="0.3">
      <c r="A1" s="4" t="s">
        <v>38</v>
      </c>
      <c r="B1" s="13" t="s">
        <v>39</v>
      </c>
    </row>
    <row r="2" spans="1:10" x14ac:dyDescent="0.3">
      <c r="A2" s="14"/>
    </row>
    <row r="3" spans="1:10" x14ac:dyDescent="0.3">
      <c r="A3" s="15" t="s">
        <v>37</v>
      </c>
      <c r="B3" s="16"/>
      <c r="C3" s="16"/>
      <c r="D3" s="16"/>
      <c r="E3" s="16"/>
      <c r="F3" s="16"/>
      <c r="G3" s="16"/>
    </row>
    <row r="4" spans="1:10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</row>
    <row r="5" spans="1:10" x14ac:dyDescent="0.3">
      <c r="A5" s="17">
        <v>42366</v>
      </c>
      <c r="B5" s="18">
        <f>A5+1</f>
        <v>42367</v>
      </c>
      <c r="C5" s="18">
        <f t="shared" ref="C5:G5" si="0">B5+1</f>
        <v>42368</v>
      </c>
      <c r="D5" s="18">
        <f t="shared" si="0"/>
        <v>42369</v>
      </c>
      <c r="E5" s="18">
        <f t="shared" si="0"/>
        <v>42370</v>
      </c>
      <c r="F5" s="18">
        <f t="shared" si="0"/>
        <v>42371</v>
      </c>
      <c r="G5" s="18">
        <f t="shared" si="0"/>
        <v>42372</v>
      </c>
      <c r="I5" s="4" t="b">
        <f>MONTH(A5)&lt;&gt;1</f>
        <v>1</v>
      </c>
    </row>
    <row r="6" spans="1:10" x14ac:dyDescent="0.3">
      <c r="A6" s="18">
        <f>A5+7</f>
        <v>42373</v>
      </c>
      <c r="B6" s="18">
        <f t="shared" ref="B6:G10" si="1">PowyżejPlus7</f>
        <v>42374</v>
      </c>
      <c r="C6" s="18">
        <f t="shared" si="1"/>
        <v>42375</v>
      </c>
      <c r="D6" s="18">
        <f t="shared" si="1"/>
        <v>42376</v>
      </c>
      <c r="E6" s="18">
        <f t="shared" si="1"/>
        <v>42377</v>
      </c>
      <c r="F6" s="18">
        <f t="shared" si="1"/>
        <v>42378</v>
      </c>
      <c r="G6" s="18">
        <f t="shared" si="1"/>
        <v>42379</v>
      </c>
      <c r="I6" s="4">
        <f>DAY(A6)</f>
        <v>4</v>
      </c>
      <c r="J6" s="4" t="str">
        <f ca="1">_xlfn.FORMULATEXT(I6)</f>
        <v>=DZIEŃ(A6)</v>
      </c>
    </row>
    <row r="7" spans="1:10" x14ac:dyDescent="0.3">
      <c r="A7" s="18">
        <f>PowyżejPlus7</f>
        <v>42380</v>
      </c>
      <c r="B7" s="18">
        <f t="shared" si="1"/>
        <v>42381</v>
      </c>
      <c r="C7" s="18">
        <f t="shared" si="1"/>
        <v>42382</v>
      </c>
      <c r="D7" s="18">
        <f t="shared" si="1"/>
        <v>42383</v>
      </c>
      <c r="E7" s="18">
        <f t="shared" si="1"/>
        <v>42384</v>
      </c>
      <c r="F7" s="18">
        <f t="shared" si="1"/>
        <v>42385</v>
      </c>
      <c r="G7" s="18">
        <f t="shared" si="1"/>
        <v>42386</v>
      </c>
      <c r="I7" s="4">
        <f>MONTH(A6)</f>
        <v>1</v>
      </c>
      <c r="J7" s="4" t="str">
        <f t="shared" ref="J7:J8" ca="1" si="2">_xlfn.FORMULATEXT(I7)</f>
        <v>=MIESIĄC(A6)</v>
      </c>
    </row>
    <row r="8" spans="1:10" x14ac:dyDescent="0.3">
      <c r="A8" s="18">
        <f>PowyżejPlus7</f>
        <v>42387</v>
      </c>
      <c r="B8" s="18">
        <f t="shared" si="1"/>
        <v>42388</v>
      </c>
      <c r="C8" s="18">
        <f t="shared" si="1"/>
        <v>42389</v>
      </c>
      <c r="D8" s="18">
        <f t="shared" si="1"/>
        <v>42390</v>
      </c>
      <c r="E8" s="18">
        <f t="shared" si="1"/>
        <v>42391</v>
      </c>
      <c r="F8" s="18">
        <f t="shared" si="1"/>
        <v>42392</v>
      </c>
      <c r="G8" s="18">
        <f t="shared" si="1"/>
        <v>42393</v>
      </c>
      <c r="I8" s="4">
        <f>YEAR(A6)</f>
        <v>2016</v>
      </c>
      <c r="J8" s="4" t="str">
        <f t="shared" ca="1" si="2"/>
        <v>=ROK(A6)</v>
      </c>
    </row>
    <row r="9" spans="1:10" x14ac:dyDescent="0.3">
      <c r="A9" s="18">
        <f>PowyżejPlus7</f>
        <v>42394</v>
      </c>
      <c r="B9" s="18">
        <f t="shared" si="1"/>
        <v>42395</v>
      </c>
      <c r="C9" s="18">
        <f t="shared" si="1"/>
        <v>42396</v>
      </c>
      <c r="D9" s="18">
        <f t="shared" si="1"/>
        <v>42397</v>
      </c>
      <c r="E9" s="18">
        <f t="shared" si="1"/>
        <v>42398</v>
      </c>
      <c r="F9" s="18">
        <f t="shared" si="1"/>
        <v>42399</v>
      </c>
      <c r="G9" s="18">
        <f t="shared" si="1"/>
        <v>42400</v>
      </c>
    </row>
    <row r="10" spans="1:10" x14ac:dyDescent="0.3">
      <c r="A10" s="18">
        <f>PowyżejPlus7</f>
        <v>42401</v>
      </c>
      <c r="B10" s="18">
        <f t="shared" si="1"/>
        <v>42402</v>
      </c>
      <c r="C10" s="18">
        <f t="shared" si="1"/>
        <v>42403</v>
      </c>
      <c r="D10" s="18">
        <f t="shared" si="1"/>
        <v>42404</v>
      </c>
      <c r="E10" s="18">
        <f t="shared" si="1"/>
        <v>42405</v>
      </c>
      <c r="F10" s="18">
        <f t="shared" si="1"/>
        <v>42406</v>
      </c>
      <c r="G10" s="18">
        <f t="shared" si="1"/>
        <v>42407</v>
      </c>
    </row>
  </sheetData>
  <conditionalFormatting sqref="A5:G10">
    <cfRule type="expression" dxfId="0" priority="1">
      <formula>MONTH(A5)&lt;&gt;1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4</vt:i4>
      </vt:variant>
    </vt:vector>
  </HeadingPairs>
  <TitlesOfParts>
    <vt:vector size="9" baseType="lpstr">
      <vt:lpstr>ExceliAdam</vt:lpstr>
      <vt:lpstr>Zakresy</vt:lpstr>
      <vt:lpstr>Stałe</vt:lpstr>
      <vt:lpstr>Formuła</vt:lpstr>
      <vt:lpstr>Kalendarz</vt:lpstr>
      <vt:lpstr>Koszt</vt:lpstr>
      <vt:lpstr>Przychód</vt:lpstr>
      <vt:lpstr>VAT</vt:lpstr>
      <vt:lpstr>Zysk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2015-10-25T07:22:57Z</dcterms:created>
  <dcterms:modified xsi:type="dcterms:W3CDTF">2019-05-13T07:57:38Z</dcterms:modified>
</cp:coreProperties>
</file>