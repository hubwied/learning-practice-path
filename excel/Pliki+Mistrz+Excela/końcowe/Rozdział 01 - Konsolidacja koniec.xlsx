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LENOVO\Desktop\Pliki Mistrz Excela\końcowe\"/>
    </mc:Choice>
  </mc:AlternateContent>
  <xr:revisionPtr revIDLastSave="0" documentId="13_ncr:1_{94E5B6AD-6CB8-4404-84F6-2329F1F20B75}" xr6:coauthVersionLast="43" xr6:coauthVersionMax="43" xr10:uidLastSave="{00000000-0000-0000-0000-000000000000}"/>
  <bookViews>
    <workbookView xWindow="-108" yWindow="-108" windowWidth="23256" windowHeight="12576" tabRatio="825" xr2:uid="{00000000-000D-0000-FFFF-FFFF00000000}"/>
  </bookViews>
  <sheets>
    <sheet name="ExceliAdam" sheetId="228" r:id="rId1"/>
    <sheet name="Suma" sheetId="227" r:id="rId2"/>
    <sheet name="Dolnośląskie" sheetId="224" r:id="rId3"/>
    <sheet name="Świętokrzyskie" sheetId="223" r:id="rId4"/>
    <sheet name="Lubelskie" sheetId="222" r:id="rId5"/>
  </sheets>
  <definedNames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" i="227" l="1"/>
  <c r="E4" i="227"/>
  <c r="H4" i="227"/>
  <c r="F5" i="227"/>
  <c r="F7" i="227" s="1"/>
  <c r="G5" i="227"/>
  <c r="H5" i="227"/>
  <c r="C6" i="227"/>
  <c r="C7" i="227" s="1"/>
  <c r="D6" i="227"/>
  <c r="D7" i="227" s="1"/>
  <c r="E6" i="227"/>
  <c r="E7" i="227"/>
  <c r="G7" i="227"/>
  <c r="H7" i="227"/>
  <c r="C8" i="227"/>
  <c r="D8" i="227"/>
  <c r="E8" i="227"/>
  <c r="E11" i="227" s="1"/>
  <c r="H8" i="227"/>
  <c r="H11" i="227" s="1"/>
  <c r="F9" i="227"/>
  <c r="F11" i="227" s="1"/>
  <c r="G9" i="227"/>
  <c r="H9" i="227"/>
  <c r="C10" i="227"/>
  <c r="D10" i="227"/>
  <c r="E10" i="227"/>
  <c r="G10" i="227"/>
  <c r="D11" i="227"/>
  <c r="G11" i="227"/>
  <c r="C12" i="227"/>
  <c r="D12" i="227"/>
  <c r="D15" i="227" s="1"/>
  <c r="E12" i="227"/>
  <c r="F13" i="227"/>
  <c r="F15" i="227" s="1"/>
  <c r="G13" i="227"/>
  <c r="G15" i="227" s="1"/>
  <c r="H13" i="227"/>
  <c r="C14" i="227"/>
  <c r="D14" i="227"/>
  <c r="E14" i="227"/>
  <c r="G14" i="227"/>
  <c r="H15" i="227"/>
  <c r="C16" i="227"/>
  <c r="C17" i="227" s="1"/>
  <c r="D16" i="227"/>
  <c r="D17" i="227" s="1"/>
  <c r="E16" i="227"/>
  <c r="E17" i="227" s="1"/>
  <c r="H16" i="227"/>
  <c r="H17" i="227" s="1"/>
  <c r="C18" i="227"/>
  <c r="C19" i="227" s="1"/>
  <c r="D18" i="227"/>
  <c r="D19" i="227" s="1"/>
  <c r="E18" i="227"/>
  <c r="E19" i="227" s="1"/>
  <c r="H18" i="227"/>
  <c r="H19" i="227" s="1"/>
  <c r="C20" i="227"/>
  <c r="C21" i="227" s="1"/>
  <c r="D20" i="227"/>
  <c r="D21" i="227" s="1"/>
  <c r="E20" i="227"/>
  <c r="E21" i="227" s="1"/>
  <c r="H20" i="227"/>
  <c r="H21" i="227" s="1"/>
  <c r="F22" i="227"/>
  <c r="G22" i="227"/>
  <c r="G23" i="227" s="1"/>
  <c r="H22" i="227"/>
  <c r="H23" i="227" s="1"/>
  <c r="F23" i="227"/>
  <c r="G24" i="227"/>
  <c r="G25" i="227" s="1"/>
  <c r="H24" i="227"/>
  <c r="H25" i="227" s="1"/>
  <c r="C26" i="227"/>
  <c r="D26" i="227"/>
  <c r="D27" i="227" s="1"/>
  <c r="E26" i="227"/>
  <c r="E27" i="227" s="1"/>
  <c r="G26" i="227"/>
  <c r="G27" i="227" s="1"/>
  <c r="C27" i="227"/>
  <c r="E15" i="227" l="1"/>
  <c r="C11" i="227"/>
  <c r="C15" i="227"/>
</calcChain>
</file>

<file path=xl/sharedStrings.xml><?xml version="1.0" encoding="utf-8"?>
<sst xmlns="http://schemas.openxmlformats.org/spreadsheetml/2006/main" count="112" uniqueCount="61">
  <si>
    <t>Produkt</t>
  </si>
  <si>
    <t>Sprzedawca</t>
  </si>
  <si>
    <t>Województwo</t>
  </si>
  <si>
    <t>Lubelskie</t>
  </si>
  <si>
    <t>Dolnośląskie</t>
  </si>
  <si>
    <t>Burza</t>
  </si>
  <si>
    <t>Chmura</t>
  </si>
  <si>
    <t>Dory</t>
  </si>
  <si>
    <t>Deszcz</t>
  </si>
  <si>
    <t>Alex</t>
  </si>
  <si>
    <t>Atylla</t>
  </si>
  <si>
    <t>Grad</t>
  </si>
  <si>
    <t>Julian</t>
  </si>
  <si>
    <t>Idol</t>
  </si>
  <si>
    <t>Marlena</t>
  </si>
  <si>
    <t>Gloria</t>
  </si>
  <si>
    <t>Suma z Sprzedaż</t>
  </si>
  <si>
    <t>Wszystkie</t>
  </si>
  <si>
    <t>Tęcza</t>
  </si>
  <si>
    <t>Słońce</t>
  </si>
  <si>
    <t>Marlin</t>
  </si>
  <si>
    <t>Nemo</t>
  </si>
  <si>
    <t>Świętokrzyskie</t>
  </si>
  <si>
    <t>Rozdział 01 - Konsolidacja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</si>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</sst>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* #,##0.00_);_(* \(#,##0.00\);_(* &quot;-&quot;??_);_(@_)"/>
    <numFmt numFmtId="165" formatCode="&quot;$&quot;#,##0,"/>
    <numFmt numFmtId="166" formatCode="d\-mmm\-yyyy"/>
    <numFmt numFmtId="167" formatCode="#,##0.00\ &quot;zł&quot;"/>
    <numFmt numFmtId="168" formatCode="#,##0\ &quot;zł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/>
      </patternFill>
    </fill>
    <fill>
      <patternFill patternType="solid">
        <fgColor rgb="FF2EA3F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4" fillId="3" borderId="1">
      <alignment wrapText="1"/>
    </xf>
    <xf numFmtId="0" fontId="5" fillId="2" borderId="2" applyBorder="0">
      <alignment horizontal="centerContinuous" wrapText="1"/>
    </xf>
    <xf numFmtId="165" fontId="6" fillId="0" borderId="0"/>
    <xf numFmtId="166" fontId="7" fillId="0" borderId="0" applyFont="0" applyFill="0" applyBorder="0" applyProtection="0">
      <alignment horizontal="center"/>
    </xf>
    <xf numFmtId="0" fontId="8" fillId="0" borderId="0"/>
    <xf numFmtId="0" fontId="8" fillId="0" borderId="0">
      <alignment wrapText="1"/>
    </xf>
    <xf numFmtId="164" fontId="8" fillId="0" borderId="0" applyFont="0" applyFill="0" applyBorder="0" applyAlignment="0" applyProtection="0"/>
    <xf numFmtId="0" fontId="9" fillId="4" borderId="0" applyNumberFormat="0" applyBorder="0" applyAlignment="0" applyProtection="0"/>
    <xf numFmtId="0" fontId="3" fillId="0" borderId="0"/>
    <xf numFmtId="0" fontId="13" fillId="0" borderId="0" applyNumberFormat="0" applyFill="0" applyBorder="0" applyAlignment="0" applyProtection="0"/>
    <xf numFmtId="0" fontId="2" fillId="0" borderId="0"/>
    <xf numFmtId="0" fontId="2" fillId="0" borderId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47">
    <xf numFmtId="0" fontId="0" fillId="0" borderId="0" xfId="0"/>
    <xf numFmtId="0" fontId="11" fillId="5" borderId="1" xfId="8" applyFont="1" applyFill="1" applyBorder="1" applyAlignment="1">
      <alignment horizontal="center" vertical="center" wrapText="1"/>
    </xf>
    <xf numFmtId="0" fontId="12" fillId="0" borderId="1" xfId="0" applyFont="1" applyBorder="1"/>
    <xf numFmtId="0" fontId="12" fillId="0" borderId="0" xfId="0" applyFont="1"/>
    <xf numFmtId="168" fontId="12" fillId="0" borderId="0" xfId="0" applyNumberFormat="1" applyFont="1"/>
    <xf numFmtId="0" fontId="11" fillId="5" borderId="1" xfId="8" applyFont="1" applyFill="1" applyBorder="1" applyAlignment="1">
      <alignment horizontal="centerContinuous" vertical="center" wrapText="1"/>
    </xf>
    <xf numFmtId="168" fontId="12" fillId="0" borderId="1" xfId="0" applyNumberFormat="1" applyFont="1" applyBorder="1"/>
    <xf numFmtId="167" fontId="12" fillId="0" borderId="0" xfId="0" applyNumberFormat="1" applyFont="1"/>
    <xf numFmtId="0" fontId="12" fillId="0" borderId="3" xfId="0" applyFont="1" applyBorder="1"/>
    <xf numFmtId="0" fontId="2" fillId="0" borderId="0" xfId="11"/>
    <xf numFmtId="0" fontId="10" fillId="0" borderId="0" xfId="12" applyFont="1" applyAlignment="1">
      <alignment vertical="center"/>
    </xf>
    <xf numFmtId="0" fontId="14" fillId="0" borderId="0" xfId="13" applyFont="1" applyAlignment="1">
      <alignment vertical="center"/>
    </xf>
    <xf numFmtId="0" fontId="16" fillId="0" borderId="0" xfId="11" applyFont="1" applyAlignment="1">
      <alignment vertical="center"/>
    </xf>
    <xf numFmtId="0" fontId="2" fillId="0" borderId="4" xfId="11" applyBorder="1"/>
    <xf numFmtId="0" fontId="10" fillId="0" borderId="0" xfId="11" applyFont="1" applyBorder="1" applyAlignment="1">
      <alignment wrapText="1"/>
    </xf>
    <xf numFmtId="0" fontId="0" fillId="0" borderId="0" xfId="11" applyFont="1" applyBorder="1" applyAlignment="1">
      <alignment vertical="top"/>
    </xf>
    <xf numFmtId="0" fontId="14" fillId="0" borderId="0" xfId="13" applyAlignment="1"/>
    <xf numFmtId="0" fontId="2" fillId="0" borderId="0" xfId="11" applyFont="1" applyAlignment="1">
      <alignment vertical="top"/>
    </xf>
    <xf numFmtId="0" fontId="15" fillId="0" borderId="0" xfId="10" applyFont="1" applyAlignment="1"/>
    <xf numFmtId="0" fontId="10" fillId="0" borderId="0" xfId="11" applyFont="1" applyBorder="1" applyAlignment="1">
      <alignment vertical="center"/>
    </xf>
    <xf numFmtId="0" fontId="2" fillId="0" borderId="0" xfId="11" applyFont="1" applyAlignment="1">
      <alignment vertical="center"/>
    </xf>
    <xf numFmtId="0" fontId="13" fillId="0" borderId="0" xfId="10" applyAlignment="1"/>
    <xf numFmtId="0" fontId="10" fillId="0" borderId="0" xfId="11" applyFont="1" applyBorder="1" applyAlignment="1">
      <alignment vertical="top" wrapText="1"/>
    </xf>
    <xf numFmtId="0" fontId="14" fillId="0" borderId="0" xfId="13" applyAlignment="1">
      <alignment vertical="center"/>
    </xf>
    <xf numFmtId="0" fontId="2" fillId="6" borderId="0" xfId="11" applyFont="1" applyFill="1" applyAlignment="1">
      <alignment vertical="top" wrapText="1"/>
    </xf>
    <xf numFmtId="0" fontId="2" fillId="6" borderId="0" xfId="11" applyFont="1" applyFill="1" applyAlignment="1">
      <alignment wrapText="1"/>
    </xf>
    <xf numFmtId="0" fontId="2" fillId="0" borderId="0" xfId="11" applyFont="1" applyAlignment="1">
      <alignment vertical="top" wrapText="1"/>
    </xf>
    <xf numFmtId="0" fontId="2" fillId="6" borderId="0" xfId="11" applyFont="1" applyFill="1" applyAlignment="1">
      <alignment wrapText="1"/>
    </xf>
    <xf numFmtId="0" fontId="10" fillId="0" borderId="4" xfId="11" applyFont="1" applyBorder="1" applyAlignment="1">
      <alignment vertical="top" wrapText="1"/>
    </xf>
    <xf numFmtId="0" fontId="10" fillId="0" borderId="0" xfId="11" applyFont="1" applyBorder="1" applyAlignment="1">
      <alignment vertical="top" wrapText="1"/>
    </xf>
    <xf numFmtId="0" fontId="0" fillId="0" borderId="0" xfId="11" applyFont="1" applyBorder="1" applyAlignment="1">
      <alignment vertical="top"/>
    </xf>
    <xf numFmtId="0" fontId="15" fillId="0" borderId="0" xfId="13" applyFont="1" applyAlignment="1"/>
    <xf numFmtId="0" fontId="15" fillId="0" borderId="0" xfId="10" applyFont="1" applyAlignment="1"/>
    <xf numFmtId="0" fontId="2" fillId="6" borderId="0" xfId="11" applyFont="1" applyFill="1" applyAlignment="1">
      <alignment vertical="top" wrapText="1"/>
    </xf>
    <xf numFmtId="0" fontId="2" fillId="0" borderId="0" xfId="11" applyFont="1" applyAlignment="1">
      <alignment vertical="top"/>
    </xf>
    <xf numFmtId="0" fontId="0" fillId="0" borderId="4" xfId="11" applyFont="1" applyBorder="1" applyAlignment="1">
      <alignment vertical="top"/>
    </xf>
    <xf numFmtId="0" fontId="10" fillId="0" borderId="0" xfId="11" applyFont="1" applyAlignment="1"/>
    <xf numFmtId="0" fontId="13" fillId="0" borderId="0" xfId="14" applyAlignment="1">
      <alignment vertical="center"/>
    </xf>
    <xf numFmtId="0" fontId="15" fillId="0" borderId="0" xfId="13" applyFont="1" applyAlignment="1">
      <alignment vertical="center"/>
    </xf>
    <xf numFmtId="0" fontId="14" fillId="0" borderId="0" xfId="13" applyAlignment="1">
      <alignment vertical="center"/>
    </xf>
    <xf numFmtId="0" fontId="10" fillId="0" borderId="4" xfId="11" applyFont="1" applyBorder="1" applyAlignment="1">
      <alignment vertical="center"/>
    </xf>
    <xf numFmtId="0" fontId="10" fillId="0" borderId="0" xfId="11" applyFont="1" applyBorder="1" applyAlignment="1">
      <alignment vertical="center"/>
    </xf>
    <xf numFmtId="0" fontId="2" fillId="0" borderId="0" xfId="11" applyFont="1" applyAlignment="1">
      <alignment vertical="center"/>
    </xf>
    <xf numFmtId="0" fontId="10" fillId="0" borderId="0" xfId="12" applyFont="1" applyAlignment="1">
      <alignment vertical="center"/>
    </xf>
    <xf numFmtId="0" fontId="16" fillId="0" borderId="0" xfId="11" applyFont="1" applyAlignment="1">
      <alignment vertical="center"/>
    </xf>
    <xf numFmtId="0" fontId="10" fillId="0" borderId="4" xfId="11" applyFont="1" applyBorder="1" applyAlignment="1">
      <alignment wrapText="1"/>
    </xf>
    <xf numFmtId="0" fontId="10" fillId="0" borderId="0" xfId="11" applyFont="1" applyBorder="1" applyAlignment="1">
      <alignment wrapText="1"/>
    </xf>
  </cellXfs>
  <cellStyles count="15">
    <cellStyle name="Akcent 1" xfId="8" builtinId="29"/>
    <cellStyle name="blue" xfId="1" xr:uid="{00000000-0005-0000-0000-000001000000}"/>
    <cellStyle name="BlueTitle" xfId="2" xr:uid="{00000000-0005-0000-0000-000002000000}"/>
    <cellStyle name="Comma 2" xfId="7" xr:uid="{00000000-0005-0000-0000-000003000000}"/>
    <cellStyle name="Currency Round to thousands" xfId="3" xr:uid="{00000000-0005-0000-0000-000004000000}"/>
    <cellStyle name="Four-Digit Year" xfId="4" xr:uid="{00000000-0005-0000-0000-000005000000}"/>
    <cellStyle name="Hiperłącze" xfId="10" builtinId="8"/>
    <cellStyle name="Hiperłącze 2" xfId="13" xr:uid="{F985F0D8-DC3E-43B9-B3E8-2B65142AE84B}"/>
    <cellStyle name="Hiperłącze 2 3" xfId="14" xr:uid="{D044C979-F2D6-4DDD-A6C5-41D80BB6641E}"/>
    <cellStyle name="Normal 2" xfId="5" xr:uid="{00000000-0005-0000-0000-000006000000}"/>
    <cellStyle name="Normalny" xfId="0" builtinId="0"/>
    <cellStyle name="Normalny 2" xfId="9" xr:uid="{00000000-0005-0000-0000-000008000000}"/>
    <cellStyle name="Normalny 2 3" xfId="11" xr:uid="{5AB4F530-3C8D-4D43-8132-440F8DBDB8A1}"/>
    <cellStyle name="Normalny 4" xfId="12" xr:uid="{7E8A20AA-70AF-41C5-B4D5-CCCC68406AD6}"/>
    <cellStyle name="Wrap Text" xfId="6" xr:uid="{00000000-0005-0000-0000-000009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EEEE22"/>
      <color rgb="FF2EA3F2"/>
      <color rgb="FF0000FF"/>
      <color rgb="FFCCFFCC"/>
      <color rgb="FF00FF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89C0E97E-AC71-40FC-A741-5BAC8D85D6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409EC58B-42F7-40F2-BDEE-A02368773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2CEA95FA-2B25-4548-B577-10ED239E4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A18C4FB3-239A-4A90-8482-96711F80D0F8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858C553-58CD-4A22-A778-482939F45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B62E63F-890D-4F28-B956-9B30AAA88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CF33F09-82EE-420C-98D2-189B1E3B6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1640964-25B5-4D8A-8991-B0FC450E3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5A80FDD-271C-4D8F-B438-1FA9DB6C0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B28E5B9-1265-4BF1-A6EC-68BC7466E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DDB5BB0F-20E9-4A3A-A605-44C79F68B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E00E179B-54B5-4E59-B7B2-049277800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E814EBAF-D532-4396-BB05-73D7E868C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F744-1E99-4290-99A9-522E9B388EB4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 x14ac:dyDescent="0.3"/>
  <cols>
    <col min="1" max="99" width="2.44140625" style="9" customWidth="1"/>
    <col min="100" max="101" width="2.44140625" customWidth="1"/>
    <col min="102" max="105" width="9.109375" style="9"/>
    <col min="106" max="106" width="10.6640625" style="9" customWidth="1"/>
    <col min="107" max="107" width="73.6640625" style="9" customWidth="1"/>
    <col min="108" max="108" width="6.33203125" style="9" customWidth="1"/>
    <col min="109" max="16384" width="9.109375" style="9"/>
  </cols>
  <sheetData>
    <row r="1" spans="18:99" ht="6" customHeight="1" x14ac:dyDescent="0.3"/>
    <row r="2" spans="18:99" ht="6" customHeight="1" x14ac:dyDescent="0.3">
      <c r="Z2" s="43" t="s">
        <v>24</v>
      </c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10"/>
    </row>
    <row r="3" spans="18:99" ht="6" customHeight="1" x14ac:dyDescent="0.3"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10"/>
    </row>
    <row r="4" spans="18:99" ht="6" customHeight="1" x14ac:dyDescent="0.3">
      <c r="Z4" s="38" t="s">
        <v>25</v>
      </c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11"/>
    </row>
    <row r="5" spans="18:99" ht="6" customHeight="1" x14ac:dyDescent="0.3">
      <c r="R5" s="44" t="s">
        <v>26</v>
      </c>
      <c r="S5" s="44"/>
      <c r="T5" s="44"/>
      <c r="U5" s="44"/>
      <c r="V5" s="44"/>
      <c r="W5" s="44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11"/>
      <c r="BF5" s="44" t="s">
        <v>27</v>
      </c>
      <c r="BG5" s="44"/>
      <c r="BH5" s="44"/>
      <c r="BI5" s="44"/>
      <c r="BJ5" s="44"/>
      <c r="BK5" s="44"/>
    </row>
    <row r="6" spans="18:99" ht="6" customHeight="1" x14ac:dyDescent="0.3">
      <c r="R6" s="44"/>
      <c r="S6" s="44"/>
      <c r="T6" s="44"/>
      <c r="U6" s="44"/>
      <c r="V6" s="44"/>
      <c r="W6" s="44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11"/>
      <c r="BF6" s="44"/>
      <c r="BG6" s="44"/>
      <c r="BH6" s="44"/>
      <c r="BI6" s="44"/>
      <c r="BJ6" s="44"/>
      <c r="BK6" s="44"/>
    </row>
    <row r="7" spans="18:99" ht="6" customHeight="1" x14ac:dyDescent="0.3">
      <c r="R7" s="44"/>
      <c r="S7" s="44"/>
      <c r="T7" s="44"/>
      <c r="U7" s="44"/>
      <c r="V7" s="44"/>
      <c r="W7" s="44"/>
      <c r="X7" s="12"/>
      <c r="BF7" s="44"/>
      <c r="BG7" s="44"/>
      <c r="BH7" s="44"/>
      <c r="BI7" s="44"/>
      <c r="BJ7" s="44"/>
      <c r="BK7" s="44"/>
    </row>
    <row r="8" spans="18:99" ht="6" customHeight="1" x14ac:dyDescent="0.3"/>
    <row r="9" spans="18:99" ht="6" customHeight="1" x14ac:dyDescent="0.3">
      <c r="R9" s="13"/>
      <c r="S9" s="13"/>
      <c r="T9" s="13"/>
      <c r="U9" s="13"/>
      <c r="V9" s="13"/>
      <c r="W9" s="13"/>
      <c r="X9" s="13"/>
      <c r="Y9" s="13"/>
      <c r="Z9" s="45" t="s">
        <v>28</v>
      </c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14"/>
      <c r="BF9" s="13"/>
      <c r="BG9" s="13"/>
      <c r="BH9" s="13"/>
      <c r="BI9" s="13"/>
      <c r="BJ9" s="13"/>
      <c r="BK9" s="13"/>
      <c r="BL9" s="13"/>
      <c r="BM9" s="13"/>
      <c r="BN9" s="35" t="s">
        <v>29</v>
      </c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15"/>
      <c r="CS9" s="15"/>
      <c r="CT9" s="15"/>
      <c r="CU9" s="15"/>
    </row>
    <row r="10" spans="18:99" ht="6" customHeight="1" x14ac:dyDescent="0.3"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14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15"/>
      <c r="CS10" s="15"/>
      <c r="CT10" s="15"/>
      <c r="CU10" s="15"/>
    </row>
    <row r="11" spans="18:99" ht="6" customHeight="1" x14ac:dyDescent="0.3"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14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15"/>
      <c r="CS11" s="15"/>
      <c r="CT11" s="15"/>
      <c r="CU11" s="15"/>
    </row>
    <row r="12" spans="18:99" ht="6" customHeight="1" x14ac:dyDescent="0.3"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14"/>
      <c r="BN12" s="31" t="s">
        <v>30</v>
      </c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16"/>
      <c r="CS12" s="16"/>
      <c r="CT12" s="16"/>
      <c r="CU12" s="16"/>
    </row>
    <row r="13" spans="18:99" ht="6" customHeight="1" x14ac:dyDescent="0.3"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14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16"/>
      <c r="CS13" s="16"/>
      <c r="CT13" s="16"/>
      <c r="CU13" s="16"/>
    </row>
    <row r="14" spans="18:99" ht="6" customHeight="1" x14ac:dyDescent="0.3">
      <c r="Z14" s="34" t="s">
        <v>31</v>
      </c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17"/>
    </row>
    <row r="15" spans="18:99" ht="6" customHeight="1" x14ac:dyDescent="0.3"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17"/>
    </row>
    <row r="16" spans="18:99" ht="6" customHeight="1" x14ac:dyDescent="0.3"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17"/>
    </row>
    <row r="17" spans="18:56" ht="6" customHeight="1" x14ac:dyDescent="0.3">
      <c r="Z17" s="32" t="s">
        <v>32</v>
      </c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18"/>
    </row>
    <row r="18" spans="18:56" ht="6" customHeight="1" x14ac:dyDescent="0.3"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18"/>
    </row>
    <row r="19" spans="18:56" ht="6" customHeight="1" x14ac:dyDescent="0.3"/>
    <row r="20" spans="18:56" ht="6" customHeight="1" x14ac:dyDescent="0.3"/>
    <row r="21" spans="18:56" ht="6" customHeight="1" x14ac:dyDescent="0.3">
      <c r="R21" s="13"/>
      <c r="S21" s="13"/>
      <c r="T21" s="13"/>
      <c r="U21" s="13"/>
      <c r="V21" s="13"/>
      <c r="W21" s="13"/>
      <c r="X21" s="13"/>
      <c r="Y21" s="13"/>
      <c r="Z21" s="40" t="s">
        <v>33</v>
      </c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19"/>
    </row>
    <row r="22" spans="18:56" ht="6" customHeight="1" x14ac:dyDescent="0.3"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19"/>
    </row>
    <row r="23" spans="18:56" ht="6" customHeight="1" x14ac:dyDescent="0.3">
      <c r="Z23" s="42" t="s">
        <v>34</v>
      </c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20"/>
    </row>
    <row r="24" spans="18:56" ht="6" customHeight="1" x14ac:dyDescent="0.3"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20"/>
    </row>
    <row r="25" spans="18:56" ht="6" customHeight="1" x14ac:dyDescent="0.3"/>
    <row r="26" spans="18:56" ht="6" customHeight="1" x14ac:dyDescent="0.3">
      <c r="Z26" s="32" t="s">
        <v>35</v>
      </c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18"/>
    </row>
    <row r="27" spans="18:56" ht="6" customHeight="1" x14ac:dyDescent="0.3"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18"/>
    </row>
    <row r="28" spans="18:56" ht="6" customHeight="1" x14ac:dyDescent="0.3"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</row>
    <row r="29" spans="18:56" ht="6" customHeight="1" x14ac:dyDescent="0.3"/>
    <row r="30" spans="18:56" ht="6" customHeight="1" x14ac:dyDescent="0.3"/>
    <row r="31" spans="18:56" ht="6" customHeight="1" x14ac:dyDescent="0.3"/>
    <row r="32" spans="18:56" ht="6" customHeight="1" x14ac:dyDescent="0.3">
      <c r="R32" s="13"/>
      <c r="S32" s="13"/>
      <c r="T32" s="13"/>
      <c r="U32" s="13"/>
      <c r="V32" s="13"/>
      <c r="W32" s="13"/>
      <c r="X32" s="13"/>
      <c r="Y32" s="13"/>
      <c r="Z32" s="28" t="s">
        <v>36</v>
      </c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2"/>
    </row>
    <row r="33" spans="18:99" ht="6" customHeight="1" x14ac:dyDescent="0.3"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2"/>
    </row>
    <row r="34" spans="18:99" ht="6" customHeight="1" x14ac:dyDescent="0.3"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2"/>
      <c r="BF34" s="13"/>
      <c r="BG34" s="13"/>
      <c r="BH34" s="13"/>
      <c r="BI34" s="13"/>
      <c r="BJ34" s="13"/>
      <c r="BK34" s="13"/>
      <c r="BL34" s="13"/>
      <c r="BM34" s="13"/>
      <c r="BN34" s="35" t="s">
        <v>37</v>
      </c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15"/>
      <c r="CS34" s="15"/>
      <c r="CT34" s="15"/>
      <c r="CU34" s="15"/>
    </row>
    <row r="35" spans="18:99" ht="6" customHeight="1" x14ac:dyDescent="0.3"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2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15"/>
      <c r="CS35" s="15"/>
      <c r="CT35" s="15"/>
      <c r="CU35" s="15"/>
    </row>
    <row r="36" spans="18:99" ht="6" customHeight="1" x14ac:dyDescent="0.3"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2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15"/>
      <c r="CS36" s="15"/>
      <c r="CT36" s="15"/>
      <c r="CU36" s="15"/>
    </row>
    <row r="37" spans="18:99" ht="6" customHeight="1" x14ac:dyDescent="0.3">
      <c r="Z37" s="34" t="s">
        <v>38</v>
      </c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17"/>
      <c r="BN37" s="31" t="s">
        <v>39</v>
      </c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16"/>
      <c r="CS37" s="16"/>
      <c r="CT37" s="16"/>
      <c r="CU37" s="16"/>
    </row>
    <row r="38" spans="18:99" ht="6" customHeight="1" x14ac:dyDescent="0.3"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17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16"/>
      <c r="CS38" s="16"/>
      <c r="CT38" s="16"/>
      <c r="CU38" s="16"/>
    </row>
    <row r="39" spans="18:99" ht="6" customHeight="1" x14ac:dyDescent="0.3"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17"/>
    </row>
    <row r="40" spans="18:99" ht="6" customHeight="1" x14ac:dyDescent="0.3">
      <c r="Z40" s="32" t="s">
        <v>40</v>
      </c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18"/>
      <c r="BN40" s="30" t="s">
        <v>41</v>
      </c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15"/>
      <c r="CS40" s="15"/>
      <c r="CT40" s="15"/>
      <c r="CU40" s="15"/>
    </row>
    <row r="41" spans="18:99" ht="6" customHeight="1" x14ac:dyDescent="0.3"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18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15"/>
      <c r="CS41" s="15"/>
      <c r="CT41" s="15"/>
      <c r="CU41" s="15"/>
    </row>
    <row r="42" spans="18:99" ht="6" customHeight="1" x14ac:dyDescent="0.3"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15"/>
      <c r="CS42" s="15"/>
      <c r="CT42" s="15"/>
      <c r="CU42" s="15"/>
    </row>
    <row r="43" spans="18:99" ht="6" customHeight="1" x14ac:dyDescent="0.3">
      <c r="R43" s="13"/>
      <c r="S43" s="13"/>
      <c r="T43" s="13"/>
      <c r="U43" s="13"/>
      <c r="V43" s="13"/>
      <c r="W43" s="13"/>
      <c r="X43" s="13"/>
      <c r="Y43" s="13"/>
      <c r="Z43" s="28" t="s">
        <v>42</v>
      </c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2"/>
      <c r="BN43" s="31" t="s">
        <v>43</v>
      </c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16"/>
      <c r="CS43" s="16"/>
      <c r="CT43" s="16"/>
      <c r="CU43" s="16"/>
    </row>
    <row r="44" spans="18:99" ht="6" customHeight="1" x14ac:dyDescent="0.3"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2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16"/>
      <c r="CS44" s="16"/>
      <c r="CT44" s="16"/>
      <c r="CU44" s="16"/>
    </row>
    <row r="45" spans="18:99" ht="6" customHeight="1" x14ac:dyDescent="0.3"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2"/>
    </row>
    <row r="46" spans="18:99" ht="6" customHeight="1" x14ac:dyDescent="0.3"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2"/>
    </row>
    <row r="47" spans="18:99" ht="6" customHeight="1" x14ac:dyDescent="0.3"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2"/>
    </row>
    <row r="48" spans="18:99" ht="6" customHeight="1" x14ac:dyDescent="0.3">
      <c r="Z48" s="34" t="s">
        <v>44</v>
      </c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17"/>
    </row>
    <row r="49" spans="2:99" ht="6" customHeight="1" x14ac:dyDescent="0.3"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17"/>
    </row>
    <row r="50" spans="2:99" ht="6" customHeight="1" x14ac:dyDescent="0.3"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17"/>
    </row>
    <row r="51" spans="2:99" ht="6" customHeight="1" x14ac:dyDescent="0.3">
      <c r="B51" s="38" t="s">
        <v>45</v>
      </c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Z51" s="32" t="s">
        <v>46</v>
      </c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18"/>
    </row>
    <row r="52" spans="2:99" ht="6" customHeight="1" x14ac:dyDescent="0.3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18"/>
    </row>
    <row r="53" spans="2:99" ht="6" customHeight="1" x14ac:dyDescent="0.3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</row>
    <row r="54" spans="2:99" ht="6" customHeight="1" x14ac:dyDescent="0.3">
      <c r="B54" s="36" t="s">
        <v>47</v>
      </c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R54" s="13"/>
      <c r="S54" s="13"/>
      <c r="T54" s="13"/>
      <c r="U54" s="13"/>
      <c r="V54" s="13"/>
      <c r="W54" s="13"/>
      <c r="X54" s="13"/>
      <c r="Y54" s="13"/>
      <c r="Z54" s="28" t="s">
        <v>48</v>
      </c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2"/>
    </row>
    <row r="55" spans="2:99" ht="6" customHeight="1" x14ac:dyDescent="0.3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2"/>
    </row>
    <row r="56" spans="2:99" ht="6" customHeight="1" x14ac:dyDescent="0.3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2"/>
    </row>
    <row r="57" spans="2:99" ht="6" customHeight="1" x14ac:dyDescent="0.3">
      <c r="B57" s="39" t="s">
        <v>49</v>
      </c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2"/>
    </row>
    <row r="58" spans="2:99" ht="6" customHeight="1" x14ac:dyDescent="0.3"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2"/>
    </row>
    <row r="59" spans="2:99" ht="6" customHeight="1" x14ac:dyDescent="0.3">
      <c r="Z59" s="34" t="s">
        <v>50</v>
      </c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17"/>
      <c r="BF59" s="13"/>
      <c r="BG59" s="13"/>
      <c r="BH59" s="13"/>
      <c r="BI59" s="13"/>
      <c r="BJ59" s="13"/>
      <c r="BK59" s="13"/>
      <c r="BL59" s="13"/>
      <c r="BM59" s="13"/>
      <c r="BN59" s="35" t="s">
        <v>37</v>
      </c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15"/>
      <c r="CS59" s="15"/>
      <c r="CT59" s="15"/>
      <c r="CU59" s="15"/>
    </row>
    <row r="60" spans="2:99" ht="6" customHeight="1" x14ac:dyDescent="0.3">
      <c r="B60" s="36" t="s">
        <v>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17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15"/>
      <c r="CS60" s="15"/>
      <c r="CT60" s="15"/>
      <c r="CU60" s="15"/>
    </row>
    <row r="61" spans="2:99" ht="6" customHeight="1" x14ac:dyDescent="0.3"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17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15"/>
      <c r="CS61" s="15"/>
      <c r="CT61" s="15"/>
      <c r="CU61" s="15"/>
    </row>
    <row r="62" spans="2:99" ht="6" customHeight="1" x14ac:dyDescent="0.3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Z62" s="32" t="s">
        <v>52</v>
      </c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18"/>
      <c r="BN62" s="31" t="s">
        <v>53</v>
      </c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16"/>
      <c r="CS62" s="16"/>
      <c r="CT62" s="16"/>
      <c r="CU62" s="16"/>
    </row>
    <row r="63" spans="2:99" ht="6" customHeight="1" x14ac:dyDescent="0.3">
      <c r="B63" s="37" t="s">
        <v>54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18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16"/>
      <c r="CS63" s="16"/>
      <c r="CT63" s="16"/>
      <c r="CU63" s="16"/>
    </row>
    <row r="64" spans="2:99" ht="6" customHeight="1" x14ac:dyDescent="0.3"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</row>
    <row r="65" spans="18:99" ht="6" customHeight="1" x14ac:dyDescent="0.3">
      <c r="R65" s="13"/>
      <c r="S65" s="13"/>
      <c r="T65" s="13"/>
      <c r="U65" s="13"/>
      <c r="V65" s="13"/>
      <c r="W65" s="13"/>
      <c r="X65" s="13"/>
      <c r="Y65" s="13"/>
      <c r="Z65" s="28" t="s">
        <v>55</v>
      </c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2"/>
      <c r="BN65" s="30" t="s">
        <v>41</v>
      </c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15"/>
      <c r="CS65" s="15"/>
      <c r="CT65" s="15"/>
      <c r="CU65" s="15"/>
    </row>
    <row r="66" spans="18:99" ht="6" customHeight="1" x14ac:dyDescent="0.3"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2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15"/>
      <c r="CS66" s="15"/>
      <c r="CT66" s="15"/>
      <c r="CU66" s="15"/>
    </row>
    <row r="67" spans="18:99" ht="6" customHeight="1" x14ac:dyDescent="0.3"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2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15"/>
      <c r="CS67" s="15"/>
      <c r="CT67" s="15"/>
      <c r="CU67" s="15"/>
    </row>
    <row r="68" spans="18:99" ht="6" customHeight="1" x14ac:dyDescent="0.3"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2"/>
      <c r="BN68" s="31" t="s">
        <v>56</v>
      </c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16"/>
      <c r="CS68" s="16"/>
      <c r="CT68" s="16"/>
      <c r="CU68" s="16"/>
    </row>
    <row r="69" spans="18:99" ht="6" customHeight="1" x14ac:dyDescent="0.3"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2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16"/>
      <c r="CS69" s="16"/>
      <c r="CT69" s="16"/>
      <c r="CU69" s="16"/>
    </row>
    <row r="70" spans="18:99" ht="6" customHeight="1" x14ac:dyDescent="0.3"/>
    <row r="71" spans="18:99" ht="6" customHeight="1" x14ac:dyDescent="0.3">
      <c r="Z71" s="32" t="s">
        <v>57</v>
      </c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21"/>
    </row>
    <row r="72" spans="18:99" ht="6" customHeight="1" x14ac:dyDescent="0.3"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21"/>
    </row>
    <row r="73" spans="18:99" ht="6" customHeight="1" x14ac:dyDescent="0.3"/>
    <row r="74" spans="18:99" ht="6" customHeight="1" x14ac:dyDescent="0.3"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</row>
    <row r="75" spans="18:99" ht="6" customHeight="1" x14ac:dyDescent="0.3"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</row>
    <row r="76" spans="18:99" ht="6" customHeight="1" x14ac:dyDescent="0.3"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</row>
    <row r="77" spans="18:99" ht="6" customHeight="1" x14ac:dyDescent="0.3">
      <c r="Z77" s="33" t="s">
        <v>58</v>
      </c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24"/>
    </row>
    <row r="78" spans="18:99" ht="6" customHeight="1" x14ac:dyDescent="0.3"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24"/>
    </row>
    <row r="79" spans="18:99" ht="6" customHeight="1" x14ac:dyDescent="0.3"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24"/>
    </row>
    <row r="80" spans="18:99" ht="6" customHeight="1" x14ac:dyDescent="0.3"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24"/>
    </row>
    <row r="81" spans="26:56" ht="6" customHeight="1" x14ac:dyDescent="0.3"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24"/>
    </row>
    <row r="82" spans="26:56" ht="6" customHeight="1" x14ac:dyDescent="0.3">
      <c r="Z82" s="33" t="s">
        <v>59</v>
      </c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24"/>
    </row>
    <row r="83" spans="26:56" ht="6" customHeight="1" x14ac:dyDescent="0.3"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24"/>
    </row>
    <row r="84" spans="26:56" ht="6" customHeight="1" x14ac:dyDescent="0.3"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24"/>
    </row>
    <row r="85" spans="26:56" ht="6" customHeight="1" x14ac:dyDescent="0.3"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24"/>
    </row>
    <row r="86" spans="26:56" ht="6" customHeight="1" x14ac:dyDescent="0.3"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24"/>
    </row>
    <row r="87" spans="26:56" ht="6" customHeight="1" x14ac:dyDescent="0.3"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24"/>
    </row>
    <row r="88" spans="26:56" ht="6" customHeight="1" x14ac:dyDescent="0.3"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24"/>
    </row>
    <row r="89" spans="26:56" ht="6" customHeight="1" x14ac:dyDescent="0.3"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24"/>
    </row>
    <row r="90" spans="26:56" ht="6" customHeight="1" x14ac:dyDescent="0.3">
      <c r="Z90" s="27" t="s">
        <v>60</v>
      </c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5"/>
    </row>
    <row r="91" spans="26:56" ht="6" customHeight="1" x14ac:dyDescent="0.3"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5"/>
    </row>
    <row r="92" spans="26:56" ht="6" customHeight="1" x14ac:dyDescent="0.3"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</row>
    <row r="93" spans="26:56" ht="6" customHeight="1" x14ac:dyDescent="0.3"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</row>
    <row r="94" spans="26:56" ht="6" customHeight="1" x14ac:dyDescent="0.3"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</row>
    <row r="95" spans="26:56" ht="6" customHeight="1" x14ac:dyDescent="0.3"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</row>
  </sheetData>
  <mergeCells count="39">
    <mergeCell ref="BN9:CQ11"/>
    <mergeCell ref="BN12:CQ13"/>
    <mergeCell ref="Z2:BC3"/>
    <mergeCell ref="Z4:BC6"/>
    <mergeCell ref="R5:W7"/>
    <mergeCell ref="BF5:BK7"/>
    <mergeCell ref="Z9:BC13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BN34:CQ36"/>
    <mergeCell ref="Z37:BC39"/>
    <mergeCell ref="BN37:CQ38"/>
    <mergeCell ref="Z40:BC41"/>
    <mergeCell ref="BN40:CQ42"/>
    <mergeCell ref="Z48:BC50"/>
    <mergeCell ref="B51:P52"/>
    <mergeCell ref="Z51:BC52"/>
    <mergeCell ref="B54:P56"/>
    <mergeCell ref="Z54:BC58"/>
    <mergeCell ref="B57:P58"/>
    <mergeCell ref="Z59:BC61"/>
    <mergeCell ref="BN59:CQ61"/>
    <mergeCell ref="B60:P62"/>
    <mergeCell ref="Z62:BC63"/>
    <mergeCell ref="BN62:CQ63"/>
    <mergeCell ref="B63:P64"/>
    <mergeCell ref="Z90:BC91"/>
    <mergeCell ref="Z65:BC69"/>
    <mergeCell ref="BN65:CQ67"/>
    <mergeCell ref="BN68:CQ69"/>
    <mergeCell ref="Z71:BC72"/>
    <mergeCell ref="Z77:BC81"/>
    <mergeCell ref="Z82:BC89"/>
  </mergeCells>
  <hyperlinks>
    <hyperlink ref="B63" r:id="rId1" xr:uid="{FA55226A-96D1-4EAD-B013-44AC010BD528}"/>
    <hyperlink ref="B51" r:id="rId2" xr:uid="{F4468242-AE1A-44CA-9A56-1D9F418BD984}"/>
    <hyperlink ref="B57" r:id="rId3" xr:uid="{B7792194-D5A2-4AA8-B9BA-3A0B7AF73161}"/>
    <hyperlink ref="Z4" r:id="rId4" xr:uid="{2F07BED2-61C5-4E74-9C51-5E2A356B67BA}"/>
    <hyperlink ref="Z17" r:id="rId5" display="https://www.udemy.com/excel-mistrz-formul/?couponCode=STANDARDOWY" xr:uid="{928E147E-4726-46FD-AFF6-8F7E2A45D083}"/>
    <hyperlink ref="Z26" r:id="rId6" xr:uid="{5F285668-9DCD-4F4F-A864-787B053304DC}"/>
    <hyperlink ref="Z40" r:id="rId7" display="https://www.udemy.com/excel-mistrz-formul/?couponCode=STANDARDOWY" xr:uid="{7DB55C89-1543-401A-A9D8-3375FFEE42AB}"/>
    <hyperlink ref="Z51" r:id="rId8" display="https://www.udemy.com/excel-mistrz-formul/?couponCode=STANDARDOWY" xr:uid="{B22EAA3C-8FB5-47F9-9D4E-A0C33E0221C9}"/>
    <hyperlink ref="Z62" r:id="rId9" display="https://www.udemy.com/excel-mistrz-formul/?couponCode=STANDARDOWY" xr:uid="{F144D346-F5D6-468A-B85B-1553217BB6FF}"/>
    <hyperlink ref="Z71" r:id="rId10" display="https://www.udemy.com/excel-mistrz-formul/?couponCode=STANDARDOWY" xr:uid="{1550C3E6-3E2E-4048-A493-985261A6132C}"/>
    <hyperlink ref="BN12" r:id="rId11" location="mistrz-excela-w-20-dni" xr:uid="{0302FDBD-4740-4D9D-85D3-5163ABC765EB}"/>
    <hyperlink ref="BN37" r:id="rId12" location="mistrz-excela-w-20-dni" display="http://ksplus.komputerswiat.pl/sklep#mistrz-excela-w-20-dni" xr:uid="{01CAEF4B-6388-473B-B7B8-0E70DAC624D5}"/>
    <hyperlink ref="BN43" r:id="rId13" location="mistrz-excela-w-20-dni" display="http://ksplus.komputerswiat.pl/sklep#mistrz-excela-w-20-dni" xr:uid="{29EAF0DD-0F7C-4246-B9C3-24A1537A4D84}"/>
    <hyperlink ref="BN62" r:id="rId14" location="mistrz-excela-w-20-dni" display="http://ksplus.komputerswiat.pl/sklep#mistrz-excela-w-20-dni" xr:uid="{2A99B656-FEB9-4548-B25E-C72A4FCE58C1}"/>
    <hyperlink ref="BN68" r:id="rId15" location="mistrz-excela-w-20-dni" display="http://ksplus.komputerswiat.pl/sklep#mistrz-excela-w-20-dni" xr:uid="{B218BCE6-871A-4058-A61D-5912BCBBB316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EEEE22"/>
  </sheetPr>
  <dimension ref="A1:H27"/>
  <sheetViews>
    <sheetView zoomScale="130" zoomScaleNormal="130" workbookViewId="0"/>
  </sheetViews>
  <sheetFormatPr defaultRowHeight="14.4" outlineLevelRow="1" x14ac:dyDescent="0.3"/>
  <cols>
    <col min="1" max="1" width="2.88671875" style="3" customWidth="1"/>
    <col min="2" max="2" width="23.88671875" style="3" bestFit="1" customWidth="1"/>
    <col min="3" max="3" width="15" style="3" customWidth="1"/>
    <col min="4" max="16384" width="8.88671875" style="3"/>
  </cols>
  <sheetData>
    <row r="1" spans="1:8" ht="129.6" x14ac:dyDescent="0.3">
      <c r="A1" s="1" t="s">
        <v>2</v>
      </c>
      <c r="B1" s="1"/>
      <c r="C1" s="2" t="s">
        <v>17</v>
      </c>
    </row>
    <row r="3" spans="1:8" x14ac:dyDescent="0.3">
      <c r="C3" s="3" t="s">
        <v>5</v>
      </c>
      <c r="D3" s="3" t="s">
        <v>6</v>
      </c>
      <c r="E3" s="3" t="s">
        <v>18</v>
      </c>
      <c r="F3" s="3" t="s">
        <v>19</v>
      </c>
      <c r="G3" s="3" t="s">
        <v>8</v>
      </c>
      <c r="H3" s="3" t="s">
        <v>11</v>
      </c>
    </row>
    <row r="4" spans="1:8" hidden="1" outlineLevel="1" x14ac:dyDescent="0.3">
      <c r="B4" s="3" t="s">
        <v>23</v>
      </c>
      <c r="D4" s="4">
        <f>Dolnośląskie!$C$5</f>
        <v>6962</v>
      </c>
      <c r="E4" s="4">
        <f>Dolnośląskie!$D$5</f>
        <v>4756</v>
      </c>
      <c r="H4" s="4">
        <f>Dolnośląskie!$E$5</f>
        <v>1118</v>
      </c>
    </row>
    <row r="5" spans="1:8" hidden="1" outlineLevel="1" x14ac:dyDescent="0.3">
      <c r="B5" s="3" t="s">
        <v>23</v>
      </c>
      <c r="F5" s="4">
        <f>Lubelskie!$B$5</f>
        <v>7491</v>
      </c>
      <c r="G5" s="4">
        <f>Lubelskie!$C$5</f>
        <v>1583</v>
      </c>
      <c r="H5" s="4">
        <f>Lubelskie!$D$5</f>
        <v>3679</v>
      </c>
    </row>
    <row r="6" spans="1:8" hidden="1" outlineLevel="1" x14ac:dyDescent="0.3">
      <c r="B6" s="3" t="s">
        <v>23</v>
      </c>
      <c r="C6" s="4">
        <f>Świętokrzyskie!$B$5</f>
        <v>4500</v>
      </c>
      <c r="D6" s="4">
        <f>Świętokrzyskie!$C$5</f>
        <v>6031</v>
      </c>
      <c r="E6" s="4">
        <f>Świętokrzyskie!$E$5</f>
        <v>7271</v>
      </c>
    </row>
    <row r="7" spans="1:8" collapsed="1" x14ac:dyDescent="0.3">
      <c r="A7" s="3" t="s">
        <v>9</v>
      </c>
      <c r="C7" s="4">
        <f t="shared" ref="C7:H7" si="0">SUM(C4:C6)</f>
        <v>4500</v>
      </c>
      <c r="D7" s="4">
        <f t="shared" si="0"/>
        <v>12993</v>
      </c>
      <c r="E7" s="4">
        <f t="shared" si="0"/>
        <v>12027</v>
      </c>
      <c r="F7" s="4">
        <f t="shared" si="0"/>
        <v>7491</v>
      </c>
      <c r="G7" s="4">
        <f t="shared" si="0"/>
        <v>1583</v>
      </c>
      <c r="H7" s="4">
        <f t="shared" si="0"/>
        <v>4797</v>
      </c>
    </row>
    <row r="8" spans="1:8" hidden="1" outlineLevel="1" x14ac:dyDescent="0.3">
      <c r="B8" s="3" t="s">
        <v>23</v>
      </c>
      <c r="C8" s="4">
        <f>Dolnośląskie!$B$6</f>
        <v>969</v>
      </c>
      <c r="D8" s="4">
        <f>Dolnośląskie!$C$6</f>
        <v>8052</v>
      </c>
      <c r="E8" s="4">
        <f>Dolnośląskie!$D$6</f>
        <v>6161</v>
      </c>
      <c r="H8" s="4">
        <f>Dolnośląskie!$E$6</f>
        <v>6589</v>
      </c>
    </row>
    <row r="9" spans="1:8" hidden="1" outlineLevel="1" x14ac:dyDescent="0.3">
      <c r="B9" s="3" t="s">
        <v>23</v>
      </c>
      <c r="F9" s="4">
        <f>Lubelskie!$B$6</f>
        <v>3303</v>
      </c>
      <c r="G9" s="4">
        <f>Lubelskie!$C$6</f>
        <v>6088</v>
      </c>
      <c r="H9" s="4">
        <f>Lubelskie!$D$6</f>
        <v>4338</v>
      </c>
    </row>
    <row r="10" spans="1:8" hidden="1" outlineLevel="1" x14ac:dyDescent="0.3">
      <c r="B10" s="3" t="s">
        <v>23</v>
      </c>
      <c r="C10" s="4">
        <f>Świętokrzyskie!$B$6</f>
        <v>4470</v>
      </c>
      <c r="D10" s="4">
        <f>Świętokrzyskie!$C$6</f>
        <v>4154</v>
      </c>
      <c r="E10" s="4">
        <f>Świętokrzyskie!$E$6</f>
        <v>2527</v>
      </c>
      <c r="G10" s="4">
        <f>Świętokrzyskie!$D$6</f>
        <v>2121</v>
      </c>
    </row>
    <row r="11" spans="1:8" collapsed="1" x14ac:dyDescent="0.3">
      <c r="A11" s="3" t="s">
        <v>10</v>
      </c>
      <c r="C11" s="4">
        <f t="shared" ref="C11:H11" si="1">SUM(C8:C10)</f>
        <v>5439</v>
      </c>
      <c r="D11" s="4">
        <f t="shared" si="1"/>
        <v>12206</v>
      </c>
      <c r="E11" s="4">
        <f t="shared" si="1"/>
        <v>8688</v>
      </c>
      <c r="F11" s="4">
        <f t="shared" si="1"/>
        <v>3303</v>
      </c>
      <c r="G11" s="4">
        <f t="shared" si="1"/>
        <v>8209</v>
      </c>
      <c r="H11" s="4">
        <f t="shared" si="1"/>
        <v>10927</v>
      </c>
    </row>
    <row r="12" spans="1:8" hidden="1" outlineLevel="1" x14ac:dyDescent="0.3">
      <c r="B12" s="3" t="s">
        <v>23</v>
      </c>
      <c r="C12" s="4">
        <f>Dolnośląskie!$B$7</f>
        <v>4694</v>
      </c>
      <c r="D12" s="4">
        <f>Dolnośląskie!$C$7</f>
        <v>1924</v>
      </c>
      <c r="E12" s="4">
        <f>Dolnośląskie!$D$7</f>
        <v>4633</v>
      </c>
    </row>
    <row r="13" spans="1:8" hidden="1" outlineLevel="1" x14ac:dyDescent="0.3">
      <c r="B13" s="3" t="s">
        <v>23</v>
      </c>
      <c r="F13" s="4">
        <f>Lubelskie!$B$7</f>
        <v>1856</v>
      </c>
      <c r="G13" s="4">
        <f>Lubelskie!$C$7</f>
        <v>4346</v>
      </c>
      <c r="H13" s="4">
        <f>Lubelskie!$D$7</f>
        <v>3553</v>
      </c>
    </row>
    <row r="14" spans="1:8" hidden="1" outlineLevel="1" x14ac:dyDescent="0.3">
      <c r="B14" s="3" t="s">
        <v>23</v>
      </c>
      <c r="C14" s="4">
        <f>Świętokrzyskie!$B$7</f>
        <v>1873</v>
      </c>
      <c r="D14" s="4">
        <f>Świętokrzyskie!$C$7</f>
        <v>6388</v>
      </c>
      <c r="E14" s="4">
        <f>Świętokrzyskie!$E$7</f>
        <v>3125</v>
      </c>
      <c r="G14" s="4">
        <f>Świętokrzyskie!$D$7</f>
        <v>1557</v>
      </c>
    </row>
    <row r="15" spans="1:8" collapsed="1" x14ac:dyDescent="0.3">
      <c r="A15" s="3" t="s">
        <v>7</v>
      </c>
      <c r="C15" s="4">
        <f t="shared" ref="C15:H15" si="2">SUM(C12:C14)</f>
        <v>6567</v>
      </c>
      <c r="D15" s="4">
        <f t="shared" si="2"/>
        <v>8312</v>
      </c>
      <c r="E15" s="4">
        <f t="shared" si="2"/>
        <v>7758</v>
      </c>
      <c r="F15" s="4">
        <f t="shared" si="2"/>
        <v>1856</v>
      </c>
      <c r="G15" s="4">
        <f t="shared" si="2"/>
        <v>5903</v>
      </c>
      <c r="H15" s="4">
        <f t="shared" si="2"/>
        <v>3553</v>
      </c>
    </row>
    <row r="16" spans="1:8" hidden="1" outlineLevel="1" x14ac:dyDescent="0.3">
      <c r="B16" s="3" t="s">
        <v>23</v>
      </c>
      <c r="C16" s="4">
        <f>Dolnośląskie!$B$8</f>
        <v>3807</v>
      </c>
      <c r="D16" s="4">
        <f>Dolnośląskie!$C$8</f>
        <v>2261</v>
      </c>
      <c r="E16" s="4">
        <f>Dolnośląskie!$D$8</f>
        <v>4252</v>
      </c>
      <c r="H16" s="4">
        <f>Dolnośląskie!$E$8</f>
        <v>7094</v>
      </c>
    </row>
    <row r="17" spans="1:8" collapsed="1" x14ac:dyDescent="0.3">
      <c r="A17" s="3" t="s">
        <v>15</v>
      </c>
      <c r="C17" s="4">
        <f>SUM(C16)</f>
        <v>3807</v>
      </c>
      <c r="D17" s="4">
        <f>SUM(D16)</f>
        <v>2261</v>
      </c>
      <c r="E17" s="4">
        <f>SUM(E16)</f>
        <v>4252</v>
      </c>
      <c r="H17" s="4">
        <f>SUM(H16)</f>
        <v>7094</v>
      </c>
    </row>
    <row r="18" spans="1:8" hidden="1" outlineLevel="1" x14ac:dyDescent="0.3">
      <c r="B18" s="3" t="s">
        <v>23</v>
      </c>
      <c r="C18" s="4">
        <f>Dolnośląskie!$B$9</f>
        <v>1952</v>
      </c>
      <c r="D18" s="4">
        <f>Dolnośląskie!$C$9</f>
        <v>3740</v>
      </c>
      <c r="E18" s="4">
        <f>Dolnośląskie!$D$9</f>
        <v>5982</v>
      </c>
      <c r="H18" s="4">
        <f>Dolnośląskie!$E$9</f>
        <v>6530</v>
      </c>
    </row>
    <row r="19" spans="1:8" collapsed="1" x14ac:dyDescent="0.3">
      <c r="A19" s="3" t="s">
        <v>13</v>
      </c>
      <c r="C19" s="4">
        <f>SUM(C18)</f>
        <v>1952</v>
      </c>
      <c r="D19" s="4">
        <f>SUM(D18)</f>
        <v>3740</v>
      </c>
      <c r="E19" s="4">
        <f>SUM(E18)</f>
        <v>5982</v>
      </c>
      <c r="H19" s="4">
        <f>SUM(H18)</f>
        <v>6530</v>
      </c>
    </row>
    <row r="20" spans="1:8" hidden="1" outlineLevel="1" x14ac:dyDescent="0.3">
      <c r="B20" s="3" t="s">
        <v>23</v>
      </c>
      <c r="C20" s="4">
        <f>Dolnośląskie!$B$10</f>
        <v>1191</v>
      </c>
      <c r="D20" s="4">
        <f>Dolnośląskie!$C$10</f>
        <v>8177</v>
      </c>
      <c r="E20" s="4">
        <f>Dolnośląskie!$D$10</f>
        <v>4159</v>
      </c>
      <c r="H20" s="4">
        <f>Dolnośląskie!$E$10</f>
        <v>2610</v>
      </c>
    </row>
    <row r="21" spans="1:8" collapsed="1" x14ac:dyDescent="0.3">
      <c r="A21" s="3" t="s">
        <v>12</v>
      </c>
      <c r="C21" s="4">
        <f>SUM(C20)</f>
        <v>1191</v>
      </c>
      <c r="D21" s="4">
        <f>SUM(D20)</f>
        <v>8177</v>
      </c>
      <c r="E21" s="4">
        <f>SUM(E20)</f>
        <v>4159</v>
      </c>
      <c r="H21" s="4">
        <f>SUM(H20)</f>
        <v>2610</v>
      </c>
    </row>
    <row r="22" spans="1:8" hidden="1" outlineLevel="1" x14ac:dyDescent="0.3">
      <c r="B22" s="3" t="s">
        <v>23</v>
      </c>
      <c r="F22" s="4">
        <f>Lubelskie!$B$8</f>
        <v>7679</v>
      </c>
      <c r="G22" s="4">
        <f>Lubelskie!$C$8</f>
        <v>5473</v>
      </c>
      <c r="H22" s="4">
        <f>Lubelskie!$D$8</f>
        <v>4667</v>
      </c>
    </row>
    <row r="23" spans="1:8" collapsed="1" x14ac:dyDescent="0.3">
      <c r="A23" s="3" t="s">
        <v>20</v>
      </c>
      <c r="F23" s="4">
        <f>SUM(F22)</f>
        <v>7679</v>
      </c>
      <c r="G23" s="4">
        <f>SUM(G22)</f>
        <v>5473</v>
      </c>
      <c r="H23" s="4">
        <f>SUM(H22)</f>
        <v>4667</v>
      </c>
    </row>
    <row r="24" spans="1:8" hidden="1" outlineLevel="1" x14ac:dyDescent="0.3">
      <c r="B24" s="3" t="s">
        <v>23</v>
      </c>
      <c r="G24" s="4">
        <f>Lubelskie!$C$9</f>
        <v>8148</v>
      </c>
      <c r="H24" s="4">
        <f>Lubelskie!$D$9</f>
        <v>3385</v>
      </c>
    </row>
    <row r="25" spans="1:8" collapsed="1" x14ac:dyDescent="0.3">
      <c r="A25" s="3" t="s">
        <v>21</v>
      </c>
      <c r="G25" s="4">
        <f>SUM(G24)</f>
        <v>8148</v>
      </c>
      <c r="H25" s="4">
        <f>SUM(H24)</f>
        <v>3385</v>
      </c>
    </row>
    <row r="26" spans="1:8" hidden="1" outlineLevel="1" x14ac:dyDescent="0.3">
      <c r="B26" s="3" t="s">
        <v>23</v>
      </c>
      <c r="C26" s="4">
        <f>Świętokrzyskie!$B$8</f>
        <v>7808</v>
      </c>
      <c r="D26" s="4">
        <f>Świętokrzyskie!$C$8</f>
        <v>1386</v>
      </c>
      <c r="E26" s="4">
        <f>Świętokrzyskie!$E$8</f>
        <v>5155</v>
      </c>
      <c r="G26" s="4">
        <f>Świętokrzyskie!$D$8</f>
        <v>8229</v>
      </c>
    </row>
    <row r="27" spans="1:8" collapsed="1" x14ac:dyDescent="0.3">
      <c r="A27" s="3" t="s">
        <v>14</v>
      </c>
      <c r="C27" s="4">
        <f>SUM(C26)</f>
        <v>7808</v>
      </c>
      <c r="D27" s="4">
        <f>SUM(D26)</f>
        <v>1386</v>
      </c>
      <c r="E27" s="4">
        <f>SUM(E26)</f>
        <v>5155</v>
      </c>
      <c r="G27" s="4">
        <f>SUM(G26)</f>
        <v>8229</v>
      </c>
    </row>
  </sheetData>
  <dataConsolidate topLabels="1" link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2EA3F2"/>
  </sheetPr>
  <dimension ref="A1:G12"/>
  <sheetViews>
    <sheetView zoomScale="130" zoomScaleNormal="130" workbookViewId="0"/>
  </sheetViews>
  <sheetFormatPr defaultRowHeight="14.4" x14ac:dyDescent="0.3"/>
  <cols>
    <col min="1" max="1" width="15.5546875" style="3" bestFit="1" customWidth="1"/>
    <col min="2" max="5" width="11.44140625" style="3" customWidth="1"/>
    <col min="6" max="16384" width="8.88671875" style="3"/>
  </cols>
  <sheetData>
    <row r="1" spans="1:7" x14ac:dyDescent="0.3">
      <c r="A1" s="1" t="s">
        <v>2</v>
      </c>
      <c r="B1" s="2" t="s">
        <v>4</v>
      </c>
      <c r="C1" s="8"/>
    </row>
    <row r="3" spans="1:7" x14ac:dyDescent="0.3">
      <c r="A3" s="1" t="s">
        <v>16</v>
      </c>
      <c r="B3" s="5" t="s">
        <v>0</v>
      </c>
      <c r="C3" s="5"/>
      <c r="D3" s="5"/>
      <c r="E3" s="5"/>
    </row>
    <row r="4" spans="1:7" x14ac:dyDescent="0.3">
      <c r="A4" s="1" t="s">
        <v>1</v>
      </c>
      <c r="B4" s="1" t="s">
        <v>5</v>
      </c>
      <c r="C4" s="1" t="s">
        <v>6</v>
      </c>
      <c r="D4" s="1" t="s">
        <v>18</v>
      </c>
      <c r="E4" s="1" t="s">
        <v>11</v>
      </c>
    </row>
    <row r="5" spans="1:7" x14ac:dyDescent="0.3">
      <c r="A5" s="1" t="s">
        <v>9</v>
      </c>
      <c r="B5" s="6">
        <v>1111</v>
      </c>
      <c r="C5" s="6">
        <v>6962</v>
      </c>
      <c r="D5" s="6">
        <v>4756</v>
      </c>
      <c r="E5" s="6">
        <v>1118</v>
      </c>
      <c r="G5" s="7"/>
    </row>
    <row r="6" spans="1:7" x14ac:dyDescent="0.3">
      <c r="A6" s="1" t="s">
        <v>10</v>
      </c>
      <c r="B6" s="6">
        <v>969</v>
      </c>
      <c r="C6" s="6">
        <v>8052</v>
      </c>
      <c r="D6" s="6">
        <v>6161</v>
      </c>
      <c r="E6" s="6">
        <v>6589</v>
      </c>
      <c r="G6" s="7"/>
    </row>
    <row r="7" spans="1:7" x14ac:dyDescent="0.3">
      <c r="A7" s="1" t="s">
        <v>7</v>
      </c>
      <c r="B7" s="6">
        <v>4694</v>
      </c>
      <c r="C7" s="6">
        <v>1924</v>
      </c>
      <c r="D7" s="6">
        <v>4633</v>
      </c>
      <c r="E7" s="6"/>
      <c r="G7" s="7"/>
    </row>
    <row r="8" spans="1:7" x14ac:dyDescent="0.3">
      <c r="A8" s="1" t="s">
        <v>15</v>
      </c>
      <c r="B8" s="6">
        <v>3807</v>
      </c>
      <c r="C8" s="6">
        <v>2261</v>
      </c>
      <c r="D8" s="6">
        <v>4252</v>
      </c>
      <c r="E8" s="6">
        <v>7094</v>
      </c>
      <c r="G8" s="7"/>
    </row>
    <row r="9" spans="1:7" x14ac:dyDescent="0.3">
      <c r="A9" s="1" t="s">
        <v>13</v>
      </c>
      <c r="B9" s="6">
        <v>1952</v>
      </c>
      <c r="C9" s="6">
        <v>3740</v>
      </c>
      <c r="D9" s="6">
        <v>5982</v>
      </c>
      <c r="E9" s="6">
        <v>6530</v>
      </c>
      <c r="G9" s="7"/>
    </row>
    <row r="10" spans="1:7" x14ac:dyDescent="0.3">
      <c r="A10" s="1" t="s">
        <v>12</v>
      </c>
      <c r="B10" s="6">
        <v>1191</v>
      </c>
      <c r="C10" s="6">
        <v>8177</v>
      </c>
      <c r="D10" s="6">
        <v>4159</v>
      </c>
      <c r="E10" s="6">
        <v>2610</v>
      </c>
      <c r="G10" s="7"/>
    </row>
    <row r="11" spans="1:7" x14ac:dyDescent="0.3">
      <c r="B11" s="7"/>
    </row>
    <row r="12" spans="1:7" x14ac:dyDescent="0.3">
      <c r="G1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2EA3F2"/>
  </sheetPr>
  <dimension ref="A1:J8"/>
  <sheetViews>
    <sheetView zoomScale="130" zoomScaleNormal="130" workbookViewId="0"/>
  </sheetViews>
  <sheetFormatPr defaultRowHeight="14.4" x14ac:dyDescent="0.3"/>
  <cols>
    <col min="1" max="1" width="15.5546875" style="3" bestFit="1" customWidth="1"/>
    <col min="2" max="4" width="11.44140625" style="3" customWidth="1"/>
    <col min="5" max="5" width="10.33203125" style="3" customWidth="1"/>
    <col min="6" max="6" width="8.88671875" style="3"/>
    <col min="7" max="7" width="9.88671875" style="3" bestFit="1" customWidth="1"/>
    <col min="8" max="16384" width="8.88671875" style="3"/>
  </cols>
  <sheetData>
    <row r="1" spans="1:10" x14ac:dyDescent="0.3">
      <c r="A1" s="1" t="s">
        <v>2</v>
      </c>
      <c r="B1" s="2" t="s">
        <v>22</v>
      </c>
      <c r="C1" s="2"/>
    </row>
    <row r="3" spans="1:10" x14ac:dyDescent="0.3">
      <c r="A3" s="1" t="s">
        <v>16</v>
      </c>
      <c r="B3" s="5" t="s">
        <v>0</v>
      </c>
      <c r="C3" s="5"/>
      <c r="D3" s="5"/>
      <c r="E3" s="5"/>
    </row>
    <row r="4" spans="1:10" x14ac:dyDescent="0.3">
      <c r="A4" s="1" t="s">
        <v>1</v>
      </c>
      <c r="B4" s="1" t="s">
        <v>5</v>
      </c>
      <c r="C4" s="1" t="s">
        <v>6</v>
      </c>
      <c r="D4" s="1" t="s">
        <v>8</v>
      </c>
      <c r="E4" s="1" t="s">
        <v>18</v>
      </c>
    </row>
    <row r="5" spans="1:10" x14ac:dyDescent="0.3">
      <c r="A5" s="1" t="s">
        <v>9</v>
      </c>
      <c r="B5" s="6">
        <v>4500</v>
      </c>
      <c r="C5" s="6">
        <v>6031</v>
      </c>
      <c r="D5" s="6"/>
      <c r="E5" s="6">
        <v>7271</v>
      </c>
      <c r="G5" s="7"/>
      <c r="H5" s="7"/>
      <c r="I5" s="7"/>
      <c r="J5" s="7"/>
    </row>
    <row r="6" spans="1:10" x14ac:dyDescent="0.3">
      <c r="A6" s="1" t="s">
        <v>10</v>
      </c>
      <c r="B6" s="6">
        <v>4470</v>
      </c>
      <c r="C6" s="6">
        <v>4154</v>
      </c>
      <c r="D6" s="6">
        <v>2121</v>
      </c>
      <c r="E6" s="6">
        <v>2527</v>
      </c>
      <c r="G6" s="7"/>
      <c r="H6" s="7"/>
      <c r="I6" s="7"/>
      <c r="J6" s="7"/>
    </row>
    <row r="7" spans="1:10" x14ac:dyDescent="0.3">
      <c r="A7" s="1" t="s">
        <v>7</v>
      </c>
      <c r="B7" s="6">
        <v>1873</v>
      </c>
      <c r="C7" s="6">
        <v>6388</v>
      </c>
      <c r="D7" s="6">
        <v>1557</v>
      </c>
      <c r="E7" s="6">
        <v>3125</v>
      </c>
      <c r="G7" s="7"/>
      <c r="H7" s="7"/>
      <c r="I7" s="7"/>
      <c r="J7" s="7"/>
    </row>
    <row r="8" spans="1:10" x14ac:dyDescent="0.3">
      <c r="A8" s="1" t="s">
        <v>14</v>
      </c>
      <c r="B8" s="6">
        <v>7808</v>
      </c>
      <c r="C8" s="6">
        <v>1386</v>
      </c>
      <c r="D8" s="6">
        <v>8229</v>
      </c>
      <c r="E8" s="6">
        <v>5155</v>
      </c>
      <c r="G8" s="7"/>
      <c r="H8" s="7"/>
      <c r="I8" s="7"/>
      <c r="J8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5">
    <tabColor rgb="FF2EA3F2"/>
  </sheetPr>
  <dimension ref="A1:J9"/>
  <sheetViews>
    <sheetView zoomScale="130" zoomScaleNormal="130" workbookViewId="0"/>
  </sheetViews>
  <sheetFormatPr defaultRowHeight="14.4" x14ac:dyDescent="0.3"/>
  <cols>
    <col min="1" max="1" width="15.5546875" style="3" bestFit="1" customWidth="1"/>
    <col min="2" max="4" width="11.44140625" style="3" customWidth="1"/>
    <col min="5" max="5" width="8.88671875" style="3"/>
    <col min="6" max="6" width="9.88671875" style="3" bestFit="1" customWidth="1"/>
    <col min="7" max="16384" width="8.88671875" style="3"/>
  </cols>
  <sheetData>
    <row r="1" spans="1:10" x14ac:dyDescent="0.3">
      <c r="A1" s="1" t="s">
        <v>2</v>
      </c>
      <c r="B1" s="2" t="s">
        <v>3</v>
      </c>
    </row>
    <row r="3" spans="1:10" x14ac:dyDescent="0.3">
      <c r="A3" s="1" t="s">
        <v>16</v>
      </c>
      <c r="B3" s="5" t="s">
        <v>0</v>
      </c>
      <c r="C3" s="5"/>
      <c r="D3" s="5"/>
    </row>
    <row r="4" spans="1:10" x14ac:dyDescent="0.3">
      <c r="A4" s="1" t="s">
        <v>1</v>
      </c>
      <c r="B4" s="1" t="s">
        <v>19</v>
      </c>
      <c r="C4" s="1" t="s">
        <v>8</v>
      </c>
      <c r="D4" s="1" t="s">
        <v>11</v>
      </c>
    </row>
    <row r="5" spans="1:10" x14ac:dyDescent="0.3">
      <c r="A5" s="1" t="s">
        <v>9</v>
      </c>
      <c r="B5" s="6">
        <v>7491</v>
      </c>
      <c r="C5" s="6">
        <v>1583</v>
      </c>
      <c r="D5" s="6">
        <v>3679</v>
      </c>
      <c r="F5" s="7"/>
      <c r="G5" s="7"/>
      <c r="H5" s="7"/>
      <c r="I5" s="7"/>
      <c r="J5" s="7"/>
    </row>
    <row r="6" spans="1:10" x14ac:dyDescent="0.3">
      <c r="A6" s="1" t="s">
        <v>10</v>
      </c>
      <c r="B6" s="6">
        <v>3303</v>
      </c>
      <c r="C6" s="6">
        <v>6088</v>
      </c>
      <c r="D6" s="6">
        <v>4338</v>
      </c>
      <c r="F6" s="7"/>
      <c r="G6" s="7"/>
      <c r="H6" s="7"/>
      <c r="I6" s="7"/>
      <c r="J6" s="7"/>
    </row>
    <row r="7" spans="1:10" x14ac:dyDescent="0.3">
      <c r="A7" s="1" t="s">
        <v>7</v>
      </c>
      <c r="B7" s="6">
        <v>1856</v>
      </c>
      <c r="C7" s="6">
        <v>4346</v>
      </c>
      <c r="D7" s="6">
        <v>3553</v>
      </c>
      <c r="F7" s="7"/>
      <c r="G7" s="7"/>
      <c r="H7" s="7"/>
      <c r="I7" s="7"/>
      <c r="J7" s="7"/>
    </row>
    <row r="8" spans="1:10" x14ac:dyDescent="0.3">
      <c r="A8" s="1" t="s">
        <v>20</v>
      </c>
      <c r="B8" s="6">
        <v>7679</v>
      </c>
      <c r="C8" s="6">
        <v>5473</v>
      </c>
      <c r="D8" s="6">
        <v>4667</v>
      </c>
      <c r="F8" s="7"/>
      <c r="G8" s="7"/>
      <c r="H8" s="7"/>
      <c r="I8" s="7"/>
      <c r="J8" s="7"/>
    </row>
    <row r="9" spans="1:10" x14ac:dyDescent="0.3">
      <c r="A9" s="1" t="s">
        <v>21</v>
      </c>
      <c r="B9" s="6"/>
      <c r="C9" s="6">
        <v>8148</v>
      </c>
      <c r="D9" s="6">
        <v>3385</v>
      </c>
      <c r="F9" s="7"/>
      <c r="G9" s="7"/>
      <c r="H9" s="7"/>
      <c r="I9" s="7"/>
      <c r="J9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ExceliAdam</vt:lpstr>
      <vt:lpstr>Suma</vt:lpstr>
      <vt:lpstr>Dolnośląskie</vt:lpstr>
      <vt:lpstr>Świętokrzyskie</vt:lpstr>
      <vt:lpstr>Lubelskie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LENOVO</cp:lastModifiedBy>
  <cp:lastPrinted>2015-08-01T08:25:32Z</cp:lastPrinted>
  <dcterms:created xsi:type="dcterms:W3CDTF">2013-08-21T20:08:04Z</dcterms:created>
  <dcterms:modified xsi:type="dcterms:W3CDTF">2019-05-13T07:40:16Z</dcterms:modified>
</cp:coreProperties>
</file>