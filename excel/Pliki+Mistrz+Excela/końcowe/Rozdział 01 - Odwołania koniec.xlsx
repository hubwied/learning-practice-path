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DE6CB3B0-D7B9-419C-9BAB-5CF4D3CA8FE8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44" r:id="rId1"/>
    <sheet name="Odwołania(0)" sheetId="232" r:id="rId2"/>
    <sheet name="Zysk" sheetId="233" r:id="rId3"/>
    <sheet name="Vat" sheetId="234" r:id="rId4"/>
    <sheet name="TabliczkaMnożenia" sheetId="235" r:id="rId5"/>
    <sheet name="StanInwestycji" sheetId="236" r:id="rId6"/>
    <sheet name="PodziałZysków" sheetId="237" r:id="rId7"/>
    <sheet name="Arkusz3" sheetId="242" r:id="rId8"/>
    <sheet name="Zakresy" sheetId="239" r:id="rId9"/>
    <sheet name="Zakresy (2)" sheetId="243" r:id="rId10"/>
  </sheets>
  <externalReferences>
    <externalReference r:id="rId11"/>
  </externalReferences>
  <definedNames>
    <definedName name="_xlnm._FilterDatabase" localSheetId="8" hidden="1">Zakresy!$A$1:$J$325</definedName>
    <definedName name="_xlnm._FilterDatabase" localSheetId="9" hidden="1">'Zakresy (2)'!$A$1:$H$325</definedName>
    <definedName name="Produkty">'Zakresy (2)'!$J$2:$K$9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243" l="1"/>
  <c r="H2" i="243" s="1"/>
  <c r="G3" i="243"/>
  <c r="G4" i="243"/>
  <c r="G5" i="243"/>
  <c r="H5" i="243" s="1"/>
  <c r="G6" i="243"/>
  <c r="H6" i="243" s="1"/>
  <c r="G7" i="243"/>
  <c r="G8" i="243"/>
  <c r="G9" i="243"/>
  <c r="H9" i="243" s="1"/>
  <c r="G10" i="243"/>
  <c r="G11" i="243"/>
  <c r="G12" i="243"/>
  <c r="H12" i="243" s="1"/>
  <c r="G13" i="243"/>
  <c r="H13" i="243" s="1"/>
  <c r="G14" i="243"/>
  <c r="H14" i="243" s="1"/>
  <c r="G15" i="243"/>
  <c r="G16" i="243"/>
  <c r="G17" i="243"/>
  <c r="G18" i="243"/>
  <c r="G19" i="243"/>
  <c r="G20" i="243"/>
  <c r="G21" i="243"/>
  <c r="H21" i="243" s="1"/>
  <c r="G22" i="243"/>
  <c r="H22" i="243" s="1"/>
  <c r="G23" i="243"/>
  <c r="G24" i="243"/>
  <c r="G25" i="243"/>
  <c r="H25" i="243" s="1"/>
  <c r="G26" i="243"/>
  <c r="G27" i="243"/>
  <c r="G28" i="243"/>
  <c r="H28" i="243" s="1"/>
  <c r="G29" i="243"/>
  <c r="H29" i="243" s="1"/>
  <c r="G30" i="243"/>
  <c r="H30" i="243" s="1"/>
  <c r="G31" i="243"/>
  <c r="G32" i="243"/>
  <c r="G33" i="243"/>
  <c r="G34" i="243"/>
  <c r="G35" i="243"/>
  <c r="G36" i="243"/>
  <c r="G37" i="243"/>
  <c r="H37" i="243" s="1"/>
  <c r="G38" i="243"/>
  <c r="H38" i="243" s="1"/>
  <c r="G39" i="243"/>
  <c r="G40" i="243"/>
  <c r="G41" i="243"/>
  <c r="H41" i="243" s="1"/>
  <c r="G42" i="243"/>
  <c r="G43" i="243"/>
  <c r="G44" i="243"/>
  <c r="H44" i="243" s="1"/>
  <c r="G45" i="243"/>
  <c r="H45" i="243" s="1"/>
  <c r="G46" i="243"/>
  <c r="H46" i="243" s="1"/>
  <c r="G47" i="243"/>
  <c r="G48" i="243"/>
  <c r="H48" i="243" s="1"/>
  <c r="G49" i="243"/>
  <c r="G50" i="243"/>
  <c r="G51" i="243"/>
  <c r="G52" i="243"/>
  <c r="G53" i="243"/>
  <c r="H53" i="243" s="1"/>
  <c r="G54" i="243"/>
  <c r="H54" i="243" s="1"/>
  <c r="G55" i="243"/>
  <c r="G56" i="243"/>
  <c r="G57" i="243"/>
  <c r="H57" i="243" s="1"/>
  <c r="G58" i="243"/>
  <c r="G59" i="243"/>
  <c r="G60" i="243"/>
  <c r="H60" i="243" s="1"/>
  <c r="G61" i="243"/>
  <c r="H61" i="243" s="1"/>
  <c r="G62" i="243"/>
  <c r="H62" i="243" s="1"/>
  <c r="G63" i="243"/>
  <c r="G64" i="243"/>
  <c r="H64" i="243" s="1"/>
  <c r="G65" i="243"/>
  <c r="G66" i="243"/>
  <c r="G67" i="243"/>
  <c r="G68" i="243"/>
  <c r="G69" i="243"/>
  <c r="H69" i="243" s="1"/>
  <c r="G70" i="243"/>
  <c r="H70" i="243" s="1"/>
  <c r="G71" i="243"/>
  <c r="G72" i="243"/>
  <c r="G73" i="243"/>
  <c r="H73" i="243" s="1"/>
  <c r="G74" i="243"/>
  <c r="G75" i="243"/>
  <c r="G76" i="243"/>
  <c r="H76" i="243" s="1"/>
  <c r="G77" i="243"/>
  <c r="H77" i="243" s="1"/>
  <c r="G78" i="243"/>
  <c r="H78" i="243" s="1"/>
  <c r="G79" i="243"/>
  <c r="G80" i="243"/>
  <c r="H80" i="243" s="1"/>
  <c r="G81" i="243"/>
  <c r="G82" i="243"/>
  <c r="G83" i="243"/>
  <c r="G84" i="243"/>
  <c r="G85" i="243"/>
  <c r="H85" i="243" s="1"/>
  <c r="G86" i="243"/>
  <c r="G87" i="243"/>
  <c r="G88" i="243"/>
  <c r="G89" i="243"/>
  <c r="H89" i="243" s="1"/>
  <c r="G90" i="243"/>
  <c r="G91" i="243"/>
  <c r="G92" i="243"/>
  <c r="H92" i="243" s="1"/>
  <c r="G93" i="243"/>
  <c r="H93" i="243" s="1"/>
  <c r="G94" i="243"/>
  <c r="H94" i="243" s="1"/>
  <c r="G95" i="243"/>
  <c r="G96" i="243"/>
  <c r="H96" i="243" s="1"/>
  <c r="G97" i="243"/>
  <c r="G98" i="243"/>
  <c r="G99" i="243"/>
  <c r="G100" i="243"/>
  <c r="G101" i="243"/>
  <c r="H101" i="243" s="1"/>
  <c r="G102" i="243"/>
  <c r="H102" i="243" s="1"/>
  <c r="G103" i="243"/>
  <c r="G104" i="243"/>
  <c r="G105" i="243"/>
  <c r="H105" i="243" s="1"/>
  <c r="G106" i="243"/>
  <c r="G107" i="243"/>
  <c r="G108" i="243"/>
  <c r="H108" i="243" s="1"/>
  <c r="G109" i="243"/>
  <c r="H109" i="243" s="1"/>
  <c r="G110" i="243"/>
  <c r="H110" i="243" s="1"/>
  <c r="G111" i="243"/>
  <c r="G112" i="243"/>
  <c r="H112" i="243" s="1"/>
  <c r="G113" i="243"/>
  <c r="G114" i="243"/>
  <c r="G115" i="243"/>
  <c r="G116" i="243"/>
  <c r="G117" i="243"/>
  <c r="H117" i="243" s="1"/>
  <c r="G118" i="243"/>
  <c r="H118" i="243" s="1"/>
  <c r="G119" i="243"/>
  <c r="G120" i="243"/>
  <c r="G121" i="243"/>
  <c r="H121" i="243" s="1"/>
  <c r="G122" i="243"/>
  <c r="G123" i="243"/>
  <c r="G124" i="243"/>
  <c r="H124" i="243" s="1"/>
  <c r="G125" i="243"/>
  <c r="H125" i="243" s="1"/>
  <c r="G126" i="243"/>
  <c r="H126" i="243" s="1"/>
  <c r="G127" i="243"/>
  <c r="G128" i="243"/>
  <c r="H128" i="243" s="1"/>
  <c r="G129" i="243"/>
  <c r="G130" i="243"/>
  <c r="G131" i="243"/>
  <c r="G132" i="243"/>
  <c r="G133" i="243"/>
  <c r="H133" i="243" s="1"/>
  <c r="G134" i="243"/>
  <c r="H134" i="243" s="1"/>
  <c r="G135" i="243"/>
  <c r="G136" i="243"/>
  <c r="G137" i="243"/>
  <c r="H137" i="243" s="1"/>
  <c r="G138" i="243"/>
  <c r="G139" i="243"/>
  <c r="G140" i="243"/>
  <c r="H140" i="243" s="1"/>
  <c r="G141" i="243"/>
  <c r="H141" i="243" s="1"/>
  <c r="G142" i="243"/>
  <c r="H142" i="243" s="1"/>
  <c r="G143" i="243"/>
  <c r="G144" i="243"/>
  <c r="H144" i="243" s="1"/>
  <c r="G145" i="243"/>
  <c r="G146" i="243"/>
  <c r="G147" i="243"/>
  <c r="G148" i="243"/>
  <c r="G149" i="243"/>
  <c r="H149" i="243" s="1"/>
  <c r="G150" i="243"/>
  <c r="G151" i="243"/>
  <c r="G152" i="243"/>
  <c r="G153" i="243"/>
  <c r="H153" i="243" s="1"/>
  <c r="G154" i="243"/>
  <c r="G155" i="243"/>
  <c r="G156" i="243"/>
  <c r="H156" i="243" s="1"/>
  <c r="G157" i="243"/>
  <c r="H157" i="243" s="1"/>
  <c r="G158" i="243"/>
  <c r="H158" i="243" s="1"/>
  <c r="G159" i="243"/>
  <c r="G160" i="243"/>
  <c r="H160" i="243" s="1"/>
  <c r="G161" i="243"/>
  <c r="G162" i="243"/>
  <c r="G163" i="243"/>
  <c r="G164" i="243"/>
  <c r="G165" i="243"/>
  <c r="H165" i="243" s="1"/>
  <c r="G166" i="243"/>
  <c r="H166" i="243" s="1"/>
  <c r="G167" i="243"/>
  <c r="G168" i="243"/>
  <c r="G169" i="243"/>
  <c r="H169" i="243" s="1"/>
  <c r="G170" i="243"/>
  <c r="G171" i="243"/>
  <c r="G172" i="243"/>
  <c r="H172" i="243" s="1"/>
  <c r="G173" i="243"/>
  <c r="H173" i="243" s="1"/>
  <c r="G174" i="243"/>
  <c r="H174" i="243" s="1"/>
  <c r="G175" i="243"/>
  <c r="G176" i="243"/>
  <c r="H176" i="243" s="1"/>
  <c r="G177" i="243"/>
  <c r="G178" i="243"/>
  <c r="G179" i="243"/>
  <c r="G180" i="243"/>
  <c r="G181" i="243"/>
  <c r="H181" i="243" s="1"/>
  <c r="G182" i="243"/>
  <c r="H182" i="243" s="1"/>
  <c r="G183" i="243"/>
  <c r="G184" i="243"/>
  <c r="G185" i="243"/>
  <c r="H185" i="243" s="1"/>
  <c r="G186" i="243"/>
  <c r="G187" i="243"/>
  <c r="G188" i="243"/>
  <c r="H188" i="243" s="1"/>
  <c r="G189" i="243"/>
  <c r="H189" i="243" s="1"/>
  <c r="G190" i="243"/>
  <c r="H190" i="243" s="1"/>
  <c r="G191" i="243"/>
  <c r="G192" i="243"/>
  <c r="H192" i="243" s="1"/>
  <c r="G193" i="243"/>
  <c r="G194" i="243"/>
  <c r="G195" i="243"/>
  <c r="G196" i="243"/>
  <c r="G197" i="243"/>
  <c r="H197" i="243" s="1"/>
  <c r="G198" i="243"/>
  <c r="H198" i="243" s="1"/>
  <c r="G199" i="243"/>
  <c r="G200" i="243"/>
  <c r="G201" i="243"/>
  <c r="H201" i="243" s="1"/>
  <c r="G202" i="243"/>
  <c r="G203" i="243"/>
  <c r="G204" i="243"/>
  <c r="H204" i="243" s="1"/>
  <c r="G205" i="243"/>
  <c r="H205" i="243" s="1"/>
  <c r="G206" i="243"/>
  <c r="H206" i="243" s="1"/>
  <c r="G207" i="243"/>
  <c r="G208" i="243"/>
  <c r="H208" i="243" s="1"/>
  <c r="G209" i="243"/>
  <c r="G210" i="243"/>
  <c r="G211" i="243"/>
  <c r="G212" i="243"/>
  <c r="G213" i="243"/>
  <c r="H213" i="243" s="1"/>
  <c r="G214" i="243"/>
  <c r="G215" i="243"/>
  <c r="G216" i="243"/>
  <c r="G217" i="243"/>
  <c r="H217" i="243" s="1"/>
  <c r="G218" i="243"/>
  <c r="G219" i="243"/>
  <c r="G220" i="243"/>
  <c r="H220" i="243" s="1"/>
  <c r="G221" i="243"/>
  <c r="H221" i="243" s="1"/>
  <c r="G222" i="243"/>
  <c r="H222" i="243" s="1"/>
  <c r="G223" i="243"/>
  <c r="G224" i="243"/>
  <c r="H224" i="243" s="1"/>
  <c r="G225" i="243"/>
  <c r="G226" i="243"/>
  <c r="G227" i="243"/>
  <c r="G228" i="243"/>
  <c r="G229" i="243"/>
  <c r="H229" i="243" s="1"/>
  <c r="G230" i="243"/>
  <c r="H230" i="243" s="1"/>
  <c r="G231" i="243"/>
  <c r="G232" i="243"/>
  <c r="G233" i="243"/>
  <c r="H233" i="243" s="1"/>
  <c r="G234" i="243"/>
  <c r="G235" i="243"/>
  <c r="G236" i="243"/>
  <c r="H236" i="243" s="1"/>
  <c r="G237" i="243"/>
  <c r="H237" i="243" s="1"/>
  <c r="G238" i="243"/>
  <c r="H238" i="243" s="1"/>
  <c r="G239" i="243"/>
  <c r="G240" i="243"/>
  <c r="H240" i="243" s="1"/>
  <c r="G241" i="243"/>
  <c r="G242" i="243"/>
  <c r="G243" i="243"/>
  <c r="G244" i="243"/>
  <c r="G245" i="243"/>
  <c r="H245" i="243" s="1"/>
  <c r="G246" i="243"/>
  <c r="H246" i="243" s="1"/>
  <c r="G247" i="243"/>
  <c r="G248" i="243"/>
  <c r="G249" i="243"/>
  <c r="H249" i="243" s="1"/>
  <c r="G250" i="243"/>
  <c r="G251" i="243"/>
  <c r="G252" i="243"/>
  <c r="H252" i="243" s="1"/>
  <c r="G253" i="243"/>
  <c r="H253" i="243" s="1"/>
  <c r="G254" i="243"/>
  <c r="H254" i="243" s="1"/>
  <c r="G255" i="243"/>
  <c r="G256" i="243"/>
  <c r="H256" i="243" s="1"/>
  <c r="G257" i="243"/>
  <c r="G258" i="243"/>
  <c r="G259" i="243"/>
  <c r="G260" i="243"/>
  <c r="G261" i="243"/>
  <c r="H261" i="243" s="1"/>
  <c r="G262" i="243"/>
  <c r="H262" i="243" s="1"/>
  <c r="G263" i="243"/>
  <c r="G264" i="243"/>
  <c r="G265" i="243"/>
  <c r="H265" i="243" s="1"/>
  <c r="G266" i="243"/>
  <c r="G267" i="243"/>
  <c r="G268" i="243"/>
  <c r="H268" i="243" s="1"/>
  <c r="G269" i="243"/>
  <c r="H269" i="243" s="1"/>
  <c r="G270" i="243"/>
  <c r="H270" i="243" s="1"/>
  <c r="G271" i="243"/>
  <c r="G272" i="243"/>
  <c r="H272" i="243" s="1"/>
  <c r="G273" i="243"/>
  <c r="G274" i="243"/>
  <c r="G275" i="243"/>
  <c r="G276" i="243"/>
  <c r="G277" i="243"/>
  <c r="H277" i="243" s="1"/>
  <c r="G278" i="243"/>
  <c r="G279" i="243"/>
  <c r="G280" i="243"/>
  <c r="G281" i="243"/>
  <c r="H281" i="243" s="1"/>
  <c r="G282" i="243"/>
  <c r="G283" i="243"/>
  <c r="G284" i="243"/>
  <c r="H284" i="243" s="1"/>
  <c r="G285" i="243"/>
  <c r="H285" i="243" s="1"/>
  <c r="G286" i="243"/>
  <c r="H286" i="243" s="1"/>
  <c r="G287" i="243"/>
  <c r="G288" i="243"/>
  <c r="H288" i="243" s="1"/>
  <c r="G289" i="243"/>
  <c r="G290" i="243"/>
  <c r="H290" i="243" s="1"/>
  <c r="G291" i="243"/>
  <c r="G292" i="243"/>
  <c r="G293" i="243"/>
  <c r="H293" i="243" s="1"/>
  <c r="G294" i="243"/>
  <c r="H294" i="243" s="1"/>
  <c r="G295" i="243"/>
  <c r="G296" i="243"/>
  <c r="G297" i="243"/>
  <c r="H297" i="243" s="1"/>
  <c r="G298" i="243"/>
  <c r="H298" i="243" s="1"/>
  <c r="G299" i="243"/>
  <c r="G300" i="243"/>
  <c r="H300" i="243" s="1"/>
  <c r="G301" i="243"/>
  <c r="H301" i="243" s="1"/>
  <c r="G302" i="243"/>
  <c r="H302" i="243" s="1"/>
  <c r="G303" i="243"/>
  <c r="G304" i="243"/>
  <c r="H304" i="243" s="1"/>
  <c r="G305" i="243"/>
  <c r="G306" i="243"/>
  <c r="G307" i="243"/>
  <c r="G308" i="243"/>
  <c r="G309" i="243"/>
  <c r="H309" i="243" s="1"/>
  <c r="G310" i="243"/>
  <c r="H310" i="243" s="1"/>
  <c r="G311" i="243"/>
  <c r="G312" i="243"/>
  <c r="G313" i="243"/>
  <c r="H313" i="243" s="1"/>
  <c r="G314" i="243"/>
  <c r="H314" i="243" s="1"/>
  <c r="G315" i="243"/>
  <c r="G316" i="243"/>
  <c r="H316" i="243" s="1"/>
  <c r="G317" i="243"/>
  <c r="H317" i="243" s="1"/>
  <c r="G318" i="243"/>
  <c r="H318" i="243" s="1"/>
  <c r="G319" i="243"/>
  <c r="G320" i="243"/>
  <c r="H320" i="243" s="1"/>
  <c r="G321" i="243"/>
  <c r="G322" i="243"/>
  <c r="H322" i="243" s="1"/>
  <c r="G323" i="243"/>
  <c r="G324" i="243"/>
  <c r="H324" i="243" s="1"/>
  <c r="G325" i="243"/>
  <c r="H325" i="243" s="1"/>
  <c r="H17" i="243"/>
  <c r="H33" i="243"/>
  <c r="H49" i="243"/>
  <c r="H65" i="243"/>
  <c r="H81" i="243"/>
  <c r="H97" i="243"/>
  <c r="H113" i="243"/>
  <c r="H129" i="243"/>
  <c r="H145" i="243"/>
  <c r="H161" i="243"/>
  <c r="H177" i="243"/>
  <c r="H193" i="243"/>
  <c r="H209" i="243"/>
  <c r="H225" i="243"/>
  <c r="H241" i="243"/>
  <c r="H257" i="243"/>
  <c r="H273" i="243"/>
  <c r="H289" i="243"/>
  <c r="H305" i="243"/>
  <c r="H321" i="243"/>
  <c r="H323" i="243"/>
  <c r="H319" i="243"/>
  <c r="H315" i="243"/>
  <c r="H312" i="243"/>
  <c r="H311" i="243"/>
  <c r="H308" i="243"/>
  <c r="H307" i="243"/>
  <c r="H306" i="243"/>
  <c r="H303" i="243"/>
  <c r="H299" i="243"/>
  <c r="H296" i="243"/>
  <c r="H295" i="243"/>
  <c r="H292" i="243"/>
  <c r="H291" i="243"/>
  <c r="H287" i="243"/>
  <c r="H283" i="243"/>
  <c r="H282" i="243"/>
  <c r="H280" i="243"/>
  <c r="H279" i="243"/>
  <c r="H278" i="243"/>
  <c r="H276" i="243"/>
  <c r="H275" i="243"/>
  <c r="H274" i="243"/>
  <c r="H271" i="243"/>
  <c r="H267" i="243"/>
  <c r="H266" i="243"/>
  <c r="H264" i="243"/>
  <c r="H263" i="243"/>
  <c r="H260" i="243"/>
  <c r="H259" i="243"/>
  <c r="H258" i="243"/>
  <c r="H255" i="243"/>
  <c r="H251" i="243"/>
  <c r="H250" i="243"/>
  <c r="H248" i="243"/>
  <c r="H247" i="243"/>
  <c r="H244" i="243"/>
  <c r="H243" i="243"/>
  <c r="H242" i="243"/>
  <c r="H239" i="243"/>
  <c r="H235" i="243"/>
  <c r="H234" i="243"/>
  <c r="H232" i="243"/>
  <c r="H231" i="243"/>
  <c r="H228" i="243"/>
  <c r="H227" i="243"/>
  <c r="H226" i="243"/>
  <c r="H223" i="243"/>
  <c r="H219" i="243"/>
  <c r="H218" i="243"/>
  <c r="H216" i="243"/>
  <c r="H215" i="243"/>
  <c r="H214" i="243"/>
  <c r="H212" i="243"/>
  <c r="H211" i="243"/>
  <c r="H210" i="243"/>
  <c r="H207" i="243"/>
  <c r="H203" i="243"/>
  <c r="H202" i="243"/>
  <c r="H200" i="243"/>
  <c r="H199" i="243"/>
  <c r="H196" i="243"/>
  <c r="H195" i="243"/>
  <c r="H194" i="243"/>
  <c r="H191" i="243"/>
  <c r="H187" i="243"/>
  <c r="H186" i="243"/>
  <c r="H184" i="243"/>
  <c r="H183" i="243"/>
  <c r="H180" i="243"/>
  <c r="H179" i="243"/>
  <c r="H178" i="243"/>
  <c r="H175" i="243"/>
  <c r="H171" i="243"/>
  <c r="H170" i="243"/>
  <c r="H168" i="243"/>
  <c r="H167" i="243"/>
  <c r="H164" i="243"/>
  <c r="H163" i="243"/>
  <c r="H162" i="243"/>
  <c r="H159" i="243"/>
  <c r="H155" i="243"/>
  <c r="H154" i="243"/>
  <c r="H152" i="243"/>
  <c r="H151" i="243"/>
  <c r="H150" i="243"/>
  <c r="H148" i="243"/>
  <c r="H147" i="243"/>
  <c r="H146" i="243"/>
  <c r="H143" i="243"/>
  <c r="H139" i="243"/>
  <c r="H138" i="243"/>
  <c r="H136" i="243"/>
  <c r="H135" i="243"/>
  <c r="H132" i="243"/>
  <c r="H131" i="243"/>
  <c r="H130" i="243"/>
  <c r="H127" i="243"/>
  <c r="H123" i="243"/>
  <c r="H122" i="243"/>
  <c r="H120" i="243"/>
  <c r="H119" i="243"/>
  <c r="H116" i="243"/>
  <c r="H115" i="243"/>
  <c r="H114" i="243"/>
  <c r="H111" i="243"/>
  <c r="H107" i="243"/>
  <c r="H106" i="243"/>
  <c r="H104" i="243"/>
  <c r="H103" i="243"/>
  <c r="H100" i="243"/>
  <c r="H99" i="243"/>
  <c r="H98" i="243"/>
  <c r="H95" i="243"/>
  <c r="H91" i="243"/>
  <c r="H90" i="243"/>
  <c r="H88" i="243"/>
  <c r="H87" i="243"/>
  <c r="H86" i="243"/>
  <c r="H84" i="243"/>
  <c r="H83" i="243"/>
  <c r="H82" i="243"/>
  <c r="H79" i="243"/>
  <c r="H75" i="243"/>
  <c r="H74" i="243"/>
  <c r="H72" i="243"/>
  <c r="H71" i="243"/>
  <c r="H68" i="243"/>
  <c r="H67" i="243"/>
  <c r="H66" i="243"/>
  <c r="H63" i="243"/>
  <c r="H59" i="243"/>
  <c r="H58" i="243"/>
  <c r="H56" i="243"/>
  <c r="H55" i="243"/>
  <c r="H52" i="243"/>
  <c r="H51" i="243"/>
  <c r="H50" i="243"/>
  <c r="H47" i="243"/>
  <c r="H43" i="243"/>
  <c r="H42" i="243"/>
  <c r="H40" i="243"/>
  <c r="H39" i="243"/>
  <c r="H36" i="243"/>
  <c r="H35" i="243"/>
  <c r="H34" i="243"/>
  <c r="H32" i="243"/>
  <c r="H31" i="243"/>
  <c r="H27" i="243"/>
  <c r="H26" i="243"/>
  <c r="H24" i="243"/>
  <c r="H23" i="243"/>
  <c r="H20" i="243"/>
  <c r="H19" i="243"/>
  <c r="H18" i="243"/>
  <c r="H16" i="243"/>
  <c r="H15" i="243"/>
  <c r="H11" i="243"/>
  <c r="H10" i="243"/>
  <c r="H8" i="243"/>
  <c r="H7" i="243"/>
  <c r="H4" i="243"/>
  <c r="H3" i="243"/>
  <c r="H2" i="239" l="1"/>
  <c r="I2" i="239"/>
  <c r="I3" i="239"/>
  <c r="I4" i="239"/>
  <c r="I5" i="239"/>
  <c r="I6" i="239"/>
  <c r="I7" i="239"/>
  <c r="I8" i="239"/>
  <c r="I9" i="239"/>
  <c r="I10" i="239"/>
  <c r="I11" i="239"/>
  <c r="I12" i="239"/>
  <c r="I13" i="239"/>
  <c r="I14" i="239"/>
  <c r="I15" i="239"/>
  <c r="I16" i="239"/>
  <c r="I17" i="239"/>
  <c r="I18" i="239"/>
  <c r="I19" i="239"/>
  <c r="I20" i="239"/>
  <c r="I21" i="239"/>
  <c r="I22" i="239"/>
  <c r="I23" i="239"/>
  <c r="I24" i="239"/>
  <c r="I25" i="239"/>
  <c r="I26" i="239"/>
  <c r="I27" i="239"/>
  <c r="I28" i="239"/>
  <c r="I29" i="239"/>
  <c r="I30" i="239"/>
  <c r="I31" i="239"/>
  <c r="I32" i="239"/>
  <c r="I33" i="239"/>
  <c r="I34" i="239"/>
  <c r="I35" i="239"/>
  <c r="I36" i="239"/>
  <c r="I37" i="239"/>
  <c r="I38" i="239"/>
  <c r="I39" i="239"/>
  <c r="I40" i="239"/>
  <c r="I41" i="239"/>
  <c r="I42" i="239"/>
  <c r="I43" i="239"/>
  <c r="I44" i="239"/>
  <c r="I45" i="239"/>
  <c r="I46" i="239"/>
  <c r="I47" i="239"/>
  <c r="I48" i="239"/>
  <c r="I49" i="239"/>
  <c r="I50" i="239"/>
  <c r="I51" i="239"/>
  <c r="I52" i="239"/>
  <c r="I53" i="239"/>
  <c r="I54" i="239"/>
  <c r="I55" i="239"/>
  <c r="I56" i="239"/>
  <c r="I57" i="239"/>
  <c r="I58" i="239"/>
  <c r="I59" i="239"/>
  <c r="I60" i="239"/>
  <c r="I61" i="239"/>
  <c r="I62" i="239"/>
  <c r="I63" i="239"/>
  <c r="I64" i="239"/>
  <c r="I65" i="239"/>
  <c r="I66" i="239"/>
  <c r="I67" i="239"/>
  <c r="I68" i="239"/>
  <c r="I69" i="239"/>
  <c r="I70" i="239"/>
  <c r="I71" i="239"/>
  <c r="I72" i="239"/>
  <c r="I73" i="239"/>
  <c r="I74" i="239"/>
  <c r="I75" i="239"/>
  <c r="I76" i="239"/>
  <c r="I77" i="239"/>
  <c r="I78" i="239"/>
  <c r="I79" i="239"/>
  <c r="I80" i="239"/>
  <c r="I81" i="239"/>
  <c r="I82" i="239"/>
  <c r="I83" i="239"/>
  <c r="I84" i="239"/>
  <c r="I85" i="239"/>
  <c r="I86" i="239"/>
  <c r="I87" i="239"/>
  <c r="I88" i="239"/>
  <c r="I89" i="239"/>
  <c r="I90" i="239"/>
  <c r="I91" i="239"/>
  <c r="I92" i="239"/>
  <c r="I93" i="239"/>
  <c r="I94" i="239"/>
  <c r="I95" i="239"/>
  <c r="I96" i="239"/>
  <c r="I97" i="239"/>
  <c r="I98" i="239"/>
  <c r="I99" i="239"/>
  <c r="I100" i="239"/>
  <c r="I101" i="239"/>
  <c r="I102" i="239"/>
  <c r="I103" i="239"/>
  <c r="I104" i="239"/>
  <c r="I105" i="239"/>
  <c r="I106" i="239"/>
  <c r="I107" i="239"/>
  <c r="I108" i="239"/>
  <c r="I109" i="239"/>
  <c r="I110" i="239"/>
  <c r="I111" i="239"/>
  <c r="I112" i="239"/>
  <c r="I113" i="239"/>
  <c r="I114" i="239"/>
  <c r="I115" i="239"/>
  <c r="I116" i="239"/>
  <c r="I117" i="239"/>
  <c r="I118" i="239"/>
  <c r="I119" i="239"/>
  <c r="I120" i="239"/>
  <c r="I121" i="239"/>
  <c r="I122" i="239"/>
  <c r="I123" i="239"/>
  <c r="I124" i="239"/>
  <c r="I125" i="239"/>
  <c r="I126" i="239"/>
  <c r="I127" i="239"/>
  <c r="I128" i="239"/>
  <c r="I129" i="239"/>
  <c r="I130" i="239"/>
  <c r="I131" i="239"/>
  <c r="I132" i="239"/>
  <c r="I133" i="239"/>
  <c r="I134" i="239"/>
  <c r="I135" i="239"/>
  <c r="I136" i="239"/>
  <c r="I137" i="239"/>
  <c r="I138" i="239"/>
  <c r="I139" i="239"/>
  <c r="I140" i="239"/>
  <c r="I141" i="239"/>
  <c r="I142" i="239"/>
  <c r="I143" i="239"/>
  <c r="I144" i="239"/>
  <c r="I145" i="239"/>
  <c r="I146" i="239"/>
  <c r="I147" i="239"/>
  <c r="I148" i="239"/>
  <c r="I149" i="239"/>
  <c r="I150" i="239"/>
  <c r="I151" i="239"/>
  <c r="I152" i="239"/>
  <c r="I153" i="239"/>
  <c r="I154" i="239"/>
  <c r="I155" i="239"/>
  <c r="I156" i="239"/>
  <c r="I157" i="239"/>
  <c r="I158" i="239"/>
  <c r="I159" i="239"/>
  <c r="I160" i="239"/>
  <c r="I161" i="239"/>
  <c r="I162" i="239"/>
  <c r="I163" i="239"/>
  <c r="I164" i="239"/>
  <c r="I165" i="239"/>
  <c r="I166" i="239"/>
  <c r="I167" i="239"/>
  <c r="I168" i="239"/>
  <c r="I169" i="239"/>
  <c r="I170" i="239"/>
  <c r="I171" i="239"/>
  <c r="I172" i="239"/>
  <c r="I173" i="239"/>
  <c r="I174" i="239"/>
  <c r="I175" i="239"/>
  <c r="I176" i="239"/>
  <c r="I177" i="239"/>
  <c r="I178" i="239"/>
  <c r="I179" i="239"/>
  <c r="I180" i="239"/>
  <c r="I181" i="239"/>
  <c r="I182" i="239"/>
  <c r="I183" i="239"/>
  <c r="I184" i="239"/>
  <c r="I185" i="239"/>
  <c r="I186" i="239"/>
  <c r="I187" i="239"/>
  <c r="I188" i="239"/>
  <c r="I189" i="239"/>
  <c r="I190" i="239"/>
  <c r="I191" i="239"/>
  <c r="I192" i="239"/>
  <c r="I193" i="239"/>
  <c r="I194" i="239"/>
  <c r="I195" i="239"/>
  <c r="I196" i="239"/>
  <c r="I197" i="239"/>
  <c r="I198" i="239"/>
  <c r="I199" i="239"/>
  <c r="I200" i="239"/>
  <c r="I201" i="239"/>
  <c r="I202" i="239"/>
  <c r="I203" i="239"/>
  <c r="I204" i="239"/>
  <c r="I205" i="239"/>
  <c r="I206" i="239"/>
  <c r="I207" i="239"/>
  <c r="I208" i="239"/>
  <c r="I209" i="239"/>
  <c r="I210" i="239"/>
  <c r="I211" i="239"/>
  <c r="I212" i="239"/>
  <c r="I213" i="239"/>
  <c r="I214" i="239"/>
  <c r="I215" i="239"/>
  <c r="I216" i="239"/>
  <c r="I217" i="239"/>
  <c r="I218" i="239"/>
  <c r="I219" i="239"/>
  <c r="I220" i="239"/>
  <c r="I221" i="239"/>
  <c r="I222" i="239"/>
  <c r="I223" i="239"/>
  <c r="I224" i="239"/>
  <c r="I225" i="239"/>
  <c r="I226" i="239"/>
  <c r="I227" i="239"/>
  <c r="I228" i="239"/>
  <c r="I229" i="239"/>
  <c r="I230" i="239"/>
  <c r="I231" i="239"/>
  <c r="I232" i="239"/>
  <c r="I233" i="239"/>
  <c r="I234" i="239"/>
  <c r="I235" i="239"/>
  <c r="I236" i="239"/>
  <c r="I237" i="239"/>
  <c r="I238" i="239"/>
  <c r="I239" i="239"/>
  <c r="I240" i="239"/>
  <c r="I241" i="239"/>
  <c r="I242" i="239"/>
  <c r="I243" i="239"/>
  <c r="I244" i="239"/>
  <c r="I245" i="239"/>
  <c r="I246" i="239"/>
  <c r="I247" i="239"/>
  <c r="I248" i="239"/>
  <c r="I249" i="239"/>
  <c r="I250" i="239"/>
  <c r="I251" i="239"/>
  <c r="I252" i="239"/>
  <c r="I253" i="239"/>
  <c r="I254" i="239"/>
  <c r="I255" i="239"/>
  <c r="I256" i="239"/>
  <c r="I257" i="239"/>
  <c r="I258" i="239"/>
  <c r="I259" i="239"/>
  <c r="I260" i="239"/>
  <c r="I261" i="239"/>
  <c r="I262" i="239"/>
  <c r="I263" i="239"/>
  <c r="I264" i="239"/>
  <c r="I265" i="239"/>
  <c r="I266" i="239"/>
  <c r="I267" i="239"/>
  <c r="I268" i="239"/>
  <c r="I269" i="239"/>
  <c r="I270" i="239"/>
  <c r="I271" i="239"/>
  <c r="I272" i="239"/>
  <c r="I273" i="239"/>
  <c r="I274" i="239"/>
  <c r="I275" i="239"/>
  <c r="I276" i="239"/>
  <c r="I277" i="239"/>
  <c r="I278" i="239"/>
  <c r="I279" i="239"/>
  <c r="I280" i="239"/>
  <c r="I281" i="239"/>
  <c r="I282" i="239"/>
  <c r="I283" i="239"/>
  <c r="I284" i="239"/>
  <c r="I285" i="239"/>
  <c r="I286" i="239"/>
  <c r="I287" i="239"/>
  <c r="I288" i="239"/>
  <c r="I289" i="239"/>
  <c r="I290" i="239"/>
  <c r="I291" i="239"/>
  <c r="I292" i="239"/>
  <c r="I293" i="239"/>
  <c r="I294" i="239"/>
  <c r="I295" i="239"/>
  <c r="I296" i="239"/>
  <c r="I297" i="239"/>
  <c r="I298" i="239"/>
  <c r="I299" i="239"/>
  <c r="I300" i="239"/>
  <c r="I301" i="239"/>
  <c r="I302" i="239"/>
  <c r="I303" i="239"/>
  <c r="I304" i="239"/>
  <c r="I305" i="239"/>
  <c r="I306" i="239"/>
  <c r="I307" i="239"/>
  <c r="I308" i="239"/>
  <c r="I309" i="239"/>
  <c r="I310" i="239"/>
  <c r="I311" i="239"/>
  <c r="I312" i="239"/>
  <c r="I313" i="239"/>
  <c r="I314" i="239"/>
  <c r="I315" i="239"/>
  <c r="I316" i="239"/>
  <c r="I317" i="239"/>
  <c r="I318" i="239"/>
  <c r="I319" i="239"/>
  <c r="I320" i="239"/>
  <c r="I321" i="239"/>
  <c r="I322" i="239"/>
  <c r="I323" i="239"/>
  <c r="I324" i="239"/>
  <c r="I325" i="239"/>
  <c r="H3" i="239"/>
  <c r="H4" i="239"/>
  <c r="H5" i="239"/>
  <c r="H6" i="239"/>
  <c r="H7" i="239"/>
  <c r="H8" i="239"/>
  <c r="H9" i="239"/>
  <c r="H10" i="239"/>
  <c r="H11" i="239"/>
  <c r="H12" i="239"/>
  <c r="H13" i="239"/>
  <c r="H14" i="239"/>
  <c r="H15" i="239"/>
  <c r="H16" i="239"/>
  <c r="H17" i="239"/>
  <c r="H18" i="239"/>
  <c r="H19" i="239"/>
  <c r="H20" i="239"/>
  <c r="H21" i="239"/>
  <c r="H22" i="239"/>
  <c r="H23" i="239"/>
  <c r="H24" i="239"/>
  <c r="H25" i="239"/>
  <c r="H26" i="239"/>
  <c r="H27" i="239"/>
  <c r="H28" i="239"/>
  <c r="H29" i="239"/>
  <c r="H30" i="239"/>
  <c r="H31" i="239"/>
  <c r="H32" i="239"/>
  <c r="H33" i="239"/>
  <c r="H34" i="239"/>
  <c r="H35" i="239"/>
  <c r="H36" i="239"/>
  <c r="H37" i="239"/>
  <c r="H38" i="239"/>
  <c r="H39" i="239"/>
  <c r="H40" i="239"/>
  <c r="H41" i="239"/>
  <c r="H42" i="239"/>
  <c r="H43" i="239"/>
  <c r="H44" i="239"/>
  <c r="H45" i="239"/>
  <c r="H46" i="239"/>
  <c r="H47" i="239"/>
  <c r="H48" i="239"/>
  <c r="H49" i="239"/>
  <c r="H50" i="239"/>
  <c r="H51" i="239"/>
  <c r="H52" i="239"/>
  <c r="H53" i="239"/>
  <c r="H54" i="239"/>
  <c r="H55" i="239"/>
  <c r="H56" i="239"/>
  <c r="H57" i="239"/>
  <c r="H58" i="239"/>
  <c r="H59" i="239"/>
  <c r="H60" i="239"/>
  <c r="H61" i="239"/>
  <c r="H62" i="239"/>
  <c r="H63" i="239"/>
  <c r="H64" i="239"/>
  <c r="H65" i="239"/>
  <c r="H66" i="239"/>
  <c r="H67" i="239"/>
  <c r="H68" i="239"/>
  <c r="H69" i="239"/>
  <c r="H70" i="239"/>
  <c r="H71" i="239"/>
  <c r="H72" i="239"/>
  <c r="H73" i="239"/>
  <c r="H74" i="239"/>
  <c r="H75" i="239"/>
  <c r="H76" i="239"/>
  <c r="H77" i="239"/>
  <c r="H78" i="239"/>
  <c r="H79" i="239"/>
  <c r="H80" i="239"/>
  <c r="H81" i="239"/>
  <c r="H82" i="239"/>
  <c r="H83" i="239"/>
  <c r="H84" i="239"/>
  <c r="H85" i="239"/>
  <c r="H86" i="239"/>
  <c r="H87" i="239"/>
  <c r="H88" i="239"/>
  <c r="H89" i="239"/>
  <c r="H90" i="239"/>
  <c r="H91" i="239"/>
  <c r="H92" i="239"/>
  <c r="H93" i="239"/>
  <c r="H94" i="239"/>
  <c r="H95" i="239"/>
  <c r="H96" i="239"/>
  <c r="H97" i="239"/>
  <c r="H98" i="239"/>
  <c r="H99" i="239"/>
  <c r="H100" i="239"/>
  <c r="H101" i="239"/>
  <c r="H102" i="239"/>
  <c r="H103" i="239"/>
  <c r="H104" i="239"/>
  <c r="H105" i="239"/>
  <c r="H106" i="239"/>
  <c r="H107" i="239"/>
  <c r="H108" i="239"/>
  <c r="H109" i="239"/>
  <c r="H110" i="239"/>
  <c r="H111" i="239"/>
  <c r="H112" i="239"/>
  <c r="H113" i="239"/>
  <c r="H114" i="239"/>
  <c r="H115" i="239"/>
  <c r="H116" i="239"/>
  <c r="H117" i="239"/>
  <c r="H118" i="239"/>
  <c r="H119" i="239"/>
  <c r="H120" i="239"/>
  <c r="H121" i="239"/>
  <c r="H122" i="239"/>
  <c r="H123" i="239"/>
  <c r="H124" i="239"/>
  <c r="H125" i="239"/>
  <c r="H126" i="239"/>
  <c r="H127" i="239"/>
  <c r="H128" i="239"/>
  <c r="H129" i="239"/>
  <c r="H130" i="239"/>
  <c r="H131" i="239"/>
  <c r="H132" i="239"/>
  <c r="H133" i="239"/>
  <c r="H134" i="239"/>
  <c r="H135" i="239"/>
  <c r="H136" i="239"/>
  <c r="H137" i="239"/>
  <c r="H138" i="239"/>
  <c r="H139" i="239"/>
  <c r="H140" i="239"/>
  <c r="H141" i="239"/>
  <c r="H142" i="239"/>
  <c r="H143" i="239"/>
  <c r="H144" i="239"/>
  <c r="H145" i="239"/>
  <c r="H146" i="239"/>
  <c r="H147" i="239"/>
  <c r="H148" i="239"/>
  <c r="H149" i="239"/>
  <c r="H150" i="239"/>
  <c r="H151" i="239"/>
  <c r="H152" i="239"/>
  <c r="H153" i="239"/>
  <c r="H154" i="239"/>
  <c r="H155" i="239"/>
  <c r="H156" i="239"/>
  <c r="H157" i="239"/>
  <c r="H158" i="239"/>
  <c r="H159" i="239"/>
  <c r="H160" i="239"/>
  <c r="H161" i="239"/>
  <c r="H162" i="239"/>
  <c r="H163" i="239"/>
  <c r="H164" i="239"/>
  <c r="H165" i="239"/>
  <c r="H166" i="239"/>
  <c r="H167" i="239"/>
  <c r="H168" i="239"/>
  <c r="H169" i="239"/>
  <c r="H170" i="239"/>
  <c r="H171" i="239"/>
  <c r="H172" i="239"/>
  <c r="H173" i="239"/>
  <c r="H174" i="239"/>
  <c r="H175" i="239"/>
  <c r="H176" i="239"/>
  <c r="H177" i="239"/>
  <c r="H178" i="239"/>
  <c r="H179" i="239"/>
  <c r="H180" i="239"/>
  <c r="H181" i="239"/>
  <c r="H182" i="239"/>
  <c r="H183" i="239"/>
  <c r="H184" i="239"/>
  <c r="H185" i="239"/>
  <c r="H186" i="239"/>
  <c r="H187" i="239"/>
  <c r="H188" i="239"/>
  <c r="H189" i="239"/>
  <c r="H190" i="239"/>
  <c r="H191" i="239"/>
  <c r="H192" i="239"/>
  <c r="H193" i="239"/>
  <c r="H194" i="239"/>
  <c r="H195" i="239"/>
  <c r="H196" i="239"/>
  <c r="H197" i="239"/>
  <c r="H198" i="239"/>
  <c r="H199" i="239"/>
  <c r="H200" i="239"/>
  <c r="H201" i="239"/>
  <c r="H202" i="239"/>
  <c r="H203" i="239"/>
  <c r="H204" i="239"/>
  <c r="H205" i="239"/>
  <c r="H206" i="239"/>
  <c r="H207" i="239"/>
  <c r="H208" i="239"/>
  <c r="H209" i="239"/>
  <c r="H210" i="239"/>
  <c r="H211" i="239"/>
  <c r="H212" i="239"/>
  <c r="H213" i="239"/>
  <c r="H214" i="239"/>
  <c r="H215" i="239"/>
  <c r="H216" i="239"/>
  <c r="H217" i="239"/>
  <c r="H218" i="239"/>
  <c r="H219" i="239"/>
  <c r="H220" i="239"/>
  <c r="H221" i="239"/>
  <c r="H222" i="239"/>
  <c r="H223" i="239"/>
  <c r="H224" i="239"/>
  <c r="H225" i="239"/>
  <c r="H226" i="239"/>
  <c r="H227" i="239"/>
  <c r="H228" i="239"/>
  <c r="H229" i="239"/>
  <c r="H230" i="239"/>
  <c r="H231" i="239"/>
  <c r="H232" i="239"/>
  <c r="H233" i="239"/>
  <c r="H234" i="239"/>
  <c r="H235" i="239"/>
  <c r="H236" i="239"/>
  <c r="H237" i="239"/>
  <c r="H238" i="239"/>
  <c r="H239" i="239"/>
  <c r="H240" i="239"/>
  <c r="H241" i="239"/>
  <c r="H242" i="239"/>
  <c r="H243" i="239"/>
  <c r="H244" i="239"/>
  <c r="H245" i="239"/>
  <c r="H246" i="239"/>
  <c r="H247" i="239"/>
  <c r="H248" i="239"/>
  <c r="H249" i="239"/>
  <c r="H250" i="239"/>
  <c r="H251" i="239"/>
  <c r="H252" i="239"/>
  <c r="H253" i="239"/>
  <c r="H254" i="239"/>
  <c r="H255" i="239"/>
  <c r="H256" i="239"/>
  <c r="H257" i="239"/>
  <c r="H258" i="239"/>
  <c r="H259" i="239"/>
  <c r="H260" i="239"/>
  <c r="H261" i="239"/>
  <c r="H262" i="239"/>
  <c r="H263" i="239"/>
  <c r="H264" i="239"/>
  <c r="H265" i="239"/>
  <c r="H266" i="239"/>
  <c r="H267" i="239"/>
  <c r="H268" i="239"/>
  <c r="H269" i="239"/>
  <c r="H270" i="239"/>
  <c r="H271" i="239"/>
  <c r="H272" i="239"/>
  <c r="H273" i="239"/>
  <c r="H274" i="239"/>
  <c r="H275" i="239"/>
  <c r="H276" i="239"/>
  <c r="H277" i="239"/>
  <c r="H278" i="239"/>
  <c r="H279" i="239"/>
  <c r="H280" i="239"/>
  <c r="H281" i="239"/>
  <c r="H282" i="239"/>
  <c r="H283" i="239"/>
  <c r="H284" i="239"/>
  <c r="H285" i="239"/>
  <c r="H286" i="239"/>
  <c r="H287" i="239"/>
  <c r="H288" i="239"/>
  <c r="H289" i="239"/>
  <c r="H290" i="239"/>
  <c r="H291" i="239"/>
  <c r="H292" i="239"/>
  <c r="H293" i="239"/>
  <c r="H294" i="239"/>
  <c r="H295" i="239"/>
  <c r="H296" i="239"/>
  <c r="H297" i="239"/>
  <c r="H298" i="239"/>
  <c r="H299" i="239"/>
  <c r="H300" i="239"/>
  <c r="H301" i="239"/>
  <c r="H302" i="239"/>
  <c r="H303" i="239"/>
  <c r="H304" i="239"/>
  <c r="H305" i="239"/>
  <c r="H306" i="239"/>
  <c r="H307" i="239"/>
  <c r="H308" i="239"/>
  <c r="H309" i="239"/>
  <c r="H310" i="239"/>
  <c r="H311" i="239"/>
  <c r="H312" i="239"/>
  <c r="H313" i="239"/>
  <c r="H314" i="239"/>
  <c r="H315" i="239"/>
  <c r="H316" i="239"/>
  <c r="H317" i="239"/>
  <c r="H318" i="239"/>
  <c r="H319" i="239"/>
  <c r="H320" i="239"/>
  <c r="H321" i="239"/>
  <c r="H322" i="239"/>
  <c r="H323" i="239"/>
  <c r="H324" i="239"/>
  <c r="H325" i="239"/>
  <c r="G3" i="239"/>
  <c r="G4" i="239"/>
  <c r="G5" i="239"/>
  <c r="G6" i="239"/>
  <c r="G7" i="239"/>
  <c r="G8" i="239"/>
  <c r="G9" i="239"/>
  <c r="G10" i="239"/>
  <c r="G11" i="239"/>
  <c r="G12" i="239"/>
  <c r="G13" i="239"/>
  <c r="G14" i="239"/>
  <c r="G15" i="239"/>
  <c r="G16" i="239"/>
  <c r="G17" i="239"/>
  <c r="G18" i="239"/>
  <c r="G19" i="239"/>
  <c r="G20" i="239"/>
  <c r="G21" i="239"/>
  <c r="G22" i="239"/>
  <c r="G23" i="239"/>
  <c r="G24" i="239"/>
  <c r="G25" i="239"/>
  <c r="G26" i="239"/>
  <c r="G27" i="239"/>
  <c r="G28" i="239"/>
  <c r="G29" i="239"/>
  <c r="G30" i="239"/>
  <c r="G31" i="239"/>
  <c r="G32" i="239"/>
  <c r="G33" i="239"/>
  <c r="G34" i="239"/>
  <c r="G35" i="239"/>
  <c r="G36" i="239"/>
  <c r="G37" i="239"/>
  <c r="G38" i="239"/>
  <c r="G39" i="239"/>
  <c r="G40" i="239"/>
  <c r="G41" i="239"/>
  <c r="G42" i="239"/>
  <c r="G43" i="239"/>
  <c r="G44" i="239"/>
  <c r="G45" i="239"/>
  <c r="G46" i="239"/>
  <c r="G47" i="239"/>
  <c r="G48" i="239"/>
  <c r="G49" i="239"/>
  <c r="G50" i="239"/>
  <c r="G51" i="239"/>
  <c r="G52" i="239"/>
  <c r="G53" i="239"/>
  <c r="G54" i="239"/>
  <c r="G55" i="239"/>
  <c r="G56" i="239"/>
  <c r="G57" i="239"/>
  <c r="G58" i="239"/>
  <c r="G59" i="239"/>
  <c r="G60" i="239"/>
  <c r="G61" i="239"/>
  <c r="G62" i="239"/>
  <c r="G63" i="239"/>
  <c r="G64" i="239"/>
  <c r="G65" i="239"/>
  <c r="G66" i="239"/>
  <c r="G67" i="239"/>
  <c r="G68" i="239"/>
  <c r="G69" i="239"/>
  <c r="G70" i="239"/>
  <c r="G71" i="239"/>
  <c r="G72" i="239"/>
  <c r="G73" i="239"/>
  <c r="G74" i="239"/>
  <c r="G75" i="239"/>
  <c r="G76" i="239"/>
  <c r="G77" i="239"/>
  <c r="G78" i="239"/>
  <c r="G79" i="239"/>
  <c r="G80" i="239"/>
  <c r="G81" i="239"/>
  <c r="G82" i="239"/>
  <c r="G83" i="239"/>
  <c r="G84" i="239"/>
  <c r="G85" i="239"/>
  <c r="G86" i="239"/>
  <c r="G87" i="239"/>
  <c r="G88" i="239"/>
  <c r="G89" i="239"/>
  <c r="G90" i="239"/>
  <c r="G91" i="239"/>
  <c r="G92" i="239"/>
  <c r="G93" i="239"/>
  <c r="G94" i="239"/>
  <c r="G95" i="239"/>
  <c r="G96" i="239"/>
  <c r="G97" i="239"/>
  <c r="G98" i="239"/>
  <c r="G99" i="239"/>
  <c r="G100" i="239"/>
  <c r="G101" i="239"/>
  <c r="G102" i="239"/>
  <c r="G103" i="239"/>
  <c r="G104" i="239"/>
  <c r="G105" i="239"/>
  <c r="G106" i="239"/>
  <c r="G107" i="239"/>
  <c r="G108" i="239"/>
  <c r="G109" i="239"/>
  <c r="G110" i="239"/>
  <c r="G111" i="239"/>
  <c r="G112" i="239"/>
  <c r="G113" i="239"/>
  <c r="G114" i="239"/>
  <c r="G115" i="239"/>
  <c r="G116" i="239"/>
  <c r="G117" i="239"/>
  <c r="G118" i="239"/>
  <c r="G119" i="239"/>
  <c r="G120" i="239"/>
  <c r="G121" i="239"/>
  <c r="G122" i="239"/>
  <c r="G123" i="239"/>
  <c r="G124" i="239"/>
  <c r="G125" i="239"/>
  <c r="G126" i="239"/>
  <c r="G127" i="239"/>
  <c r="G128" i="239"/>
  <c r="G129" i="239"/>
  <c r="G130" i="239"/>
  <c r="G131" i="239"/>
  <c r="G132" i="239"/>
  <c r="G133" i="239"/>
  <c r="G134" i="239"/>
  <c r="G135" i="239"/>
  <c r="G136" i="239"/>
  <c r="G137" i="239"/>
  <c r="G138" i="239"/>
  <c r="G139" i="239"/>
  <c r="G140" i="239"/>
  <c r="G141" i="239"/>
  <c r="G142" i="239"/>
  <c r="G143" i="239"/>
  <c r="G144" i="239"/>
  <c r="G145" i="239"/>
  <c r="G146" i="239"/>
  <c r="G147" i="239"/>
  <c r="G148" i="239"/>
  <c r="G149" i="239"/>
  <c r="G150" i="239"/>
  <c r="G151" i="239"/>
  <c r="G152" i="239"/>
  <c r="G153" i="239"/>
  <c r="G154" i="239"/>
  <c r="G155" i="239"/>
  <c r="G156" i="239"/>
  <c r="G157" i="239"/>
  <c r="G158" i="239"/>
  <c r="G159" i="239"/>
  <c r="G160" i="239"/>
  <c r="G161" i="239"/>
  <c r="G162" i="239"/>
  <c r="G163" i="239"/>
  <c r="G164" i="239"/>
  <c r="G165" i="239"/>
  <c r="G166" i="239"/>
  <c r="G167" i="239"/>
  <c r="G168" i="239"/>
  <c r="G169" i="239"/>
  <c r="G170" i="239"/>
  <c r="G171" i="239"/>
  <c r="G172" i="239"/>
  <c r="G173" i="239"/>
  <c r="G174" i="239"/>
  <c r="G175" i="239"/>
  <c r="G176" i="239"/>
  <c r="G177" i="239"/>
  <c r="G178" i="239"/>
  <c r="G179" i="239"/>
  <c r="G180" i="239"/>
  <c r="G181" i="239"/>
  <c r="G182" i="239"/>
  <c r="G183" i="239"/>
  <c r="G184" i="239"/>
  <c r="G185" i="239"/>
  <c r="G186" i="239"/>
  <c r="G187" i="239"/>
  <c r="G188" i="239"/>
  <c r="G189" i="239"/>
  <c r="G190" i="239"/>
  <c r="G191" i="239"/>
  <c r="G192" i="239"/>
  <c r="G193" i="239"/>
  <c r="G194" i="239"/>
  <c r="G195" i="239"/>
  <c r="G196" i="239"/>
  <c r="G197" i="239"/>
  <c r="G198" i="239"/>
  <c r="G199" i="239"/>
  <c r="G200" i="239"/>
  <c r="G201" i="239"/>
  <c r="G202" i="239"/>
  <c r="G203" i="239"/>
  <c r="G204" i="239"/>
  <c r="G205" i="239"/>
  <c r="G206" i="239"/>
  <c r="G207" i="239"/>
  <c r="G208" i="239"/>
  <c r="G209" i="239"/>
  <c r="G210" i="239"/>
  <c r="G211" i="239"/>
  <c r="G212" i="239"/>
  <c r="G213" i="239"/>
  <c r="G214" i="239"/>
  <c r="G215" i="239"/>
  <c r="G216" i="239"/>
  <c r="G217" i="239"/>
  <c r="G218" i="239"/>
  <c r="G219" i="239"/>
  <c r="G220" i="239"/>
  <c r="G221" i="239"/>
  <c r="G222" i="239"/>
  <c r="G223" i="239"/>
  <c r="G224" i="239"/>
  <c r="G225" i="239"/>
  <c r="G226" i="239"/>
  <c r="G227" i="239"/>
  <c r="G228" i="239"/>
  <c r="G229" i="239"/>
  <c r="G230" i="239"/>
  <c r="G231" i="239"/>
  <c r="G232" i="239"/>
  <c r="G233" i="239"/>
  <c r="G234" i="239"/>
  <c r="G235" i="239"/>
  <c r="G236" i="239"/>
  <c r="G237" i="239"/>
  <c r="G238" i="239"/>
  <c r="G239" i="239"/>
  <c r="G240" i="239"/>
  <c r="G241" i="239"/>
  <c r="G242" i="239"/>
  <c r="G243" i="239"/>
  <c r="G244" i="239"/>
  <c r="G245" i="239"/>
  <c r="G246" i="239"/>
  <c r="G247" i="239"/>
  <c r="G248" i="239"/>
  <c r="G249" i="239"/>
  <c r="G250" i="239"/>
  <c r="G251" i="239"/>
  <c r="G252" i="239"/>
  <c r="G253" i="239"/>
  <c r="G254" i="239"/>
  <c r="G255" i="239"/>
  <c r="G256" i="239"/>
  <c r="G257" i="239"/>
  <c r="G258" i="239"/>
  <c r="G259" i="239"/>
  <c r="G260" i="239"/>
  <c r="G261" i="239"/>
  <c r="G262" i="239"/>
  <c r="G263" i="239"/>
  <c r="G264" i="239"/>
  <c r="G265" i="239"/>
  <c r="G266" i="239"/>
  <c r="G267" i="239"/>
  <c r="G268" i="239"/>
  <c r="G269" i="239"/>
  <c r="G270" i="239"/>
  <c r="G271" i="239"/>
  <c r="G272" i="239"/>
  <c r="G273" i="239"/>
  <c r="G274" i="239"/>
  <c r="G275" i="239"/>
  <c r="G276" i="239"/>
  <c r="G277" i="239"/>
  <c r="G278" i="239"/>
  <c r="G279" i="239"/>
  <c r="G280" i="239"/>
  <c r="G281" i="239"/>
  <c r="G282" i="239"/>
  <c r="G283" i="239"/>
  <c r="G284" i="239"/>
  <c r="G285" i="239"/>
  <c r="G286" i="239"/>
  <c r="G287" i="239"/>
  <c r="G288" i="239"/>
  <c r="G289" i="239"/>
  <c r="G290" i="239"/>
  <c r="G291" i="239"/>
  <c r="G292" i="239"/>
  <c r="G293" i="239"/>
  <c r="G294" i="239"/>
  <c r="G295" i="239"/>
  <c r="G296" i="239"/>
  <c r="G297" i="239"/>
  <c r="G298" i="239"/>
  <c r="G299" i="239"/>
  <c r="G300" i="239"/>
  <c r="G301" i="239"/>
  <c r="G302" i="239"/>
  <c r="G303" i="239"/>
  <c r="G304" i="239"/>
  <c r="G305" i="239"/>
  <c r="G306" i="239"/>
  <c r="G307" i="239"/>
  <c r="G308" i="239"/>
  <c r="G309" i="239"/>
  <c r="G310" i="239"/>
  <c r="G311" i="239"/>
  <c r="G312" i="239"/>
  <c r="G313" i="239"/>
  <c r="G314" i="239"/>
  <c r="G315" i="239"/>
  <c r="G316" i="239"/>
  <c r="G317" i="239"/>
  <c r="G318" i="239"/>
  <c r="G319" i="239"/>
  <c r="G320" i="239"/>
  <c r="G321" i="239"/>
  <c r="G322" i="239"/>
  <c r="G323" i="239"/>
  <c r="G324" i="239"/>
  <c r="G325" i="239"/>
  <c r="G2" i="239"/>
  <c r="E4" i="237"/>
  <c r="E5" i="237"/>
  <c r="E6" i="237"/>
  <c r="E7" i="237"/>
  <c r="E8" i="237"/>
  <c r="E9" i="237"/>
  <c r="E10" i="237"/>
  <c r="G2" i="237"/>
  <c r="C5" i="237"/>
  <c r="D5" i="237"/>
  <c r="F5" i="237"/>
  <c r="C6" i="237"/>
  <c r="D6" i="237"/>
  <c r="F6" i="237"/>
  <c r="C7" i="237"/>
  <c r="D7" i="237"/>
  <c r="F7" i="237"/>
  <c r="C8" i="237"/>
  <c r="D8" i="237"/>
  <c r="F8" i="237"/>
  <c r="C9" i="237"/>
  <c r="D9" i="237"/>
  <c r="F9" i="237"/>
  <c r="C10" i="237"/>
  <c r="D10" i="237"/>
  <c r="F10" i="237"/>
  <c r="K12" i="235" l="1"/>
  <c r="B3" i="235"/>
  <c r="C3" i="235"/>
  <c r="D3" i="235"/>
  <c r="E3" i="235"/>
  <c r="F3" i="235"/>
  <c r="G3" i="235"/>
  <c r="H3" i="235"/>
  <c r="I3" i="235"/>
  <c r="J3" i="235"/>
  <c r="K3" i="235"/>
  <c r="B4" i="235"/>
  <c r="C4" i="235"/>
  <c r="D4" i="235"/>
  <c r="E4" i="235"/>
  <c r="F4" i="235"/>
  <c r="G4" i="235"/>
  <c r="H4" i="235"/>
  <c r="I4" i="235"/>
  <c r="J4" i="235"/>
  <c r="K4" i="235"/>
  <c r="B5" i="235"/>
  <c r="C5" i="235"/>
  <c r="D5" i="235"/>
  <c r="E5" i="235"/>
  <c r="F5" i="235"/>
  <c r="G5" i="235"/>
  <c r="H5" i="235"/>
  <c r="I5" i="235"/>
  <c r="J5" i="235"/>
  <c r="K5" i="235"/>
  <c r="B6" i="235"/>
  <c r="C6" i="235"/>
  <c r="D6" i="235"/>
  <c r="E6" i="235"/>
  <c r="F6" i="235"/>
  <c r="G6" i="235"/>
  <c r="H6" i="235"/>
  <c r="I6" i="235"/>
  <c r="J6" i="235"/>
  <c r="K6" i="235"/>
  <c r="B7" i="235"/>
  <c r="C7" i="235"/>
  <c r="D7" i="235"/>
  <c r="E7" i="235"/>
  <c r="F7" i="235"/>
  <c r="G7" i="235"/>
  <c r="H7" i="235"/>
  <c r="I7" i="235"/>
  <c r="J7" i="235"/>
  <c r="K7" i="235"/>
  <c r="B8" i="235"/>
  <c r="C8" i="235"/>
  <c r="D8" i="235"/>
  <c r="E8" i="235"/>
  <c r="F8" i="235"/>
  <c r="G8" i="235"/>
  <c r="H8" i="235"/>
  <c r="I8" i="235"/>
  <c r="J8" i="235"/>
  <c r="K8" i="235"/>
  <c r="B9" i="235"/>
  <c r="C9" i="235"/>
  <c r="D9" i="235"/>
  <c r="E9" i="235"/>
  <c r="F9" i="235"/>
  <c r="G9" i="235"/>
  <c r="H9" i="235"/>
  <c r="I9" i="235"/>
  <c r="J9" i="235"/>
  <c r="K9" i="235"/>
  <c r="B10" i="235"/>
  <c r="C10" i="235"/>
  <c r="D10" i="235"/>
  <c r="E10" i="235"/>
  <c r="F10" i="235"/>
  <c r="G10" i="235"/>
  <c r="H10" i="235"/>
  <c r="I10" i="235"/>
  <c r="J10" i="235"/>
  <c r="K10" i="235"/>
  <c r="B11" i="235"/>
  <c r="C11" i="235"/>
  <c r="D11" i="235"/>
  <c r="E11" i="235"/>
  <c r="F11" i="235"/>
  <c r="G11" i="235"/>
  <c r="H11" i="235"/>
  <c r="I11" i="235"/>
  <c r="J11" i="235"/>
  <c r="K11" i="235"/>
  <c r="B12" i="235"/>
  <c r="C12" i="235"/>
  <c r="D12" i="235"/>
  <c r="E12" i="235"/>
  <c r="F12" i="235"/>
  <c r="G12" i="235"/>
  <c r="H12" i="235"/>
  <c r="I12" i="235"/>
  <c r="J12" i="235"/>
  <c r="D10" i="234"/>
  <c r="D5" i="234"/>
  <c r="D7" i="234"/>
  <c r="D8" i="234"/>
  <c r="C4" i="234"/>
  <c r="D4" i="234" s="1"/>
  <c r="C5" i="234"/>
  <c r="C6" i="234"/>
  <c r="D6" i="234" s="1"/>
  <c r="C7" i="234"/>
  <c r="C8" i="234"/>
  <c r="C9" i="234"/>
  <c r="D9" i="234" s="1"/>
  <c r="C10" i="234"/>
  <c r="C3" i="234"/>
  <c r="D3" i="234" s="1"/>
  <c r="E3" i="233"/>
  <c r="E5" i="233"/>
  <c r="E8" i="233"/>
  <c r="E10" i="233"/>
  <c r="E11" i="233"/>
  <c r="E13" i="233"/>
  <c r="D3" i="233"/>
  <c r="D4" i="233"/>
  <c r="E4" i="233" s="1"/>
  <c r="D5" i="233"/>
  <c r="D6" i="233"/>
  <c r="E6" i="233" s="1"/>
  <c r="D7" i="233"/>
  <c r="E7" i="233" s="1"/>
  <c r="D8" i="233"/>
  <c r="D9" i="233"/>
  <c r="E9" i="233" s="1"/>
  <c r="D10" i="233"/>
  <c r="D11" i="233"/>
  <c r="D12" i="233"/>
  <c r="E12" i="233" s="1"/>
  <c r="D13" i="233"/>
  <c r="D2" i="233"/>
  <c r="E2" i="233" s="1"/>
  <c r="J325" i="239" l="1"/>
  <c r="J324" i="239"/>
  <c r="J323" i="239"/>
  <c r="J322" i="239"/>
  <c r="J321" i="239"/>
  <c r="J320" i="239"/>
  <c r="J319" i="239"/>
  <c r="J318" i="239"/>
  <c r="J317" i="239"/>
  <c r="J316" i="239"/>
  <c r="J315" i="239"/>
  <c r="J314" i="239"/>
  <c r="J313" i="239"/>
  <c r="J312" i="239"/>
  <c r="J311" i="239"/>
  <c r="J310" i="239"/>
  <c r="J309" i="239"/>
  <c r="J308" i="239"/>
  <c r="J307" i="239"/>
  <c r="J306" i="239"/>
  <c r="J305" i="239"/>
  <c r="J304" i="239"/>
  <c r="J303" i="239"/>
  <c r="J302" i="239"/>
  <c r="J301" i="239"/>
  <c r="J300" i="239"/>
  <c r="J299" i="239"/>
  <c r="J298" i="239"/>
  <c r="J297" i="239"/>
  <c r="J296" i="239"/>
  <c r="J295" i="239"/>
  <c r="J294" i="239"/>
  <c r="J293" i="239"/>
  <c r="J292" i="239"/>
  <c r="J291" i="239"/>
  <c r="J290" i="239"/>
  <c r="J289" i="239"/>
  <c r="J288" i="239"/>
  <c r="J287" i="239"/>
  <c r="J286" i="239"/>
  <c r="J285" i="239"/>
  <c r="J284" i="239"/>
  <c r="J283" i="239"/>
  <c r="J282" i="239"/>
  <c r="J281" i="239"/>
  <c r="J280" i="239"/>
  <c r="J279" i="239"/>
  <c r="J278" i="239"/>
  <c r="J277" i="239"/>
  <c r="J276" i="239"/>
  <c r="J275" i="239"/>
  <c r="J274" i="239"/>
  <c r="J273" i="239"/>
  <c r="J272" i="239"/>
  <c r="J271" i="239"/>
  <c r="J270" i="239"/>
  <c r="J269" i="239"/>
  <c r="J268" i="239"/>
  <c r="J267" i="239"/>
  <c r="J266" i="239"/>
  <c r="J265" i="239"/>
  <c r="J264" i="239"/>
  <c r="J263" i="239"/>
  <c r="J262" i="239"/>
  <c r="J261" i="239"/>
  <c r="J260" i="239"/>
  <c r="J259" i="239"/>
  <c r="J258" i="239"/>
  <c r="J257" i="239"/>
  <c r="J256" i="239"/>
  <c r="J255" i="239"/>
  <c r="J254" i="239"/>
  <c r="J253" i="239"/>
  <c r="J252" i="239"/>
  <c r="J251" i="239"/>
  <c r="J250" i="239"/>
  <c r="J249" i="239"/>
  <c r="J248" i="239"/>
  <c r="J247" i="239"/>
  <c r="J246" i="239"/>
  <c r="J245" i="239"/>
  <c r="J244" i="239"/>
  <c r="J243" i="239"/>
  <c r="J242" i="239"/>
  <c r="J241" i="239"/>
  <c r="J240" i="239"/>
  <c r="J239" i="239"/>
  <c r="J238" i="239"/>
  <c r="J237" i="239"/>
  <c r="J236" i="239"/>
  <c r="J235" i="239"/>
  <c r="J234" i="239"/>
  <c r="J233" i="239"/>
  <c r="J232" i="239"/>
  <c r="J231" i="239"/>
  <c r="J230" i="239"/>
  <c r="J229" i="239"/>
  <c r="J228" i="239"/>
  <c r="J227" i="239"/>
  <c r="J226" i="239"/>
  <c r="J225" i="239"/>
  <c r="J224" i="239"/>
  <c r="J223" i="239"/>
  <c r="J222" i="239"/>
  <c r="J221" i="239"/>
  <c r="J220" i="239"/>
  <c r="J219" i="239"/>
  <c r="J218" i="239"/>
  <c r="J217" i="239"/>
  <c r="J216" i="239"/>
  <c r="J215" i="239"/>
  <c r="J214" i="239"/>
  <c r="J213" i="239"/>
  <c r="J212" i="239"/>
  <c r="J211" i="239"/>
  <c r="J210" i="239"/>
  <c r="J209" i="239"/>
  <c r="J208" i="239"/>
  <c r="J207" i="239"/>
  <c r="J206" i="239"/>
  <c r="J205" i="239"/>
  <c r="J204" i="239"/>
  <c r="J203" i="239"/>
  <c r="J202" i="239"/>
  <c r="J201" i="239"/>
  <c r="J200" i="239"/>
  <c r="J199" i="239"/>
  <c r="J198" i="239"/>
  <c r="J197" i="239"/>
  <c r="J196" i="239"/>
  <c r="J195" i="239"/>
  <c r="J194" i="239"/>
  <c r="J193" i="239"/>
  <c r="J192" i="239"/>
  <c r="J191" i="239"/>
  <c r="J190" i="239"/>
  <c r="J189" i="239"/>
  <c r="J188" i="239"/>
  <c r="J187" i="239"/>
  <c r="J186" i="239"/>
  <c r="J185" i="239"/>
  <c r="J184" i="239"/>
  <c r="J183" i="239"/>
  <c r="J182" i="239"/>
  <c r="J181" i="239"/>
  <c r="J180" i="239"/>
  <c r="J179" i="239"/>
  <c r="J178" i="239"/>
  <c r="J177" i="239"/>
  <c r="J176" i="239"/>
  <c r="J175" i="239"/>
  <c r="J174" i="239"/>
  <c r="J173" i="239"/>
  <c r="J172" i="239"/>
  <c r="J171" i="239"/>
  <c r="J170" i="239"/>
  <c r="J169" i="239"/>
  <c r="J168" i="239"/>
  <c r="J167" i="239"/>
  <c r="J166" i="239"/>
  <c r="J165" i="239"/>
  <c r="J164" i="239"/>
  <c r="J163" i="239"/>
  <c r="J162" i="239"/>
  <c r="J161" i="239"/>
  <c r="J160" i="239"/>
  <c r="J159" i="239"/>
  <c r="J158" i="239"/>
  <c r="J157" i="239"/>
  <c r="J156" i="239"/>
  <c r="J155" i="239"/>
  <c r="J154" i="239"/>
  <c r="J153" i="239"/>
  <c r="J152" i="239"/>
  <c r="J151" i="239"/>
  <c r="J150" i="239"/>
  <c r="J149" i="239"/>
  <c r="J148" i="239"/>
  <c r="J147" i="239"/>
  <c r="J146" i="239"/>
  <c r="J145" i="239"/>
  <c r="J144" i="239"/>
  <c r="J143" i="239"/>
  <c r="J142" i="239"/>
  <c r="J141" i="239"/>
  <c r="J140" i="239"/>
  <c r="J139" i="239"/>
  <c r="J138" i="239"/>
  <c r="J137" i="239"/>
  <c r="J136" i="239"/>
  <c r="J135" i="239"/>
  <c r="J134" i="239"/>
  <c r="J133" i="239"/>
  <c r="J132" i="239"/>
  <c r="J131" i="239"/>
  <c r="J130" i="239"/>
  <c r="J129" i="239"/>
  <c r="J128" i="239"/>
  <c r="J127" i="239"/>
  <c r="J126" i="239"/>
  <c r="J125" i="239"/>
  <c r="J124" i="239"/>
  <c r="J123" i="239"/>
  <c r="J122" i="239"/>
  <c r="J121" i="239"/>
  <c r="J120" i="239"/>
  <c r="J119" i="239"/>
  <c r="J118" i="239"/>
  <c r="J117" i="239"/>
  <c r="J116" i="239"/>
  <c r="J115" i="239"/>
  <c r="J114" i="239"/>
  <c r="J113" i="239"/>
  <c r="J112" i="239"/>
  <c r="J111" i="239"/>
  <c r="J110" i="239"/>
  <c r="J109" i="239"/>
  <c r="J108" i="239"/>
  <c r="J107" i="239"/>
  <c r="J106" i="239"/>
  <c r="J105" i="239"/>
  <c r="J104" i="239"/>
  <c r="J103" i="239"/>
  <c r="J102" i="239"/>
  <c r="J101" i="239"/>
  <c r="J100" i="239"/>
  <c r="J99" i="239"/>
  <c r="J98" i="239"/>
  <c r="J97" i="239"/>
  <c r="J96" i="239"/>
  <c r="J95" i="239"/>
  <c r="J94" i="239"/>
  <c r="J93" i="239"/>
  <c r="J92" i="239"/>
  <c r="J91" i="239"/>
  <c r="J90" i="239"/>
  <c r="J89" i="239"/>
  <c r="J88" i="239"/>
  <c r="J87" i="239"/>
  <c r="J86" i="239"/>
  <c r="J85" i="239"/>
  <c r="J84" i="239"/>
  <c r="J83" i="239"/>
  <c r="J82" i="239"/>
  <c r="J81" i="239"/>
  <c r="J80" i="239"/>
  <c r="J79" i="239"/>
  <c r="J78" i="239"/>
  <c r="J77" i="239"/>
  <c r="J76" i="239"/>
  <c r="J75" i="239"/>
  <c r="J74" i="239"/>
  <c r="J73" i="239"/>
  <c r="J72" i="239"/>
  <c r="J71" i="239"/>
  <c r="J70" i="239"/>
  <c r="J69" i="239"/>
  <c r="J68" i="239"/>
  <c r="J67" i="239"/>
  <c r="J66" i="239"/>
  <c r="J65" i="239"/>
  <c r="J64" i="239"/>
  <c r="J63" i="239"/>
  <c r="J62" i="239"/>
  <c r="J61" i="239"/>
  <c r="J60" i="239"/>
  <c r="J59" i="239"/>
  <c r="J58" i="239"/>
  <c r="J57" i="239"/>
  <c r="J56" i="239"/>
  <c r="J55" i="239"/>
  <c r="J54" i="239"/>
  <c r="J53" i="239"/>
  <c r="J52" i="239"/>
  <c r="J51" i="239"/>
  <c r="J50" i="239"/>
  <c r="J49" i="239"/>
  <c r="J48" i="239"/>
  <c r="J47" i="239"/>
  <c r="J46" i="239"/>
  <c r="J45" i="239"/>
  <c r="J44" i="239"/>
  <c r="J43" i="239"/>
  <c r="J42" i="239"/>
  <c r="J41" i="239"/>
  <c r="J40" i="239"/>
  <c r="J39" i="239"/>
  <c r="J38" i="239"/>
  <c r="J37" i="239"/>
  <c r="J36" i="239"/>
  <c r="J35" i="239"/>
  <c r="J34" i="239"/>
  <c r="J33" i="239"/>
  <c r="J32" i="239"/>
  <c r="J31" i="239"/>
  <c r="J30" i="239"/>
  <c r="J29" i="239"/>
  <c r="J28" i="239"/>
  <c r="J27" i="239"/>
  <c r="J26" i="239"/>
  <c r="J25" i="239"/>
  <c r="J24" i="239"/>
  <c r="J23" i="239"/>
  <c r="J22" i="239"/>
  <c r="J21" i="239"/>
  <c r="J20" i="239"/>
  <c r="J19" i="239"/>
  <c r="J18" i="239"/>
  <c r="J17" i="239"/>
  <c r="J16" i="239"/>
  <c r="J15" i="239"/>
  <c r="J14" i="239"/>
  <c r="J13" i="239"/>
  <c r="J12" i="239"/>
  <c r="J11" i="239"/>
  <c r="J10" i="239"/>
  <c r="J9" i="239"/>
  <c r="J8" i="239"/>
  <c r="J7" i="239"/>
  <c r="J6" i="239"/>
  <c r="J5" i="239"/>
  <c r="J4" i="239"/>
  <c r="J3" i="239"/>
  <c r="J2" i="239"/>
  <c r="F4" i="237"/>
  <c r="D4" i="237"/>
  <c r="C4" i="237"/>
  <c r="A5" i="236"/>
  <c r="A6" i="236" s="1"/>
  <c r="A7" i="236" s="1"/>
  <c r="A8" i="236" s="1"/>
  <c r="A9" i="236" s="1"/>
  <c r="A10" i="236" s="1"/>
  <c r="A11" i="236" s="1"/>
  <c r="A12" i="236" s="1"/>
  <c r="A13" i="236" s="1"/>
  <c r="B4" i="236"/>
  <c r="B5" i="236" l="1"/>
  <c r="B9" i="236"/>
  <c r="B13" i="236"/>
  <c r="B7" i="236"/>
  <c r="B11" i="236"/>
  <c r="B12" i="236"/>
  <c r="B6" i="236"/>
  <c r="B10" i="236"/>
  <c r="B8" i="236"/>
  <c r="C4" i="236"/>
  <c r="C5" i="236" l="1"/>
  <c r="C9" i="236"/>
  <c r="C13" i="236"/>
  <c r="C8" i="236"/>
  <c r="C12" i="236"/>
  <c r="C7" i="236"/>
  <c r="C11" i="236"/>
  <c r="C10" i="236"/>
  <c r="C6" i="236"/>
  <c r="D4" i="236"/>
  <c r="D6" i="236" l="1"/>
  <c r="D10" i="236"/>
  <c r="D13" i="236"/>
  <c r="D8" i="236"/>
  <c r="D12" i="236"/>
  <c r="D9" i="236"/>
  <c r="D5" i="236"/>
  <c r="D7" i="236"/>
  <c r="D11" i="236"/>
  <c r="E4" i="236"/>
  <c r="E6" i="236" l="1"/>
  <c r="E10" i="236"/>
  <c r="E5" i="236"/>
  <c r="E9" i="236"/>
  <c r="E13" i="236"/>
  <c r="E8" i="236"/>
  <c r="E12" i="236"/>
  <c r="E7" i="236"/>
  <c r="E11" i="236"/>
  <c r="F4" i="236"/>
  <c r="F7" i="236" l="1"/>
  <c r="F11" i="236"/>
  <c r="F6" i="236"/>
  <c r="F5" i="236"/>
  <c r="F9" i="236"/>
  <c r="F13" i="236"/>
  <c r="F10" i="236"/>
  <c r="F8" i="236"/>
  <c r="F12" i="236"/>
  <c r="G4" i="236"/>
  <c r="G7" i="236" l="1"/>
  <c r="G11" i="236"/>
  <c r="G6" i="236"/>
  <c r="G10" i="236"/>
  <c r="G5" i="236"/>
  <c r="G9" i="236"/>
  <c r="G13" i="236"/>
  <c r="G12" i="236"/>
  <c r="G8" i="236"/>
</calcChain>
</file>

<file path=xl/sharedStrings.xml><?xml version="1.0" encoding="utf-8"?>
<sst xmlns="http://schemas.openxmlformats.org/spreadsheetml/2006/main" count="2756" uniqueCount="134">
  <si>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</si>
  <si>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</si>
  <si>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</si>
  <si>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</si>
  <si>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</si>
  <si>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</si>
  <si>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</si>
  <si>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</si>
  <si>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A1</t>
  </si>
  <si>
    <t>względne</t>
  </si>
  <si>
    <t>$A$1</t>
  </si>
  <si>
    <t>bezwzględne</t>
  </si>
  <si>
    <t>A$1</t>
  </si>
  <si>
    <t>mieszane - wiersz bezwgzlędny kolumna względna</t>
  </si>
  <si>
    <t>$A1</t>
  </si>
  <si>
    <t>mieszane - wiersz wgzlędny kolumna bezwzględna</t>
  </si>
  <si>
    <t>Miesiąc</t>
  </si>
  <si>
    <t>Przychód</t>
  </si>
  <si>
    <t>Koszty</t>
  </si>
  <si>
    <t>Zysk</t>
  </si>
  <si>
    <t>Zysk %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</si>
  <si>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</si>
  <si>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</si>
  <si>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</si>
  <si>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</si>
  <si>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</si>
  <si>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</si>
  <si>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</si>
  <si>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</si>
  <si>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</si>
  <si>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</si>
  <si>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</si>
  <si>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</si>
  <si>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Cena</t>
  </si>
  <si>
    <t>Muszelki 1</t>
  </si>
  <si>
    <t>Gąbki</t>
  </si>
  <si>
    <t>Błazenek</t>
  </si>
  <si>
    <t>Żółwik</t>
  </si>
  <si>
    <t>Wodorosty</t>
  </si>
  <si>
    <t>Piasek</t>
  </si>
  <si>
    <t>Muszelki 2</t>
  </si>
  <si>
    <t>Muszelki 3</t>
  </si>
  <si>
    <t>Tabliczka mnożenia</t>
  </si>
  <si>
    <t>Wpłata roczna</t>
  </si>
  <si>
    <t>Szacowana wartość Twojej inwestycji po x latach</t>
  </si>
  <si>
    <t>Lata/Stopa</t>
  </si>
  <si>
    <t>Założenia</t>
  </si>
  <si>
    <t>Pocz. Stopa</t>
  </si>
  <si>
    <t>Wzrost stopy</t>
  </si>
  <si>
    <t>Pocz. Lata</t>
  </si>
  <si>
    <t>Wzrost lat</t>
  </si>
  <si>
    <t>Marianna</t>
  </si>
  <si>
    <t>Ryszard</t>
  </si>
  <si>
    <t>Tadeusz</t>
  </si>
  <si>
    <t>Rata\Lat</t>
  </si>
  <si>
    <t>Data</t>
  </si>
  <si>
    <t>Klient</t>
  </si>
  <si>
    <t>Wartość</t>
  </si>
  <si>
    <t>Alladyn</t>
  </si>
  <si>
    <t>Comarch</t>
  </si>
  <si>
    <t>ZPP</t>
  </si>
  <si>
    <t>Allegro</t>
  </si>
  <si>
    <t>Jasmina</t>
  </si>
  <si>
    <t>NFZ</t>
  </si>
  <si>
    <t>Asseco</t>
  </si>
  <si>
    <t>Sygnity</t>
  </si>
  <si>
    <t>BNI</t>
  </si>
  <si>
    <t>Abis Mal</t>
  </si>
  <si>
    <t>PKO BP</t>
  </si>
  <si>
    <t>Coca-Cola</t>
  </si>
  <si>
    <t>ZUS</t>
  </si>
  <si>
    <t>Jago</t>
  </si>
  <si>
    <t>Pepsi</t>
  </si>
  <si>
    <t>Dżin</t>
  </si>
  <si>
    <t>PKO SA</t>
  </si>
  <si>
    <t>Abu</t>
  </si>
  <si>
    <t>Ceny produktów "Piaski pustyni"</t>
  </si>
  <si>
    <t>Do innego arkusza</t>
  </si>
  <si>
    <t>Odwolania!K2:L9</t>
  </si>
  <si>
    <t>Do innego arkusza ze znakami specjalne</t>
  </si>
  <si>
    <t>'Odwolania (2)'!G2</t>
  </si>
  <si>
    <t>Do innego pliku</t>
  </si>
  <si>
    <t>[CenaProduktu.xlsx]Arkusz1!$A$2:$B$9</t>
  </si>
  <si>
    <t>Do innego zamkniętego pliku</t>
  </si>
  <si>
    <t>'E:\excel\kurs praktyczny raport excel\[CenaProduktu.xlsx]Arkusz1'!$A$2:$B$9</t>
  </si>
  <si>
    <t>Do 1 komórki na kilku arkuszach (3D)</t>
  </si>
  <si>
    <t>=SUMA(Dolnośląskie:Zachodniopomorskie!B6)</t>
  </si>
  <si>
    <t>Do nazwy</t>
  </si>
  <si>
    <t>CenaProduktu</t>
  </si>
  <si>
    <t>Do tego samego wiersza tabeli</t>
  </si>
  <si>
    <t>[@Produkt]</t>
  </si>
  <si>
    <t>VAT</t>
  </si>
  <si>
    <t>Cena z VAT</t>
  </si>
  <si>
    <t>Szczepan</t>
  </si>
  <si>
    <t>Ilość</t>
  </si>
  <si>
    <t>Cena2</t>
  </si>
  <si>
    <t>Cena3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</si>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</sst>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zł&quot;;[Red]\-#,##0\ &quot;zł&quot;"/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5" fontId="5" fillId="0" borderId="0"/>
    <xf numFmtId="166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16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2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09"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12" fillId="5" borderId="14" xfId="9" applyFont="1" applyBorder="1" applyAlignment="1">
      <alignment horizontal="center" vertical="center"/>
    </xf>
    <xf numFmtId="0" fontId="12" fillId="5" borderId="5" xfId="9" applyFont="1" applyBorder="1"/>
    <xf numFmtId="0" fontId="12" fillId="5" borderId="6" xfId="9" applyFont="1" applyBorder="1"/>
    <xf numFmtId="0" fontId="12" fillId="5" borderId="13" xfId="9" applyFont="1" applyBorder="1" applyAlignment="1">
      <alignment horizontal="center" vertical="center"/>
    </xf>
    <xf numFmtId="0" fontId="12" fillId="5" borderId="0" xfId="9" applyFont="1" applyBorder="1"/>
    <xf numFmtId="0" fontId="12" fillId="5" borderId="8" xfId="9" applyFont="1" applyBorder="1"/>
    <xf numFmtId="0" fontId="12" fillId="5" borderId="12" xfId="9" applyFont="1" applyBorder="1" applyAlignment="1">
      <alignment horizontal="center" vertical="center"/>
    </xf>
    <xf numFmtId="0" fontId="12" fillId="5" borderId="10" xfId="9" applyFont="1" applyBorder="1"/>
    <xf numFmtId="0" fontId="12" fillId="5" borderId="11" xfId="9" applyFont="1" applyBorder="1"/>
    <xf numFmtId="0" fontId="12" fillId="5" borderId="4" xfId="9" applyFont="1" applyBorder="1" applyAlignment="1"/>
    <xf numFmtId="0" fontId="12" fillId="5" borderId="6" xfId="9" applyFont="1" applyBorder="1" applyAlignment="1"/>
    <xf numFmtId="0" fontId="12" fillId="5" borderId="5" xfId="9" applyFont="1" applyBorder="1" applyAlignment="1"/>
    <xf numFmtId="0" fontId="12" fillId="5" borderId="7" xfId="9" applyFont="1" applyBorder="1" applyAlignment="1"/>
    <xf numFmtId="0" fontId="12" fillId="5" borderId="8" xfId="9" applyFont="1" applyBorder="1" applyAlignment="1"/>
    <xf numFmtId="8" fontId="12" fillId="5" borderId="0" xfId="9" quotePrefix="1" applyNumberFormat="1" applyFont="1" applyBorder="1" applyAlignment="1"/>
    <xf numFmtId="0" fontId="12" fillId="5" borderId="0" xfId="9" applyFont="1" applyBorder="1" applyAlignment="1"/>
    <xf numFmtId="0" fontId="12" fillId="5" borderId="0" xfId="9" quotePrefix="1" applyFont="1" applyBorder="1" applyAlignment="1"/>
    <xf numFmtId="0" fontId="12" fillId="5" borderId="9" xfId="9" applyFont="1" applyBorder="1" applyAlignment="1"/>
    <xf numFmtId="0" fontId="12" fillId="5" borderId="11" xfId="9" applyFont="1" applyBorder="1" applyAlignment="1"/>
    <xf numFmtId="0" fontId="12" fillId="5" borderId="10" xfId="9" applyFont="1" applyBorder="1" applyAlignment="1"/>
    <xf numFmtId="0" fontId="13" fillId="7" borderId="11" xfId="8" applyFont="1" applyFill="1" applyBorder="1" applyAlignment="1">
      <alignment horizontal="center" vertical="center" wrapText="1"/>
    </xf>
    <xf numFmtId="0" fontId="13" fillId="7" borderId="12" xfId="8" applyFont="1" applyFill="1" applyBorder="1" applyAlignment="1">
      <alignment horizontal="center" vertical="center" wrapText="1"/>
    </xf>
    <xf numFmtId="0" fontId="13" fillId="7" borderId="9" xfId="8" applyFont="1" applyFill="1" applyBorder="1" applyAlignment="1">
      <alignment horizontal="center" vertical="center" wrapText="1"/>
    </xf>
    <xf numFmtId="14" fontId="11" fillId="0" borderId="3" xfId="0" applyNumberFormat="1" applyFont="1" applyBorder="1"/>
    <xf numFmtId="0" fontId="11" fillId="0" borderId="1" xfId="0" applyFont="1" applyBorder="1"/>
    <xf numFmtId="8" fontId="12" fillId="12" borderId="1" xfId="10" applyNumberFormat="1" applyFont="1" applyFill="1" applyBorder="1"/>
    <xf numFmtId="8" fontId="11" fillId="0" borderId="2" xfId="0" applyNumberFormat="1" applyFont="1" applyBorder="1"/>
    <xf numFmtId="0" fontId="11" fillId="0" borderId="3" xfId="0" applyFont="1" applyBorder="1"/>
    <xf numFmtId="0" fontId="11" fillId="0" borderId="6" xfId="0" applyFont="1" applyBorder="1"/>
    <xf numFmtId="8" fontId="11" fillId="0" borderId="4" xfId="0" applyNumberFormat="1" applyFont="1" applyBorder="1"/>
    <xf numFmtId="14" fontId="11" fillId="0" borderId="6" xfId="0" applyNumberFormat="1" applyFont="1" applyBorder="1"/>
    <xf numFmtId="0" fontId="11" fillId="0" borderId="14" xfId="0" applyFont="1" applyBorder="1"/>
    <xf numFmtId="8" fontId="12" fillId="12" borderId="14" xfId="10" applyNumberFormat="1" applyFont="1" applyFill="1" applyBorder="1"/>
    <xf numFmtId="0" fontId="13" fillId="7" borderId="1" xfId="8" applyFont="1" applyFill="1" applyBorder="1" applyAlignment="1">
      <alignment horizontal="center" vertical="center" wrapText="1"/>
    </xf>
    <xf numFmtId="14" fontId="11" fillId="0" borderId="1" xfId="0" applyNumberFormat="1" applyFont="1" applyBorder="1"/>
    <xf numFmtId="8" fontId="11" fillId="0" borderId="1" xfId="0" applyNumberFormat="1" applyFont="1" applyBorder="1"/>
    <xf numFmtId="0" fontId="11" fillId="0" borderId="0" xfId="11" applyFont="1"/>
    <xf numFmtId="0" fontId="14" fillId="8" borderId="1" xfId="8" applyFont="1" applyFill="1" applyBorder="1" applyAlignment="1">
      <alignment horizontal="center" vertical="center"/>
    </xf>
    <xf numFmtId="9" fontId="11" fillId="0" borderId="1" xfId="11" applyNumberFormat="1" applyFont="1" applyBorder="1"/>
    <xf numFmtId="9" fontId="11" fillId="0" borderId="0" xfId="11" applyNumberFormat="1" applyFont="1"/>
    <xf numFmtId="0" fontId="14" fillId="7" borderId="1" xfId="8" applyFont="1" applyFill="1" applyBorder="1" applyAlignment="1">
      <alignment horizontal="center" vertical="center"/>
    </xf>
    <xf numFmtId="0" fontId="12" fillId="11" borderId="1" xfId="8" applyFont="1" applyFill="1" applyBorder="1" applyAlignment="1">
      <alignment horizontal="center" vertical="center"/>
    </xf>
    <xf numFmtId="9" fontId="14" fillId="7" borderId="1" xfId="8" applyNumberFormat="1" applyFont="1" applyFill="1" applyBorder="1" applyAlignment="1">
      <alignment horizontal="center" vertical="center"/>
    </xf>
    <xf numFmtId="8" fontId="11" fillId="0" borderId="1" xfId="11" applyNumberFormat="1" applyFont="1" applyBorder="1"/>
    <xf numFmtId="8" fontId="11" fillId="12" borderId="1" xfId="11" applyNumberFormat="1" applyFont="1" applyFill="1" applyBorder="1"/>
    <xf numFmtId="0" fontId="13" fillId="7" borderId="1" xfId="8" applyFont="1" applyFill="1" applyBorder="1" applyAlignment="1"/>
    <xf numFmtId="0" fontId="13" fillId="10" borderId="1" xfId="0" applyFont="1" applyFill="1" applyBorder="1" applyAlignment="1">
      <alignment horizontal="centerContinuous"/>
    </xf>
    <xf numFmtId="167" fontId="13" fillId="7" borderId="1" xfId="8" applyNumberFormat="1" applyFont="1" applyFill="1" applyBorder="1" applyAlignment="1"/>
    <xf numFmtId="6" fontId="12" fillId="12" borderId="1" xfId="10" applyNumberFormat="1" applyFont="1" applyFill="1" applyBorder="1"/>
    <xf numFmtId="0" fontId="13" fillId="8" borderId="1" xfId="0" applyFont="1" applyFill="1" applyBorder="1" applyAlignment="1">
      <alignment horizontal="centerContinuous" wrapText="1"/>
    </xf>
    <xf numFmtId="0" fontId="14" fillId="8" borderId="1" xfId="0" applyFont="1" applyFill="1" applyBorder="1" applyAlignment="1">
      <alignment horizontal="centerContinuous" wrapText="1"/>
    </xf>
    <xf numFmtId="167" fontId="11" fillId="0" borderId="1" xfId="0" applyNumberFormat="1" applyFont="1" applyBorder="1"/>
    <xf numFmtId="0" fontId="14" fillId="10" borderId="0" xfId="11" applyFont="1" applyFill="1" applyAlignment="1">
      <alignment horizontal="centerContinuous"/>
    </xf>
    <xf numFmtId="0" fontId="13" fillId="7" borderId="1" xfId="8" applyFont="1" applyFill="1" applyBorder="1" applyAlignment="1">
      <alignment horizontal="center" vertical="center"/>
    </xf>
    <xf numFmtId="0" fontId="11" fillId="0" borderId="11" xfId="11" applyNumberFormat="1" applyFont="1" applyFill="1" applyBorder="1"/>
    <xf numFmtId="0" fontId="11" fillId="0" borderId="12" xfId="11" applyNumberFormat="1" applyFont="1" applyFill="1" applyBorder="1"/>
    <xf numFmtId="0" fontId="11" fillId="0" borderId="1" xfId="11" applyNumberFormat="1" applyFont="1" applyFill="1" applyBorder="1"/>
    <xf numFmtId="0" fontId="11" fillId="0" borderId="3" xfId="11" applyNumberFormat="1" applyFont="1" applyFill="1" applyBorder="1"/>
    <xf numFmtId="0" fontId="13" fillId="10" borderId="4" xfId="0" applyFont="1" applyFill="1" applyBorder="1" applyAlignment="1">
      <alignment horizontal="centerContinuous" wrapText="1"/>
    </xf>
    <xf numFmtId="0" fontId="14" fillId="10" borderId="5" xfId="0" applyFont="1" applyFill="1" applyBorder="1" applyAlignment="1">
      <alignment horizontal="centerContinuous" wrapText="1"/>
    </xf>
    <xf numFmtId="0" fontId="13" fillId="7" borderId="1" xfId="8" applyFont="1" applyFill="1" applyBorder="1" applyAlignment="1">
      <alignment horizontal="center"/>
    </xf>
    <xf numFmtId="0" fontId="13" fillId="8" borderId="1" xfId="8" applyFont="1" applyFill="1" applyBorder="1" applyAlignment="1">
      <alignment horizontal="center"/>
    </xf>
    <xf numFmtId="0" fontId="12" fillId="11" borderId="1" xfId="8" applyFont="1" applyFill="1" applyBorder="1" applyAlignment="1">
      <alignment horizontal="center"/>
    </xf>
    <xf numFmtId="6" fontId="11" fillId="0" borderId="1" xfId="0" applyNumberFormat="1" applyFont="1" applyBorder="1"/>
    <xf numFmtId="9" fontId="11" fillId="0" borderId="1" xfId="0" applyNumberFormat="1" applyFont="1" applyBorder="1"/>
    <xf numFmtId="0" fontId="11" fillId="9" borderId="1" xfId="11" applyFont="1" applyFill="1" applyBorder="1"/>
    <xf numFmtId="9" fontId="11" fillId="12" borderId="1" xfId="13" applyNumberFormat="1" applyFont="1" applyFill="1" applyBorder="1"/>
    <xf numFmtId="0" fontId="11" fillId="0" borderId="0" xfId="11" applyFont="1" applyFill="1"/>
    <xf numFmtId="0" fontId="1" fillId="0" borderId="0" xfId="15"/>
    <xf numFmtId="0" fontId="10" fillId="0" borderId="0" xfId="16" applyFont="1" applyAlignment="1">
      <alignment vertical="center"/>
    </xf>
    <xf numFmtId="0" fontId="10" fillId="0" borderId="0" xfId="16" applyFont="1" applyAlignment="1">
      <alignment vertical="center"/>
    </xf>
    <xf numFmtId="0" fontId="17" fillId="0" borderId="0" xfId="17" applyFont="1" applyAlignment="1">
      <alignment vertical="center"/>
    </xf>
    <xf numFmtId="0" fontId="16" fillId="0" borderId="0" xfId="17" applyFont="1" applyAlignment="1">
      <alignment vertical="center"/>
    </xf>
    <xf numFmtId="0" fontId="18" fillId="0" borderId="0" xfId="15" applyFont="1" applyAlignment="1">
      <alignment vertical="center"/>
    </xf>
    <xf numFmtId="0" fontId="18" fillId="0" borderId="0" xfId="15" applyFont="1" applyAlignment="1">
      <alignment vertical="center"/>
    </xf>
    <xf numFmtId="0" fontId="1" fillId="0" borderId="5" xfId="15" applyBorder="1"/>
    <xf numFmtId="0" fontId="10" fillId="0" borderId="5" xfId="15" applyFont="1" applyBorder="1" applyAlignment="1">
      <alignment wrapText="1"/>
    </xf>
    <xf numFmtId="0" fontId="10" fillId="0" borderId="0" xfId="15" applyFont="1" applyBorder="1" applyAlignment="1">
      <alignment wrapText="1"/>
    </xf>
    <xf numFmtId="0" fontId="0" fillId="0" borderId="5" xfId="15" applyFont="1" applyBorder="1" applyAlignment="1">
      <alignment vertical="top"/>
    </xf>
    <xf numFmtId="0" fontId="0" fillId="0" borderId="0" xfId="15" applyFont="1" applyBorder="1" applyAlignment="1">
      <alignment vertical="top"/>
    </xf>
    <xf numFmtId="0" fontId="10" fillId="0" borderId="0" xfId="15" applyFont="1" applyBorder="1" applyAlignment="1">
      <alignment wrapText="1"/>
    </xf>
    <xf numFmtId="0" fontId="0" fillId="0" borderId="0" xfId="15" applyFont="1" applyBorder="1" applyAlignment="1">
      <alignment vertical="top"/>
    </xf>
    <xf numFmtId="0" fontId="17" fillId="0" borderId="0" xfId="17" applyFont="1" applyAlignment="1"/>
    <xf numFmtId="0" fontId="16" fillId="0" borderId="0" xfId="17" applyAlignment="1"/>
    <xf numFmtId="0" fontId="1" fillId="0" borderId="0" xfId="15" applyFont="1" applyAlignment="1">
      <alignment vertical="top"/>
    </xf>
    <xf numFmtId="0" fontId="1" fillId="0" borderId="0" xfId="15" applyFont="1" applyAlignment="1">
      <alignment vertical="top"/>
    </xf>
    <xf numFmtId="0" fontId="17" fillId="0" borderId="0" xfId="14" applyFont="1" applyAlignment="1"/>
    <xf numFmtId="0" fontId="17" fillId="0" borderId="0" xfId="14" applyFont="1" applyAlignment="1"/>
    <xf numFmtId="0" fontId="10" fillId="0" borderId="5" xfId="15" applyFont="1" applyBorder="1" applyAlignment="1">
      <alignment vertical="center"/>
    </xf>
    <xf numFmtId="0" fontId="10" fillId="0" borderId="0" xfId="15" applyFont="1" applyBorder="1" applyAlignment="1">
      <alignment vertical="center"/>
    </xf>
    <xf numFmtId="0" fontId="10" fillId="0" borderId="0" xfId="15" applyFont="1" applyBorder="1" applyAlignment="1">
      <alignment vertical="center"/>
    </xf>
    <xf numFmtId="0" fontId="1" fillId="0" borderId="0" xfId="15" applyFont="1" applyAlignment="1">
      <alignment vertical="center"/>
    </xf>
    <xf numFmtId="0" fontId="1" fillId="0" borderId="0" xfId="15" applyFont="1" applyAlignment="1">
      <alignment vertical="center"/>
    </xf>
    <xf numFmtId="0" fontId="15" fillId="0" borderId="0" xfId="14" applyAlignment="1"/>
    <xf numFmtId="0" fontId="10" fillId="0" borderId="5" xfId="15" applyFont="1" applyBorder="1" applyAlignment="1">
      <alignment vertical="top" wrapText="1"/>
    </xf>
    <xf numFmtId="0" fontId="10" fillId="0" borderId="0" xfId="15" applyFont="1" applyBorder="1" applyAlignment="1">
      <alignment vertical="top" wrapText="1"/>
    </xf>
    <xf numFmtId="0" fontId="10" fillId="0" borderId="0" xfId="15" applyFont="1" applyBorder="1" applyAlignment="1">
      <alignment vertical="top" wrapText="1"/>
    </xf>
    <xf numFmtId="0" fontId="16" fillId="0" borderId="0" xfId="17" applyAlignment="1">
      <alignment vertical="center"/>
    </xf>
    <xf numFmtId="0" fontId="10" fillId="0" borderId="0" xfId="15" applyFont="1" applyAlignment="1"/>
    <xf numFmtId="0" fontId="16" fillId="0" borderId="0" xfId="17" applyAlignment="1">
      <alignment vertical="center"/>
    </xf>
    <xf numFmtId="0" fontId="15" fillId="0" borderId="0" xfId="18" applyAlignment="1">
      <alignment vertical="center"/>
    </xf>
    <xf numFmtId="0" fontId="1" fillId="13" borderId="0" xfId="15" applyFont="1" applyFill="1" applyAlignment="1">
      <alignment vertical="top" wrapText="1"/>
    </xf>
    <xf numFmtId="0" fontId="1" fillId="13" borderId="0" xfId="15" applyFont="1" applyFill="1" applyAlignment="1">
      <alignment vertical="top" wrapText="1"/>
    </xf>
    <xf numFmtId="0" fontId="1" fillId="13" borderId="0" xfId="15" applyFont="1" applyFill="1" applyAlignment="1">
      <alignment wrapText="1"/>
    </xf>
    <xf numFmtId="0" fontId="1" fillId="13" borderId="0" xfId="15" applyFont="1" applyFill="1" applyAlignment="1">
      <alignment wrapText="1"/>
    </xf>
    <xf numFmtId="0" fontId="1" fillId="0" borderId="0" xfId="15" applyFont="1" applyAlignment="1">
      <alignment vertical="top" wrapText="1"/>
    </xf>
  </cellXfs>
  <cellStyles count="19">
    <cellStyle name="60% — akcent 4" xfId="9" builtinId="44"/>
    <cellStyle name="Akcent 1" xfId="8" builtinId="29"/>
    <cellStyle name="Akcent 6" xfId="10" builtinId="4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12" xr:uid="{00000000-0005-0000-0000-000007000000}"/>
    <cellStyle name="Four-Digit Year" xfId="4" xr:uid="{00000000-0005-0000-0000-000008000000}"/>
    <cellStyle name="Hiperłącze" xfId="14" builtinId="8"/>
    <cellStyle name="Hiperłącze 2" xfId="17" xr:uid="{0132650E-AE95-436A-AC21-CBCE66E387A6}"/>
    <cellStyle name="Hiperłącze 2 3" xfId="18" xr:uid="{EFE59AB8-BFC3-41A6-8254-8E948EB38CD4}"/>
    <cellStyle name="Normal 2" xfId="5" xr:uid="{00000000-0005-0000-0000-000009000000}"/>
    <cellStyle name="Normalny" xfId="0" builtinId="0"/>
    <cellStyle name="Normalny 2" xfId="11" xr:uid="{00000000-0005-0000-0000-00000B000000}"/>
    <cellStyle name="Normalny 2 3" xfId="15" xr:uid="{909AC0DF-E7F0-4B19-A988-9FB9051E23A5}"/>
    <cellStyle name="Normalny 4" xfId="16" xr:uid="{979B8441-2D76-426B-968D-5AAD3EBEAB22}"/>
    <cellStyle name="Procentowy" xfId="13" builtinId="5"/>
    <cellStyle name="Wrap Text" xfId="6" xr:uid="{00000000-0005-0000-0000-00000D000000}"/>
  </cellStyles>
  <dxfs count="22"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yyyy/mm/d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21"/>
      <tableStyleElement type="totalRow" dxfId="20"/>
    </tableStyle>
    <tableStyle name="Table Style 1" pivot="0" count="2" xr9:uid="{00000000-0011-0000-FFFF-FFFF01000000}">
      <tableStyleElement type="wholeTable" dxfId="19"/>
      <tableStyleElement type="headerRow" dxfId="18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B9EAE7D6-6507-4E7C-9BBA-E1D249DE5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B5FBCEA2-D107-45A3-8D48-6E9E27CB7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2B6C6CC8-12C5-402D-BFAA-735152E19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90441EE3-337F-4DA5-AFD9-A3451E0040E7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72C425-27EA-415D-A1B5-34BFB2D2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ACC3E80-5F90-49DB-BA5C-64180505E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DDC525-6526-47FC-A5DC-65B37FEBB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A27EB2-3163-4D60-B25F-74C034A0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74D8940-8BE6-413D-8846-BFE9FC70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4F2A396-46C8-4EBB-A117-DD2166EF0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C6B0021-9773-4C29-89BB-AA3D9D7B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942899CB-A73C-4CAB-8305-C3DBF7F51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5B4E3C61-1E7C-46A0-BB30-114D6159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65688</xdr:colOff>
      <xdr:row>0</xdr:row>
      <xdr:rowOff>80141</xdr:rowOff>
    </xdr:from>
    <xdr:to>
      <xdr:col>5</xdr:col>
      <xdr:colOff>466396</xdr:colOff>
      <xdr:row>16</xdr:row>
      <xdr:rowOff>45983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5688" y="80141"/>
          <a:ext cx="3448708" cy="30138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Tx/>
            <a:buNone/>
          </a:pPr>
          <a:r>
            <a:rPr lang="pl-PL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Rodzaje odwołań do komórek: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Względne odwołanie do komórki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Bezwzględne odwołanie do komórki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Mieszane z zablokowanym odniesieniem wiersza (wiersz bezwzględny kolumna względna)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Mieszane z zablokowanym odniesieniem kolumny  (wiersz względny kolumna bezwzględna)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do komórki arkusza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do komórki w pliku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3D do komórek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/>
            <a:t>Odwołanie do nazw,</a:t>
          </a:r>
          <a:r>
            <a:rPr lang="pl-PL" sz="1400" baseline="0"/>
            <a:t> nomenklatury tabel</a:t>
          </a:r>
          <a:endParaRPr lang="pl-PL" sz="1400"/>
        </a:p>
      </xdr:txBody>
    </xdr:sp>
    <xdr:clientData/>
  </xdr:twoCellAnchor>
  <xdr:twoCellAnchor>
    <xdr:from>
      <xdr:col>5</xdr:col>
      <xdr:colOff>601389</xdr:colOff>
      <xdr:row>13</xdr:row>
      <xdr:rowOff>166195</xdr:rowOff>
    </xdr:from>
    <xdr:to>
      <xdr:col>11</xdr:col>
      <xdr:colOff>392497</xdr:colOff>
      <xdr:row>23</xdr:row>
      <xdr:rowOff>28575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649389" y="2642695"/>
          <a:ext cx="4610758" cy="1767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Pyt1: </a:t>
          </a:r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Jak chcesz,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żeby zachowywało się odwołanie do komórki gdy kopiujesz je wzdłuż kolumn - poziomo? </a:t>
          </a:r>
          <a:b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 chcesz, żeby przemieszczało się  po kolumnach (odwołanie względne), czy pozostało stałe - zablokowane w 1 kolumnie (odwołanie bezwzględne) </a:t>
          </a:r>
          <a:endParaRPr lang="pl-PL">
            <a:effectLst/>
          </a:endParaRPr>
        </a:p>
        <a:p>
          <a:endParaRPr lang="pl-PL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l-P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Pyt2: </a:t>
          </a:r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Jak chcesz,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żeby zachowywało się odwołanie do komórki gdy kopiujesz je wzdłuż wierszy - pionowo? </a:t>
          </a:r>
          <a:b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 chcesz, żeby przemieszczało się po wierszach (odwołanie względne), czy pozostało stałe - zablokowane w 1 wierszu (odwołanie bezwzględne) </a:t>
          </a:r>
          <a:endParaRPr lang="pl-PL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ysk%20Google/ksiazka%20na%20googledrive/Pliki%20Excel/Zeszy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usz1"/>
    </sheetNames>
    <sheetDataSet>
      <sheetData sheetId="0">
        <row r="1">
          <cell r="A1" t="str">
            <v>Produkt</v>
          </cell>
          <cell r="B1" t="str">
            <v>Cena</v>
          </cell>
        </row>
        <row r="2">
          <cell r="A2" t="str">
            <v>Muszelki 1</v>
          </cell>
          <cell r="B2">
            <v>2</v>
          </cell>
        </row>
        <row r="3">
          <cell r="A3" t="str">
            <v>Gąbki</v>
          </cell>
          <cell r="B3">
            <v>0.5</v>
          </cell>
        </row>
        <row r="4">
          <cell r="A4" t="str">
            <v>Błazenek</v>
          </cell>
          <cell r="B4">
            <v>2.5</v>
          </cell>
        </row>
        <row r="5">
          <cell r="A5" t="str">
            <v>Żółwik</v>
          </cell>
          <cell r="B5">
            <v>5</v>
          </cell>
        </row>
        <row r="6">
          <cell r="A6" t="str">
            <v>Wodorosty</v>
          </cell>
          <cell r="B6">
            <v>0.2</v>
          </cell>
        </row>
        <row r="7">
          <cell r="A7" t="str">
            <v>Piasek</v>
          </cell>
          <cell r="B7">
            <v>0.1</v>
          </cell>
        </row>
        <row r="8">
          <cell r="A8" t="str">
            <v>Muszelki 2</v>
          </cell>
          <cell r="B8">
            <v>1.5</v>
          </cell>
        </row>
        <row r="9">
          <cell r="A9" t="str">
            <v>Muszelki 3</v>
          </cell>
          <cell r="B9">
            <v>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kty" displayName="tblProdukty" ref="J1:K9" totalsRowShown="0" headerRowDxfId="17" headerRowBorderDxfId="16" tableBorderDxfId="15" totalsRowBorderDxfId="14" headerRowCellStyle="Akcent 1">
  <autoFilter ref="J1:K9" xr:uid="{00000000-0009-0000-0100-000001000000}"/>
  <tableColumns count="2">
    <tableColumn id="1" xr3:uid="{00000000-0010-0000-0000-000001000000}" name="Produkt" dataDxfId="13"/>
    <tableColumn id="2" xr3:uid="{00000000-0010-0000-0000-000002000000}" name="Cena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przedaż" displayName="tblSprzedaż" ref="A1:H325" totalsRowShown="0" headerRowDxfId="11" headerRowBorderDxfId="10" tableBorderDxfId="9" totalsRowBorderDxfId="8" headerRowCellStyle="Akcent 1">
  <autoFilter ref="A1:H325" xr:uid="{00000000-0009-0000-0100-000002000000}"/>
  <tableColumns count="8">
    <tableColumn id="1" xr3:uid="{00000000-0010-0000-0100-000001000000}" name="Data" dataDxfId="7"/>
    <tableColumn id="2" xr3:uid="{00000000-0010-0000-0100-000002000000}" name="Sprzedawca" dataDxfId="6"/>
    <tableColumn id="3" xr3:uid="{00000000-0010-0000-0100-000003000000}" name="Województwo" dataDxfId="5"/>
    <tableColumn id="4" xr3:uid="{00000000-0010-0000-0100-000004000000}" name="Klient" dataDxfId="4"/>
    <tableColumn id="5" xr3:uid="{00000000-0010-0000-0100-000005000000}" name="Produkt" dataDxfId="3"/>
    <tableColumn id="6" xr3:uid="{00000000-0010-0000-0100-000006000000}" name="Ilość" dataDxfId="2"/>
    <tableColumn id="7" xr3:uid="{00000000-0010-0000-0100-000007000000}" name="Cena" dataDxfId="1" dataCellStyle="Akcent 6">
      <calculatedColumnFormula>VLOOKUP(tblSprzedaż[[#This Row],[Produkt]],tblProdukty[],2,FALSE)</calculatedColumnFormula>
    </tableColumn>
    <tableColumn id="8" xr3:uid="{00000000-0010-0000-0100-000008000000}" name="Wartość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D92C-9B98-4A3D-9AE3-AFC9DDB06261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71" customWidth="1"/>
    <col min="100" max="101" width="2.44140625" customWidth="1"/>
    <col min="102" max="105" width="9.109375" style="71"/>
    <col min="106" max="106" width="10.6640625" style="71" customWidth="1"/>
    <col min="107" max="107" width="73.6640625" style="71" customWidth="1"/>
    <col min="108" max="108" width="6.33203125" style="71" customWidth="1"/>
    <col min="109" max="16384" width="9.109375" style="71"/>
  </cols>
  <sheetData>
    <row r="1" spans="18:99" ht="6" customHeight="1" x14ac:dyDescent="0.3"/>
    <row r="2" spans="18:99" ht="6" customHeight="1" x14ac:dyDescent="0.3">
      <c r="Z2" s="72" t="s">
        <v>97</v>
      </c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3"/>
    </row>
    <row r="3" spans="18:99" ht="6" customHeight="1" x14ac:dyDescent="0.3"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3"/>
    </row>
    <row r="4" spans="18:99" ht="6" customHeight="1" x14ac:dyDescent="0.3">
      <c r="Z4" s="74" t="s">
        <v>98</v>
      </c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5"/>
    </row>
    <row r="5" spans="18:99" ht="6" customHeight="1" x14ac:dyDescent="0.3">
      <c r="R5" s="76" t="s">
        <v>99</v>
      </c>
      <c r="S5" s="76"/>
      <c r="T5" s="76"/>
      <c r="U5" s="76"/>
      <c r="V5" s="76"/>
      <c r="W5" s="76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5"/>
      <c r="BF5" s="76" t="s">
        <v>100</v>
      </c>
      <c r="BG5" s="76"/>
      <c r="BH5" s="76"/>
      <c r="BI5" s="76"/>
      <c r="BJ5" s="76"/>
      <c r="BK5" s="76"/>
    </row>
    <row r="6" spans="18:99" ht="6" customHeight="1" x14ac:dyDescent="0.3">
      <c r="R6" s="76"/>
      <c r="S6" s="76"/>
      <c r="T6" s="76"/>
      <c r="U6" s="76"/>
      <c r="V6" s="76"/>
      <c r="W6" s="76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5"/>
      <c r="BF6" s="76"/>
      <c r="BG6" s="76"/>
      <c r="BH6" s="76"/>
      <c r="BI6" s="76"/>
      <c r="BJ6" s="76"/>
      <c r="BK6" s="76"/>
    </row>
    <row r="7" spans="18:99" ht="6" customHeight="1" x14ac:dyDescent="0.3">
      <c r="R7" s="76"/>
      <c r="S7" s="76"/>
      <c r="T7" s="76"/>
      <c r="U7" s="76"/>
      <c r="V7" s="76"/>
      <c r="W7" s="76"/>
      <c r="X7" s="77"/>
      <c r="BF7" s="76"/>
      <c r="BG7" s="76"/>
      <c r="BH7" s="76"/>
      <c r="BI7" s="76"/>
      <c r="BJ7" s="76"/>
      <c r="BK7" s="76"/>
    </row>
    <row r="8" spans="18:99" ht="6" customHeight="1" x14ac:dyDescent="0.3"/>
    <row r="9" spans="18:99" ht="6" customHeight="1" x14ac:dyDescent="0.3">
      <c r="R9" s="78"/>
      <c r="S9" s="78"/>
      <c r="T9" s="78"/>
      <c r="U9" s="78"/>
      <c r="V9" s="78"/>
      <c r="W9" s="78"/>
      <c r="X9" s="78"/>
      <c r="Y9" s="78"/>
      <c r="Z9" s="79" t="s">
        <v>101</v>
      </c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80"/>
      <c r="BF9" s="78"/>
      <c r="BG9" s="78"/>
      <c r="BH9" s="78"/>
      <c r="BI9" s="78"/>
      <c r="BJ9" s="78"/>
      <c r="BK9" s="78"/>
      <c r="BL9" s="78"/>
      <c r="BM9" s="78"/>
      <c r="BN9" s="81" t="s">
        <v>102</v>
      </c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2"/>
      <c r="CS9" s="82"/>
      <c r="CT9" s="82"/>
      <c r="CU9" s="82"/>
    </row>
    <row r="10" spans="18:99" ht="6" customHeight="1" x14ac:dyDescent="0.3"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0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2"/>
      <c r="CS10" s="82"/>
      <c r="CT10" s="82"/>
      <c r="CU10" s="82"/>
    </row>
    <row r="11" spans="18:99" ht="6" customHeight="1" x14ac:dyDescent="0.3"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0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2"/>
      <c r="CS11" s="82"/>
      <c r="CT11" s="82"/>
      <c r="CU11" s="82"/>
    </row>
    <row r="12" spans="18:99" ht="6" customHeight="1" x14ac:dyDescent="0.3"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0"/>
      <c r="BN12" s="85" t="s">
        <v>103</v>
      </c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6"/>
      <c r="CS12" s="86"/>
      <c r="CT12" s="86"/>
      <c r="CU12" s="86"/>
    </row>
    <row r="13" spans="18:99" ht="6" customHeight="1" x14ac:dyDescent="0.3"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0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6"/>
      <c r="CS13" s="86"/>
      <c r="CT13" s="86"/>
      <c r="CU13" s="86"/>
    </row>
    <row r="14" spans="18:99" ht="6" customHeight="1" x14ac:dyDescent="0.3">
      <c r="Z14" s="87" t="s">
        <v>104</v>
      </c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8"/>
    </row>
    <row r="15" spans="18:99" ht="6" customHeight="1" x14ac:dyDescent="0.3"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8"/>
    </row>
    <row r="16" spans="18:99" ht="6" customHeight="1" x14ac:dyDescent="0.3"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8"/>
    </row>
    <row r="17" spans="18:56" ht="6" customHeight="1" x14ac:dyDescent="0.3">
      <c r="Z17" s="89" t="s">
        <v>105</v>
      </c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90"/>
    </row>
    <row r="18" spans="18:56" ht="6" customHeight="1" x14ac:dyDescent="0.3"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90"/>
    </row>
    <row r="19" spans="18:56" ht="6" customHeight="1" x14ac:dyDescent="0.3"/>
    <row r="20" spans="18:56" ht="6" customHeight="1" x14ac:dyDescent="0.3"/>
    <row r="21" spans="18:56" ht="6" customHeight="1" x14ac:dyDescent="0.3">
      <c r="R21" s="78"/>
      <c r="S21" s="78"/>
      <c r="T21" s="78"/>
      <c r="U21" s="78"/>
      <c r="V21" s="78"/>
      <c r="W21" s="78"/>
      <c r="X21" s="78"/>
      <c r="Y21" s="78"/>
      <c r="Z21" s="91" t="s">
        <v>106</v>
      </c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2"/>
    </row>
    <row r="22" spans="18:56" ht="6" customHeight="1" x14ac:dyDescent="0.3"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2"/>
    </row>
    <row r="23" spans="18:56" ht="6" customHeight="1" x14ac:dyDescent="0.3">
      <c r="Z23" s="94" t="s">
        <v>107</v>
      </c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5"/>
    </row>
    <row r="24" spans="18:56" ht="6" customHeight="1" x14ac:dyDescent="0.3"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5"/>
    </row>
    <row r="25" spans="18:56" ht="6" customHeight="1" x14ac:dyDescent="0.3"/>
    <row r="26" spans="18:56" ht="6" customHeight="1" x14ac:dyDescent="0.3">
      <c r="Z26" s="89" t="s">
        <v>108</v>
      </c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90"/>
    </row>
    <row r="27" spans="18:56" ht="6" customHeight="1" x14ac:dyDescent="0.3"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90"/>
    </row>
    <row r="28" spans="18:56" ht="6" customHeight="1" x14ac:dyDescent="0.3"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78"/>
      <c r="S32" s="78"/>
      <c r="T32" s="78"/>
      <c r="U32" s="78"/>
      <c r="V32" s="78"/>
      <c r="W32" s="78"/>
      <c r="X32" s="78"/>
      <c r="Y32" s="78"/>
      <c r="Z32" s="97" t="s">
        <v>109</v>
      </c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8"/>
    </row>
    <row r="33" spans="18:99" ht="6" customHeight="1" x14ac:dyDescent="0.3"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8"/>
    </row>
    <row r="34" spans="18:99" ht="6" customHeight="1" x14ac:dyDescent="0.3"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8"/>
      <c r="BF34" s="78"/>
      <c r="BG34" s="78"/>
      <c r="BH34" s="78"/>
      <c r="BI34" s="78"/>
      <c r="BJ34" s="78"/>
      <c r="BK34" s="78"/>
      <c r="BL34" s="78"/>
      <c r="BM34" s="78"/>
      <c r="BN34" s="81" t="s">
        <v>110</v>
      </c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2"/>
      <c r="CS34" s="82"/>
      <c r="CT34" s="82"/>
      <c r="CU34" s="82"/>
    </row>
    <row r="35" spans="18:99" ht="6" customHeight="1" x14ac:dyDescent="0.3"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8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2"/>
      <c r="CS35" s="82"/>
      <c r="CT35" s="82"/>
      <c r="CU35" s="82"/>
    </row>
    <row r="36" spans="18:99" ht="6" customHeight="1" x14ac:dyDescent="0.3"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8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2"/>
      <c r="CS36" s="82"/>
      <c r="CT36" s="82"/>
      <c r="CU36" s="82"/>
    </row>
    <row r="37" spans="18:99" ht="6" customHeight="1" x14ac:dyDescent="0.3">
      <c r="Z37" s="87" t="s">
        <v>111</v>
      </c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8"/>
      <c r="BN37" s="85" t="s">
        <v>112</v>
      </c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6"/>
      <c r="CS37" s="86"/>
      <c r="CT37" s="86"/>
      <c r="CU37" s="86"/>
    </row>
    <row r="38" spans="18:99" ht="6" customHeight="1" x14ac:dyDescent="0.3"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8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6"/>
      <c r="CS38" s="86"/>
      <c r="CT38" s="86"/>
      <c r="CU38" s="86"/>
    </row>
    <row r="39" spans="18:99" ht="6" customHeight="1" x14ac:dyDescent="0.3"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8"/>
    </row>
    <row r="40" spans="18:99" ht="6" customHeight="1" x14ac:dyDescent="0.3">
      <c r="Z40" s="89" t="s">
        <v>113</v>
      </c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90"/>
      <c r="BN40" s="84" t="s">
        <v>114</v>
      </c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2"/>
      <c r="CS40" s="82"/>
      <c r="CT40" s="82"/>
      <c r="CU40" s="82"/>
    </row>
    <row r="41" spans="18:99" ht="6" customHeight="1" x14ac:dyDescent="0.3"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90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2"/>
      <c r="CS41" s="82"/>
      <c r="CT41" s="82"/>
      <c r="CU41" s="82"/>
    </row>
    <row r="42" spans="18:99" ht="6" customHeight="1" x14ac:dyDescent="0.3"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2"/>
      <c r="CS42" s="82"/>
      <c r="CT42" s="82"/>
      <c r="CU42" s="82"/>
    </row>
    <row r="43" spans="18:99" ht="6" customHeight="1" x14ac:dyDescent="0.3">
      <c r="R43" s="78"/>
      <c r="S43" s="78"/>
      <c r="T43" s="78"/>
      <c r="U43" s="78"/>
      <c r="V43" s="78"/>
      <c r="W43" s="78"/>
      <c r="X43" s="78"/>
      <c r="Y43" s="78"/>
      <c r="Z43" s="97" t="s">
        <v>115</v>
      </c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8"/>
      <c r="BN43" s="85" t="s">
        <v>116</v>
      </c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6"/>
      <c r="CS43" s="86"/>
      <c r="CT43" s="86"/>
      <c r="CU43" s="86"/>
    </row>
    <row r="44" spans="18:99" ht="6" customHeight="1" x14ac:dyDescent="0.3"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8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6"/>
      <c r="CS44" s="86"/>
      <c r="CT44" s="86"/>
      <c r="CU44" s="86"/>
    </row>
    <row r="45" spans="18:99" ht="6" customHeight="1" x14ac:dyDescent="0.3"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8"/>
    </row>
    <row r="46" spans="18:99" ht="6" customHeight="1" x14ac:dyDescent="0.3"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8"/>
    </row>
    <row r="47" spans="18:99" ht="6" customHeight="1" x14ac:dyDescent="0.3"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8"/>
    </row>
    <row r="48" spans="18:99" ht="6" customHeight="1" x14ac:dyDescent="0.3">
      <c r="Z48" s="87" t="s">
        <v>117</v>
      </c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8"/>
    </row>
    <row r="49" spans="2:99" ht="6" customHeight="1" x14ac:dyDescent="0.3"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8"/>
    </row>
    <row r="50" spans="2:99" ht="6" customHeight="1" x14ac:dyDescent="0.3"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8"/>
    </row>
    <row r="51" spans="2:99" ht="6" customHeight="1" x14ac:dyDescent="0.3">
      <c r="B51" s="74" t="s">
        <v>118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Z51" s="89" t="s">
        <v>119</v>
      </c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90"/>
    </row>
    <row r="52" spans="2:99" ht="6" customHeight="1" x14ac:dyDescent="0.3"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90"/>
    </row>
    <row r="53" spans="2:99" ht="6" customHeight="1" x14ac:dyDescent="0.3"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</row>
    <row r="54" spans="2:99" ht="6" customHeight="1" x14ac:dyDescent="0.3">
      <c r="B54" s="101" t="s">
        <v>120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R54" s="78"/>
      <c r="S54" s="78"/>
      <c r="T54" s="78"/>
      <c r="U54" s="78"/>
      <c r="V54" s="78"/>
      <c r="W54" s="78"/>
      <c r="X54" s="78"/>
      <c r="Y54" s="78"/>
      <c r="Z54" s="97" t="s">
        <v>121</v>
      </c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8"/>
    </row>
    <row r="55" spans="2:99" ht="6" customHeight="1" x14ac:dyDescent="0.3"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8"/>
    </row>
    <row r="56" spans="2:99" ht="6" customHeight="1" x14ac:dyDescent="0.3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8"/>
    </row>
    <row r="57" spans="2:99" ht="6" customHeight="1" x14ac:dyDescent="0.3">
      <c r="B57" s="102" t="s">
        <v>122</v>
      </c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8"/>
    </row>
    <row r="58" spans="2:99" ht="6" customHeigh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8"/>
    </row>
    <row r="59" spans="2:99" ht="6" customHeight="1" x14ac:dyDescent="0.3">
      <c r="Z59" s="87" t="s">
        <v>123</v>
      </c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8"/>
      <c r="BF59" s="78"/>
      <c r="BG59" s="78"/>
      <c r="BH59" s="78"/>
      <c r="BI59" s="78"/>
      <c r="BJ59" s="78"/>
      <c r="BK59" s="78"/>
      <c r="BL59" s="78"/>
      <c r="BM59" s="78"/>
      <c r="BN59" s="81" t="s">
        <v>110</v>
      </c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2"/>
      <c r="CS59" s="82"/>
      <c r="CT59" s="82"/>
      <c r="CU59" s="82"/>
    </row>
    <row r="60" spans="2:99" ht="6" customHeight="1" x14ac:dyDescent="0.3">
      <c r="B60" s="101" t="s">
        <v>124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8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2"/>
      <c r="CS60" s="82"/>
      <c r="CT60" s="82"/>
      <c r="CU60" s="82"/>
    </row>
    <row r="61" spans="2:99" ht="6" customHeight="1" x14ac:dyDescent="0.3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8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2"/>
      <c r="CS61" s="82"/>
      <c r="CT61" s="82"/>
      <c r="CU61" s="82"/>
    </row>
    <row r="62" spans="2:99" ht="6" customHeight="1" x14ac:dyDescent="0.3"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Z62" s="89" t="s">
        <v>125</v>
      </c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90"/>
      <c r="BN62" s="85" t="s">
        <v>126</v>
      </c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6"/>
      <c r="CS62" s="86"/>
      <c r="CT62" s="86"/>
      <c r="CU62" s="86"/>
    </row>
    <row r="63" spans="2:99" ht="6" customHeight="1" x14ac:dyDescent="0.3">
      <c r="B63" s="103" t="s">
        <v>127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90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6"/>
      <c r="CS63" s="86"/>
      <c r="CT63" s="86"/>
      <c r="CU63" s="86"/>
    </row>
    <row r="64" spans="2:99" ht="6" customHeight="1" x14ac:dyDescent="0.3"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</row>
    <row r="65" spans="18:99" ht="6" customHeight="1" x14ac:dyDescent="0.3">
      <c r="R65" s="78"/>
      <c r="S65" s="78"/>
      <c r="T65" s="78"/>
      <c r="U65" s="78"/>
      <c r="V65" s="78"/>
      <c r="W65" s="78"/>
      <c r="X65" s="78"/>
      <c r="Y65" s="78"/>
      <c r="Z65" s="97" t="s">
        <v>128</v>
      </c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8"/>
      <c r="BN65" s="84" t="s">
        <v>114</v>
      </c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2"/>
      <c r="CS65" s="82"/>
      <c r="CT65" s="82"/>
      <c r="CU65" s="82"/>
    </row>
    <row r="66" spans="18:99" ht="6" customHeight="1" x14ac:dyDescent="0.3"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8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2"/>
      <c r="CS66" s="82"/>
      <c r="CT66" s="82"/>
      <c r="CU66" s="82"/>
    </row>
    <row r="67" spans="18:99" ht="6" customHeight="1" x14ac:dyDescent="0.3"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8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2"/>
      <c r="CS67" s="82"/>
      <c r="CT67" s="82"/>
      <c r="CU67" s="82"/>
    </row>
    <row r="68" spans="18:99" ht="6" customHeight="1" x14ac:dyDescent="0.3"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8"/>
      <c r="BN68" s="85" t="s">
        <v>129</v>
      </c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6"/>
      <c r="CS68" s="86"/>
      <c r="CT68" s="86"/>
      <c r="CU68" s="86"/>
    </row>
    <row r="69" spans="18:99" ht="6" customHeight="1" x14ac:dyDescent="0.3"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8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6"/>
      <c r="CS69" s="86"/>
      <c r="CT69" s="86"/>
      <c r="CU69" s="86"/>
    </row>
    <row r="70" spans="18:99" ht="6" customHeight="1" x14ac:dyDescent="0.3"/>
    <row r="71" spans="18:99" ht="6" customHeight="1" x14ac:dyDescent="0.3">
      <c r="Z71" s="89" t="s">
        <v>130</v>
      </c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96"/>
    </row>
    <row r="72" spans="18:99" ht="6" customHeight="1" x14ac:dyDescent="0.3"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96"/>
    </row>
    <row r="73" spans="18:99" ht="6" customHeight="1" x14ac:dyDescent="0.3"/>
    <row r="74" spans="18:99" ht="6" customHeight="1" x14ac:dyDescent="0.3"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</row>
    <row r="75" spans="18:99" ht="6" customHeight="1" x14ac:dyDescent="0.3"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</row>
    <row r="76" spans="18:99" ht="6" customHeight="1" x14ac:dyDescent="0.3"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</row>
    <row r="77" spans="18:99" ht="6" customHeight="1" x14ac:dyDescent="0.3">
      <c r="Z77" s="104" t="s">
        <v>131</v>
      </c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5"/>
    </row>
    <row r="78" spans="18:99" ht="6" customHeight="1" x14ac:dyDescent="0.3"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5"/>
    </row>
    <row r="79" spans="18:99" ht="6" customHeight="1" x14ac:dyDescent="0.3"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5"/>
    </row>
    <row r="80" spans="18:99" ht="6" customHeight="1" x14ac:dyDescent="0.3"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5"/>
    </row>
    <row r="81" spans="26:56" ht="6" customHeight="1" x14ac:dyDescent="0.3"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5"/>
    </row>
    <row r="82" spans="26:56" ht="6" customHeight="1" x14ac:dyDescent="0.3">
      <c r="Z82" s="104" t="s">
        <v>132</v>
      </c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5"/>
    </row>
    <row r="83" spans="26:56" ht="6" customHeight="1" x14ac:dyDescent="0.3"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5"/>
    </row>
    <row r="84" spans="26:56" ht="6" customHeight="1" x14ac:dyDescent="0.3"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5"/>
    </row>
    <row r="85" spans="26:56" ht="6" customHeight="1" x14ac:dyDescent="0.3"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5"/>
    </row>
    <row r="86" spans="26:56" ht="6" customHeight="1" x14ac:dyDescent="0.3"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5"/>
    </row>
    <row r="87" spans="26:56" ht="6" customHeight="1" x14ac:dyDescent="0.3"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5"/>
    </row>
    <row r="88" spans="26:56" ht="6" customHeight="1" x14ac:dyDescent="0.3"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5"/>
    </row>
    <row r="89" spans="26:56" ht="6" customHeight="1" x14ac:dyDescent="0.3"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5"/>
    </row>
    <row r="90" spans="26:56" ht="6" customHeight="1" x14ac:dyDescent="0.3">
      <c r="Z90" s="106" t="s">
        <v>133</v>
      </c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7"/>
    </row>
    <row r="91" spans="26:56" ht="6" customHeight="1" x14ac:dyDescent="0.3"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7"/>
    </row>
    <row r="92" spans="26:56" ht="6" customHeight="1" x14ac:dyDescent="0.3"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</row>
    <row r="93" spans="26:56" ht="6" customHeight="1" x14ac:dyDescent="0.3"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</row>
    <row r="94" spans="26:56" ht="6" customHeight="1" x14ac:dyDescent="0.3"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</row>
    <row r="95" spans="26:56" ht="6" customHeight="1" x14ac:dyDescent="0.3"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FB22E3D3-957D-459C-8AED-E1A7118DF8C7}"/>
    <hyperlink ref="B51" r:id="rId2" xr:uid="{A373A388-DA20-4658-8F0E-47767392C97F}"/>
    <hyperlink ref="B57" r:id="rId3" xr:uid="{FFA75D5A-85C9-4F9A-B17B-EC22BC649695}"/>
    <hyperlink ref="Z4" r:id="rId4" xr:uid="{77BE3DDD-0603-4F6D-927F-B9C2A8B30843}"/>
    <hyperlink ref="Z17" r:id="rId5" display="https://www.udemy.com/excel-mistrz-formul/?couponCode=STANDARDOWY" xr:uid="{BFA75F89-8DA1-4EAA-A21D-5A767D44051B}"/>
    <hyperlink ref="Z26" r:id="rId6" xr:uid="{EFF9DB6B-D865-43BB-BF12-6CAEACB1DD35}"/>
    <hyperlink ref="Z40" r:id="rId7" display="https://www.udemy.com/excel-mistrz-formul/?couponCode=STANDARDOWY" xr:uid="{E4A6A84A-0E5C-48D0-AFC3-781EE9E6237F}"/>
    <hyperlink ref="Z51" r:id="rId8" display="https://www.udemy.com/excel-mistrz-formul/?couponCode=STANDARDOWY" xr:uid="{7F2B9217-CE3B-48FF-8A53-4E6557E6748C}"/>
    <hyperlink ref="Z62" r:id="rId9" display="https://www.udemy.com/excel-mistrz-formul/?couponCode=STANDARDOWY" xr:uid="{09B3BBBD-1EB1-4F3E-AF1D-DA91134D3D5B}"/>
    <hyperlink ref="Z71" r:id="rId10" display="https://www.udemy.com/excel-mistrz-formul/?couponCode=STANDARDOWY" xr:uid="{DE2782F4-E96D-404C-941C-B94F041AEAB4}"/>
    <hyperlink ref="BN12" r:id="rId11" location="mistrz-excela-w-20-dni" xr:uid="{F22E1BCD-C1CA-4823-AAAB-A622D2487006}"/>
    <hyperlink ref="BN37" r:id="rId12" location="mistrz-excela-w-20-dni" display="http://ksplus.komputerswiat.pl/sklep#mistrz-excela-w-20-dni" xr:uid="{2E58416B-3387-4454-97A0-82032E03D68C}"/>
    <hyperlink ref="BN43" r:id="rId13" location="mistrz-excela-w-20-dni" display="http://ksplus.komputerswiat.pl/sklep#mistrz-excela-w-20-dni" xr:uid="{9E8D9B98-F50A-471F-ABA7-854B01AF41D1}"/>
    <hyperlink ref="BN62" r:id="rId14" location="mistrz-excela-w-20-dni" display="http://ksplus.komputerswiat.pl/sklep#mistrz-excela-w-20-dni" xr:uid="{F1C310BB-AE6E-471E-ACD0-65A45CB50DA8}"/>
    <hyperlink ref="BN68" r:id="rId15" location="mistrz-excela-w-20-dni" display="http://ksplus.komputerswiat.pl/sklep#mistrz-excela-w-20-dni" xr:uid="{4ED8543A-07B2-4C8E-B20D-1A4FD24CE823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EE22"/>
  </sheetPr>
  <dimension ref="C2:O13"/>
  <sheetViews>
    <sheetView topLeftCell="A4" zoomScale="110" zoomScaleNormal="110" workbookViewId="0">
      <selection activeCell="A4" sqref="A1:A1048576"/>
    </sheetView>
  </sheetViews>
  <sheetFormatPr defaultRowHeight="14.4" x14ac:dyDescent="0.3"/>
  <cols>
    <col min="1" max="6" width="8.88671875" style="2"/>
    <col min="7" max="7" width="17.33203125" style="2" customWidth="1"/>
    <col min="8" max="8" width="18.44140625" style="2" customWidth="1"/>
    <col min="9" max="11" width="8.88671875" style="2"/>
    <col min="12" max="12" width="9.109375" style="2" customWidth="1"/>
    <col min="13" max="13" width="12.33203125" style="2" customWidth="1"/>
    <col min="14" max="14" width="8.88671875" style="2"/>
    <col min="15" max="15" width="11.88671875" style="2" customWidth="1"/>
    <col min="16" max="16384" width="8.88671875" style="2"/>
  </cols>
  <sheetData>
    <row r="2" spans="3:15" x14ac:dyDescent="0.3">
      <c r="C2" s="1"/>
      <c r="G2" s="3" t="s">
        <v>8</v>
      </c>
      <c r="H2" s="4" t="s">
        <v>9</v>
      </c>
      <c r="I2" s="4"/>
      <c r="J2" s="4"/>
      <c r="K2" s="4"/>
      <c r="L2" s="5"/>
    </row>
    <row r="3" spans="3:15" x14ac:dyDescent="0.3">
      <c r="C3" s="1"/>
      <c r="G3" s="6" t="s">
        <v>10</v>
      </c>
      <c r="H3" s="7" t="s">
        <v>11</v>
      </c>
      <c r="I3" s="7"/>
      <c r="J3" s="7"/>
      <c r="K3" s="7"/>
      <c r="L3" s="8"/>
    </row>
    <row r="4" spans="3:15" x14ac:dyDescent="0.3">
      <c r="C4" s="1"/>
      <c r="G4" s="6" t="s">
        <v>12</v>
      </c>
      <c r="H4" s="7" t="s">
        <v>13</v>
      </c>
      <c r="I4" s="7"/>
      <c r="J4" s="7"/>
      <c r="K4" s="7"/>
      <c r="L4" s="8"/>
    </row>
    <row r="5" spans="3:15" x14ac:dyDescent="0.3">
      <c r="C5" s="1"/>
      <c r="G5" s="9" t="s">
        <v>14</v>
      </c>
      <c r="H5" s="10" t="s">
        <v>15</v>
      </c>
      <c r="I5" s="10"/>
      <c r="J5" s="10"/>
      <c r="K5" s="10"/>
      <c r="L5" s="11"/>
    </row>
    <row r="6" spans="3:15" x14ac:dyDescent="0.3">
      <c r="C6" s="1"/>
    </row>
    <row r="7" spans="3:15" x14ac:dyDescent="0.3">
      <c r="C7" s="1"/>
      <c r="G7" s="12" t="s">
        <v>77</v>
      </c>
      <c r="H7" s="13"/>
      <c r="I7" s="14" t="s">
        <v>78</v>
      </c>
      <c r="J7" s="14"/>
      <c r="K7" s="14"/>
      <c r="L7" s="14"/>
      <c r="M7" s="14"/>
      <c r="N7" s="14"/>
      <c r="O7" s="13"/>
    </row>
    <row r="8" spans="3:15" x14ac:dyDescent="0.3">
      <c r="C8" s="1"/>
      <c r="G8" s="15" t="s">
        <v>79</v>
      </c>
      <c r="H8" s="16"/>
      <c r="I8" s="17" t="s">
        <v>80</v>
      </c>
      <c r="J8" s="18"/>
      <c r="K8" s="18"/>
      <c r="L8" s="18"/>
      <c r="M8" s="18"/>
      <c r="N8" s="18"/>
      <c r="O8" s="16"/>
    </row>
    <row r="9" spans="3:15" x14ac:dyDescent="0.3">
      <c r="G9" s="15" t="s">
        <v>81</v>
      </c>
      <c r="H9" s="16"/>
      <c r="I9" s="18" t="s">
        <v>82</v>
      </c>
      <c r="J9" s="18"/>
      <c r="K9" s="18"/>
      <c r="L9" s="18"/>
      <c r="M9" s="18"/>
      <c r="N9" s="18"/>
      <c r="O9" s="16"/>
    </row>
    <row r="10" spans="3:15" x14ac:dyDescent="0.3">
      <c r="G10" s="15" t="s">
        <v>83</v>
      </c>
      <c r="H10" s="16"/>
      <c r="I10" s="18" t="s">
        <v>84</v>
      </c>
      <c r="J10" s="18"/>
      <c r="K10" s="18"/>
      <c r="L10" s="18"/>
      <c r="M10" s="18"/>
      <c r="N10" s="18"/>
      <c r="O10" s="16"/>
    </row>
    <row r="11" spans="3:15" x14ac:dyDescent="0.3">
      <c r="G11" s="15" t="s">
        <v>85</v>
      </c>
      <c r="H11" s="16"/>
      <c r="I11" s="19" t="s">
        <v>86</v>
      </c>
      <c r="J11" s="18"/>
      <c r="K11" s="18"/>
      <c r="L11" s="18"/>
      <c r="M11" s="18"/>
      <c r="N11" s="18"/>
      <c r="O11" s="16"/>
    </row>
    <row r="12" spans="3:15" x14ac:dyDescent="0.3">
      <c r="G12" s="15" t="s">
        <v>87</v>
      </c>
      <c r="H12" s="16"/>
      <c r="I12" s="15" t="s">
        <v>88</v>
      </c>
      <c r="J12" s="18"/>
      <c r="K12" s="18"/>
      <c r="L12" s="18"/>
      <c r="M12" s="18"/>
      <c r="N12" s="18"/>
      <c r="O12" s="16"/>
    </row>
    <row r="13" spans="3:15" x14ac:dyDescent="0.3">
      <c r="G13" s="20" t="s">
        <v>89</v>
      </c>
      <c r="H13" s="21"/>
      <c r="I13" s="20" t="s">
        <v>90</v>
      </c>
      <c r="J13" s="22"/>
      <c r="K13" s="22"/>
      <c r="L13" s="22"/>
      <c r="M13" s="22"/>
      <c r="N13" s="22"/>
      <c r="O13" s="2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1:E13"/>
  <sheetViews>
    <sheetView zoomScale="145" zoomScaleNormal="145" workbookViewId="0">
      <selection activeCell="A4" sqref="A1:A1048576"/>
    </sheetView>
  </sheetViews>
  <sheetFormatPr defaultColWidth="9.109375" defaultRowHeight="14.4" x14ac:dyDescent="0.3"/>
  <cols>
    <col min="1" max="1" width="11.109375" style="39" bestFit="1" customWidth="1"/>
    <col min="2" max="3" width="12.109375" style="39" customWidth="1"/>
    <col min="4" max="4" width="12.109375" style="70" customWidth="1"/>
    <col min="5" max="5" width="12.109375" style="39" customWidth="1"/>
    <col min="6" max="16384" width="9.109375" style="39"/>
  </cols>
  <sheetData>
    <row r="1" spans="1:5" x14ac:dyDescent="0.3">
      <c r="A1" s="56" t="s">
        <v>16</v>
      </c>
      <c r="B1" s="56" t="s">
        <v>17</v>
      </c>
      <c r="C1" s="56" t="s">
        <v>18</v>
      </c>
      <c r="D1" s="56" t="s">
        <v>19</v>
      </c>
      <c r="E1" s="56" t="s">
        <v>20</v>
      </c>
    </row>
    <row r="2" spans="1:5" x14ac:dyDescent="0.3">
      <c r="A2" s="68" t="s">
        <v>21</v>
      </c>
      <c r="B2" s="46">
        <v>8764</v>
      </c>
      <c r="C2" s="46">
        <v>3856.16</v>
      </c>
      <c r="D2" s="47">
        <f>B2-C2</f>
        <v>4907.84</v>
      </c>
      <c r="E2" s="69">
        <f>D2/B2</f>
        <v>0.56000000000000005</v>
      </c>
    </row>
    <row r="3" spans="1:5" x14ac:dyDescent="0.3">
      <c r="A3" s="68" t="s">
        <v>22</v>
      </c>
      <c r="B3" s="46">
        <v>7127</v>
      </c>
      <c r="C3" s="46">
        <v>3706.04</v>
      </c>
      <c r="D3" s="47">
        <f t="shared" ref="D3:D13" si="0">B3-C3</f>
        <v>3420.96</v>
      </c>
      <c r="E3" s="69">
        <f t="shared" ref="E3:E13" si="1">D3/B3</f>
        <v>0.48</v>
      </c>
    </row>
    <row r="4" spans="1:5" x14ac:dyDescent="0.3">
      <c r="A4" s="68" t="s">
        <v>23</v>
      </c>
      <c r="B4" s="46">
        <v>9871</v>
      </c>
      <c r="C4" s="46">
        <v>3948.4</v>
      </c>
      <c r="D4" s="47">
        <f t="shared" si="0"/>
        <v>5922.6</v>
      </c>
      <c r="E4" s="69">
        <f t="shared" si="1"/>
        <v>0.60000000000000009</v>
      </c>
    </row>
    <row r="5" spans="1:5" x14ac:dyDescent="0.3">
      <c r="A5" s="68" t="s">
        <v>24</v>
      </c>
      <c r="B5" s="46">
        <v>7667</v>
      </c>
      <c r="C5" s="46">
        <v>3066.8</v>
      </c>
      <c r="D5" s="47">
        <f t="shared" si="0"/>
        <v>4600.2</v>
      </c>
      <c r="E5" s="69">
        <f t="shared" si="1"/>
        <v>0.6</v>
      </c>
    </row>
    <row r="6" spans="1:5" x14ac:dyDescent="0.3">
      <c r="A6" s="68" t="s">
        <v>25</v>
      </c>
      <c r="B6" s="46">
        <v>3826</v>
      </c>
      <c r="C6" s="46">
        <v>2448.64</v>
      </c>
      <c r="D6" s="47">
        <f t="shared" si="0"/>
        <v>1377.3600000000001</v>
      </c>
      <c r="E6" s="69">
        <f t="shared" si="1"/>
        <v>0.36000000000000004</v>
      </c>
    </row>
    <row r="7" spans="1:5" x14ac:dyDescent="0.3">
      <c r="A7" s="68" t="s">
        <v>26</v>
      </c>
      <c r="B7" s="46">
        <v>9382</v>
      </c>
      <c r="C7" s="46">
        <v>4034.2599999999998</v>
      </c>
      <c r="D7" s="47">
        <f t="shared" si="0"/>
        <v>5347.74</v>
      </c>
      <c r="E7" s="69">
        <f t="shared" si="1"/>
        <v>0.56999999999999995</v>
      </c>
    </row>
    <row r="8" spans="1:5" x14ac:dyDescent="0.3">
      <c r="A8" s="68" t="s">
        <v>27</v>
      </c>
      <c r="B8" s="46">
        <v>3967</v>
      </c>
      <c r="C8" s="46">
        <v>1190.0999999999999</v>
      </c>
      <c r="D8" s="47">
        <f t="shared" si="0"/>
        <v>2776.9</v>
      </c>
      <c r="E8" s="69">
        <f t="shared" si="1"/>
        <v>0.70000000000000007</v>
      </c>
    </row>
    <row r="9" spans="1:5" x14ac:dyDescent="0.3">
      <c r="A9" s="68" t="s">
        <v>28</v>
      </c>
      <c r="B9" s="46">
        <v>6693</v>
      </c>
      <c r="C9" s="46">
        <v>2342.5499999999997</v>
      </c>
      <c r="D9" s="47">
        <f t="shared" si="0"/>
        <v>4350.4500000000007</v>
      </c>
      <c r="E9" s="69">
        <f t="shared" si="1"/>
        <v>0.65000000000000013</v>
      </c>
    </row>
    <row r="10" spans="1:5" x14ac:dyDescent="0.3">
      <c r="A10" s="68" t="s">
        <v>29</v>
      </c>
      <c r="B10" s="46">
        <v>9849</v>
      </c>
      <c r="C10" s="46">
        <v>4038.0899999999997</v>
      </c>
      <c r="D10" s="47">
        <f t="shared" si="0"/>
        <v>5810.91</v>
      </c>
      <c r="E10" s="69">
        <f t="shared" si="1"/>
        <v>0.59</v>
      </c>
    </row>
    <row r="11" spans="1:5" x14ac:dyDescent="0.3">
      <c r="A11" s="68" t="s">
        <v>30</v>
      </c>
      <c r="B11" s="46">
        <v>5810</v>
      </c>
      <c r="C11" s="46">
        <v>3253.6000000000004</v>
      </c>
      <c r="D11" s="47">
        <f t="shared" si="0"/>
        <v>2556.3999999999996</v>
      </c>
      <c r="E11" s="69">
        <f t="shared" si="1"/>
        <v>0.43999999999999995</v>
      </c>
    </row>
    <row r="12" spans="1:5" x14ac:dyDescent="0.3">
      <c r="A12" s="68" t="s">
        <v>31</v>
      </c>
      <c r="B12" s="46">
        <v>9134</v>
      </c>
      <c r="C12" s="46">
        <v>6211.1200000000008</v>
      </c>
      <c r="D12" s="47">
        <f t="shared" si="0"/>
        <v>2922.8799999999992</v>
      </c>
      <c r="E12" s="69">
        <f t="shared" si="1"/>
        <v>0.3199999999999999</v>
      </c>
    </row>
    <row r="13" spans="1:5" x14ac:dyDescent="0.3">
      <c r="A13" s="68" t="s">
        <v>32</v>
      </c>
      <c r="B13" s="46">
        <v>6062</v>
      </c>
      <c r="C13" s="46">
        <v>1879.22</v>
      </c>
      <c r="D13" s="47">
        <f t="shared" si="0"/>
        <v>4182.78</v>
      </c>
      <c r="E13" s="69">
        <f t="shared" si="1"/>
        <v>0.69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F10"/>
  <sheetViews>
    <sheetView topLeftCell="A2" zoomScale="145" zoomScaleNormal="145" workbookViewId="0">
      <selection activeCell="A4" sqref="A1:A1048576"/>
    </sheetView>
  </sheetViews>
  <sheetFormatPr defaultRowHeight="14.4" x14ac:dyDescent="0.3"/>
  <cols>
    <col min="1" max="4" width="11.88671875" style="2" customWidth="1"/>
    <col min="5" max="5" width="8.88671875" style="2"/>
    <col min="6" max="6" width="10.109375" style="2" bestFit="1" customWidth="1"/>
    <col min="7" max="16384" width="8.88671875" style="2"/>
  </cols>
  <sheetData>
    <row r="1" spans="1:6" ht="21.75" hidden="1" customHeight="1" x14ac:dyDescent="0.3">
      <c r="A1" s="61" t="s">
        <v>76</v>
      </c>
      <c r="B1" s="62"/>
      <c r="C1" s="62"/>
      <c r="D1" s="62"/>
    </row>
    <row r="2" spans="1:6" x14ac:dyDescent="0.3">
      <c r="A2" s="63" t="s">
        <v>0</v>
      </c>
      <c r="B2" s="63" t="s">
        <v>33</v>
      </c>
      <c r="C2" s="63" t="s">
        <v>91</v>
      </c>
      <c r="D2" s="63" t="s">
        <v>92</v>
      </c>
      <c r="F2" s="64" t="s">
        <v>92</v>
      </c>
    </row>
    <row r="3" spans="1:6" x14ac:dyDescent="0.3">
      <c r="A3" s="65" t="s">
        <v>34</v>
      </c>
      <c r="B3" s="66">
        <v>20</v>
      </c>
      <c r="C3" s="28">
        <f>B3*$F$3</f>
        <v>1.4000000000000001</v>
      </c>
      <c r="D3" s="28">
        <f>B3+C3</f>
        <v>21.4</v>
      </c>
      <c r="F3" s="67">
        <v>7.0000000000000007E-2</v>
      </c>
    </row>
    <row r="4" spans="1:6" x14ac:dyDescent="0.3">
      <c r="A4" s="65" t="s">
        <v>35</v>
      </c>
      <c r="B4" s="66">
        <v>5</v>
      </c>
      <c r="C4" s="28">
        <f t="shared" ref="C4:C10" si="0">B4*$F$3</f>
        <v>0.35000000000000003</v>
      </c>
      <c r="D4" s="28">
        <f t="shared" ref="D4:D9" si="1">B4+C4</f>
        <v>5.35</v>
      </c>
    </row>
    <row r="5" spans="1:6" x14ac:dyDescent="0.3">
      <c r="A5" s="65" t="s">
        <v>36</v>
      </c>
      <c r="B5" s="66">
        <v>25</v>
      </c>
      <c r="C5" s="28">
        <f t="shared" si="0"/>
        <v>1.7500000000000002</v>
      </c>
      <c r="D5" s="28">
        <f t="shared" si="1"/>
        <v>26.75</v>
      </c>
    </row>
    <row r="6" spans="1:6" x14ac:dyDescent="0.3">
      <c r="A6" s="65" t="s">
        <v>37</v>
      </c>
      <c r="B6" s="66">
        <v>50</v>
      </c>
      <c r="C6" s="28">
        <f t="shared" si="0"/>
        <v>3.5000000000000004</v>
      </c>
      <c r="D6" s="28">
        <f t="shared" si="1"/>
        <v>53.5</v>
      </c>
    </row>
    <row r="7" spans="1:6" x14ac:dyDescent="0.3">
      <c r="A7" s="65" t="s">
        <v>38</v>
      </c>
      <c r="B7" s="66">
        <v>2</v>
      </c>
      <c r="C7" s="28">
        <f t="shared" si="0"/>
        <v>0.14000000000000001</v>
      </c>
      <c r="D7" s="28">
        <f t="shared" si="1"/>
        <v>2.14</v>
      </c>
    </row>
    <row r="8" spans="1:6" x14ac:dyDescent="0.3">
      <c r="A8" s="65" t="s">
        <v>39</v>
      </c>
      <c r="B8" s="66">
        <v>1</v>
      </c>
      <c r="C8" s="28">
        <f t="shared" si="0"/>
        <v>7.0000000000000007E-2</v>
      </c>
      <c r="D8" s="28">
        <f t="shared" si="1"/>
        <v>1.07</v>
      </c>
    </row>
    <row r="9" spans="1:6" x14ac:dyDescent="0.3">
      <c r="A9" s="65" t="s">
        <v>40</v>
      </c>
      <c r="B9" s="66">
        <v>15</v>
      </c>
      <c r="C9" s="28">
        <f t="shared" si="0"/>
        <v>1.05</v>
      </c>
      <c r="D9" s="28">
        <f t="shared" si="1"/>
        <v>16.05</v>
      </c>
    </row>
    <row r="10" spans="1:6" x14ac:dyDescent="0.3">
      <c r="A10" s="65" t="s">
        <v>41</v>
      </c>
      <c r="B10" s="66">
        <v>40</v>
      </c>
      <c r="C10" s="28">
        <f t="shared" si="0"/>
        <v>2.8000000000000003</v>
      </c>
      <c r="D10" s="28">
        <f>B10+C10</f>
        <v>42.8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K12"/>
  <sheetViews>
    <sheetView zoomScale="145" zoomScaleNormal="145" workbookViewId="0">
      <selection activeCell="A4" sqref="A1:A1048576"/>
    </sheetView>
  </sheetViews>
  <sheetFormatPr defaultColWidth="9.109375" defaultRowHeight="14.4" x14ac:dyDescent="0.3"/>
  <cols>
    <col min="1" max="1" width="4.109375" style="39" customWidth="1"/>
    <col min="2" max="11" width="4.33203125" style="39" customWidth="1"/>
    <col min="12" max="16384" width="9.109375" style="39"/>
  </cols>
  <sheetData>
    <row r="1" spans="1:11" x14ac:dyDescent="0.3">
      <c r="A1" s="55" t="s">
        <v>42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3">
      <c r="A2" s="56"/>
      <c r="B2" s="56">
        <v>1</v>
      </c>
      <c r="C2" s="56">
        <v>2</v>
      </c>
      <c r="D2" s="56">
        <v>3</v>
      </c>
      <c r="E2" s="56">
        <v>4</v>
      </c>
      <c r="F2" s="56">
        <v>5</v>
      </c>
      <c r="G2" s="56">
        <v>6</v>
      </c>
      <c r="H2" s="56">
        <v>7</v>
      </c>
      <c r="I2" s="56">
        <v>8</v>
      </c>
      <c r="J2" s="56">
        <v>9</v>
      </c>
      <c r="K2" s="56">
        <v>10</v>
      </c>
    </row>
    <row r="3" spans="1:11" x14ac:dyDescent="0.3">
      <c r="A3" s="56">
        <v>1</v>
      </c>
      <c r="B3" s="57">
        <f t="shared" ref="B3:K12" si="0">$A3*B$2</f>
        <v>1</v>
      </c>
      <c r="C3" s="57">
        <f t="shared" si="0"/>
        <v>2</v>
      </c>
      <c r="D3" s="57">
        <f t="shared" si="0"/>
        <v>3</v>
      </c>
      <c r="E3" s="58">
        <f t="shared" si="0"/>
        <v>4</v>
      </c>
      <c r="F3" s="58">
        <f t="shared" si="0"/>
        <v>5</v>
      </c>
      <c r="G3" s="58">
        <f t="shared" si="0"/>
        <v>6</v>
      </c>
      <c r="H3" s="58">
        <f t="shared" si="0"/>
        <v>7</v>
      </c>
      <c r="I3" s="58">
        <f t="shared" si="0"/>
        <v>8</v>
      </c>
      <c r="J3" s="58">
        <f t="shared" si="0"/>
        <v>9</v>
      </c>
      <c r="K3" s="58">
        <f t="shared" si="0"/>
        <v>10</v>
      </c>
    </row>
    <row r="4" spans="1:11" x14ac:dyDescent="0.3">
      <c r="A4" s="56">
        <v>2</v>
      </c>
      <c r="B4" s="57">
        <f t="shared" si="0"/>
        <v>2</v>
      </c>
      <c r="C4" s="57">
        <f t="shared" si="0"/>
        <v>4</v>
      </c>
      <c r="D4" s="57">
        <f t="shared" si="0"/>
        <v>6</v>
      </c>
      <c r="E4" s="59">
        <f t="shared" si="0"/>
        <v>8</v>
      </c>
      <c r="F4" s="59">
        <f t="shared" si="0"/>
        <v>10</v>
      </c>
      <c r="G4" s="59">
        <f t="shared" si="0"/>
        <v>12</v>
      </c>
      <c r="H4" s="59">
        <f t="shared" si="0"/>
        <v>14</v>
      </c>
      <c r="I4" s="59">
        <f t="shared" si="0"/>
        <v>16</v>
      </c>
      <c r="J4" s="59">
        <f t="shared" si="0"/>
        <v>18</v>
      </c>
      <c r="K4" s="59">
        <f t="shared" si="0"/>
        <v>20</v>
      </c>
    </row>
    <row r="5" spans="1:11" x14ac:dyDescent="0.3">
      <c r="A5" s="56">
        <v>3</v>
      </c>
      <c r="B5" s="57">
        <f t="shared" si="0"/>
        <v>3</v>
      </c>
      <c r="C5" s="57">
        <f t="shared" si="0"/>
        <v>6</v>
      </c>
      <c r="D5" s="57">
        <f t="shared" si="0"/>
        <v>9</v>
      </c>
      <c r="E5" s="59">
        <f t="shared" si="0"/>
        <v>12</v>
      </c>
      <c r="F5" s="59">
        <f t="shared" si="0"/>
        <v>15</v>
      </c>
      <c r="G5" s="59">
        <f t="shared" si="0"/>
        <v>18</v>
      </c>
      <c r="H5" s="59">
        <f t="shared" si="0"/>
        <v>21</v>
      </c>
      <c r="I5" s="59">
        <f t="shared" si="0"/>
        <v>24</v>
      </c>
      <c r="J5" s="59">
        <f t="shared" si="0"/>
        <v>27</v>
      </c>
      <c r="K5" s="59">
        <f t="shared" si="0"/>
        <v>30</v>
      </c>
    </row>
    <row r="6" spans="1:11" x14ac:dyDescent="0.3">
      <c r="A6" s="56">
        <v>4</v>
      </c>
      <c r="B6" s="60">
        <f t="shared" si="0"/>
        <v>4</v>
      </c>
      <c r="C6" s="59">
        <f t="shared" si="0"/>
        <v>8</v>
      </c>
      <c r="D6" s="59">
        <f t="shared" si="0"/>
        <v>12</v>
      </c>
      <c r="E6" s="59">
        <f t="shared" si="0"/>
        <v>16</v>
      </c>
      <c r="F6" s="59">
        <f t="shared" si="0"/>
        <v>20</v>
      </c>
      <c r="G6" s="59">
        <f t="shared" si="0"/>
        <v>24</v>
      </c>
      <c r="H6" s="59">
        <f t="shared" si="0"/>
        <v>28</v>
      </c>
      <c r="I6" s="59">
        <f t="shared" si="0"/>
        <v>32</v>
      </c>
      <c r="J6" s="59">
        <f t="shared" si="0"/>
        <v>36</v>
      </c>
      <c r="K6" s="59">
        <f t="shared" si="0"/>
        <v>40</v>
      </c>
    </row>
    <row r="7" spans="1:11" x14ac:dyDescent="0.3">
      <c r="A7" s="56">
        <v>5</v>
      </c>
      <c r="B7" s="60">
        <f t="shared" si="0"/>
        <v>5</v>
      </c>
      <c r="C7" s="59">
        <f t="shared" si="0"/>
        <v>10</v>
      </c>
      <c r="D7" s="59">
        <f t="shared" si="0"/>
        <v>15</v>
      </c>
      <c r="E7" s="59">
        <f t="shared" si="0"/>
        <v>20</v>
      </c>
      <c r="F7" s="59">
        <f t="shared" si="0"/>
        <v>25</v>
      </c>
      <c r="G7" s="59">
        <f t="shared" si="0"/>
        <v>30</v>
      </c>
      <c r="H7" s="59">
        <f t="shared" si="0"/>
        <v>35</v>
      </c>
      <c r="I7" s="59">
        <f t="shared" si="0"/>
        <v>40</v>
      </c>
      <c r="J7" s="59">
        <f t="shared" si="0"/>
        <v>45</v>
      </c>
      <c r="K7" s="59">
        <f t="shared" si="0"/>
        <v>50</v>
      </c>
    </row>
    <row r="8" spans="1:11" x14ac:dyDescent="0.3">
      <c r="A8" s="56">
        <v>6</v>
      </c>
      <c r="B8" s="60">
        <f t="shared" si="0"/>
        <v>6</v>
      </c>
      <c r="C8" s="59">
        <f t="shared" si="0"/>
        <v>12</v>
      </c>
      <c r="D8" s="59">
        <f t="shared" si="0"/>
        <v>18</v>
      </c>
      <c r="E8" s="59">
        <f t="shared" si="0"/>
        <v>24</v>
      </c>
      <c r="F8" s="59">
        <f t="shared" si="0"/>
        <v>30</v>
      </c>
      <c r="G8" s="59">
        <f t="shared" si="0"/>
        <v>36</v>
      </c>
      <c r="H8" s="59">
        <f t="shared" si="0"/>
        <v>42</v>
      </c>
      <c r="I8" s="59">
        <f t="shared" si="0"/>
        <v>48</v>
      </c>
      <c r="J8" s="59">
        <f t="shared" si="0"/>
        <v>54</v>
      </c>
      <c r="K8" s="59">
        <f t="shared" si="0"/>
        <v>60</v>
      </c>
    </row>
    <row r="9" spans="1:11" x14ac:dyDescent="0.3">
      <c r="A9" s="56">
        <v>7</v>
      </c>
      <c r="B9" s="60">
        <f t="shared" si="0"/>
        <v>7</v>
      </c>
      <c r="C9" s="59">
        <f t="shared" si="0"/>
        <v>14</v>
      </c>
      <c r="D9" s="59">
        <f t="shared" si="0"/>
        <v>21</v>
      </c>
      <c r="E9" s="59">
        <f t="shared" si="0"/>
        <v>28</v>
      </c>
      <c r="F9" s="59">
        <f t="shared" si="0"/>
        <v>35</v>
      </c>
      <c r="G9" s="59">
        <f t="shared" si="0"/>
        <v>42</v>
      </c>
      <c r="H9" s="59">
        <f t="shared" si="0"/>
        <v>49</v>
      </c>
      <c r="I9" s="59">
        <f t="shared" si="0"/>
        <v>56</v>
      </c>
      <c r="J9" s="59">
        <f t="shared" si="0"/>
        <v>63</v>
      </c>
      <c r="K9" s="59">
        <f t="shared" si="0"/>
        <v>70</v>
      </c>
    </row>
    <row r="10" spans="1:11" x14ac:dyDescent="0.3">
      <c r="A10" s="56">
        <v>8</v>
      </c>
      <c r="B10" s="60">
        <f t="shared" si="0"/>
        <v>8</v>
      </c>
      <c r="C10" s="59">
        <f t="shared" si="0"/>
        <v>16</v>
      </c>
      <c r="D10" s="59">
        <f t="shared" si="0"/>
        <v>24</v>
      </c>
      <c r="E10" s="59">
        <f t="shared" si="0"/>
        <v>32</v>
      </c>
      <c r="F10" s="59">
        <f t="shared" si="0"/>
        <v>40</v>
      </c>
      <c r="G10" s="59">
        <f t="shared" si="0"/>
        <v>48</v>
      </c>
      <c r="H10" s="59">
        <f t="shared" si="0"/>
        <v>56</v>
      </c>
      <c r="I10" s="59">
        <f t="shared" si="0"/>
        <v>64</v>
      </c>
      <c r="J10" s="59">
        <f t="shared" si="0"/>
        <v>72</v>
      </c>
      <c r="K10" s="59">
        <f t="shared" si="0"/>
        <v>80</v>
      </c>
    </row>
    <row r="11" spans="1:11" x14ac:dyDescent="0.3">
      <c r="A11" s="56">
        <v>9</v>
      </c>
      <c r="B11" s="60">
        <f t="shared" si="0"/>
        <v>9</v>
      </c>
      <c r="C11" s="59">
        <f t="shared" si="0"/>
        <v>18</v>
      </c>
      <c r="D11" s="59">
        <f t="shared" si="0"/>
        <v>27</v>
      </c>
      <c r="E11" s="59">
        <f t="shared" si="0"/>
        <v>36</v>
      </c>
      <c r="F11" s="59">
        <f t="shared" si="0"/>
        <v>45</v>
      </c>
      <c r="G11" s="59">
        <f t="shared" si="0"/>
        <v>54</v>
      </c>
      <c r="H11" s="59">
        <f t="shared" si="0"/>
        <v>63</v>
      </c>
      <c r="I11" s="59">
        <f t="shared" si="0"/>
        <v>72</v>
      </c>
      <c r="J11" s="59">
        <f t="shared" si="0"/>
        <v>81</v>
      </c>
      <c r="K11" s="59">
        <f t="shared" si="0"/>
        <v>90</v>
      </c>
    </row>
    <row r="12" spans="1:11" x14ac:dyDescent="0.3">
      <c r="A12" s="56">
        <v>10</v>
      </c>
      <c r="B12" s="60">
        <f t="shared" si="0"/>
        <v>10</v>
      </c>
      <c r="C12" s="59">
        <f t="shared" si="0"/>
        <v>20</v>
      </c>
      <c r="D12" s="59">
        <f t="shared" si="0"/>
        <v>30</v>
      </c>
      <c r="E12" s="59">
        <f t="shared" si="0"/>
        <v>40</v>
      </c>
      <c r="F12" s="59">
        <f t="shared" si="0"/>
        <v>50</v>
      </c>
      <c r="G12" s="59">
        <f t="shared" si="0"/>
        <v>60</v>
      </c>
      <c r="H12" s="59">
        <f t="shared" si="0"/>
        <v>70</v>
      </c>
      <c r="I12" s="59">
        <f t="shared" si="0"/>
        <v>80</v>
      </c>
      <c r="J12" s="59">
        <f t="shared" si="0"/>
        <v>90</v>
      </c>
      <c r="K12" s="59">
        <f>$A12*K$2</f>
        <v>100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2"/>
  </sheetPr>
  <dimension ref="A1:G20"/>
  <sheetViews>
    <sheetView zoomScale="130" zoomScaleNormal="130" workbookViewId="0">
      <selection activeCell="A4" sqref="A1:A1048576"/>
    </sheetView>
  </sheetViews>
  <sheetFormatPr defaultRowHeight="14.4" x14ac:dyDescent="0.3"/>
  <cols>
    <col min="1" max="1" width="13.5546875" style="2" bestFit="1" customWidth="1"/>
    <col min="2" max="3" width="12.5546875" style="2" bestFit="1" customWidth="1"/>
    <col min="4" max="7" width="14.109375" style="2" bestFit="1" customWidth="1"/>
    <col min="8" max="16384" width="8.88671875" style="2"/>
  </cols>
  <sheetData>
    <row r="1" spans="1:7" x14ac:dyDescent="0.3">
      <c r="A1" s="48" t="s">
        <v>43</v>
      </c>
      <c r="B1" s="38">
        <v>3000</v>
      </c>
    </row>
    <row r="3" spans="1:7" x14ac:dyDescent="0.3">
      <c r="A3" s="49" t="s">
        <v>44</v>
      </c>
      <c r="B3" s="49"/>
      <c r="C3" s="49"/>
      <c r="D3" s="49"/>
      <c r="E3" s="49"/>
      <c r="F3" s="49"/>
      <c r="G3" s="49"/>
    </row>
    <row r="4" spans="1:7" x14ac:dyDescent="0.3">
      <c r="A4" s="48" t="s">
        <v>45</v>
      </c>
      <c r="B4" s="50">
        <f>B17</f>
        <v>0.05</v>
      </c>
      <c r="C4" s="50">
        <f>B4+$B18</f>
        <v>6.0000000000000005E-2</v>
      </c>
      <c r="D4" s="50">
        <f>C4+$B18</f>
        <v>7.0000000000000007E-2</v>
      </c>
      <c r="E4" s="50">
        <f>D4+$B18</f>
        <v>0.08</v>
      </c>
      <c r="F4" s="50">
        <f>E4+$B18</f>
        <v>0.09</v>
      </c>
      <c r="G4" s="50">
        <f>F4+$B18</f>
        <v>9.9999999999999992E-2</v>
      </c>
    </row>
    <row r="5" spans="1:7" x14ac:dyDescent="0.3">
      <c r="A5" s="48">
        <f>B19</f>
        <v>5</v>
      </c>
      <c r="B5" s="51">
        <f t="shared" ref="B5:G13" si="0">-FV(B$4,$A5,$B$1)</f>
        <v>16576.893750000007</v>
      </c>
      <c r="C5" s="51">
        <f t="shared" si="0"/>
        <v>16911.278880000023</v>
      </c>
      <c r="D5" s="51">
        <f t="shared" si="0"/>
        <v>17252.217030000007</v>
      </c>
      <c r="E5" s="51">
        <f t="shared" si="0"/>
        <v>17599.80288000001</v>
      </c>
      <c r="F5" s="51">
        <f t="shared" si="0"/>
        <v>17954.131830000017</v>
      </c>
      <c r="G5" s="51">
        <f t="shared" si="0"/>
        <v>18315.300000000017</v>
      </c>
    </row>
    <row r="6" spans="1:7" x14ac:dyDescent="0.3">
      <c r="A6" s="48">
        <f t="shared" ref="A6:A13" si="1">A5+B$20</f>
        <v>10</v>
      </c>
      <c r="B6" s="51">
        <f t="shared" si="0"/>
        <v>37733.677606646488</v>
      </c>
      <c r="C6" s="51">
        <f t="shared" si="0"/>
        <v>39542.384827142727</v>
      </c>
      <c r="D6" s="51">
        <f t="shared" si="0"/>
        <v>41449.343883838526</v>
      </c>
      <c r="E6" s="51">
        <f t="shared" si="0"/>
        <v>43459.68739772954</v>
      </c>
      <c r="F6" s="51">
        <f t="shared" si="0"/>
        <v>45578.789153070626</v>
      </c>
      <c r="G6" s="51">
        <f t="shared" si="0"/>
        <v>47812.273803000062</v>
      </c>
    </row>
    <row r="7" spans="1:7" x14ac:dyDescent="0.3">
      <c r="A7" s="48">
        <f t="shared" si="1"/>
        <v>15</v>
      </c>
      <c r="B7" s="51">
        <f t="shared" si="0"/>
        <v>64735.690764682069</v>
      </c>
      <c r="C7" s="51">
        <f t="shared" si="0"/>
        <v>69827.909654984614</v>
      </c>
      <c r="D7" s="51">
        <f t="shared" si="0"/>
        <v>75387.066030657195</v>
      </c>
      <c r="E7" s="51">
        <f t="shared" si="0"/>
        <v>81456.341782435178</v>
      </c>
      <c r="F7" s="51">
        <f t="shared" si="0"/>
        <v>88082.748656250769</v>
      </c>
      <c r="G7" s="51">
        <f t="shared" si="0"/>
        <v>95317.445082469669</v>
      </c>
    </row>
    <row r="8" spans="1:7" x14ac:dyDescent="0.3">
      <c r="A8" s="48">
        <f t="shared" si="1"/>
        <v>20</v>
      </c>
      <c r="B8" s="51">
        <f t="shared" si="0"/>
        <v>99197.862308665237</v>
      </c>
      <c r="C8" s="51">
        <f t="shared" si="0"/>
        <v>110356.77361064238</v>
      </c>
      <c r="D8" s="51">
        <f t="shared" si="0"/>
        <v>122986.47696369339</v>
      </c>
      <c r="E8" s="51">
        <f t="shared" si="0"/>
        <v>137285.892894349</v>
      </c>
      <c r="F8" s="51">
        <f t="shared" si="0"/>
        <v>153480.35892594326</v>
      </c>
      <c r="G8" s="51">
        <f t="shared" si="0"/>
        <v>171824.99847976828</v>
      </c>
    </row>
    <row r="9" spans="1:7" x14ac:dyDescent="0.3">
      <c r="A9" s="48">
        <f t="shared" si="1"/>
        <v>25</v>
      </c>
      <c r="B9" s="51">
        <f t="shared" si="0"/>
        <v>143181.29645396315</v>
      </c>
      <c r="C9" s="51">
        <f t="shared" si="0"/>
        <v>164593.5359871744</v>
      </c>
      <c r="D9" s="51">
        <f t="shared" si="0"/>
        <v>189747.11314812387</v>
      </c>
      <c r="E9" s="51">
        <f t="shared" si="0"/>
        <v>219317.81985822468</v>
      </c>
      <c r="F9" s="51">
        <f t="shared" si="0"/>
        <v>254102.68868010645</v>
      </c>
      <c r="G9" s="51">
        <f t="shared" si="0"/>
        <v>295041.17830165173</v>
      </c>
    </row>
    <row r="10" spans="1:7" x14ac:dyDescent="0.3">
      <c r="A10" s="48">
        <f t="shared" si="1"/>
        <v>30</v>
      </c>
      <c r="B10" s="51">
        <f t="shared" si="0"/>
        <v>199316.54250903975</v>
      </c>
      <c r="C10" s="51">
        <f t="shared" si="0"/>
        <v>237174.55864566297</v>
      </c>
      <c r="D10" s="51">
        <f t="shared" si="0"/>
        <v>283382.35897122981</v>
      </c>
      <c r="E10" s="51">
        <f t="shared" si="0"/>
        <v>339849.63334025419</v>
      </c>
      <c r="F10" s="51">
        <f t="shared" si="0"/>
        <v>408922.61563770898</v>
      </c>
      <c r="G10" s="51">
        <f t="shared" si="0"/>
        <v>493482.06806659332</v>
      </c>
    </row>
    <row r="11" spans="1:7" x14ac:dyDescent="0.3">
      <c r="A11" s="48">
        <f t="shared" si="1"/>
        <v>35</v>
      </c>
      <c r="B11" s="51">
        <f t="shared" si="0"/>
        <v>270960.92205553508</v>
      </c>
      <c r="C11" s="51">
        <f t="shared" si="0"/>
        <v>334304.33961561747</v>
      </c>
      <c r="D11" s="51">
        <f t="shared" si="0"/>
        <v>414710.63505494711</v>
      </c>
      <c r="E11" s="51">
        <f t="shared" si="0"/>
        <v>516950.41103702097</v>
      </c>
      <c r="F11" s="51">
        <f t="shared" si="0"/>
        <v>647132.26395054453</v>
      </c>
      <c r="G11" s="51">
        <f t="shared" si="0"/>
        <v>813073.10544192966</v>
      </c>
    </row>
    <row r="12" spans="1:7" x14ac:dyDescent="0.3">
      <c r="A12" s="48">
        <f t="shared" si="1"/>
        <v>40</v>
      </c>
      <c r="B12" s="51">
        <f t="shared" si="0"/>
        <v>362399.32272747892</v>
      </c>
      <c r="C12" s="51">
        <f t="shared" si="0"/>
        <v>464285.8968562964</v>
      </c>
      <c r="D12" s="51">
        <f t="shared" si="0"/>
        <v>598905.33596601232</v>
      </c>
      <c r="E12" s="51">
        <f t="shared" si="0"/>
        <v>777169.55612999585</v>
      </c>
      <c r="F12" s="51">
        <f t="shared" si="0"/>
        <v>1013647.3351329777</v>
      </c>
      <c r="G12" s="51">
        <f t="shared" si="0"/>
        <v>1327777.6670452822</v>
      </c>
    </row>
    <row r="13" spans="1:7" x14ac:dyDescent="0.3">
      <c r="A13" s="48">
        <f t="shared" si="1"/>
        <v>45</v>
      </c>
      <c r="B13" s="51">
        <f t="shared" si="0"/>
        <v>479100.46760956873</v>
      </c>
      <c r="C13" s="51">
        <f t="shared" si="0"/>
        <v>638230.54137205146</v>
      </c>
      <c r="D13" s="51">
        <f t="shared" si="0"/>
        <v>857247.93251459545</v>
      </c>
      <c r="E13" s="51">
        <f t="shared" si="0"/>
        <v>1159516.8521359963</v>
      </c>
      <c r="F13" s="51">
        <f t="shared" si="0"/>
        <v>1577576.2034861485</v>
      </c>
      <c r="G13" s="51">
        <f t="shared" si="0"/>
        <v>2156714.5105530987</v>
      </c>
    </row>
    <row r="16" spans="1:7" x14ac:dyDescent="0.3">
      <c r="A16" s="52" t="s">
        <v>46</v>
      </c>
      <c r="B16" s="53"/>
    </row>
    <row r="17" spans="1:2" x14ac:dyDescent="0.3">
      <c r="A17" s="27" t="s">
        <v>47</v>
      </c>
      <c r="B17" s="54">
        <v>0.05</v>
      </c>
    </row>
    <row r="18" spans="1:2" x14ac:dyDescent="0.3">
      <c r="A18" s="27" t="s">
        <v>48</v>
      </c>
      <c r="B18" s="54">
        <v>0.01</v>
      </c>
    </row>
    <row r="19" spans="1:2" x14ac:dyDescent="0.3">
      <c r="A19" s="27" t="s">
        <v>49</v>
      </c>
      <c r="B19" s="27">
        <v>5</v>
      </c>
    </row>
    <row r="20" spans="1:2" x14ac:dyDescent="0.3">
      <c r="A20" s="27" t="s">
        <v>50</v>
      </c>
      <c r="B20" s="27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1:K10"/>
  <sheetViews>
    <sheetView zoomScale="145" zoomScaleNormal="145" workbookViewId="0">
      <selection activeCell="A4" sqref="A1:A1048576"/>
    </sheetView>
  </sheetViews>
  <sheetFormatPr defaultColWidth="9.109375" defaultRowHeight="14.4" x14ac:dyDescent="0.3"/>
  <cols>
    <col min="1" max="1" width="9.109375" style="39"/>
    <col min="2" max="2" width="11.5546875" style="39" bestFit="1" customWidth="1"/>
    <col min="3" max="4" width="10.44140625" style="39" bestFit="1" customWidth="1"/>
    <col min="5" max="5" width="10.44140625" style="39" customWidth="1"/>
    <col min="6" max="6" width="10.44140625" style="39" bestFit="1" customWidth="1"/>
    <col min="7" max="16384" width="9.109375" style="39"/>
  </cols>
  <sheetData>
    <row r="1" spans="1:11" x14ac:dyDescent="0.3">
      <c r="C1" s="40" t="s">
        <v>51</v>
      </c>
      <c r="D1" s="40" t="s">
        <v>52</v>
      </c>
      <c r="E1" s="40" t="s">
        <v>93</v>
      </c>
      <c r="F1" s="40" t="s">
        <v>53</v>
      </c>
      <c r="J1" s="40" t="s">
        <v>51</v>
      </c>
      <c r="K1" s="41">
        <v>0.3</v>
      </c>
    </row>
    <row r="2" spans="1:11" x14ac:dyDescent="0.3">
      <c r="C2" s="41">
        <v>0.3</v>
      </c>
      <c r="D2" s="41">
        <v>0.35</v>
      </c>
      <c r="E2" s="41">
        <v>0.1</v>
      </c>
      <c r="F2" s="41">
        <v>0.25</v>
      </c>
      <c r="G2" s="42">
        <f>SUM(C2:F2)</f>
        <v>0.99999999999999989</v>
      </c>
      <c r="J2" s="40" t="s">
        <v>52</v>
      </c>
      <c r="K2" s="41">
        <v>0.35</v>
      </c>
    </row>
    <row r="3" spans="1:11" x14ac:dyDescent="0.3">
      <c r="J3" s="40" t="s">
        <v>53</v>
      </c>
      <c r="K3" s="41">
        <v>0.25</v>
      </c>
    </row>
    <row r="4" spans="1:11" x14ac:dyDescent="0.3">
      <c r="A4" s="43" t="s">
        <v>54</v>
      </c>
      <c r="B4" s="43" t="s">
        <v>19</v>
      </c>
      <c r="C4" s="44" t="str">
        <f>C1</f>
        <v>Marianna</v>
      </c>
      <c r="D4" s="44" t="str">
        <f t="shared" ref="D4:F4" si="0">D1</f>
        <v>Ryszard</v>
      </c>
      <c r="E4" s="44" t="str">
        <f>E1</f>
        <v>Szczepan</v>
      </c>
      <c r="F4" s="44" t="str">
        <f t="shared" si="0"/>
        <v>Tadeusz</v>
      </c>
    </row>
    <row r="5" spans="1:11" x14ac:dyDescent="0.3">
      <c r="A5" s="45" t="s">
        <v>21</v>
      </c>
      <c r="B5" s="46">
        <v>16437</v>
      </c>
      <c r="C5" s="47">
        <f t="shared" ref="C5:F10" si="1">$B5*C$2</f>
        <v>4931.0999999999995</v>
      </c>
      <c r="D5" s="47">
        <f t="shared" si="1"/>
        <v>5752.95</v>
      </c>
      <c r="E5" s="47">
        <f t="shared" si="1"/>
        <v>1643.7</v>
      </c>
      <c r="F5" s="47">
        <f t="shared" si="1"/>
        <v>4109.25</v>
      </c>
    </row>
    <row r="6" spans="1:11" x14ac:dyDescent="0.3">
      <c r="A6" s="45" t="s">
        <v>22</v>
      </c>
      <c r="B6" s="46">
        <v>17795</v>
      </c>
      <c r="C6" s="47">
        <f t="shared" si="1"/>
        <v>5338.5</v>
      </c>
      <c r="D6" s="47">
        <f t="shared" si="1"/>
        <v>6228.25</v>
      </c>
      <c r="E6" s="47">
        <f t="shared" si="1"/>
        <v>1779.5</v>
      </c>
      <c r="F6" s="47">
        <f t="shared" si="1"/>
        <v>4448.75</v>
      </c>
    </row>
    <row r="7" spans="1:11" x14ac:dyDescent="0.3">
      <c r="A7" s="45" t="s">
        <v>23</v>
      </c>
      <c r="B7" s="46">
        <v>20917</v>
      </c>
      <c r="C7" s="47">
        <f t="shared" si="1"/>
        <v>6275.0999999999995</v>
      </c>
      <c r="D7" s="47">
        <f t="shared" si="1"/>
        <v>7320.95</v>
      </c>
      <c r="E7" s="47">
        <f t="shared" si="1"/>
        <v>2091.7000000000003</v>
      </c>
      <c r="F7" s="47">
        <f t="shared" si="1"/>
        <v>5229.25</v>
      </c>
    </row>
    <row r="8" spans="1:11" x14ac:dyDescent="0.3">
      <c r="A8" s="45" t="s">
        <v>24</v>
      </c>
      <c r="B8" s="46">
        <v>10818</v>
      </c>
      <c r="C8" s="47">
        <f t="shared" si="1"/>
        <v>3245.4</v>
      </c>
      <c r="D8" s="47">
        <f t="shared" si="1"/>
        <v>3786.2999999999997</v>
      </c>
      <c r="E8" s="47">
        <f t="shared" si="1"/>
        <v>1081.8</v>
      </c>
      <c r="F8" s="47">
        <f t="shared" si="1"/>
        <v>2704.5</v>
      </c>
    </row>
    <row r="9" spans="1:11" x14ac:dyDescent="0.3">
      <c r="A9" s="45" t="s">
        <v>25</v>
      </c>
      <c r="B9" s="46">
        <v>11322</v>
      </c>
      <c r="C9" s="47">
        <f t="shared" si="1"/>
        <v>3396.6</v>
      </c>
      <c r="D9" s="47">
        <f t="shared" si="1"/>
        <v>3962.7</v>
      </c>
      <c r="E9" s="47">
        <f t="shared" si="1"/>
        <v>1132.2</v>
      </c>
      <c r="F9" s="47">
        <f t="shared" si="1"/>
        <v>2830.5</v>
      </c>
    </row>
    <row r="10" spans="1:11" x14ac:dyDescent="0.3">
      <c r="A10" s="45" t="s">
        <v>26</v>
      </c>
      <c r="B10" s="46">
        <v>16958</v>
      </c>
      <c r="C10" s="47">
        <f t="shared" si="1"/>
        <v>5087.3999999999996</v>
      </c>
      <c r="D10" s="47">
        <f t="shared" si="1"/>
        <v>5935.2999999999993</v>
      </c>
      <c r="E10" s="47">
        <f t="shared" si="1"/>
        <v>1695.8000000000002</v>
      </c>
      <c r="F10" s="47">
        <f t="shared" si="1"/>
        <v>4239.5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A3F2"/>
  </sheetPr>
  <dimension ref="A1:B9"/>
  <sheetViews>
    <sheetView zoomScale="160" zoomScaleNormal="160" workbookViewId="0">
      <selection activeCell="A4" sqref="A1:A1048576"/>
    </sheetView>
  </sheetViews>
  <sheetFormatPr defaultRowHeight="14.4" x14ac:dyDescent="0.3"/>
  <cols>
    <col min="1" max="1" width="10.6640625" style="2" bestFit="1" customWidth="1"/>
    <col min="2" max="16384" width="8.88671875" style="2"/>
  </cols>
  <sheetData>
    <row r="1" spans="1:2" x14ac:dyDescent="0.3">
      <c r="A1" s="36" t="s">
        <v>0</v>
      </c>
      <c r="B1" s="36" t="s">
        <v>33</v>
      </c>
    </row>
    <row r="2" spans="1:2" x14ac:dyDescent="0.3">
      <c r="A2" s="27" t="s">
        <v>34</v>
      </c>
      <c r="B2" s="38">
        <v>2</v>
      </c>
    </row>
    <row r="3" spans="1:2" x14ac:dyDescent="0.3">
      <c r="A3" s="27" t="s">
        <v>35</v>
      </c>
      <c r="B3" s="38">
        <v>0.5</v>
      </c>
    </row>
    <row r="4" spans="1:2" x14ac:dyDescent="0.3">
      <c r="A4" s="27" t="s">
        <v>36</v>
      </c>
      <c r="B4" s="38">
        <v>2.5</v>
      </c>
    </row>
    <row r="5" spans="1:2" x14ac:dyDescent="0.3">
      <c r="A5" s="27" t="s">
        <v>37</v>
      </c>
      <c r="B5" s="38">
        <v>5</v>
      </c>
    </row>
    <row r="6" spans="1:2" x14ac:dyDescent="0.3">
      <c r="A6" s="27" t="s">
        <v>38</v>
      </c>
      <c r="B6" s="38">
        <v>0.2</v>
      </c>
    </row>
    <row r="7" spans="1:2" x14ac:dyDescent="0.3">
      <c r="A7" s="27" t="s">
        <v>39</v>
      </c>
      <c r="B7" s="38">
        <v>0.1</v>
      </c>
    </row>
    <row r="8" spans="1:2" x14ac:dyDescent="0.3">
      <c r="A8" s="27" t="s">
        <v>40</v>
      </c>
      <c r="B8" s="38">
        <v>1.5</v>
      </c>
    </row>
    <row r="9" spans="1:2" x14ac:dyDescent="0.3">
      <c r="A9" s="27" t="s">
        <v>41</v>
      </c>
      <c r="B9" s="3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A3F2"/>
  </sheetPr>
  <dimension ref="A1:M325"/>
  <sheetViews>
    <sheetView zoomScale="130" zoomScaleNormal="130" workbookViewId="0">
      <selection activeCell="A4" sqref="A1:A1048576"/>
    </sheetView>
  </sheetViews>
  <sheetFormatPr defaultRowHeight="14.4" x14ac:dyDescent="0.3"/>
  <cols>
    <col min="1" max="1" width="11.109375" style="2" bestFit="1" customWidth="1"/>
    <col min="2" max="2" width="11.44140625" style="2" bestFit="1" customWidth="1"/>
    <col min="3" max="3" width="14.33203125" style="2" bestFit="1" customWidth="1"/>
    <col min="4" max="4" width="9.6640625" style="2" bestFit="1" customWidth="1"/>
    <col min="5" max="5" width="10.6640625" style="2" bestFit="1" customWidth="1"/>
    <col min="6" max="6" width="8.88671875" style="2" bestFit="1" customWidth="1"/>
    <col min="7" max="9" width="9.5546875" style="2" customWidth="1"/>
    <col min="10" max="10" width="8.88671875" style="2"/>
    <col min="11" max="11" width="4.5546875" style="2" customWidth="1"/>
    <col min="12" max="12" width="10.6640625" style="2" bestFit="1" customWidth="1"/>
    <col min="13" max="16384" width="8.88671875" style="2"/>
  </cols>
  <sheetData>
    <row r="1" spans="1:13" x14ac:dyDescent="0.3">
      <c r="A1" s="36" t="s">
        <v>55</v>
      </c>
      <c r="B1" s="36" t="s">
        <v>1</v>
      </c>
      <c r="C1" s="36" t="s">
        <v>2</v>
      </c>
      <c r="D1" s="36" t="s">
        <v>56</v>
      </c>
      <c r="E1" s="36" t="s">
        <v>0</v>
      </c>
      <c r="F1" s="36" t="s">
        <v>94</v>
      </c>
      <c r="G1" s="36" t="s">
        <v>33</v>
      </c>
      <c r="H1" s="36" t="s">
        <v>95</v>
      </c>
      <c r="I1" s="36" t="s">
        <v>96</v>
      </c>
      <c r="J1" s="36" t="s">
        <v>57</v>
      </c>
      <c r="L1" s="36" t="s">
        <v>0</v>
      </c>
      <c r="M1" s="36" t="s">
        <v>33</v>
      </c>
    </row>
    <row r="2" spans="1:13" x14ac:dyDescent="0.3">
      <c r="A2" s="37">
        <v>41553</v>
      </c>
      <c r="B2" s="27" t="s">
        <v>58</v>
      </c>
      <c r="C2" s="27" t="s">
        <v>3</v>
      </c>
      <c r="D2" s="27" t="s">
        <v>59</v>
      </c>
      <c r="E2" s="27" t="s">
        <v>35</v>
      </c>
      <c r="F2" s="27">
        <v>19</v>
      </c>
      <c r="G2" s="28">
        <f>VLOOKUP(E2,$L$2:$M$9,2,FALSE)</f>
        <v>0.5</v>
      </c>
      <c r="H2" s="28">
        <f>VLOOKUP(E2,Arkusz3!$A$1:$B$9,2,FALSE)</f>
        <v>0.5</v>
      </c>
      <c r="I2" s="28">
        <f>VLOOKUP(E2,[1]Arkusz1!$A$1:$B$9,2,FALSE)</f>
        <v>0.5</v>
      </c>
      <c r="J2" s="38">
        <f>F2*G2</f>
        <v>9.5</v>
      </c>
      <c r="L2" s="27" t="s">
        <v>34</v>
      </c>
      <c r="M2" s="38">
        <v>2</v>
      </c>
    </row>
    <row r="3" spans="1:13" x14ac:dyDescent="0.3">
      <c r="A3" s="37">
        <v>41433</v>
      </c>
      <c r="B3" s="27" t="s">
        <v>62</v>
      </c>
      <c r="C3" s="27" t="s">
        <v>4</v>
      </c>
      <c r="D3" s="27" t="s">
        <v>63</v>
      </c>
      <c r="E3" s="27" t="s">
        <v>39</v>
      </c>
      <c r="F3" s="27">
        <v>12</v>
      </c>
      <c r="G3" s="28">
        <f t="shared" ref="G3:G66" si="0">VLOOKUP(E3,$L$2:$M$9,2,FALSE)</f>
        <v>0.1</v>
      </c>
      <c r="H3" s="28">
        <f>VLOOKUP(E3,Arkusz3!$A$1:$B$9,2,FALSE)</f>
        <v>0.1</v>
      </c>
      <c r="I3" s="28">
        <f>VLOOKUP(E3,[1]Arkusz1!$A$1:$B$9,2,FALSE)</f>
        <v>0.1</v>
      </c>
      <c r="J3" s="38">
        <f t="shared" ref="J3:J66" si="1">F3*G3</f>
        <v>1.2000000000000002</v>
      </c>
      <c r="L3" s="27" t="s">
        <v>35</v>
      </c>
      <c r="M3" s="38">
        <v>0.5</v>
      </c>
    </row>
    <row r="4" spans="1:13" x14ac:dyDescent="0.3">
      <c r="A4" s="37">
        <v>41454</v>
      </c>
      <c r="B4" s="27" t="s">
        <v>62</v>
      </c>
      <c r="C4" s="27" t="s">
        <v>4</v>
      </c>
      <c r="D4" s="27" t="s">
        <v>65</v>
      </c>
      <c r="E4" s="27" t="s">
        <v>35</v>
      </c>
      <c r="F4" s="27">
        <v>15</v>
      </c>
      <c r="G4" s="28">
        <f t="shared" si="0"/>
        <v>0.5</v>
      </c>
      <c r="H4" s="28">
        <f>VLOOKUP(E4,Arkusz3!$A$1:$B$9,2,FALSE)</f>
        <v>0.5</v>
      </c>
      <c r="I4" s="28">
        <f>VLOOKUP(E4,[1]Arkusz1!$A$1:$B$9,2,FALSE)</f>
        <v>0.5</v>
      </c>
      <c r="J4" s="38">
        <f t="shared" si="1"/>
        <v>7.5</v>
      </c>
      <c r="L4" s="27" t="s">
        <v>36</v>
      </c>
      <c r="M4" s="38">
        <v>2.5</v>
      </c>
    </row>
    <row r="5" spans="1:13" x14ac:dyDescent="0.3">
      <c r="A5" s="37">
        <v>41608</v>
      </c>
      <c r="B5" s="27" t="s">
        <v>67</v>
      </c>
      <c r="C5" s="27" t="s">
        <v>4</v>
      </c>
      <c r="D5" s="27" t="s">
        <v>68</v>
      </c>
      <c r="E5" s="27" t="s">
        <v>39</v>
      </c>
      <c r="F5" s="27">
        <v>4</v>
      </c>
      <c r="G5" s="28">
        <f t="shared" si="0"/>
        <v>0.1</v>
      </c>
      <c r="H5" s="28">
        <f>VLOOKUP(E5,Arkusz3!$A$1:$B$9,2,FALSE)</f>
        <v>0.1</v>
      </c>
      <c r="I5" s="28">
        <f>VLOOKUP(E5,[1]Arkusz1!$A$1:$B$9,2,FALSE)</f>
        <v>0.1</v>
      </c>
      <c r="J5" s="38">
        <f t="shared" si="1"/>
        <v>0.4</v>
      </c>
      <c r="L5" s="27" t="s">
        <v>37</v>
      </c>
      <c r="M5" s="38">
        <v>5</v>
      </c>
    </row>
    <row r="6" spans="1:13" x14ac:dyDescent="0.3">
      <c r="A6" s="37">
        <v>41602</v>
      </c>
      <c r="B6" s="27" t="s">
        <v>67</v>
      </c>
      <c r="C6" s="27" t="s">
        <v>4</v>
      </c>
      <c r="D6" s="27" t="s">
        <v>66</v>
      </c>
      <c r="E6" s="27" t="s">
        <v>39</v>
      </c>
      <c r="F6" s="27">
        <v>6</v>
      </c>
      <c r="G6" s="28">
        <f t="shared" si="0"/>
        <v>0.1</v>
      </c>
      <c r="H6" s="28">
        <f>VLOOKUP(E6,Arkusz3!$A$1:$B$9,2,FALSE)</f>
        <v>0.1</v>
      </c>
      <c r="I6" s="28">
        <f>VLOOKUP(E6,[1]Arkusz1!$A$1:$B$9,2,FALSE)</f>
        <v>0.1</v>
      </c>
      <c r="J6" s="38">
        <f t="shared" si="1"/>
        <v>0.60000000000000009</v>
      </c>
      <c r="L6" s="27" t="s">
        <v>38</v>
      </c>
      <c r="M6" s="38">
        <v>0.2</v>
      </c>
    </row>
    <row r="7" spans="1:13" x14ac:dyDescent="0.3">
      <c r="A7" s="37">
        <v>41589</v>
      </c>
      <c r="B7" s="27" t="s">
        <v>58</v>
      </c>
      <c r="C7" s="27" t="s">
        <v>3</v>
      </c>
      <c r="D7" s="27" t="s">
        <v>63</v>
      </c>
      <c r="E7" s="27" t="s">
        <v>41</v>
      </c>
      <c r="F7" s="27">
        <v>20</v>
      </c>
      <c r="G7" s="28">
        <f t="shared" si="0"/>
        <v>4</v>
      </c>
      <c r="H7" s="28">
        <f>VLOOKUP(E7,Arkusz3!$A$1:$B$9,2,FALSE)</f>
        <v>4</v>
      </c>
      <c r="I7" s="28">
        <f>VLOOKUP(E7,[1]Arkusz1!$A$1:$B$9,2,FALSE)</f>
        <v>4</v>
      </c>
      <c r="J7" s="38">
        <f t="shared" si="1"/>
        <v>80</v>
      </c>
      <c r="L7" s="27" t="s">
        <v>39</v>
      </c>
      <c r="M7" s="38">
        <v>0.1</v>
      </c>
    </row>
    <row r="8" spans="1:13" x14ac:dyDescent="0.3">
      <c r="A8" s="37">
        <v>41503</v>
      </c>
      <c r="B8" s="27" t="s">
        <v>58</v>
      </c>
      <c r="C8" s="27" t="s">
        <v>4</v>
      </c>
      <c r="D8" s="27" t="s">
        <v>70</v>
      </c>
      <c r="E8" s="27" t="s">
        <v>36</v>
      </c>
      <c r="F8" s="27">
        <v>4</v>
      </c>
      <c r="G8" s="28">
        <f t="shared" si="0"/>
        <v>2.5</v>
      </c>
      <c r="H8" s="28">
        <f>VLOOKUP(E8,Arkusz3!$A$1:$B$9,2,FALSE)</f>
        <v>2.5</v>
      </c>
      <c r="I8" s="28">
        <f>VLOOKUP(E8,[1]Arkusz1!$A$1:$B$9,2,FALSE)</f>
        <v>2.5</v>
      </c>
      <c r="J8" s="38">
        <f t="shared" si="1"/>
        <v>10</v>
      </c>
      <c r="L8" s="27" t="s">
        <v>40</v>
      </c>
      <c r="M8" s="38">
        <v>1.5</v>
      </c>
    </row>
    <row r="9" spans="1:13" x14ac:dyDescent="0.3">
      <c r="A9" s="37">
        <v>41434</v>
      </c>
      <c r="B9" s="27" t="s">
        <v>62</v>
      </c>
      <c r="C9" s="27" t="s">
        <v>5</v>
      </c>
      <c r="D9" s="27" t="s">
        <v>60</v>
      </c>
      <c r="E9" s="27" t="s">
        <v>36</v>
      </c>
      <c r="F9" s="27">
        <v>1</v>
      </c>
      <c r="G9" s="28">
        <f t="shared" si="0"/>
        <v>2.5</v>
      </c>
      <c r="H9" s="28">
        <f>VLOOKUP(E9,Arkusz3!$A$1:$B$9,2,FALSE)</f>
        <v>2.5</v>
      </c>
      <c r="I9" s="28">
        <f>VLOOKUP(E9,[1]Arkusz1!$A$1:$B$9,2,FALSE)</f>
        <v>2.5</v>
      </c>
      <c r="J9" s="38">
        <f t="shared" si="1"/>
        <v>2.5</v>
      </c>
      <c r="L9" s="27" t="s">
        <v>41</v>
      </c>
      <c r="M9" s="38">
        <v>4</v>
      </c>
    </row>
    <row r="10" spans="1:13" x14ac:dyDescent="0.3">
      <c r="A10" s="37">
        <v>41582</v>
      </c>
      <c r="B10" s="27" t="s">
        <v>58</v>
      </c>
      <c r="C10" s="27" t="s">
        <v>5</v>
      </c>
      <c r="D10" s="27" t="s">
        <v>64</v>
      </c>
      <c r="E10" s="27" t="s">
        <v>38</v>
      </c>
      <c r="F10" s="27">
        <v>11</v>
      </c>
      <c r="G10" s="28">
        <f t="shared" si="0"/>
        <v>0.2</v>
      </c>
      <c r="H10" s="28">
        <f>VLOOKUP(E10,Arkusz3!$A$1:$B$9,2,FALSE)</f>
        <v>0.2</v>
      </c>
      <c r="I10" s="28">
        <f>VLOOKUP(E10,[1]Arkusz1!$A$1:$B$9,2,FALSE)</f>
        <v>0.2</v>
      </c>
      <c r="J10" s="38">
        <f t="shared" si="1"/>
        <v>2.2000000000000002</v>
      </c>
    </row>
    <row r="11" spans="1:13" x14ac:dyDescent="0.3">
      <c r="A11" s="37">
        <v>41633</v>
      </c>
      <c r="B11" s="27" t="s">
        <v>62</v>
      </c>
      <c r="C11" s="27" t="s">
        <v>5</v>
      </c>
      <c r="D11" s="27" t="s">
        <v>59</v>
      </c>
      <c r="E11" s="27" t="s">
        <v>38</v>
      </c>
      <c r="F11" s="27">
        <v>20</v>
      </c>
      <c r="G11" s="28">
        <f t="shared" si="0"/>
        <v>0.2</v>
      </c>
      <c r="H11" s="28">
        <f>VLOOKUP(E11,Arkusz3!$A$1:$B$9,2,FALSE)</f>
        <v>0.2</v>
      </c>
      <c r="I11" s="28">
        <f>VLOOKUP(E11,[1]Arkusz1!$A$1:$B$9,2,FALSE)</f>
        <v>0.2</v>
      </c>
      <c r="J11" s="38">
        <f t="shared" si="1"/>
        <v>4</v>
      </c>
    </row>
    <row r="12" spans="1:13" x14ac:dyDescent="0.3">
      <c r="A12" s="37">
        <v>41604</v>
      </c>
      <c r="B12" s="27" t="s">
        <v>62</v>
      </c>
      <c r="C12" s="27" t="s">
        <v>4</v>
      </c>
      <c r="D12" s="27" t="s">
        <v>68</v>
      </c>
      <c r="E12" s="27" t="s">
        <v>34</v>
      </c>
      <c r="F12" s="27">
        <v>8</v>
      </c>
      <c r="G12" s="28">
        <f t="shared" si="0"/>
        <v>2</v>
      </c>
      <c r="H12" s="28">
        <f>VLOOKUP(E12,Arkusz3!$A$1:$B$9,2,FALSE)</f>
        <v>2</v>
      </c>
      <c r="I12" s="28">
        <f>VLOOKUP(E12,[1]Arkusz1!$A$1:$B$9,2,FALSE)</f>
        <v>2</v>
      </c>
      <c r="J12" s="38">
        <f t="shared" si="1"/>
        <v>16</v>
      </c>
    </row>
    <row r="13" spans="1:13" x14ac:dyDescent="0.3">
      <c r="A13" s="37">
        <v>41455</v>
      </c>
      <c r="B13" s="27" t="s">
        <v>62</v>
      </c>
      <c r="C13" s="27" t="s">
        <v>5</v>
      </c>
      <c r="D13" s="27" t="s">
        <v>60</v>
      </c>
      <c r="E13" s="27" t="s">
        <v>41</v>
      </c>
      <c r="F13" s="27">
        <v>12</v>
      </c>
      <c r="G13" s="28">
        <f t="shared" si="0"/>
        <v>4</v>
      </c>
      <c r="H13" s="28">
        <f>VLOOKUP(E13,Arkusz3!$A$1:$B$9,2,FALSE)</f>
        <v>4</v>
      </c>
      <c r="I13" s="28">
        <f>VLOOKUP(E13,[1]Arkusz1!$A$1:$B$9,2,FALSE)</f>
        <v>4</v>
      </c>
      <c r="J13" s="38">
        <f t="shared" si="1"/>
        <v>48</v>
      </c>
    </row>
    <row r="14" spans="1:13" x14ac:dyDescent="0.3">
      <c r="A14" s="37">
        <v>41454</v>
      </c>
      <c r="B14" s="27" t="s">
        <v>58</v>
      </c>
      <c r="C14" s="27" t="s">
        <v>6</v>
      </c>
      <c r="D14" s="27" t="s">
        <v>72</v>
      </c>
      <c r="E14" s="27" t="s">
        <v>39</v>
      </c>
      <c r="F14" s="27">
        <v>11</v>
      </c>
      <c r="G14" s="28">
        <f t="shared" si="0"/>
        <v>0.1</v>
      </c>
      <c r="H14" s="28">
        <f>VLOOKUP(E14,Arkusz3!$A$1:$B$9,2,FALSE)</f>
        <v>0.1</v>
      </c>
      <c r="I14" s="28">
        <f>VLOOKUP(E14,[1]Arkusz1!$A$1:$B$9,2,FALSE)</f>
        <v>0.1</v>
      </c>
      <c r="J14" s="38">
        <f t="shared" si="1"/>
        <v>1.1000000000000001</v>
      </c>
    </row>
    <row r="15" spans="1:13" x14ac:dyDescent="0.3">
      <c r="A15" s="37">
        <v>41618</v>
      </c>
      <c r="B15" s="27" t="s">
        <v>67</v>
      </c>
      <c r="C15" s="27" t="s">
        <v>4</v>
      </c>
      <c r="D15" s="27" t="s">
        <v>65</v>
      </c>
      <c r="E15" s="27" t="s">
        <v>40</v>
      </c>
      <c r="F15" s="27">
        <v>5</v>
      </c>
      <c r="G15" s="28">
        <f t="shared" si="0"/>
        <v>1.5</v>
      </c>
      <c r="H15" s="28">
        <f>VLOOKUP(E15,Arkusz3!$A$1:$B$9,2,FALSE)</f>
        <v>1.5</v>
      </c>
      <c r="I15" s="28">
        <f>VLOOKUP(E15,[1]Arkusz1!$A$1:$B$9,2,FALSE)</f>
        <v>1.5</v>
      </c>
      <c r="J15" s="38">
        <f t="shared" si="1"/>
        <v>7.5</v>
      </c>
    </row>
    <row r="16" spans="1:13" x14ac:dyDescent="0.3">
      <c r="A16" s="37">
        <v>41524</v>
      </c>
      <c r="B16" s="27" t="s">
        <v>71</v>
      </c>
      <c r="C16" s="27" t="s">
        <v>6</v>
      </c>
      <c r="D16" s="27" t="s">
        <v>59</v>
      </c>
      <c r="E16" s="27" t="s">
        <v>34</v>
      </c>
      <c r="F16" s="27">
        <v>13</v>
      </c>
      <c r="G16" s="28">
        <f t="shared" si="0"/>
        <v>2</v>
      </c>
      <c r="H16" s="28">
        <f>VLOOKUP(E16,Arkusz3!$A$1:$B$9,2,FALSE)</f>
        <v>2</v>
      </c>
      <c r="I16" s="28">
        <f>VLOOKUP(E16,[1]Arkusz1!$A$1:$B$9,2,FALSE)</f>
        <v>2</v>
      </c>
      <c r="J16" s="38">
        <f t="shared" si="1"/>
        <v>26</v>
      </c>
    </row>
    <row r="17" spans="1:10" x14ac:dyDescent="0.3">
      <c r="A17" s="37">
        <v>41574</v>
      </c>
      <c r="B17" s="27" t="s">
        <v>71</v>
      </c>
      <c r="C17" s="27" t="s">
        <v>3</v>
      </c>
      <c r="D17" s="27" t="s">
        <v>68</v>
      </c>
      <c r="E17" s="27" t="s">
        <v>36</v>
      </c>
      <c r="F17" s="27">
        <v>14</v>
      </c>
      <c r="G17" s="28">
        <f t="shared" si="0"/>
        <v>2.5</v>
      </c>
      <c r="H17" s="28">
        <f>VLOOKUP(E17,Arkusz3!$A$1:$B$9,2,FALSE)</f>
        <v>2.5</v>
      </c>
      <c r="I17" s="28">
        <f>VLOOKUP(E17,[1]Arkusz1!$A$1:$B$9,2,FALSE)</f>
        <v>2.5</v>
      </c>
      <c r="J17" s="38">
        <f t="shared" si="1"/>
        <v>35</v>
      </c>
    </row>
    <row r="18" spans="1:10" x14ac:dyDescent="0.3">
      <c r="A18" s="37">
        <v>41434</v>
      </c>
      <c r="B18" s="27" t="s">
        <v>62</v>
      </c>
      <c r="C18" s="27" t="s">
        <v>7</v>
      </c>
      <c r="D18" s="27" t="s">
        <v>64</v>
      </c>
      <c r="E18" s="27" t="s">
        <v>36</v>
      </c>
      <c r="F18" s="27">
        <v>17</v>
      </c>
      <c r="G18" s="28">
        <f t="shared" si="0"/>
        <v>2.5</v>
      </c>
      <c r="H18" s="28">
        <f>VLOOKUP(E18,Arkusz3!$A$1:$B$9,2,FALSE)</f>
        <v>2.5</v>
      </c>
      <c r="I18" s="28">
        <f>VLOOKUP(E18,[1]Arkusz1!$A$1:$B$9,2,FALSE)</f>
        <v>2.5</v>
      </c>
      <c r="J18" s="38">
        <f t="shared" si="1"/>
        <v>42.5</v>
      </c>
    </row>
    <row r="19" spans="1:10" x14ac:dyDescent="0.3">
      <c r="A19" s="37">
        <v>41489</v>
      </c>
      <c r="B19" s="27" t="s">
        <v>58</v>
      </c>
      <c r="C19" s="27" t="s">
        <v>5</v>
      </c>
      <c r="D19" s="27" t="s">
        <v>65</v>
      </c>
      <c r="E19" s="27" t="s">
        <v>41</v>
      </c>
      <c r="F19" s="27">
        <v>4</v>
      </c>
      <c r="G19" s="28">
        <f t="shared" si="0"/>
        <v>4</v>
      </c>
      <c r="H19" s="28">
        <f>VLOOKUP(E19,Arkusz3!$A$1:$B$9,2,FALSE)</f>
        <v>4</v>
      </c>
      <c r="I19" s="28">
        <f>VLOOKUP(E19,[1]Arkusz1!$A$1:$B$9,2,FALSE)</f>
        <v>4</v>
      </c>
      <c r="J19" s="38">
        <f t="shared" si="1"/>
        <v>16</v>
      </c>
    </row>
    <row r="20" spans="1:10" x14ac:dyDescent="0.3">
      <c r="A20" s="37">
        <v>41473</v>
      </c>
      <c r="B20" s="27" t="s">
        <v>67</v>
      </c>
      <c r="C20" s="27" t="s">
        <v>7</v>
      </c>
      <c r="D20" s="27" t="s">
        <v>70</v>
      </c>
      <c r="E20" s="27" t="s">
        <v>41</v>
      </c>
      <c r="F20" s="27">
        <v>18</v>
      </c>
      <c r="G20" s="28">
        <f t="shared" si="0"/>
        <v>4</v>
      </c>
      <c r="H20" s="28">
        <f>VLOOKUP(E20,Arkusz3!$A$1:$B$9,2,FALSE)</f>
        <v>4</v>
      </c>
      <c r="I20" s="28">
        <f>VLOOKUP(E20,[1]Arkusz1!$A$1:$B$9,2,FALSE)</f>
        <v>4</v>
      </c>
      <c r="J20" s="38">
        <f t="shared" si="1"/>
        <v>72</v>
      </c>
    </row>
    <row r="21" spans="1:10" x14ac:dyDescent="0.3">
      <c r="A21" s="37">
        <v>41553</v>
      </c>
      <c r="B21" s="27" t="s">
        <v>58</v>
      </c>
      <c r="C21" s="27" t="s">
        <v>5</v>
      </c>
      <c r="D21" s="27" t="s">
        <v>72</v>
      </c>
      <c r="E21" s="27" t="s">
        <v>36</v>
      </c>
      <c r="F21" s="27">
        <v>14</v>
      </c>
      <c r="G21" s="28">
        <f t="shared" si="0"/>
        <v>2.5</v>
      </c>
      <c r="H21" s="28">
        <f>VLOOKUP(E21,Arkusz3!$A$1:$B$9,2,FALSE)</f>
        <v>2.5</v>
      </c>
      <c r="I21" s="28">
        <f>VLOOKUP(E21,[1]Arkusz1!$A$1:$B$9,2,FALSE)</f>
        <v>2.5</v>
      </c>
      <c r="J21" s="38">
        <f t="shared" si="1"/>
        <v>35</v>
      </c>
    </row>
    <row r="22" spans="1:10" x14ac:dyDescent="0.3">
      <c r="A22" s="37">
        <v>41585</v>
      </c>
      <c r="B22" s="27" t="s">
        <v>67</v>
      </c>
      <c r="C22" s="27" t="s">
        <v>7</v>
      </c>
      <c r="D22" s="27" t="s">
        <v>59</v>
      </c>
      <c r="E22" s="27" t="s">
        <v>38</v>
      </c>
      <c r="F22" s="27">
        <v>16</v>
      </c>
      <c r="G22" s="28">
        <f t="shared" si="0"/>
        <v>0.2</v>
      </c>
      <c r="H22" s="28">
        <f>VLOOKUP(E22,Arkusz3!$A$1:$B$9,2,FALSE)</f>
        <v>0.2</v>
      </c>
      <c r="I22" s="28">
        <f>VLOOKUP(E22,[1]Arkusz1!$A$1:$B$9,2,FALSE)</f>
        <v>0.2</v>
      </c>
      <c r="J22" s="38">
        <f t="shared" si="1"/>
        <v>3.2</v>
      </c>
    </row>
    <row r="23" spans="1:10" x14ac:dyDescent="0.3">
      <c r="A23" s="37">
        <v>41596</v>
      </c>
      <c r="B23" s="27" t="s">
        <v>73</v>
      </c>
      <c r="C23" s="27" t="s">
        <v>3</v>
      </c>
      <c r="D23" s="27" t="s">
        <v>59</v>
      </c>
      <c r="E23" s="27" t="s">
        <v>40</v>
      </c>
      <c r="F23" s="27">
        <v>9</v>
      </c>
      <c r="G23" s="28">
        <f t="shared" si="0"/>
        <v>1.5</v>
      </c>
      <c r="H23" s="28">
        <f>VLOOKUP(E23,Arkusz3!$A$1:$B$9,2,FALSE)</f>
        <v>1.5</v>
      </c>
      <c r="I23" s="28">
        <f>VLOOKUP(E23,[1]Arkusz1!$A$1:$B$9,2,FALSE)</f>
        <v>1.5</v>
      </c>
      <c r="J23" s="38">
        <f t="shared" si="1"/>
        <v>13.5</v>
      </c>
    </row>
    <row r="24" spans="1:10" x14ac:dyDescent="0.3">
      <c r="A24" s="37">
        <v>41625</v>
      </c>
      <c r="B24" s="27" t="s">
        <v>62</v>
      </c>
      <c r="C24" s="27" t="s">
        <v>5</v>
      </c>
      <c r="D24" s="27" t="s">
        <v>59</v>
      </c>
      <c r="E24" s="27" t="s">
        <v>37</v>
      </c>
      <c r="F24" s="27">
        <v>6</v>
      </c>
      <c r="G24" s="28">
        <f t="shared" si="0"/>
        <v>5</v>
      </c>
      <c r="H24" s="28">
        <f>VLOOKUP(E24,Arkusz3!$A$1:$B$9,2,FALSE)</f>
        <v>5</v>
      </c>
      <c r="I24" s="28">
        <f>VLOOKUP(E24,[1]Arkusz1!$A$1:$B$9,2,FALSE)</f>
        <v>5</v>
      </c>
      <c r="J24" s="38">
        <f t="shared" si="1"/>
        <v>30</v>
      </c>
    </row>
    <row r="25" spans="1:10" x14ac:dyDescent="0.3">
      <c r="A25" s="37">
        <v>41614</v>
      </c>
      <c r="B25" s="27" t="s">
        <v>62</v>
      </c>
      <c r="C25" s="27" t="s">
        <v>5</v>
      </c>
      <c r="D25" s="27" t="s">
        <v>65</v>
      </c>
      <c r="E25" s="27" t="s">
        <v>37</v>
      </c>
      <c r="F25" s="27">
        <v>13</v>
      </c>
      <c r="G25" s="28">
        <f t="shared" si="0"/>
        <v>5</v>
      </c>
      <c r="H25" s="28">
        <f>VLOOKUP(E25,Arkusz3!$A$1:$B$9,2,FALSE)</f>
        <v>5</v>
      </c>
      <c r="I25" s="28">
        <f>VLOOKUP(E25,[1]Arkusz1!$A$1:$B$9,2,FALSE)</f>
        <v>5</v>
      </c>
      <c r="J25" s="38">
        <f t="shared" si="1"/>
        <v>65</v>
      </c>
    </row>
    <row r="26" spans="1:10" x14ac:dyDescent="0.3">
      <c r="A26" s="37">
        <v>41447</v>
      </c>
      <c r="B26" s="27" t="s">
        <v>75</v>
      </c>
      <c r="C26" s="27" t="s">
        <v>4</v>
      </c>
      <c r="D26" s="27" t="s">
        <v>70</v>
      </c>
      <c r="E26" s="27" t="s">
        <v>40</v>
      </c>
      <c r="F26" s="27">
        <v>17</v>
      </c>
      <c r="G26" s="28">
        <f t="shared" si="0"/>
        <v>1.5</v>
      </c>
      <c r="H26" s="28">
        <f>VLOOKUP(E26,Arkusz3!$A$1:$B$9,2,FALSE)</f>
        <v>1.5</v>
      </c>
      <c r="I26" s="28">
        <f>VLOOKUP(E26,[1]Arkusz1!$A$1:$B$9,2,FALSE)</f>
        <v>1.5</v>
      </c>
      <c r="J26" s="38">
        <f t="shared" si="1"/>
        <v>25.5</v>
      </c>
    </row>
    <row r="27" spans="1:10" x14ac:dyDescent="0.3">
      <c r="A27" s="37">
        <v>41553</v>
      </c>
      <c r="B27" s="27" t="s">
        <v>73</v>
      </c>
      <c r="C27" s="27" t="s">
        <v>3</v>
      </c>
      <c r="D27" s="27" t="s">
        <v>74</v>
      </c>
      <c r="E27" s="27" t="s">
        <v>38</v>
      </c>
      <c r="F27" s="27">
        <v>5</v>
      </c>
      <c r="G27" s="28">
        <f t="shared" si="0"/>
        <v>0.2</v>
      </c>
      <c r="H27" s="28">
        <f>VLOOKUP(E27,Arkusz3!$A$1:$B$9,2,FALSE)</f>
        <v>0.2</v>
      </c>
      <c r="I27" s="28">
        <f>VLOOKUP(E27,[1]Arkusz1!$A$1:$B$9,2,FALSE)</f>
        <v>0.2</v>
      </c>
      <c r="J27" s="38">
        <f t="shared" si="1"/>
        <v>1</v>
      </c>
    </row>
    <row r="28" spans="1:10" x14ac:dyDescent="0.3">
      <c r="A28" s="37">
        <v>41456</v>
      </c>
      <c r="B28" s="27" t="s">
        <v>67</v>
      </c>
      <c r="C28" s="27" t="s">
        <v>7</v>
      </c>
      <c r="D28" s="27" t="s">
        <v>64</v>
      </c>
      <c r="E28" s="27" t="s">
        <v>38</v>
      </c>
      <c r="F28" s="27">
        <v>2</v>
      </c>
      <c r="G28" s="28">
        <f t="shared" si="0"/>
        <v>0.2</v>
      </c>
      <c r="H28" s="28">
        <f>VLOOKUP(E28,Arkusz3!$A$1:$B$9,2,FALSE)</f>
        <v>0.2</v>
      </c>
      <c r="I28" s="28">
        <f>VLOOKUP(E28,[1]Arkusz1!$A$1:$B$9,2,FALSE)</f>
        <v>0.2</v>
      </c>
      <c r="J28" s="38">
        <f t="shared" si="1"/>
        <v>0.4</v>
      </c>
    </row>
    <row r="29" spans="1:10" x14ac:dyDescent="0.3">
      <c r="A29" s="37">
        <v>41590</v>
      </c>
      <c r="B29" s="27" t="s">
        <v>75</v>
      </c>
      <c r="C29" s="27" t="s">
        <v>4</v>
      </c>
      <c r="D29" s="27" t="s">
        <v>60</v>
      </c>
      <c r="E29" s="27" t="s">
        <v>39</v>
      </c>
      <c r="F29" s="27">
        <v>13</v>
      </c>
      <c r="G29" s="28">
        <f t="shared" si="0"/>
        <v>0.1</v>
      </c>
      <c r="H29" s="28">
        <f>VLOOKUP(E29,Arkusz3!$A$1:$B$9,2,FALSE)</f>
        <v>0.1</v>
      </c>
      <c r="I29" s="28">
        <f>VLOOKUP(E29,[1]Arkusz1!$A$1:$B$9,2,FALSE)</f>
        <v>0.1</v>
      </c>
      <c r="J29" s="38">
        <f t="shared" si="1"/>
        <v>1.3</v>
      </c>
    </row>
    <row r="30" spans="1:10" x14ac:dyDescent="0.3">
      <c r="A30" s="37">
        <v>41459</v>
      </c>
      <c r="B30" s="27" t="s">
        <v>62</v>
      </c>
      <c r="C30" s="27" t="s">
        <v>7</v>
      </c>
      <c r="D30" s="27" t="s">
        <v>64</v>
      </c>
      <c r="E30" s="27" t="s">
        <v>41</v>
      </c>
      <c r="F30" s="27">
        <v>5</v>
      </c>
      <c r="G30" s="28">
        <f t="shared" si="0"/>
        <v>4</v>
      </c>
      <c r="H30" s="28">
        <f>VLOOKUP(E30,Arkusz3!$A$1:$B$9,2,FALSE)</f>
        <v>4</v>
      </c>
      <c r="I30" s="28">
        <f>VLOOKUP(E30,[1]Arkusz1!$A$1:$B$9,2,FALSE)</f>
        <v>4</v>
      </c>
      <c r="J30" s="38">
        <f t="shared" si="1"/>
        <v>20</v>
      </c>
    </row>
    <row r="31" spans="1:10" x14ac:dyDescent="0.3">
      <c r="A31" s="37">
        <v>41595</v>
      </c>
      <c r="B31" s="27" t="s">
        <v>67</v>
      </c>
      <c r="C31" s="27" t="s">
        <v>4</v>
      </c>
      <c r="D31" s="27" t="s">
        <v>59</v>
      </c>
      <c r="E31" s="27" t="s">
        <v>36</v>
      </c>
      <c r="F31" s="27">
        <v>11</v>
      </c>
      <c r="G31" s="28">
        <f t="shared" si="0"/>
        <v>2.5</v>
      </c>
      <c r="H31" s="28">
        <f>VLOOKUP(E31,Arkusz3!$A$1:$B$9,2,FALSE)</f>
        <v>2.5</v>
      </c>
      <c r="I31" s="28">
        <f>VLOOKUP(E31,[1]Arkusz1!$A$1:$B$9,2,FALSE)</f>
        <v>2.5</v>
      </c>
      <c r="J31" s="38">
        <f t="shared" si="1"/>
        <v>27.5</v>
      </c>
    </row>
    <row r="32" spans="1:10" x14ac:dyDescent="0.3">
      <c r="A32" s="37">
        <v>41628</v>
      </c>
      <c r="B32" s="27" t="s">
        <v>71</v>
      </c>
      <c r="C32" s="27" t="s">
        <v>3</v>
      </c>
      <c r="D32" s="27" t="s">
        <v>66</v>
      </c>
      <c r="E32" s="27" t="s">
        <v>38</v>
      </c>
      <c r="F32" s="27">
        <v>11</v>
      </c>
      <c r="G32" s="28">
        <f t="shared" si="0"/>
        <v>0.2</v>
      </c>
      <c r="H32" s="28">
        <f>VLOOKUP(E32,Arkusz3!$A$1:$B$9,2,FALSE)</f>
        <v>0.2</v>
      </c>
      <c r="I32" s="28">
        <f>VLOOKUP(E32,[1]Arkusz1!$A$1:$B$9,2,FALSE)</f>
        <v>0.2</v>
      </c>
      <c r="J32" s="38">
        <f t="shared" si="1"/>
        <v>2.2000000000000002</v>
      </c>
    </row>
    <row r="33" spans="1:10" x14ac:dyDescent="0.3">
      <c r="A33" s="37">
        <v>41605</v>
      </c>
      <c r="B33" s="27" t="s">
        <v>58</v>
      </c>
      <c r="C33" s="27" t="s">
        <v>5</v>
      </c>
      <c r="D33" s="27" t="s">
        <v>61</v>
      </c>
      <c r="E33" s="27" t="s">
        <v>37</v>
      </c>
      <c r="F33" s="27">
        <v>2</v>
      </c>
      <c r="G33" s="28">
        <f t="shared" si="0"/>
        <v>5</v>
      </c>
      <c r="H33" s="28">
        <f>VLOOKUP(E33,Arkusz3!$A$1:$B$9,2,FALSE)</f>
        <v>5</v>
      </c>
      <c r="I33" s="28">
        <f>VLOOKUP(E33,[1]Arkusz1!$A$1:$B$9,2,FALSE)</f>
        <v>5</v>
      </c>
      <c r="J33" s="38">
        <f t="shared" si="1"/>
        <v>10</v>
      </c>
    </row>
    <row r="34" spans="1:10" x14ac:dyDescent="0.3">
      <c r="A34" s="37">
        <v>41603</v>
      </c>
      <c r="B34" s="27" t="s">
        <v>75</v>
      </c>
      <c r="C34" s="27" t="s">
        <v>6</v>
      </c>
      <c r="D34" s="27" t="s">
        <v>64</v>
      </c>
      <c r="E34" s="27" t="s">
        <v>37</v>
      </c>
      <c r="F34" s="27">
        <v>18</v>
      </c>
      <c r="G34" s="28">
        <f t="shared" si="0"/>
        <v>5</v>
      </c>
      <c r="H34" s="28">
        <f>VLOOKUP(E34,Arkusz3!$A$1:$B$9,2,FALSE)</f>
        <v>5</v>
      </c>
      <c r="I34" s="28">
        <f>VLOOKUP(E34,[1]Arkusz1!$A$1:$B$9,2,FALSE)</f>
        <v>5</v>
      </c>
      <c r="J34" s="38">
        <f t="shared" si="1"/>
        <v>90</v>
      </c>
    </row>
    <row r="35" spans="1:10" x14ac:dyDescent="0.3">
      <c r="A35" s="37">
        <v>41475</v>
      </c>
      <c r="B35" s="27" t="s">
        <v>58</v>
      </c>
      <c r="C35" s="27" t="s">
        <v>5</v>
      </c>
      <c r="D35" s="27" t="s">
        <v>68</v>
      </c>
      <c r="E35" s="27" t="s">
        <v>37</v>
      </c>
      <c r="F35" s="27">
        <v>5</v>
      </c>
      <c r="G35" s="28">
        <f t="shared" si="0"/>
        <v>5</v>
      </c>
      <c r="H35" s="28">
        <f>VLOOKUP(E35,Arkusz3!$A$1:$B$9,2,FALSE)</f>
        <v>5</v>
      </c>
      <c r="I35" s="28">
        <f>VLOOKUP(E35,[1]Arkusz1!$A$1:$B$9,2,FALSE)</f>
        <v>5</v>
      </c>
      <c r="J35" s="38">
        <f t="shared" si="1"/>
        <v>25</v>
      </c>
    </row>
    <row r="36" spans="1:10" x14ac:dyDescent="0.3">
      <c r="A36" s="37">
        <v>41611</v>
      </c>
      <c r="B36" s="27" t="s">
        <v>58</v>
      </c>
      <c r="C36" s="27" t="s">
        <v>5</v>
      </c>
      <c r="D36" s="27" t="s">
        <v>60</v>
      </c>
      <c r="E36" s="27" t="s">
        <v>39</v>
      </c>
      <c r="F36" s="27">
        <v>16</v>
      </c>
      <c r="G36" s="28">
        <f t="shared" si="0"/>
        <v>0.1</v>
      </c>
      <c r="H36" s="28">
        <f>VLOOKUP(E36,Arkusz3!$A$1:$B$9,2,FALSE)</f>
        <v>0.1</v>
      </c>
      <c r="I36" s="28">
        <f>VLOOKUP(E36,[1]Arkusz1!$A$1:$B$9,2,FALSE)</f>
        <v>0.1</v>
      </c>
      <c r="J36" s="38">
        <f t="shared" si="1"/>
        <v>1.6</v>
      </c>
    </row>
    <row r="37" spans="1:10" x14ac:dyDescent="0.3">
      <c r="A37" s="37">
        <v>41507</v>
      </c>
      <c r="B37" s="27" t="s">
        <v>71</v>
      </c>
      <c r="C37" s="27" t="s">
        <v>4</v>
      </c>
      <c r="D37" s="27" t="s">
        <v>74</v>
      </c>
      <c r="E37" s="27" t="s">
        <v>38</v>
      </c>
      <c r="F37" s="27">
        <v>13</v>
      </c>
      <c r="G37" s="28">
        <f t="shared" si="0"/>
        <v>0.2</v>
      </c>
      <c r="H37" s="28">
        <f>VLOOKUP(E37,Arkusz3!$A$1:$B$9,2,FALSE)</f>
        <v>0.2</v>
      </c>
      <c r="I37" s="28">
        <f>VLOOKUP(E37,[1]Arkusz1!$A$1:$B$9,2,FALSE)</f>
        <v>0.2</v>
      </c>
      <c r="J37" s="38">
        <f t="shared" si="1"/>
        <v>2.6</v>
      </c>
    </row>
    <row r="38" spans="1:10" x14ac:dyDescent="0.3">
      <c r="A38" s="37">
        <v>41616</v>
      </c>
      <c r="B38" s="27" t="s">
        <v>75</v>
      </c>
      <c r="C38" s="27" t="s">
        <v>4</v>
      </c>
      <c r="D38" s="27" t="s">
        <v>64</v>
      </c>
      <c r="E38" s="27" t="s">
        <v>40</v>
      </c>
      <c r="F38" s="27">
        <v>18</v>
      </c>
      <c r="G38" s="28">
        <f t="shared" si="0"/>
        <v>1.5</v>
      </c>
      <c r="H38" s="28">
        <f>VLOOKUP(E38,Arkusz3!$A$1:$B$9,2,FALSE)</f>
        <v>1.5</v>
      </c>
      <c r="I38" s="28">
        <f>VLOOKUP(E38,[1]Arkusz1!$A$1:$B$9,2,FALSE)</f>
        <v>1.5</v>
      </c>
      <c r="J38" s="38">
        <f t="shared" si="1"/>
        <v>27</v>
      </c>
    </row>
    <row r="39" spans="1:10" x14ac:dyDescent="0.3">
      <c r="A39" s="37">
        <v>41505</v>
      </c>
      <c r="B39" s="27" t="s">
        <v>67</v>
      </c>
      <c r="C39" s="27" t="s">
        <v>4</v>
      </c>
      <c r="D39" s="27" t="s">
        <v>63</v>
      </c>
      <c r="E39" s="27" t="s">
        <v>40</v>
      </c>
      <c r="F39" s="27">
        <v>6</v>
      </c>
      <c r="G39" s="28">
        <f t="shared" si="0"/>
        <v>1.5</v>
      </c>
      <c r="H39" s="28">
        <f>VLOOKUP(E39,Arkusz3!$A$1:$B$9,2,FALSE)</f>
        <v>1.5</v>
      </c>
      <c r="I39" s="28">
        <f>VLOOKUP(E39,[1]Arkusz1!$A$1:$B$9,2,FALSE)</f>
        <v>1.5</v>
      </c>
      <c r="J39" s="38">
        <f t="shared" si="1"/>
        <v>9</v>
      </c>
    </row>
    <row r="40" spans="1:10" x14ac:dyDescent="0.3">
      <c r="A40" s="37">
        <v>41511</v>
      </c>
      <c r="B40" s="27" t="s">
        <v>75</v>
      </c>
      <c r="C40" s="27" t="s">
        <v>4</v>
      </c>
      <c r="D40" s="27" t="s">
        <v>66</v>
      </c>
      <c r="E40" s="27" t="s">
        <v>34</v>
      </c>
      <c r="F40" s="27">
        <v>1</v>
      </c>
      <c r="G40" s="28">
        <f t="shared" si="0"/>
        <v>2</v>
      </c>
      <c r="H40" s="28">
        <f>VLOOKUP(E40,Arkusz3!$A$1:$B$9,2,FALSE)</f>
        <v>2</v>
      </c>
      <c r="I40" s="28">
        <f>VLOOKUP(E40,[1]Arkusz1!$A$1:$B$9,2,FALSE)</f>
        <v>2</v>
      </c>
      <c r="J40" s="38">
        <f t="shared" si="1"/>
        <v>2</v>
      </c>
    </row>
    <row r="41" spans="1:10" x14ac:dyDescent="0.3">
      <c r="A41" s="37">
        <v>41503</v>
      </c>
      <c r="B41" s="27" t="s">
        <v>62</v>
      </c>
      <c r="C41" s="27" t="s">
        <v>5</v>
      </c>
      <c r="D41" s="27" t="s">
        <v>59</v>
      </c>
      <c r="E41" s="27" t="s">
        <v>34</v>
      </c>
      <c r="F41" s="27">
        <v>16</v>
      </c>
      <c r="G41" s="28">
        <f t="shared" si="0"/>
        <v>2</v>
      </c>
      <c r="H41" s="28">
        <f>VLOOKUP(E41,Arkusz3!$A$1:$B$9,2,FALSE)</f>
        <v>2</v>
      </c>
      <c r="I41" s="28">
        <f>VLOOKUP(E41,[1]Arkusz1!$A$1:$B$9,2,FALSE)</f>
        <v>2</v>
      </c>
      <c r="J41" s="38">
        <f t="shared" si="1"/>
        <v>32</v>
      </c>
    </row>
    <row r="42" spans="1:10" x14ac:dyDescent="0.3">
      <c r="A42" s="37">
        <v>41630</v>
      </c>
      <c r="B42" s="27" t="s">
        <v>73</v>
      </c>
      <c r="C42" s="27" t="s">
        <v>4</v>
      </c>
      <c r="D42" s="27" t="s">
        <v>65</v>
      </c>
      <c r="E42" s="27" t="s">
        <v>38</v>
      </c>
      <c r="F42" s="27">
        <v>10</v>
      </c>
      <c r="G42" s="28">
        <f t="shared" si="0"/>
        <v>0.2</v>
      </c>
      <c r="H42" s="28">
        <f>VLOOKUP(E42,Arkusz3!$A$1:$B$9,2,FALSE)</f>
        <v>0.2</v>
      </c>
      <c r="I42" s="28">
        <f>VLOOKUP(E42,[1]Arkusz1!$A$1:$B$9,2,FALSE)</f>
        <v>0.2</v>
      </c>
      <c r="J42" s="38">
        <f t="shared" si="1"/>
        <v>2</v>
      </c>
    </row>
    <row r="43" spans="1:10" x14ac:dyDescent="0.3">
      <c r="A43" s="37">
        <v>41453</v>
      </c>
      <c r="B43" s="27" t="s">
        <v>73</v>
      </c>
      <c r="C43" s="27" t="s">
        <v>5</v>
      </c>
      <c r="D43" s="27" t="s">
        <v>72</v>
      </c>
      <c r="E43" s="27" t="s">
        <v>36</v>
      </c>
      <c r="F43" s="27">
        <v>9</v>
      </c>
      <c r="G43" s="28">
        <f t="shared" si="0"/>
        <v>2.5</v>
      </c>
      <c r="H43" s="28">
        <f>VLOOKUP(E43,Arkusz3!$A$1:$B$9,2,FALSE)</f>
        <v>2.5</v>
      </c>
      <c r="I43" s="28">
        <f>VLOOKUP(E43,[1]Arkusz1!$A$1:$B$9,2,FALSE)</f>
        <v>2.5</v>
      </c>
      <c r="J43" s="38">
        <f t="shared" si="1"/>
        <v>22.5</v>
      </c>
    </row>
    <row r="44" spans="1:10" x14ac:dyDescent="0.3">
      <c r="A44" s="37">
        <v>41545</v>
      </c>
      <c r="B44" s="27" t="s">
        <v>58</v>
      </c>
      <c r="C44" s="27" t="s">
        <v>4</v>
      </c>
      <c r="D44" s="27" t="s">
        <v>63</v>
      </c>
      <c r="E44" s="27" t="s">
        <v>37</v>
      </c>
      <c r="F44" s="27">
        <v>20</v>
      </c>
      <c r="G44" s="28">
        <f t="shared" si="0"/>
        <v>5</v>
      </c>
      <c r="H44" s="28">
        <f>VLOOKUP(E44,Arkusz3!$A$1:$B$9,2,FALSE)</f>
        <v>5</v>
      </c>
      <c r="I44" s="28">
        <f>VLOOKUP(E44,[1]Arkusz1!$A$1:$B$9,2,FALSE)</f>
        <v>5</v>
      </c>
      <c r="J44" s="38">
        <f t="shared" si="1"/>
        <v>100</v>
      </c>
    </row>
    <row r="45" spans="1:10" x14ac:dyDescent="0.3">
      <c r="A45" s="37">
        <v>41529</v>
      </c>
      <c r="B45" s="27" t="s">
        <v>58</v>
      </c>
      <c r="C45" s="27" t="s">
        <v>4</v>
      </c>
      <c r="D45" s="27" t="s">
        <v>74</v>
      </c>
      <c r="E45" s="27" t="s">
        <v>36</v>
      </c>
      <c r="F45" s="27">
        <v>5</v>
      </c>
      <c r="G45" s="28">
        <f t="shared" si="0"/>
        <v>2.5</v>
      </c>
      <c r="H45" s="28">
        <f>VLOOKUP(E45,Arkusz3!$A$1:$B$9,2,FALSE)</f>
        <v>2.5</v>
      </c>
      <c r="I45" s="28">
        <f>VLOOKUP(E45,[1]Arkusz1!$A$1:$B$9,2,FALSE)</f>
        <v>2.5</v>
      </c>
      <c r="J45" s="38">
        <f t="shared" si="1"/>
        <v>12.5</v>
      </c>
    </row>
    <row r="46" spans="1:10" x14ac:dyDescent="0.3">
      <c r="A46" s="37">
        <v>41547</v>
      </c>
      <c r="B46" s="27" t="s">
        <v>73</v>
      </c>
      <c r="C46" s="27" t="s">
        <v>7</v>
      </c>
      <c r="D46" s="27" t="s">
        <v>59</v>
      </c>
      <c r="E46" s="27" t="s">
        <v>37</v>
      </c>
      <c r="F46" s="27">
        <v>18</v>
      </c>
      <c r="G46" s="28">
        <f t="shared" si="0"/>
        <v>5</v>
      </c>
      <c r="H46" s="28">
        <f>VLOOKUP(E46,Arkusz3!$A$1:$B$9,2,FALSE)</f>
        <v>5</v>
      </c>
      <c r="I46" s="28">
        <f>VLOOKUP(E46,[1]Arkusz1!$A$1:$B$9,2,FALSE)</f>
        <v>5</v>
      </c>
      <c r="J46" s="38">
        <f t="shared" si="1"/>
        <v>90</v>
      </c>
    </row>
    <row r="47" spans="1:10" x14ac:dyDescent="0.3">
      <c r="A47" s="37">
        <v>41472</v>
      </c>
      <c r="B47" s="27" t="s">
        <v>73</v>
      </c>
      <c r="C47" s="27" t="s">
        <v>6</v>
      </c>
      <c r="D47" s="27" t="s">
        <v>72</v>
      </c>
      <c r="E47" s="27" t="s">
        <v>38</v>
      </c>
      <c r="F47" s="27">
        <v>12</v>
      </c>
      <c r="G47" s="28">
        <f t="shared" si="0"/>
        <v>0.2</v>
      </c>
      <c r="H47" s="28">
        <f>VLOOKUP(E47,Arkusz3!$A$1:$B$9,2,FALSE)</f>
        <v>0.2</v>
      </c>
      <c r="I47" s="28">
        <f>VLOOKUP(E47,[1]Arkusz1!$A$1:$B$9,2,FALSE)</f>
        <v>0.2</v>
      </c>
      <c r="J47" s="38">
        <f t="shared" si="1"/>
        <v>2.4000000000000004</v>
      </c>
    </row>
    <row r="48" spans="1:10" x14ac:dyDescent="0.3">
      <c r="A48" s="37">
        <v>41503</v>
      </c>
      <c r="B48" s="27" t="s">
        <v>67</v>
      </c>
      <c r="C48" s="27" t="s">
        <v>4</v>
      </c>
      <c r="D48" s="27" t="s">
        <v>70</v>
      </c>
      <c r="E48" s="27" t="s">
        <v>39</v>
      </c>
      <c r="F48" s="27">
        <v>6</v>
      </c>
      <c r="G48" s="28">
        <f t="shared" si="0"/>
        <v>0.1</v>
      </c>
      <c r="H48" s="28">
        <f>VLOOKUP(E48,Arkusz3!$A$1:$B$9,2,FALSE)</f>
        <v>0.1</v>
      </c>
      <c r="I48" s="28">
        <f>VLOOKUP(E48,[1]Arkusz1!$A$1:$B$9,2,FALSE)</f>
        <v>0.1</v>
      </c>
      <c r="J48" s="38">
        <f t="shared" si="1"/>
        <v>0.60000000000000009</v>
      </c>
    </row>
    <row r="49" spans="1:10" x14ac:dyDescent="0.3">
      <c r="A49" s="37">
        <v>41629</v>
      </c>
      <c r="B49" s="27" t="s">
        <v>58</v>
      </c>
      <c r="C49" s="27" t="s">
        <v>4</v>
      </c>
      <c r="D49" s="27" t="s">
        <v>61</v>
      </c>
      <c r="E49" s="27" t="s">
        <v>41</v>
      </c>
      <c r="F49" s="27">
        <v>3</v>
      </c>
      <c r="G49" s="28">
        <f t="shared" si="0"/>
        <v>4</v>
      </c>
      <c r="H49" s="28">
        <f>VLOOKUP(E49,Arkusz3!$A$1:$B$9,2,FALSE)</f>
        <v>4</v>
      </c>
      <c r="I49" s="28">
        <f>VLOOKUP(E49,[1]Arkusz1!$A$1:$B$9,2,FALSE)</f>
        <v>4</v>
      </c>
      <c r="J49" s="38">
        <f t="shared" si="1"/>
        <v>12</v>
      </c>
    </row>
    <row r="50" spans="1:10" x14ac:dyDescent="0.3">
      <c r="A50" s="37">
        <v>41598</v>
      </c>
      <c r="B50" s="27" t="s">
        <v>71</v>
      </c>
      <c r="C50" s="27" t="s">
        <v>4</v>
      </c>
      <c r="D50" s="27" t="s">
        <v>72</v>
      </c>
      <c r="E50" s="27" t="s">
        <v>39</v>
      </c>
      <c r="F50" s="27">
        <v>11</v>
      </c>
      <c r="G50" s="28">
        <f t="shared" si="0"/>
        <v>0.1</v>
      </c>
      <c r="H50" s="28">
        <f>VLOOKUP(E50,Arkusz3!$A$1:$B$9,2,FALSE)</f>
        <v>0.1</v>
      </c>
      <c r="I50" s="28">
        <f>VLOOKUP(E50,[1]Arkusz1!$A$1:$B$9,2,FALSE)</f>
        <v>0.1</v>
      </c>
      <c r="J50" s="38">
        <f t="shared" si="1"/>
        <v>1.1000000000000001</v>
      </c>
    </row>
    <row r="51" spans="1:10" x14ac:dyDescent="0.3">
      <c r="A51" s="37">
        <v>41542</v>
      </c>
      <c r="B51" s="27" t="s">
        <v>62</v>
      </c>
      <c r="C51" s="27" t="s">
        <v>6</v>
      </c>
      <c r="D51" s="27" t="s">
        <v>61</v>
      </c>
      <c r="E51" s="27" t="s">
        <v>37</v>
      </c>
      <c r="F51" s="27">
        <v>16</v>
      </c>
      <c r="G51" s="28">
        <f t="shared" si="0"/>
        <v>5</v>
      </c>
      <c r="H51" s="28">
        <f>VLOOKUP(E51,Arkusz3!$A$1:$B$9,2,FALSE)</f>
        <v>5</v>
      </c>
      <c r="I51" s="28">
        <f>VLOOKUP(E51,[1]Arkusz1!$A$1:$B$9,2,FALSE)</f>
        <v>5</v>
      </c>
      <c r="J51" s="38">
        <f t="shared" si="1"/>
        <v>80</v>
      </c>
    </row>
    <row r="52" spans="1:10" x14ac:dyDescent="0.3">
      <c r="A52" s="37">
        <v>41621</v>
      </c>
      <c r="B52" s="27" t="s">
        <v>75</v>
      </c>
      <c r="C52" s="27" t="s">
        <v>5</v>
      </c>
      <c r="D52" s="27" t="s">
        <v>66</v>
      </c>
      <c r="E52" s="27" t="s">
        <v>41</v>
      </c>
      <c r="F52" s="27">
        <v>19</v>
      </c>
      <c r="G52" s="28">
        <f t="shared" si="0"/>
        <v>4</v>
      </c>
      <c r="H52" s="28">
        <f>VLOOKUP(E52,Arkusz3!$A$1:$B$9,2,FALSE)</f>
        <v>4</v>
      </c>
      <c r="I52" s="28">
        <f>VLOOKUP(E52,[1]Arkusz1!$A$1:$B$9,2,FALSE)</f>
        <v>4</v>
      </c>
      <c r="J52" s="38">
        <f t="shared" si="1"/>
        <v>76</v>
      </c>
    </row>
    <row r="53" spans="1:10" x14ac:dyDescent="0.3">
      <c r="A53" s="37">
        <v>41477</v>
      </c>
      <c r="B53" s="27" t="s">
        <v>75</v>
      </c>
      <c r="C53" s="27" t="s">
        <v>3</v>
      </c>
      <c r="D53" s="27" t="s">
        <v>72</v>
      </c>
      <c r="E53" s="27" t="s">
        <v>36</v>
      </c>
      <c r="F53" s="27">
        <v>1</v>
      </c>
      <c r="G53" s="28">
        <f t="shared" si="0"/>
        <v>2.5</v>
      </c>
      <c r="H53" s="28">
        <f>VLOOKUP(E53,Arkusz3!$A$1:$B$9,2,FALSE)</f>
        <v>2.5</v>
      </c>
      <c r="I53" s="28">
        <f>VLOOKUP(E53,[1]Arkusz1!$A$1:$B$9,2,FALSE)</f>
        <v>2.5</v>
      </c>
      <c r="J53" s="38">
        <f t="shared" si="1"/>
        <v>2.5</v>
      </c>
    </row>
    <row r="54" spans="1:10" x14ac:dyDescent="0.3">
      <c r="A54" s="37">
        <v>41554</v>
      </c>
      <c r="B54" s="27" t="s">
        <v>67</v>
      </c>
      <c r="C54" s="27" t="s">
        <v>5</v>
      </c>
      <c r="D54" s="27" t="s">
        <v>59</v>
      </c>
      <c r="E54" s="27" t="s">
        <v>41</v>
      </c>
      <c r="F54" s="27">
        <v>9</v>
      </c>
      <c r="G54" s="28">
        <f t="shared" si="0"/>
        <v>4</v>
      </c>
      <c r="H54" s="28">
        <f>VLOOKUP(E54,Arkusz3!$A$1:$B$9,2,FALSE)</f>
        <v>4</v>
      </c>
      <c r="I54" s="28">
        <f>VLOOKUP(E54,[1]Arkusz1!$A$1:$B$9,2,FALSE)</f>
        <v>4</v>
      </c>
      <c r="J54" s="38">
        <f t="shared" si="1"/>
        <v>36</v>
      </c>
    </row>
    <row r="55" spans="1:10" x14ac:dyDescent="0.3">
      <c r="A55" s="37">
        <v>41519</v>
      </c>
      <c r="B55" s="27" t="s">
        <v>75</v>
      </c>
      <c r="C55" s="27" t="s">
        <v>3</v>
      </c>
      <c r="D55" s="27" t="s">
        <v>68</v>
      </c>
      <c r="E55" s="27" t="s">
        <v>36</v>
      </c>
      <c r="F55" s="27">
        <v>1</v>
      </c>
      <c r="G55" s="28">
        <f t="shared" si="0"/>
        <v>2.5</v>
      </c>
      <c r="H55" s="28">
        <f>VLOOKUP(E55,Arkusz3!$A$1:$B$9,2,FALSE)</f>
        <v>2.5</v>
      </c>
      <c r="I55" s="28">
        <f>VLOOKUP(E55,[1]Arkusz1!$A$1:$B$9,2,FALSE)</f>
        <v>2.5</v>
      </c>
      <c r="J55" s="38">
        <f t="shared" si="1"/>
        <v>2.5</v>
      </c>
    </row>
    <row r="56" spans="1:10" x14ac:dyDescent="0.3">
      <c r="A56" s="37">
        <v>41527</v>
      </c>
      <c r="B56" s="27" t="s">
        <v>58</v>
      </c>
      <c r="C56" s="27" t="s">
        <v>7</v>
      </c>
      <c r="D56" s="27" t="s">
        <v>68</v>
      </c>
      <c r="E56" s="27" t="s">
        <v>38</v>
      </c>
      <c r="F56" s="27">
        <v>17</v>
      </c>
      <c r="G56" s="28">
        <f t="shared" si="0"/>
        <v>0.2</v>
      </c>
      <c r="H56" s="28">
        <f>VLOOKUP(E56,Arkusz3!$A$1:$B$9,2,FALSE)</f>
        <v>0.2</v>
      </c>
      <c r="I56" s="28">
        <f>VLOOKUP(E56,[1]Arkusz1!$A$1:$B$9,2,FALSE)</f>
        <v>0.2</v>
      </c>
      <c r="J56" s="38">
        <f t="shared" si="1"/>
        <v>3.4000000000000004</v>
      </c>
    </row>
    <row r="57" spans="1:10" x14ac:dyDescent="0.3">
      <c r="A57" s="37">
        <v>41467</v>
      </c>
      <c r="B57" s="27" t="s">
        <v>62</v>
      </c>
      <c r="C57" s="27" t="s">
        <v>7</v>
      </c>
      <c r="D57" s="27" t="s">
        <v>70</v>
      </c>
      <c r="E57" s="27" t="s">
        <v>39</v>
      </c>
      <c r="F57" s="27">
        <v>8</v>
      </c>
      <c r="G57" s="28">
        <f t="shared" si="0"/>
        <v>0.1</v>
      </c>
      <c r="H57" s="28">
        <f>VLOOKUP(E57,Arkusz3!$A$1:$B$9,2,FALSE)</f>
        <v>0.1</v>
      </c>
      <c r="I57" s="28">
        <f>VLOOKUP(E57,[1]Arkusz1!$A$1:$B$9,2,FALSE)</f>
        <v>0.1</v>
      </c>
      <c r="J57" s="38">
        <f t="shared" si="1"/>
        <v>0.8</v>
      </c>
    </row>
    <row r="58" spans="1:10" x14ac:dyDescent="0.3">
      <c r="A58" s="37">
        <v>41507</v>
      </c>
      <c r="B58" s="27" t="s">
        <v>73</v>
      </c>
      <c r="C58" s="27" t="s">
        <v>4</v>
      </c>
      <c r="D58" s="27" t="s">
        <v>61</v>
      </c>
      <c r="E58" s="27" t="s">
        <v>40</v>
      </c>
      <c r="F58" s="27">
        <v>15</v>
      </c>
      <c r="G58" s="28">
        <f t="shared" si="0"/>
        <v>1.5</v>
      </c>
      <c r="H58" s="28">
        <f>VLOOKUP(E58,Arkusz3!$A$1:$B$9,2,FALSE)</f>
        <v>1.5</v>
      </c>
      <c r="I58" s="28">
        <f>VLOOKUP(E58,[1]Arkusz1!$A$1:$B$9,2,FALSE)</f>
        <v>1.5</v>
      </c>
      <c r="J58" s="38">
        <f t="shared" si="1"/>
        <v>22.5</v>
      </c>
    </row>
    <row r="59" spans="1:10" x14ac:dyDescent="0.3">
      <c r="A59" s="37">
        <v>41573</v>
      </c>
      <c r="B59" s="27" t="s">
        <v>62</v>
      </c>
      <c r="C59" s="27" t="s">
        <v>6</v>
      </c>
      <c r="D59" s="27" t="s">
        <v>59</v>
      </c>
      <c r="E59" s="27" t="s">
        <v>39</v>
      </c>
      <c r="F59" s="27">
        <v>6</v>
      </c>
      <c r="G59" s="28">
        <f t="shared" si="0"/>
        <v>0.1</v>
      </c>
      <c r="H59" s="28">
        <f>VLOOKUP(E59,Arkusz3!$A$1:$B$9,2,FALSE)</f>
        <v>0.1</v>
      </c>
      <c r="I59" s="28">
        <f>VLOOKUP(E59,[1]Arkusz1!$A$1:$B$9,2,FALSE)</f>
        <v>0.1</v>
      </c>
      <c r="J59" s="38">
        <f t="shared" si="1"/>
        <v>0.60000000000000009</v>
      </c>
    </row>
    <row r="60" spans="1:10" x14ac:dyDescent="0.3">
      <c r="A60" s="37">
        <v>41487</v>
      </c>
      <c r="B60" s="27" t="s">
        <v>71</v>
      </c>
      <c r="C60" s="27" t="s">
        <v>3</v>
      </c>
      <c r="D60" s="27" t="s">
        <v>69</v>
      </c>
      <c r="E60" s="27" t="s">
        <v>36</v>
      </c>
      <c r="F60" s="27">
        <v>11</v>
      </c>
      <c r="G60" s="28">
        <f t="shared" si="0"/>
        <v>2.5</v>
      </c>
      <c r="H60" s="28">
        <f>VLOOKUP(E60,Arkusz3!$A$1:$B$9,2,FALSE)</f>
        <v>2.5</v>
      </c>
      <c r="I60" s="28">
        <f>VLOOKUP(E60,[1]Arkusz1!$A$1:$B$9,2,FALSE)</f>
        <v>2.5</v>
      </c>
      <c r="J60" s="38">
        <f t="shared" si="1"/>
        <v>27.5</v>
      </c>
    </row>
    <row r="61" spans="1:10" x14ac:dyDescent="0.3">
      <c r="A61" s="37">
        <v>41623</v>
      </c>
      <c r="B61" s="27" t="s">
        <v>71</v>
      </c>
      <c r="C61" s="27" t="s">
        <v>6</v>
      </c>
      <c r="D61" s="27" t="s">
        <v>72</v>
      </c>
      <c r="E61" s="27" t="s">
        <v>36</v>
      </c>
      <c r="F61" s="27">
        <v>5</v>
      </c>
      <c r="G61" s="28">
        <f t="shared" si="0"/>
        <v>2.5</v>
      </c>
      <c r="H61" s="28">
        <f>VLOOKUP(E61,Arkusz3!$A$1:$B$9,2,FALSE)</f>
        <v>2.5</v>
      </c>
      <c r="I61" s="28">
        <f>VLOOKUP(E61,[1]Arkusz1!$A$1:$B$9,2,FALSE)</f>
        <v>2.5</v>
      </c>
      <c r="J61" s="38">
        <f t="shared" si="1"/>
        <v>12.5</v>
      </c>
    </row>
    <row r="62" spans="1:10" x14ac:dyDescent="0.3">
      <c r="A62" s="37">
        <v>41631</v>
      </c>
      <c r="B62" s="27" t="s">
        <v>73</v>
      </c>
      <c r="C62" s="27" t="s">
        <v>7</v>
      </c>
      <c r="D62" s="27" t="s">
        <v>69</v>
      </c>
      <c r="E62" s="27" t="s">
        <v>36</v>
      </c>
      <c r="F62" s="27">
        <v>2</v>
      </c>
      <c r="G62" s="28">
        <f t="shared" si="0"/>
        <v>2.5</v>
      </c>
      <c r="H62" s="28">
        <f>VLOOKUP(E62,Arkusz3!$A$1:$B$9,2,FALSE)</f>
        <v>2.5</v>
      </c>
      <c r="I62" s="28">
        <f>VLOOKUP(E62,[1]Arkusz1!$A$1:$B$9,2,FALSE)</f>
        <v>2.5</v>
      </c>
      <c r="J62" s="38">
        <f t="shared" si="1"/>
        <v>5</v>
      </c>
    </row>
    <row r="63" spans="1:10" x14ac:dyDescent="0.3">
      <c r="A63" s="37">
        <v>41496</v>
      </c>
      <c r="B63" s="27" t="s">
        <v>73</v>
      </c>
      <c r="C63" s="27" t="s">
        <v>5</v>
      </c>
      <c r="D63" s="27" t="s">
        <v>65</v>
      </c>
      <c r="E63" s="27" t="s">
        <v>40</v>
      </c>
      <c r="F63" s="27">
        <v>4</v>
      </c>
      <c r="G63" s="28">
        <f t="shared" si="0"/>
        <v>1.5</v>
      </c>
      <c r="H63" s="28">
        <f>VLOOKUP(E63,Arkusz3!$A$1:$B$9,2,FALSE)</f>
        <v>1.5</v>
      </c>
      <c r="I63" s="28">
        <f>VLOOKUP(E63,[1]Arkusz1!$A$1:$B$9,2,FALSE)</f>
        <v>1.5</v>
      </c>
      <c r="J63" s="38">
        <f t="shared" si="1"/>
        <v>6</v>
      </c>
    </row>
    <row r="64" spans="1:10" x14ac:dyDescent="0.3">
      <c r="A64" s="37">
        <v>41567</v>
      </c>
      <c r="B64" s="27" t="s">
        <v>67</v>
      </c>
      <c r="C64" s="27" t="s">
        <v>3</v>
      </c>
      <c r="D64" s="27" t="s">
        <v>74</v>
      </c>
      <c r="E64" s="27" t="s">
        <v>39</v>
      </c>
      <c r="F64" s="27">
        <v>17</v>
      </c>
      <c r="G64" s="28">
        <f t="shared" si="0"/>
        <v>0.1</v>
      </c>
      <c r="H64" s="28">
        <f>VLOOKUP(E64,Arkusz3!$A$1:$B$9,2,FALSE)</f>
        <v>0.1</v>
      </c>
      <c r="I64" s="28">
        <f>VLOOKUP(E64,[1]Arkusz1!$A$1:$B$9,2,FALSE)</f>
        <v>0.1</v>
      </c>
      <c r="J64" s="38">
        <f t="shared" si="1"/>
        <v>1.7000000000000002</v>
      </c>
    </row>
    <row r="65" spans="1:10" x14ac:dyDescent="0.3">
      <c r="A65" s="37">
        <v>41559</v>
      </c>
      <c r="B65" s="27" t="s">
        <v>58</v>
      </c>
      <c r="C65" s="27" t="s">
        <v>5</v>
      </c>
      <c r="D65" s="27" t="s">
        <v>68</v>
      </c>
      <c r="E65" s="27" t="s">
        <v>39</v>
      </c>
      <c r="F65" s="27">
        <v>13</v>
      </c>
      <c r="G65" s="28">
        <f t="shared" si="0"/>
        <v>0.1</v>
      </c>
      <c r="H65" s="28">
        <f>VLOOKUP(E65,Arkusz3!$A$1:$B$9,2,FALSE)</f>
        <v>0.1</v>
      </c>
      <c r="I65" s="28">
        <f>VLOOKUP(E65,[1]Arkusz1!$A$1:$B$9,2,FALSE)</f>
        <v>0.1</v>
      </c>
      <c r="J65" s="38">
        <f t="shared" si="1"/>
        <v>1.3</v>
      </c>
    </row>
    <row r="66" spans="1:10" x14ac:dyDescent="0.3">
      <c r="A66" s="37">
        <v>41583</v>
      </c>
      <c r="B66" s="27" t="s">
        <v>67</v>
      </c>
      <c r="C66" s="27" t="s">
        <v>5</v>
      </c>
      <c r="D66" s="27" t="s">
        <v>65</v>
      </c>
      <c r="E66" s="27" t="s">
        <v>38</v>
      </c>
      <c r="F66" s="27">
        <v>2</v>
      </c>
      <c r="G66" s="28">
        <f t="shared" si="0"/>
        <v>0.2</v>
      </c>
      <c r="H66" s="28">
        <f>VLOOKUP(E66,Arkusz3!$A$1:$B$9,2,FALSE)</f>
        <v>0.2</v>
      </c>
      <c r="I66" s="28">
        <f>VLOOKUP(E66,[1]Arkusz1!$A$1:$B$9,2,FALSE)</f>
        <v>0.2</v>
      </c>
      <c r="J66" s="38">
        <f t="shared" si="1"/>
        <v>0.4</v>
      </c>
    </row>
    <row r="67" spans="1:10" x14ac:dyDescent="0.3">
      <c r="A67" s="37">
        <v>41602</v>
      </c>
      <c r="B67" s="27" t="s">
        <v>67</v>
      </c>
      <c r="C67" s="27" t="s">
        <v>3</v>
      </c>
      <c r="D67" s="27" t="s">
        <v>66</v>
      </c>
      <c r="E67" s="27" t="s">
        <v>36</v>
      </c>
      <c r="F67" s="27">
        <v>17</v>
      </c>
      <c r="G67" s="28">
        <f t="shared" ref="G67:G130" si="2">VLOOKUP(E67,$L$2:$M$9,2,FALSE)</f>
        <v>2.5</v>
      </c>
      <c r="H67" s="28">
        <f>VLOOKUP(E67,Arkusz3!$A$1:$B$9,2,FALSE)</f>
        <v>2.5</v>
      </c>
      <c r="I67" s="28">
        <f>VLOOKUP(E67,[1]Arkusz1!$A$1:$B$9,2,FALSE)</f>
        <v>2.5</v>
      </c>
      <c r="J67" s="38">
        <f t="shared" ref="J67:J130" si="3">F67*G67</f>
        <v>42.5</v>
      </c>
    </row>
    <row r="68" spans="1:10" x14ac:dyDescent="0.3">
      <c r="A68" s="37">
        <v>41609</v>
      </c>
      <c r="B68" s="27" t="s">
        <v>73</v>
      </c>
      <c r="C68" s="27" t="s">
        <v>3</v>
      </c>
      <c r="D68" s="27" t="s">
        <v>61</v>
      </c>
      <c r="E68" s="27" t="s">
        <v>36</v>
      </c>
      <c r="F68" s="27">
        <v>14</v>
      </c>
      <c r="G68" s="28">
        <f t="shared" si="2"/>
        <v>2.5</v>
      </c>
      <c r="H68" s="28">
        <f>VLOOKUP(E68,Arkusz3!$A$1:$B$9,2,FALSE)</f>
        <v>2.5</v>
      </c>
      <c r="I68" s="28">
        <f>VLOOKUP(E68,[1]Arkusz1!$A$1:$B$9,2,FALSE)</f>
        <v>2.5</v>
      </c>
      <c r="J68" s="38">
        <f t="shared" si="3"/>
        <v>35</v>
      </c>
    </row>
    <row r="69" spans="1:10" x14ac:dyDescent="0.3">
      <c r="A69" s="37">
        <v>41555</v>
      </c>
      <c r="B69" s="27" t="s">
        <v>71</v>
      </c>
      <c r="C69" s="27" t="s">
        <v>6</v>
      </c>
      <c r="D69" s="27" t="s">
        <v>72</v>
      </c>
      <c r="E69" s="27" t="s">
        <v>40</v>
      </c>
      <c r="F69" s="27">
        <v>6</v>
      </c>
      <c r="G69" s="28">
        <f t="shared" si="2"/>
        <v>1.5</v>
      </c>
      <c r="H69" s="28">
        <f>VLOOKUP(E69,Arkusz3!$A$1:$B$9,2,FALSE)</f>
        <v>1.5</v>
      </c>
      <c r="I69" s="28">
        <f>VLOOKUP(E69,[1]Arkusz1!$A$1:$B$9,2,FALSE)</f>
        <v>1.5</v>
      </c>
      <c r="J69" s="38">
        <f t="shared" si="3"/>
        <v>9</v>
      </c>
    </row>
    <row r="70" spans="1:10" x14ac:dyDescent="0.3">
      <c r="A70" s="37">
        <v>41619</v>
      </c>
      <c r="B70" s="27" t="s">
        <v>62</v>
      </c>
      <c r="C70" s="27" t="s">
        <v>5</v>
      </c>
      <c r="D70" s="27" t="s">
        <v>70</v>
      </c>
      <c r="E70" s="27" t="s">
        <v>34</v>
      </c>
      <c r="F70" s="27">
        <v>17</v>
      </c>
      <c r="G70" s="28">
        <f t="shared" si="2"/>
        <v>2</v>
      </c>
      <c r="H70" s="28">
        <f>VLOOKUP(E70,Arkusz3!$A$1:$B$9,2,FALSE)</f>
        <v>2</v>
      </c>
      <c r="I70" s="28">
        <f>VLOOKUP(E70,[1]Arkusz1!$A$1:$B$9,2,FALSE)</f>
        <v>2</v>
      </c>
      <c r="J70" s="38">
        <f t="shared" si="3"/>
        <v>34</v>
      </c>
    </row>
    <row r="71" spans="1:10" x14ac:dyDescent="0.3">
      <c r="A71" s="37">
        <v>41476</v>
      </c>
      <c r="B71" s="27" t="s">
        <v>62</v>
      </c>
      <c r="C71" s="27" t="s">
        <v>7</v>
      </c>
      <c r="D71" s="27" t="s">
        <v>65</v>
      </c>
      <c r="E71" s="27" t="s">
        <v>38</v>
      </c>
      <c r="F71" s="27">
        <v>6</v>
      </c>
      <c r="G71" s="28">
        <f t="shared" si="2"/>
        <v>0.2</v>
      </c>
      <c r="H71" s="28">
        <f>VLOOKUP(E71,Arkusz3!$A$1:$B$9,2,FALSE)</f>
        <v>0.2</v>
      </c>
      <c r="I71" s="28">
        <f>VLOOKUP(E71,[1]Arkusz1!$A$1:$B$9,2,FALSE)</f>
        <v>0.2</v>
      </c>
      <c r="J71" s="38">
        <f t="shared" si="3"/>
        <v>1.2000000000000002</v>
      </c>
    </row>
    <row r="72" spans="1:10" x14ac:dyDescent="0.3">
      <c r="A72" s="37">
        <v>41576</v>
      </c>
      <c r="B72" s="27" t="s">
        <v>58</v>
      </c>
      <c r="C72" s="27" t="s">
        <v>3</v>
      </c>
      <c r="D72" s="27" t="s">
        <v>60</v>
      </c>
      <c r="E72" s="27" t="s">
        <v>37</v>
      </c>
      <c r="F72" s="27">
        <v>13</v>
      </c>
      <c r="G72" s="28">
        <f t="shared" si="2"/>
        <v>5</v>
      </c>
      <c r="H72" s="28">
        <f>VLOOKUP(E72,Arkusz3!$A$1:$B$9,2,FALSE)</f>
        <v>5</v>
      </c>
      <c r="I72" s="28">
        <f>VLOOKUP(E72,[1]Arkusz1!$A$1:$B$9,2,FALSE)</f>
        <v>5</v>
      </c>
      <c r="J72" s="38">
        <f t="shared" si="3"/>
        <v>65</v>
      </c>
    </row>
    <row r="73" spans="1:10" x14ac:dyDescent="0.3">
      <c r="A73" s="37">
        <v>41474</v>
      </c>
      <c r="B73" s="27" t="s">
        <v>62</v>
      </c>
      <c r="C73" s="27" t="s">
        <v>6</v>
      </c>
      <c r="D73" s="27" t="s">
        <v>72</v>
      </c>
      <c r="E73" s="27" t="s">
        <v>41</v>
      </c>
      <c r="F73" s="27">
        <v>11</v>
      </c>
      <c r="G73" s="28">
        <f t="shared" si="2"/>
        <v>4</v>
      </c>
      <c r="H73" s="28">
        <f>VLOOKUP(E73,Arkusz3!$A$1:$B$9,2,FALSE)</f>
        <v>4</v>
      </c>
      <c r="I73" s="28">
        <f>VLOOKUP(E73,[1]Arkusz1!$A$1:$B$9,2,FALSE)</f>
        <v>4</v>
      </c>
      <c r="J73" s="38">
        <f t="shared" si="3"/>
        <v>44</v>
      </c>
    </row>
    <row r="74" spans="1:10" x14ac:dyDescent="0.3">
      <c r="A74" s="37">
        <v>41435</v>
      </c>
      <c r="B74" s="27" t="s">
        <v>71</v>
      </c>
      <c r="C74" s="27" t="s">
        <v>7</v>
      </c>
      <c r="D74" s="27" t="s">
        <v>63</v>
      </c>
      <c r="E74" s="27" t="s">
        <v>41</v>
      </c>
      <c r="F74" s="27">
        <v>17</v>
      </c>
      <c r="G74" s="28">
        <f t="shared" si="2"/>
        <v>4</v>
      </c>
      <c r="H74" s="28">
        <f>VLOOKUP(E74,Arkusz3!$A$1:$B$9,2,FALSE)</f>
        <v>4</v>
      </c>
      <c r="I74" s="28">
        <f>VLOOKUP(E74,[1]Arkusz1!$A$1:$B$9,2,FALSE)</f>
        <v>4</v>
      </c>
      <c r="J74" s="38">
        <f t="shared" si="3"/>
        <v>68</v>
      </c>
    </row>
    <row r="75" spans="1:10" x14ac:dyDescent="0.3">
      <c r="A75" s="37">
        <v>41567</v>
      </c>
      <c r="B75" s="27" t="s">
        <v>67</v>
      </c>
      <c r="C75" s="27" t="s">
        <v>5</v>
      </c>
      <c r="D75" s="27" t="s">
        <v>72</v>
      </c>
      <c r="E75" s="27" t="s">
        <v>36</v>
      </c>
      <c r="F75" s="27">
        <v>16</v>
      </c>
      <c r="G75" s="28">
        <f t="shared" si="2"/>
        <v>2.5</v>
      </c>
      <c r="H75" s="28">
        <f>VLOOKUP(E75,Arkusz3!$A$1:$B$9,2,FALSE)</f>
        <v>2.5</v>
      </c>
      <c r="I75" s="28">
        <f>VLOOKUP(E75,[1]Arkusz1!$A$1:$B$9,2,FALSE)</f>
        <v>2.5</v>
      </c>
      <c r="J75" s="38">
        <f t="shared" si="3"/>
        <v>40</v>
      </c>
    </row>
    <row r="76" spans="1:10" x14ac:dyDescent="0.3">
      <c r="A76" s="37">
        <v>41542</v>
      </c>
      <c r="B76" s="27" t="s">
        <v>73</v>
      </c>
      <c r="C76" s="27" t="s">
        <v>6</v>
      </c>
      <c r="D76" s="27" t="s">
        <v>61</v>
      </c>
      <c r="E76" s="27" t="s">
        <v>37</v>
      </c>
      <c r="F76" s="27">
        <v>2</v>
      </c>
      <c r="G76" s="28">
        <f t="shared" si="2"/>
        <v>5</v>
      </c>
      <c r="H76" s="28">
        <f>VLOOKUP(E76,Arkusz3!$A$1:$B$9,2,FALSE)</f>
        <v>5</v>
      </c>
      <c r="I76" s="28">
        <f>VLOOKUP(E76,[1]Arkusz1!$A$1:$B$9,2,FALSE)</f>
        <v>5</v>
      </c>
      <c r="J76" s="38">
        <f t="shared" si="3"/>
        <v>10</v>
      </c>
    </row>
    <row r="77" spans="1:10" x14ac:dyDescent="0.3">
      <c r="A77" s="37">
        <v>41451</v>
      </c>
      <c r="B77" s="27" t="s">
        <v>73</v>
      </c>
      <c r="C77" s="27" t="s">
        <v>4</v>
      </c>
      <c r="D77" s="27" t="s">
        <v>63</v>
      </c>
      <c r="E77" s="27" t="s">
        <v>40</v>
      </c>
      <c r="F77" s="27">
        <v>18</v>
      </c>
      <c r="G77" s="28">
        <f t="shared" si="2"/>
        <v>1.5</v>
      </c>
      <c r="H77" s="28">
        <f>VLOOKUP(E77,Arkusz3!$A$1:$B$9,2,FALSE)</f>
        <v>1.5</v>
      </c>
      <c r="I77" s="28">
        <f>VLOOKUP(E77,[1]Arkusz1!$A$1:$B$9,2,FALSE)</f>
        <v>1.5</v>
      </c>
      <c r="J77" s="38">
        <f t="shared" si="3"/>
        <v>27</v>
      </c>
    </row>
    <row r="78" spans="1:10" x14ac:dyDescent="0.3">
      <c r="A78" s="37">
        <v>41445</v>
      </c>
      <c r="B78" s="27" t="s">
        <v>58</v>
      </c>
      <c r="C78" s="27" t="s">
        <v>3</v>
      </c>
      <c r="D78" s="27" t="s">
        <v>66</v>
      </c>
      <c r="E78" s="27" t="s">
        <v>41</v>
      </c>
      <c r="F78" s="27">
        <v>9</v>
      </c>
      <c r="G78" s="28">
        <f t="shared" si="2"/>
        <v>4</v>
      </c>
      <c r="H78" s="28">
        <f>VLOOKUP(E78,Arkusz3!$A$1:$B$9,2,FALSE)</f>
        <v>4</v>
      </c>
      <c r="I78" s="28">
        <f>VLOOKUP(E78,[1]Arkusz1!$A$1:$B$9,2,FALSE)</f>
        <v>4</v>
      </c>
      <c r="J78" s="38">
        <f t="shared" si="3"/>
        <v>36</v>
      </c>
    </row>
    <row r="79" spans="1:10" x14ac:dyDescent="0.3">
      <c r="A79" s="37">
        <v>41569</v>
      </c>
      <c r="B79" s="27" t="s">
        <v>58</v>
      </c>
      <c r="C79" s="27" t="s">
        <v>3</v>
      </c>
      <c r="D79" s="27" t="s">
        <v>61</v>
      </c>
      <c r="E79" s="27" t="s">
        <v>40</v>
      </c>
      <c r="F79" s="27">
        <v>9</v>
      </c>
      <c r="G79" s="28">
        <f t="shared" si="2"/>
        <v>1.5</v>
      </c>
      <c r="H79" s="28">
        <f>VLOOKUP(E79,Arkusz3!$A$1:$B$9,2,FALSE)</f>
        <v>1.5</v>
      </c>
      <c r="I79" s="28">
        <f>VLOOKUP(E79,[1]Arkusz1!$A$1:$B$9,2,FALSE)</f>
        <v>1.5</v>
      </c>
      <c r="J79" s="38">
        <f t="shared" si="3"/>
        <v>13.5</v>
      </c>
    </row>
    <row r="80" spans="1:10" x14ac:dyDescent="0.3">
      <c r="A80" s="37">
        <v>41516</v>
      </c>
      <c r="B80" s="27" t="s">
        <v>62</v>
      </c>
      <c r="C80" s="27" t="s">
        <v>4</v>
      </c>
      <c r="D80" s="27" t="s">
        <v>70</v>
      </c>
      <c r="E80" s="27" t="s">
        <v>40</v>
      </c>
      <c r="F80" s="27">
        <v>13</v>
      </c>
      <c r="G80" s="28">
        <f t="shared" si="2"/>
        <v>1.5</v>
      </c>
      <c r="H80" s="28">
        <f>VLOOKUP(E80,Arkusz3!$A$1:$B$9,2,FALSE)</f>
        <v>1.5</v>
      </c>
      <c r="I80" s="28">
        <f>VLOOKUP(E80,[1]Arkusz1!$A$1:$B$9,2,FALSE)</f>
        <v>1.5</v>
      </c>
      <c r="J80" s="38">
        <f t="shared" si="3"/>
        <v>19.5</v>
      </c>
    </row>
    <row r="81" spans="1:10" x14ac:dyDescent="0.3">
      <c r="A81" s="37">
        <v>41615</v>
      </c>
      <c r="B81" s="27" t="s">
        <v>62</v>
      </c>
      <c r="C81" s="27" t="s">
        <v>5</v>
      </c>
      <c r="D81" s="27" t="s">
        <v>61</v>
      </c>
      <c r="E81" s="27" t="s">
        <v>37</v>
      </c>
      <c r="F81" s="27">
        <v>19</v>
      </c>
      <c r="G81" s="28">
        <f t="shared" si="2"/>
        <v>5</v>
      </c>
      <c r="H81" s="28">
        <f>VLOOKUP(E81,Arkusz3!$A$1:$B$9,2,FALSE)</f>
        <v>5</v>
      </c>
      <c r="I81" s="28">
        <f>VLOOKUP(E81,[1]Arkusz1!$A$1:$B$9,2,FALSE)</f>
        <v>5</v>
      </c>
      <c r="J81" s="38">
        <f t="shared" si="3"/>
        <v>95</v>
      </c>
    </row>
    <row r="82" spans="1:10" x14ac:dyDescent="0.3">
      <c r="A82" s="37">
        <v>41549</v>
      </c>
      <c r="B82" s="27" t="s">
        <v>67</v>
      </c>
      <c r="C82" s="27" t="s">
        <v>5</v>
      </c>
      <c r="D82" s="27" t="s">
        <v>66</v>
      </c>
      <c r="E82" s="27" t="s">
        <v>40</v>
      </c>
      <c r="F82" s="27">
        <v>17</v>
      </c>
      <c r="G82" s="28">
        <f t="shared" si="2"/>
        <v>1.5</v>
      </c>
      <c r="H82" s="28">
        <f>VLOOKUP(E82,Arkusz3!$A$1:$B$9,2,FALSE)</f>
        <v>1.5</v>
      </c>
      <c r="I82" s="28">
        <f>VLOOKUP(E82,[1]Arkusz1!$A$1:$B$9,2,FALSE)</f>
        <v>1.5</v>
      </c>
      <c r="J82" s="38">
        <f t="shared" si="3"/>
        <v>25.5</v>
      </c>
    </row>
    <row r="83" spans="1:10" x14ac:dyDescent="0.3">
      <c r="A83" s="37">
        <v>41445</v>
      </c>
      <c r="B83" s="27" t="s">
        <v>67</v>
      </c>
      <c r="C83" s="27" t="s">
        <v>7</v>
      </c>
      <c r="D83" s="27" t="s">
        <v>68</v>
      </c>
      <c r="E83" s="27" t="s">
        <v>40</v>
      </c>
      <c r="F83" s="27">
        <v>2</v>
      </c>
      <c r="G83" s="28">
        <f t="shared" si="2"/>
        <v>1.5</v>
      </c>
      <c r="H83" s="28">
        <f>VLOOKUP(E83,Arkusz3!$A$1:$B$9,2,FALSE)</f>
        <v>1.5</v>
      </c>
      <c r="I83" s="28">
        <f>VLOOKUP(E83,[1]Arkusz1!$A$1:$B$9,2,FALSE)</f>
        <v>1.5</v>
      </c>
      <c r="J83" s="38">
        <f t="shared" si="3"/>
        <v>3</v>
      </c>
    </row>
    <row r="84" spans="1:10" x14ac:dyDescent="0.3">
      <c r="A84" s="37">
        <v>41433</v>
      </c>
      <c r="B84" s="27" t="s">
        <v>58</v>
      </c>
      <c r="C84" s="27" t="s">
        <v>5</v>
      </c>
      <c r="D84" s="27" t="s">
        <v>63</v>
      </c>
      <c r="E84" s="27" t="s">
        <v>34</v>
      </c>
      <c r="F84" s="27">
        <v>12</v>
      </c>
      <c r="G84" s="28">
        <f t="shared" si="2"/>
        <v>2</v>
      </c>
      <c r="H84" s="28">
        <f>VLOOKUP(E84,Arkusz3!$A$1:$B$9,2,FALSE)</f>
        <v>2</v>
      </c>
      <c r="I84" s="28">
        <f>VLOOKUP(E84,[1]Arkusz1!$A$1:$B$9,2,FALSE)</f>
        <v>2</v>
      </c>
      <c r="J84" s="38">
        <f t="shared" si="3"/>
        <v>24</v>
      </c>
    </row>
    <row r="85" spans="1:10" x14ac:dyDescent="0.3">
      <c r="A85" s="37">
        <v>41555</v>
      </c>
      <c r="B85" s="27" t="s">
        <v>58</v>
      </c>
      <c r="C85" s="27" t="s">
        <v>4</v>
      </c>
      <c r="D85" s="27" t="s">
        <v>59</v>
      </c>
      <c r="E85" s="27" t="s">
        <v>41</v>
      </c>
      <c r="F85" s="27">
        <v>14</v>
      </c>
      <c r="G85" s="28">
        <f t="shared" si="2"/>
        <v>4</v>
      </c>
      <c r="H85" s="28">
        <f>VLOOKUP(E85,Arkusz3!$A$1:$B$9,2,FALSE)</f>
        <v>4</v>
      </c>
      <c r="I85" s="28">
        <f>VLOOKUP(E85,[1]Arkusz1!$A$1:$B$9,2,FALSE)</f>
        <v>4</v>
      </c>
      <c r="J85" s="38">
        <f t="shared" si="3"/>
        <v>56</v>
      </c>
    </row>
    <row r="86" spans="1:10" x14ac:dyDescent="0.3">
      <c r="A86" s="37">
        <v>41588</v>
      </c>
      <c r="B86" s="27" t="s">
        <v>62</v>
      </c>
      <c r="C86" s="27" t="s">
        <v>6</v>
      </c>
      <c r="D86" s="27" t="s">
        <v>60</v>
      </c>
      <c r="E86" s="27" t="s">
        <v>40</v>
      </c>
      <c r="F86" s="27">
        <v>9</v>
      </c>
      <c r="G86" s="28">
        <f t="shared" si="2"/>
        <v>1.5</v>
      </c>
      <c r="H86" s="28">
        <f>VLOOKUP(E86,Arkusz3!$A$1:$B$9,2,FALSE)</f>
        <v>1.5</v>
      </c>
      <c r="I86" s="28">
        <f>VLOOKUP(E86,[1]Arkusz1!$A$1:$B$9,2,FALSE)</f>
        <v>1.5</v>
      </c>
      <c r="J86" s="38">
        <f t="shared" si="3"/>
        <v>13.5</v>
      </c>
    </row>
    <row r="87" spans="1:10" x14ac:dyDescent="0.3">
      <c r="A87" s="37">
        <v>41466</v>
      </c>
      <c r="B87" s="27" t="s">
        <v>58</v>
      </c>
      <c r="C87" s="27" t="s">
        <v>6</v>
      </c>
      <c r="D87" s="27" t="s">
        <v>64</v>
      </c>
      <c r="E87" s="27" t="s">
        <v>39</v>
      </c>
      <c r="F87" s="27">
        <v>20</v>
      </c>
      <c r="G87" s="28">
        <f t="shared" si="2"/>
        <v>0.1</v>
      </c>
      <c r="H87" s="28">
        <f>VLOOKUP(E87,Arkusz3!$A$1:$B$9,2,FALSE)</f>
        <v>0.1</v>
      </c>
      <c r="I87" s="28">
        <f>VLOOKUP(E87,[1]Arkusz1!$A$1:$B$9,2,FALSE)</f>
        <v>0.1</v>
      </c>
      <c r="J87" s="38">
        <f t="shared" si="3"/>
        <v>2</v>
      </c>
    </row>
    <row r="88" spans="1:10" x14ac:dyDescent="0.3">
      <c r="A88" s="37">
        <v>41468</v>
      </c>
      <c r="B88" s="27" t="s">
        <v>62</v>
      </c>
      <c r="C88" s="27" t="s">
        <v>3</v>
      </c>
      <c r="D88" s="27" t="s">
        <v>63</v>
      </c>
      <c r="E88" s="27" t="s">
        <v>37</v>
      </c>
      <c r="F88" s="27">
        <v>3</v>
      </c>
      <c r="G88" s="28">
        <f t="shared" si="2"/>
        <v>5</v>
      </c>
      <c r="H88" s="28">
        <f>VLOOKUP(E88,Arkusz3!$A$1:$B$9,2,FALSE)</f>
        <v>5</v>
      </c>
      <c r="I88" s="28">
        <f>VLOOKUP(E88,[1]Arkusz1!$A$1:$B$9,2,FALSE)</f>
        <v>5</v>
      </c>
      <c r="J88" s="38">
        <f t="shared" si="3"/>
        <v>15</v>
      </c>
    </row>
    <row r="89" spans="1:10" x14ac:dyDescent="0.3">
      <c r="A89" s="37">
        <v>41582</v>
      </c>
      <c r="B89" s="27" t="s">
        <v>62</v>
      </c>
      <c r="C89" s="27" t="s">
        <v>5</v>
      </c>
      <c r="D89" s="27" t="s">
        <v>66</v>
      </c>
      <c r="E89" s="27" t="s">
        <v>39</v>
      </c>
      <c r="F89" s="27">
        <v>4</v>
      </c>
      <c r="G89" s="28">
        <f t="shared" si="2"/>
        <v>0.1</v>
      </c>
      <c r="H89" s="28">
        <f>VLOOKUP(E89,Arkusz3!$A$1:$B$9,2,FALSE)</f>
        <v>0.1</v>
      </c>
      <c r="I89" s="28">
        <f>VLOOKUP(E89,[1]Arkusz1!$A$1:$B$9,2,FALSE)</f>
        <v>0.1</v>
      </c>
      <c r="J89" s="38">
        <f t="shared" si="3"/>
        <v>0.4</v>
      </c>
    </row>
    <row r="90" spans="1:10" x14ac:dyDescent="0.3">
      <c r="A90" s="37">
        <v>41571</v>
      </c>
      <c r="B90" s="27" t="s">
        <v>62</v>
      </c>
      <c r="C90" s="27" t="s">
        <v>6</v>
      </c>
      <c r="D90" s="27" t="s">
        <v>72</v>
      </c>
      <c r="E90" s="27" t="s">
        <v>41</v>
      </c>
      <c r="F90" s="27">
        <v>6</v>
      </c>
      <c r="G90" s="28">
        <f t="shared" si="2"/>
        <v>4</v>
      </c>
      <c r="H90" s="28">
        <f>VLOOKUP(E90,Arkusz3!$A$1:$B$9,2,FALSE)</f>
        <v>4</v>
      </c>
      <c r="I90" s="28">
        <f>VLOOKUP(E90,[1]Arkusz1!$A$1:$B$9,2,FALSE)</f>
        <v>4</v>
      </c>
      <c r="J90" s="38">
        <f t="shared" si="3"/>
        <v>24</v>
      </c>
    </row>
    <row r="91" spans="1:10" x14ac:dyDescent="0.3">
      <c r="A91" s="37">
        <v>41505</v>
      </c>
      <c r="B91" s="27" t="s">
        <v>58</v>
      </c>
      <c r="C91" s="27" t="s">
        <v>5</v>
      </c>
      <c r="D91" s="27" t="s">
        <v>66</v>
      </c>
      <c r="E91" s="27" t="s">
        <v>39</v>
      </c>
      <c r="F91" s="27">
        <v>11</v>
      </c>
      <c r="G91" s="28">
        <f t="shared" si="2"/>
        <v>0.1</v>
      </c>
      <c r="H91" s="28">
        <f>VLOOKUP(E91,Arkusz3!$A$1:$B$9,2,FALSE)</f>
        <v>0.1</v>
      </c>
      <c r="I91" s="28">
        <f>VLOOKUP(E91,[1]Arkusz1!$A$1:$B$9,2,FALSE)</f>
        <v>0.1</v>
      </c>
      <c r="J91" s="38">
        <f t="shared" si="3"/>
        <v>1.1000000000000001</v>
      </c>
    </row>
    <row r="92" spans="1:10" x14ac:dyDescent="0.3">
      <c r="A92" s="37">
        <v>41430</v>
      </c>
      <c r="B92" s="27" t="s">
        <v>67</v>
      </c>
      <c r="C92" s="27" t="s">
        <v>7</v>
      </c>
      <c r="D92" s="27" t="s">
        <v>65</v>
      </c>
      <c r="E92" s="27" t="s">
        <v>39</v>
      </c>
      <c r="F92" s="27">
        <v>15</v>
      </c>
      <c r="G92" s="28">
        <f t="shared" si="2"/>
        <v>0.1</v>
      </c>
      <c r="H92" s="28">
        <f>VLOOKUP(E92,Arkusz3!$A$1:$B$9,2,FALSE)</f>
        <v>0.1</v>
      </c>
      <c r="I92" s="28">
        <f>VLOOKUP(E92,[1]Arkusz1!$A$1:$B$9,2,FALSE)</f>
        <v>0.1</v>
      </c>
      <c r="J92" s="38">
        <f t="shared" si="3"/>
        <v>1.5</v>
      </c>
    </row>
    <row r="93" spans="1:10" x14ac:dyDescent="0.3">
      <c r="A93" s="37">
        <v>41494</v>
      </c>
      <c r="B93" s="27" t="s">
        <v>71</v>
      </c>
      <c r="C93" s="27" t="s">
        <v>6</v>
      </c>
      <c r="D93" s="27" t="s">
        <v>66</v>
      </c>
      <c r="E93" s="27" t="s">
        <v>34</v>
      </c>
      <c r="F93" s="27">
        <v>14</v>
      </c>
      <c r="G93" s="28">
        <f t="shared" si="2"/>
        <v>2</v>
      </c>
      <c r="H93" s="28">
        <f>VLOOKUP(E93,Arkusz3!$A$1:$B$9,2,FALSE)</f>
        <v>2</v>
      </c>
      <c r="I93" s="28">
        <f>VLOOKUP(E93,[1]Arkusz1!$A$1:$B$9,2,FALSE)</f>
        <v>2</v>
      </c>
      <c r="J93" s="38">
        <f t="shared" si="3"/>
        <v>28</v>
      </c>
    </row>
    <row r="94" spans="1:10" x14ac:dyDescent="0.3">
      <c r="A94" s="37">
        <v>41559</v>
      </c>
      <c r="B94" s="27" t="s">
        <v>71</v>
      </c>
      <c r="C94" s="27" t="s">
        <v>5</v>
      </c>
      <c r="D94" s="27" t="s">
        <v>63</v>
      </c>
      <c r="E94" s="27" t="s">
        <v>36</v>
      </c>
      <c r="F94" s="27">
        <v>13</v>
      </c>
      <c r="G94" s="28">
        <f t="shared" si="2"/>
        <v>2.5</v>
      </c>
      <c r="H94" s="28">
        <f>VLOOKUP(E94,Arkusz3!$A$1:$B$9,2,FALSE)</f>
        <v>2.5</v>
      </c>
      <c r="I94" s="28">
        <f>VLOOKUP(E94,[1]Arkusz1!$A$1:$B$9,2,FALSE)</f>
        <v>2.5</v>
      </c>
      <c r="J94" s="38">
        <f t="shared" si="3"/>
        <v>32.5</v>
      </c>
    </row>
    <row r="95" spans="1:10" x14ac:dyDescent="0.3">
      <c r="A95" s="37">
        <v>41529</v>
      </c>
      <c r="B95" s="27" t="s">
        <v>62</v>
      </c>
      <c r="C95" s="27" t="s">
        <v>7</v>
      </c>
      <c r="D95" s="27" t="s">
        <v>65</v>
      </c>
      <c r="E95" s="27" t="s">
        <v>40</v>
      </c>
      <c r="F95" s="27">
        <v>17</v>
      </c>
      <c r="G95" s="28">
        <f t="shared" si="2"/>
        <v>1.5</v>
      </c>
      <c r="H95" s="28">
        <f>VLOOKUP(E95,Arkusz3!$A$1:$B$9,2,FALSE)</f>
        <v>1.5</v>
      </c>
      <c r="I95" s="28">
        <f>VLOOKUP(E95,[1]Arkusz1!$A$1:$B$9,2,FALSE)</f>
        <v>1.5</v>
      </c>
      <c r="J95" s="38">
        <f t="shared" si="3"/>
        <v>25.5</v>
      </c>
    </row>
    <row r="96" spans="1:10" x14ac:dyDescent="0.3">
      <c r="A96" s="37">
        <v>41496</v>
      </c>
      <c r="B96" s="27" t="s">
        <v>58</v>
      </c>
      <c r="C96" s="27" t="s">
        <v>7</v>
      </c>
      <c r="D96" s="27" t="s">
        <v>66</v>
      </c>
      <c r="E96" s="27" t="s">
        <v>40</v>
      </c>
      <c r="F96" s="27">
        <v>8</v>
      </c>
      <c r="G96" s="28">
        <f t="shared" si="2"/>
        <v>1.5</v>
      </c>
      <c r="H96" s="28">
        <f>VLOOKUP(E96,Arkusz3!$A$1:$B$9,2,FALSE)</f>
        <v>1.5</v>
      </c>
      <c r="I96" s="28">
        <f>VLOOKUP(E96,[1]Arkusz1!$A$1:$B$9,2,FALSE)</f>
        <v>1.5</v>
      </c>
      <c r="J96" s="38">
        <f t="shared" si="3"/>
        <v>12</v>
      </c>
    </row>
    <row r="97" spans="1:10" x14ac:dyDescent="0.3">
      <c r="A97" s="37">
        <v>41616</v>
      </c>
      <c r="B97" s="27" t="s">
        <v>67</v>
      </c>
      <c r="C97" s="27" t="s">
        <v>7</v>
      </c>
      <c r="D97" s="27" t="s">
        <v>64</v>
      </c>
      <c r="E97" s="27" t="s">
        <v>41</v>
      </c>
      <c r="F97" s="27">
        <v>10</v>
      </c>
      <c r="G97" s="28">
        <f t="shared" si="2"/>
        <v>4</v>
      </c>
      <c r="H97" s="28">
        <f>VLOOKUP(E97,Arkusz3!$A$1:$B$9,2,FALSE)</f>
        <v>4</v>
      </c>
      <c r="I97" s="28">
        <f>VLOOKUP(E97,[1]Arkusz1!$A$1:$B$9,2,FALSE)</f>
        <v>4</v>
      </c>
      <c r="J97" s="38">
        <f t="shared" si="3"/>
        <v>40</v>
      </c>
    </row>
    <row r="98" spans="1:10" x14ac:dyDescent="0.3">
      <c r="A98" s="37">
        <v>41519</v>
      </c>
      <c r="B98" s="27" t="s">
        <v>58</v>
      </c>
      <c r="C98" s="27" t="s">
        <v>3</v>
      </c>
      <c r="D98" s="27" t="s">
        <v>70</v>
      </c>
      <c r="E98" s="27" t="s">
        <v>34</v>
      </c>
      <c r="F98" s="27">
        <v>1</v>
      </c>
      <c r="G98" s="28">
        <f t="shared" si="2"/>
        <v>2</v>
      </c>
      <c r="H98" s="28">
        <f>VLOOKUP(E98,Arkusz3!$A$1:$B$9,2,FALSE)</f>
        <v>2</v>
      </c>
      <c r="I98" s="28">
        <f>VLOOKUP(E98,[1]Arkusz1!$A$1:$B$9,2,FALSE)</f>
        <v>2</v>
      </c>
      <c r="J98" s="38">
        <f t="shared" si="3"/>
        <v>2</v>
      </c>
    </row>
    <row r="99" spans="1:10" x14ac:dyDescent="0.3">
      <c r="A99" s="37">
        <v>41619</v>
      </c>
      <c r="B99" s="27" t="s">
        <v>67</v>
      </c>
      <c r="C99" s="27" t="s">
        <v>7</v>
      </c>
      <c r="D99" s="27" t="s">
        <v>66</v>
      </c>
      <c r="E99" s="27" t="s">
        <v>40</v>
      </c>
      <c r="F99" s="27">
        <v>4</v>
      </c>
      <c r="G99" s="28">
        <f t="shared" si="2"/>
        <v>1.5</v>
      </c>
      <c r="H99" s="28">
        <f>VLOOKUP(E99,Arkusz3!$A$1:$B$9,2,FALSE)</f>
        <v>1.5</v>
      </c>
      <c r="I99" s="28">
        <f>VLOOKUP(E99,[1]Arkusz1!$A$1:$B$9,2,FALSE)</f>
        <v>1.5</v>
      </c>
      <c r="J99" s="38">
        <f t="shared" si="3"/>
        <v>6</v>
      </c>
    </row>
    <row r="100" spans="1:10" x14ac:dyDescent="0.3">
      <c r="A100" s="37">
        <v>41586</v>
      </c>
      <c r="B100" s="27" t="s">
        <v>73</v>
      </c>
      <c r="C100" s="27" t="s">
        <v>5</v>
      </c>
      <c r="D100" s="27" t="s">
        <v>61</v>
      </c>
      <c r="E100" s="27" t="s">
        <v>35</v>
      </c>
      <c r="F100" s="27">
        <v>13</v>
      </c>
      <c r="G100" s="28">
        <f t="shared" si="2"/>
        <v>0.5</v>
      </c>
      <c r="H100" s="28">
        <f>VLOOKUP(E100,Arkusz3!$A$1:$B$9,2,FALSE)</f>
        <v>0.5</v>
      </c>
      <c r="I100" s="28">
        <f>VLOOKUP(E100,[1]Arkusz1!$A$1:$B$9,2,FALSE)</f>
        <v>0.5</v>
      </c>
      <c r="J100" s="38">
        <f t="shared" si="3"/>
        <v>6.5</v>
      </c>
    </row>
    <row r="101" spans="1:10" x14ac:dyDescent="0.3">
      <c r="A101" s="37">
        <v>41632</v>
      </c>
      <c r="B101" s="27" t="s">
        <v>62</v>
      </c>
      <c r="C101" s="27" t="s">
        <v>6</v>
      </c>
      <c r="D101" s="27" t="s">
        <v>65</v>
      </c>
      <c r="E101" s="27" t="s">
        <v>41</v>
      </c>
      <c r="F101" s="27">
        <v>20</v>
      </c>
      <c r="G101" s="28">
        <f t="shared" si="2"/>
        <v>4</v>
      </c>
      <c r="H101" s="28">
        <f>VLOOKUP(E101,Arkusz3!$A$1:$B$9,2,FALSE)</f>
        <v>4</v>
      </c>
      <c r="I101" s="28">
        <f>VLOOKUP(E101,[1]Arkusz1!$A$1:$B$9,2,FALSE)</f>
        <v>4</v>
      </c>
      <c r="J101" s="38">
        <f t="shared" si="3"/>
        <v>80</v>
      </c>
    </row>
    <row r="102" spans="1:10" x14ac:dyDescent="0.3">
      <c r="A102" s="37">
        <v>41479</v>
      </c>
      <c r="B102" s="27" t="s">
        <v>62</v>
      </c>
      <c r="C102" s="27" t="s">
        <v>3</v>
      </c>
      <c r="D102" s="27" t="s">
        <v>65</v>
      </c>
      <c r="E102" s="27" t="s">
        <v>34</v>
      </c>
      <c r="F102" s="27">
        <v>3</v>
      </c>
      <c r="G102" s="28">
        <f t="shared" si="2"/>
        <v>2</v>
      </c>
      <c r="H102" s="28">
        <f>VLOOKUP(E102,Arkusz3!$A$1:$B$9,2,FALSE)</f>
        <v>2</v>
      </c>
      <c r="I102" s="28">
        <f>VLOOKUP(E102,[1]Arkusz1!$A$1:$B$9,2,FALSE)</f>
        <v>2</v>
      </c>
      <c r="J102" s="38">
        <f t="shared" si="3"/>
        <v>6</v>
      </c>
    </row>
    <row r="103" spans="1:10" x14ac:dyDescent="0.3">
      <c r="A103" s="37">
        <v>41511</v>
      </c>
      <c r="B103" s="27" t="s">
        <v>75</v>
      </c>
      <c r="C103" s="27" t="s">
        <v>3</v>
      </c>
      <c r="D103" s="27" t="s">
        <v>72</v>
      </c>
      <c r="E103" s="27" t="s">
        <v>36</v>
      </c>
      <c r="F103" s="27">
        <v>10</v>
      </c>
      <c r="G103" s="28">
        <f t="shared" si="2"/>
        <v>2.5</v>
      </c>
      <c r="H103" s="28">
        <f>VLOOKUP(E103,Arkusz3!$A$1:$B$9,2,FALSE)</f>
        <v>2.5</v>
      </c>
      <c r="I103" s="28">
        <f>VLOOKUP(E103,[1]Arkusz1!$A$1:$B$9,2,FALSE)</f>
        <v>2.5</v>
      </c>
      <c r="J103" s="38">
        <f t="shared" si="3"/>
        <v>25</v>
      </c>
    </row>
    <row r="104" spans="1:10" x14ac:dyDescent="0.3">
      <c r="A104" s="37">
        <v>41457</v>
      </c>
      <c r="B104" s="27" t="s">
        <v>73</v>
      </c>
      <c r="C104" s="27" t="s">
        <v>4</v>
      </c>
      <c r="D104" s="27" t="s">
        <v>74</v>
      </c>
      <c r="E104" s="27" t="s">
        <v>41</v>
      </c>
      <c r="F104" s="27">
        <v>2</v>
      </c>
      <c r="G104" s="28">
        <f t="shared" si="2"/>
        <v>4</v>
      </c>
      <c r="H104" s="28">
        <f>VLOOKUP(E104,Arkusz3!$A$1:$B$9,2,FALSE)</f>
        <v>4</v>
      </c>
      <c r="I104" s="28">
        <f>VLOOKUP(E104,[1]Arkusz1!$A$1:$B$9,2,FALSE)</f>
        <v>4</v>
      </c>
      <c r="J104" s="38">
        <f t="shared" si="3"/>
        <v>8</v>
      </c>
    </row>
    <row r="105" spans="1:10" x14ac:dyDescent="0.3">
      <c r="A105" s="37">
        <v>41444</v>
      </c>
      <c r="B105" s="27" t="s">
        <v>67</v>
      </c>
      <c r="C105" s="27" t="s">
        <v>4</v>
      </c>
      <c r="D105" s="27" t="s">
        <v>63</v>
      </c>
      <c r="E105" s="27" t="s">
        <v>41</v>
      </c>
      <c r="F105" s="27">
        <v>9</v>
      </c>
      <c r="G105" s="28">
        <f t="shared" si="2"/>
        <v>4</v>
      </c>
      <c r="H105" s="28">
        <f>VLOOKUP(E105,Arkusz3!$A$1:$B$9,2,FALSE)</f>
        <v>4</v>
      </c>
      <c r="I105" s="28">
        <f>VLOOKUP(E105,[1]Arkusz1!$A$1:$B$9,2,FALSE)</f>
        <v>4</v>
      </c>
      <c r="J105" s="38">
        <f t="shared" si="3"/>
        <v>36</v>
      </c>
    </row>
    <row r="106" spans="1:10" x14ac:dyDescent="0.3">
      <c r="A106" s="37">
        <v>41625</v>
      </c>
      <c r="B106" s="27" t="s">
        <v>75</v>
      </c>
      <c r="C106" s="27" t="s">
        <v>7</v>
      </c>
      <c r="D106" s="27" t="s">
        <v>72</v>
      </c>
      <c r="E106" s="27" t="s">
        <v>38</v>
      </c>
      <c r="F106" s="27">
        <v>11</v>
      </c>
      <c r="G106" s="28">
        <f t="shared" si="2"/>
        <v>0.2</v>
      </c>
      <c r="H106" s="28">
        <f>VLOOKUP(E106,Arkusz3!$A$1:$B$9,2,FALSE)</f>
        <v>0.2</v>
      </c>
      <c r="I106" s="28">
        <f>VLOOKUP(E106,[1]Arkusz1!$A$1:$B$9,2,FALSE)</f>
        <v>0.2</v>
      </c>
      <c r="J106" s="38">
        <f t="shared" si="3"/>
        <v>2.2000000000000002</v>
      </c>
    </row>
    <row r="107" spans="1:10" x14ac:dyDescent="0.3">
      <c r="A107" s="37">
        <v>41468</v>
      </c>
      <c r="B107" s="27" t="s">
        <v>62</v>
      </c>
      <c r="C107" s="27" t="s">
        <v>5</v>
      </c>
      <c r="D107" s="27" t="s">
        <v>72</v>
      </c>
      <c r="E107" s="27" t="s">
        <v>38</v>
      </c>
      <c r="F107" s="27">
        <v>11</v>
      </c>
      <c r="G107" s="28">
        <f t="shared" si="2"/>
        <v>0.2</v>
      </c>
      <c r="H107" s="28">
        <f>VLOOKUP(E107,Arkusz3!$A$1:$B$9,2,FALSE)</f>
        <v>0.2</v>
      </c>
      <c r="I107" s="28">
        <f>VLOOKUP(E107,[1]Arkusz1!$A$1:$B$9,2,FALSE)</f>
        <v>0.2</v>
      </c>
      <c r="J107" s="38">
        <f t="shared" si="3"/>
        <v>2.2000000000000002</v>
      </c>
    </row>
    <row r="108" spans="1:10" x14ac:dyDescent="0.3">
      <c r="A108" s="37">
        <v>41438</v>
      </c>
      <c r="B108" s="27" t="s">
        <v>67</v>
      </c>
      <c r="C108" s="27" t="s">
        <v>4</v>
      </c>
      <c r="D108" s="27" t="s">
        <v>64</v>
      </c>
      <c r="E108" s="27" t="s">
        <v>40</v>
      </c>
      <c r="F108" s="27">
        <v>15</v>
      </c>
      <c r="G108" s="28">
        <f t="shared" si="2"/>
        <v>1.5</v>
      </c>
      <c r="H108" s="28">
        <f>VLOOKUP(E108,Arkusz3!$A$1:$B$9,2,FALSE)</f>
        <v>1.5</v>
      </c>
      <c r="I108" s="28">
        <f>VLOOKUP(E108,[1]Arkusz1!$A$1:$B$9,2,FALSE)</f>
        <v>1.5</v>
      </c>
      <c r="J108" s="38">
        <f t="shared" si="3"/>
        <v>22.5</v>
      </c>
    </row>
    <row r="109" spans="1:10" x14ac:dyDescent="0.3">
      <c r="A109" s="37">
        <v>41576</v>
      </c>
      <c r="B109" s="27" t="s">
        <v>71</v>
      </c>
      <c r="C109" s="27" t="s">
        <v>7</v>
      </c>
      <c r="D109" s="27" t="s">
        <v>66</v>
      </c>
      <c r="E109" s="27" t="s">
        <v>36</v>
      </c>
      <c r="F109" s="27">
        <v>2</v>
      </c>
      <c r="G109" s="28">
        <f t="shared" si="2"/>
        <v>2.5</v>
      </c>
      <c r="H109" s="28">
        <f>VLOOKUP(E109,Arkusz3!$A$1:$B$9,2,FALSE)</f>
        <v>2.5</v>
      </c>
      <c r="I109" s="28">
        <f>VLOOKUP(E109,[1]Arkusz1!$A$1:$B$9,2,FALSE)</f>
        <v>2.5</v>
      </c>
      <c r="J109" s="38">
        <f t="shared" si="3"/>
        <v>5</v>
      </c>
    </row>
    <row r="110" spans="1:10" x14ac:dyDescent="0.3">
      <c r="A110" s="37">
        <v>41613</v>
      </c>
      <c r="B110" s="27" t="s">
        <v>58</v>
      </c>
      <c r="C110" s="27" t="s">
        <v>3</v>
      </c>
      <c r="D110" s="27" t="s">
        <v>65</v>
      </c>
      <c r="E110" s="27" t="s">
        <v>39</v>
      </c>
      <c r="F110" s="27">
        <v>6</v>
      </c>
      <c r="G110" s="28">
        <f t="shared" si="2"/>
        <v>0.1</v>
      </c>
      <c r="H110" s="28">
        <f>VLOOKUP(E110,Arkusz3!$A$1:$B$9,2,FALSE)</f>
        <v>0.1</v>
      </c>
      <c r="I110" s="28">
        <f>VLOOKUP(E110,[1]Arkusz1!$A$1:$B$9,2,FALSE)</f>
        <v>0.1</v>
      </c>
      <c r="J110" s="38">
        <f t="shared" si="3"/>
        <v>0.60000000000000009</v>
      </c>
    </row>
    <row r="111" spans="1:10" x14ac:dyDescent="0.3">
      <c r="A111" s="37">
        <v>41551</v>
      </c>
      <c r="B111" s="27" t="s">
        <v>75</v>
      </c>
      <c r="C111" s="27" t="s">
        <v>7</v>
      </c>
      <c r="D111" s="27" t="s">
        <v>61</v>
      </c>
      <c r="E111" s="27" t="s">
        <v>38</v>
      </c>
      <c r="F111" s="27">
        <v>18</v>
      </c>
      <c r="G111" s="28">
        <f t="shared" si="2"/>
        <v>0.2</v>
      </c>
      <c r="H111" s="28">
        <f>VLOOKUP(E111,Arkusz3!$A$1:$B$9,2,FALSE)</f>
        <v>0.2</v>
      </c>
      <c r="I111" s="28">
        <f>VLOOKUP(E111,[1]Arkusz1!$A$1:$B$9,2,FALSE)</f>
        <v>0.2</v>
      </c>
      <c r="J111" s="38">
        <f t="shared" si="3"/>
        <v>3.6</v>
      </c>
    </row>
    <row r="112" spans="1:10" x14ac:dyDescent="0.3">
      <c r="A112" s="37">
        <v>41482</v>
      </c>
      <c r="B112" s="27" t="s">
        <v>58</v>
      </c>
      <c r="C112" s="27" t="s">
        <v>7</v>
      </c>
      <c r="D112" s="27" t="s">
        <v>66</v>
      </c>
      <c r="E112" s="27" t="s">
        <v>41</v>
      </c>
      <c r="F112" s="27">
        <v>14</v>
      </c>
      <c r="G112" s="28">
        <f t="shared" si="2"/>
        <v>4</v>
      </c>
      <c r="H112" s="28">
        <f>VLOOKUP(E112,Arkusz3!$A$1:$B$9,2,FALSE)</f>
        <v>4</v>
      </c>
      <c r="I112" s="28">
        <f>VLOOKUP(E112,[1]Arkusz1!$A$1:$B$9,2,FALSE)</f>
        <v>4</v>
      </c>
      <c r="J112" s="38">
        <f t="shared" si="3"/>
        <v>56</v>
      </c>
    </row>
    <row r="113" spans="1:10" x14ac:dyDescent="0.3">
      <c r="A113" s="37">
        <v>41535</v>
      </c>
      <c r="B113" s="27" t="s">
        <v>58</v>
      </c>
      <c r="C113" s="27" t="s">
        <v>5</v>
      </c>
      <c r="D113" s="27" t="s">
        <v>64</v>
      </c>
      <c r="E113" s="27" t="s">
        <v>41</v>
      </c>
      <c r="F113" s="27">
        <v>17</v>
      </c>
      <c r="G113" s="28">
        <f t="shared" si="2"/>
        <v>4</v>
      </c>
      <c r="H113" s="28">
        <f>VLOOKUP(E113,Arkusz3!$A$1:$B$9,2,FALSE)</f>
        <v>4</v>
      </c>
      <c r="I113" s="28">
        <f>VLOOKUP(E113,[1]Arkusz1!$A$1:$B$9,2,FALSE)</f>
        <v>4</v>
      </c>
      <c r="J113" s="38">
        <f t="shared" si="3"/>
        <v>68</v>
      </c>
    </row>
    <row r="114" spans="1:10" x14ac:dyDescent="0.3">
      <c r="A114" s="37">
        <v>41577</v>
      </c>
      <c r="B114" s="27" t="s">
        <v>71</v>
      </c>
      <c r="C114" s="27" t="s">
        <v>3</v>
      </c>
      <c r="D114" s="27" t="s">
        <v>60</v>
      </c>
      <c r="E114" s="27" t="s">
        <v>38</v>
      </c>
      <c r="F114" s="27">
        <v>12</v>
      </c>
      <c r="G114" s="28">
        <f t="shared" si="2"/>
        <v>0.2</v>
      </c>
      <c r="H114" s="28">
        <f>VLOOKUP(E114,Arkusz3!$A$1:$B$9,2,FALSE)</f>
        <v>0.2</v>
      </c>
      <c r="I114" s="28">
        <f>VLOOKUP(E114,[1]Arkusz1!$A$1:$B$9,2,FALSE)</f>
        <v>0.2</v>
      </c>
      <c r="J114" s="38">
        <f t="shared" si="3"/>
        <v>2.4000000000000004</v>
      </c>
    </row>
    <row r="115" spans="1:10" x14ac:dyDescent="0.3">
      <c r="A115" s="37">
        <v>41466</v>
      </c>
      <c r="B115" s="27" t="s">
        <v>75</v>
      </c>
      <c r="C115" s="27" t="s">
        <v>5</v>
      </c>
      <c r="D115" s="27" t="s">
        <v>70</v>
      </c>
      <c r="E115" s="27" t="s">
        <v>36</v>
      </c>
      <c r="F115" s="27">
        <v>19</v>
      </c>
      <c r="G115" s="28">
        <f t="shared" si="2"/>
        <v>2.5</v>
      </c>
      <c r="H115" s="28">
        <f>VLOOKUP(E115,Arkusz3!$A$1:$B$9,2,FALSE)</f>
        <v>2.5</v>
      </c>
      <c r="I115" s="28">
        <f>VLOOKUP(E115,[1]Arkusz1!$A$1:$B$9,2,FALSE)</f>
        <v>2.5</v>
      </c>
      <c r="J115" s="38">
        <f t="shared" si="3"/>
        <v>47.5</v>
      </c>
    </row>
    <row r="116" spans="1:10" x14ac:dyDescent="0.3">
      <c r="A116" s="37">
        <v>41452</v>
      </c>
      <c r="B116" s="27" t="s">
        <v>67</v>
      </c>
      <c r="C116" s="27" t="s">
        <v>6</v>
      </c>
      <c r="D116" s="27" t="s">
        <v>72</v>
      </c>
      <c r="E116" s="27" t="s">
        <v>38</v>
      </c>
      <c r="F116" s="27">
        <v>20</v>
      </c>
      <c r="G116" s="28">
        <f t="shared" si="2"/>
        <v>0.2</v>
      </c>
      <c r="H116" s="28">
        <f>VLOOKUP(E116,Arkusz3!$A$1:$B$9,2,FALSE)</f>
        <v>0.2</v>
      </c>
      <c r="I116" s="28">
        <f>VLOOKUP(E116,[1]Arkusz1!$A$1:$B$9,2,FALSE)</f>
        <v>0.2</v>
      </c>
      <c r="J116" s="38">
        <f t="shared" si="3"/>
        <v>4</v>
      </c>
    </row>
    <row r="117" spans="1:10" x14ac:dyDescent="0.3">
      <c r="A117" s="37">
        <v>41596</v>
      </c>
      <c r="B117" s="27" t="s">
        <v>75</v>
      </c>
      <c r="C117" s="27" t="s">
        <v>6</v>
      </c>
      <c r="D117" s="27" t="s">
        <v>61</v>
      </c>
      <c r="E117" s="27" t="s">
        <v>38</v>
      </c>
      <c r="F117" s="27">
        <v>9</v>
      </c>
      <c r="G117" s="28">
        <f t="shared" si="2"/>
        <v>0.2</v>
      </c>
      <c r="H117" s="28">
        <f>VLOOKUP(E117,Arkusz3!$A$1:$B$9,2,FALSE)</f>
        <v>0.2</v>
      </c>
      <c r="I117" s="28">
        <f>VLOOKUP(E117,[1]Arkusz1!$A$1:$B$9,2,FALSE)</f>
        <v>0.2</v>
      </c>
      <c r="J117" s="38">
        <f t="shared" si="3"/>
        <v>1.8</v>
      </c>
    </row>
    <row r="118" spans="1:10" x14ac:dyDescent="0.3">
      <c r="A118" s="37">
        <v>41426</v>
      </c>
      <c r="B118" s="27" t="s">
        <v>62</v>
      </c>
      <c r="C118" s="27" t="s">
        <v>3</v>
      </c>
      <c r="D118" s="27" t="s">
        <v>69</v>
      </c>
      <c r="E118" s="27" t="s">
        <v>38</v>
      </c>
      <c r="F118" s="27">
        <v>19</v>
      </c>
      <c r="G118" s="28">
        <f t="shared" si="2"/>
        <v>0.2</v>
      </c>
      <c r="H118" s="28">
        <f>VLOOKUP(E118,Arkusz3!$A$1:$B$9,2,FALSE)</f>
        <v>0.2</v>
      </c>
      <c r="I118" s="28">
        <f>VLOOKUP(E118,[1]Arkusz1!$A$1:$B$9,2,FALSE)</f>
        <v>0.2</v>
      </c>
      <c r="J118" s="38">
        <f t="shared" si="3"/>
        <v>3.8000000000000003</v>
      </c>
    </row>
    <row r="119" spans="1:10" x14ac:dyDescent="0.3">
      <c r="A119" s="37">
        <v>41431</v>
      </c>
      <c r="B119" s="27" t="s">
        <v>73</v>
      </c>
      <c r="C119" s="27" t="s">
        <v>3</v>
      </c>
      <c r="D119" s="27" t="s">
        <v>70</v>
      </c>
      <c r="E119" s="27" t="s">
        <v>40</v>
      </c>
      <c r="F119" s="27">
        <v>1</v>
      </c>
      <c r="G119" s="28">
        <f t="shared" si="2"/>
        <v>1.5</v>
      </c>
      <c r="H119" s="28">
        <f>VLOOKUP(E119,Arkusz3!$A$1:$B$9,2,FALSE)</f>
        <v>1.5</v>
      </c>
      <c r="I119" s="28">
        <f>VLOOKUP(E119,[1]Arkusz1!$A$1:$B$9,2,FALSE)</f>
        <v>1.5</v>
      </c>
      <c r="J119" s="38">
        <f t="shared" si="3"/>
        <v>1.5</v>
      </c>
    </row>
    <row r="120" spans="1:10" x14ac:dyDescent="0.3">
      <c r="A120" s="37">
        <v>41440</v>
      </c>
      <c r="B120" s="27" t="s">
        <v>73</v>
      </c>
      <c r="C120" s="27" t="s">
        <v>6</v>
      </c>
      <c r="D120" s="27" t="s">
        <v>68</v>
      </c>
      <c r="E120" s="27" t="s">
        <v>39</v>
      </c>
      <c r="F120" s="27">
        <v>12</v>
      </c>
      <c r="G120" s="28">
        <f t="shared" si="2"/>
        <v>0.1</v>
      </c>
      <c r="H120" s="28">
        <f>VLOOKUP(E120,Arkusz3!$A$1:$B$9,2,FALSE)</f>
        <v>0.1</v>
      </c>
      <c r="I120" s="28">
        <f>VLOOKUP(E120,[1]Arkusz1!$A$1:$B$9,2,FALSE)</f>
        <v>0.1</v>
      </c>
      <c r="J120" s="38">
        <f t="shared" si="3"/>
        <v>1.2000000000000002</v>
      </c>
    </row>
    <row r="121" spans="1:10" x14ac:dyDescent="0.3">
      <c r="A121" s="37">
        <v>41587</v>
      </c>
      <c r="B121" s="27" t="s">
        <v>58</v>
      </c>
      <c r="C121" s="27" t="s">
        <v>7</v>
      </c>
      <c r="D121" s="27" t="s">
        <v>63</v>
      </c>
      <c r="E121" s="27" t="s">
        <v>40</v>
      </c>
      <c r="F121" s="27">
        <v>20</v>
      </c>
      <c r="G121" s="28">
        <f t="shared" si="2"/>
        <v>1.5</v>
      </c>
      <c r="H121" s="28">
        <f>VLOOKUP(E121,Arkusz3!$A$1:$B$9,2,FALSE)</f>
        <v>1.5</v>
      </c>
      <c r="I121" s="28">
        <f>VLOOKUP(E121,[1]Arkusz1!$A$1:$B$9,2,FALSE)</f>
        <v>1.5</v>
      </c>
      <c r="J121" s="38">
        <f t="shared" si="3"/>
        <v>30</v>
      </c>
    </row>
    <row r="122" spans="1:10" x14ac:dyDescent="0.3">
      <c r="A122" s="37">
        <v>41501</v>
      </c>
      <c r="B122" s="27" t="s">
        <v>58</v>
      </c>
      <c r="C122" s="27" t="s">
        <v>3</v>
      </c>
      <c r="D122" s="27" t="s">
        <v>72</v>
      </c>
      <c r="E122" s="27" t="s">
        <v>35</v>
      </c>
      <c r="F122" s="27">
        <v>2</v>
      </c>
      <c r="G122" s="28">
        <f t="shared" si="2"/>
        <v>0.5</v>
      </c>
      <c r="H122" s="28">
        <f>VLOOKUP(E122,Arkusz3!$A$1:$B$9,2,FALSE)</f>
        <v>0.5</v>
      </c>
      <c r="I122" s="28">
        <f>VLOOKUP(E122,[1]Arkusz1!$A$1:$B$9,2,FALSE)</f>
        <v>0.5</v>
      </c>
      <c r="J122" s="38">
        <f t="shared" si="3"/>
        <v>1</v>
      </c>
    </row>
    <row r="123" spans="1:10" x14ac:dyDescent="0.3">
      <c r="A123" s="37">
        <v>41639</v>
      </c>
      <c r="B123" s="27" t="s">
        <v>73</v>
      </c>
      <c r="C123" s="27" t="s">
        <v>5</v>
      </c>
      <c r="D123" s="27" t="s">
        <v>61</v>
      </c>
      <c r="E123" s="27" t="s">
        <v>38</v>
      </c>
      <c r="F123" s="27">
        <v>14</v>
      </c>
      <c r="G123" s="28">
        <f t="shared" si="2"/>
        <v>0.2</v>
      </c>
      <c r="H123" s="28">
        <f>VLOOKUP(E123,Arkusz3!$A$1:$B$9,2,FALSE)</f>
        <v>0.2</v>
      </c>
      <c r="I123" s="28">
        <f>VLOOKUP(E123,[1]Arkusz1!$A$1:$B$9,2,FALSE)</f>
        <v>0.2</v>
      </c>
      <c r="J123" s="38">
        <f t="shared" si="3"/>
        <v>2.8000000000000003</v>
      </c>
    </row>
    <row r="124" spans="1:10" x14ac:dyDescent="0.3">
      <c r="A124" s="37">
        <v>41612</v>
      </c>
      <c r="B124" s="27" t="s">
        <v>73</v>
      </c>
      <c r="C124" s="27" t="s">
        <v>6</v>
      </c>
      <c r="D124" s="27" t="s">
        <v>65</v>
      </c>
      <c r="E124" s="27" t="s">
        <v>37</v>
      </c>
      <c r="F124" s="27">
        <v>2</v>
      </c>
      <c r="G124" s="28">
        <f t="shared" si="2"/>
        <v>5</v>
      </c>
      <c r="H124" s="28">
        <f>VLOOKUP(E124,Arkusz3!$A$1:$B$9,2,FALSE)</f>
        <v>5</v>
      </c>
      <c r="I124" s="28">
        <f>VLOOKUP(E124,[1]Arkusz1!$A$1:$B$9,2,FALSE)</f>
        <v>5</v>
      </c>
      <c r="J124" s="38">
        <f t="shared" si="3"/>
        <v>10</v>
      </c>
    </row>
    <row r="125" spans="1:10" x14ac:dyDescent="0.3">
      <c r="A125" s="37">
        <v>41583</v>
      </c>
      <c r="B125" s="27" t="s">
        <v>67</v>
      </c>
      <c r="C125" s="27" t="s">
        <v>7</v>
      </c>
      <c r="D125" s="27" t="s">
        <v>64</v>
      </c>
      <c r="E125" s="27" t="s">
        <v>35</v>
      </c>
      <c r="F125" s="27">
        <v>7</v>
      </c>
      <c r="G125" s="28">
        <f t="shared" si="2"/>
        <v>0.5</v>
      </c>
      <c r="H125" s="28">
        <f>VLOOKUP(E125,Arkusz3!$A$1:$B$9,2,FALSE)</f>
        <v>0.5</v>
      </c>
      <c r="I125" s="28">
        <f>VLOOKUP(E125,[1]Arkusz1!$A$1:$B$9,2,FALSE)</f>
        <v>0.5</v>
      </c>
      <c r="J125" s="38">
        <f t="shared" si="3"/>
        <v>3.5</v>
      </c>
    </row>
    <row r="126" spans="1:10" x14ac:dyDescent="0.3">
      <c r="A126" s="37">
        <v>41563</v>
      </c>
      <c r="B126" s="27" t="s">
        <v>58</v>
      </c>
      <c r="C126" s="27" t="s">
        <v>6</v>
      </c>
      <c r="D126" s="27" t="s">
        <v>63</v>
      </c>
      <c r="E126" s="27" t="s">
        <v>40</v>
      </c>
      <c r="F126" s="27">
        <v>13</v>
      </c>
      <c r="G126" s="28">
        <f t="shared" si="2"/>
        <v>1.5</v>
      </c>
      <c r="H126" s="28">
        <f>VLOOKUP(E126,Arkusz3!$A$1:$B$9,2,FALSE)</f>
        <v>1.5</v>
      </c>
      <c r="I126" s="28">
        <f>VLOOKUP(E126,[1]Arkusz1!$A$1:$B$9,2,FALSE)</f>
        <v>1.5</v>
      </c>
      <c r="J126" s="38">
        <f t="shared" si="3"/>
        <v>19.5</v>
      </c>
    </row>
    <row r="127" spans="1:10" x14ac:dyDescent="0.3">
      <c r="A127" s="37">
        <v>41476</v>
      </c>
      <c r="B127" s="27" t="s">
        <v>71</v>
      </c>
      <c r="C127" s="27" t="s">
        <v>4</v>
      </c>
      <c r="D127" s="27" t="s">
        <v>60</v>
      </c>
      <c r="E127" s="27" t="s">
        <v>41</v>
      </c>
      <c r="F127" s="27">
        <v>17</v>
      </c>
      <c r="G127" s="28">
        <f t="shared" si="2"/>
        <v>4</v>
      </c>
      <c r="H127" s="28">
        <f>VLOOKUP(E127,Arkusz3!$A$1:$B$9,2,FALSE)</f>
        <v>4</v>
      </c>
      <c r="I127" s="28">
        <f>VLOOKUP(E127,[1]Arkusz1!$A$1:$B$9,2,FALSE)</f>
        <v>4</v>
      </c>
      <c r="J127" s="38">
        <f t="shared" si="3"/>
        <v>68</v>
      </c>
    </row>
    <row r="128" spans="1:10" x14ac:dyDescent="0.3">
      <c r="A128" s="37">
        <v>41494</v>
      </c>
      <c r="B128" s="27" t="s">
        <v>62</v>
      </c>
      <c r="C128" s="27" t="s">
        <v>6</v>
      </c>
      <c r="D128" s="27" t="s">
        <v>64</v>
      </c>
      <c r="E128" s="27" t="s">
        <v>39</v>
      </c>
      <c r="F128" s="27">
        <v>19</v>
      </c>
      <c r="G128" s="28">
        <f t="shared" si="2"/>
        <v>0.1</v>
      </c>
      <c r="H128" s="28">
        <f>VLOOKUP(E128,Arkusz3!$A$1:$B$9,2,FALSE)</f>
        <v>0.1</v>
      </c>
      <c r="I128" s="28">
        <f>VLOOKUP(E128,[1]Arkusz1!$A$1:$B$9,2,FALSE)</f>
        <v>0.1</v>
      </c>
      <c r="J128" s="38">
        <f t="shared" si="3"/>
        <v>1.9000000000000001</v>
      </c>
    </row>
    <row r="129" spans="1:10" x14ac:dyDescent="0.3">
      <c r="A129" s="37">
        <v>41542</v>
      </c>
      <c r="B129" s="27" t="s">
        <v>75</v>
      </c>
      <c r="C129" s="27" t="s">
        <v>3</v>
      </c>
      <c r="D129" s="27" t="s">
        <v>74</v>
      </c>
      <c r="E129" s="27" t="s">
        <v>35</v>
      </c>
      <c r="F129" s="27">
        <v>7</v>
      </c>
      <c r="G129" s="28">
        <f t="shared" si="2"/>
        <v>0.5</v>
      </c>
      <c r="H129" s="28">
        <f>VLOOKUP(E129,Arkusz3!$A$1:$B$9,2,FALSE)</f>
        <v>0.5</v>
      </c>
      <c r="I129" s="28">
        <f>VLOOKUP(E129,[1]Arkusz1!$A$1:$B$9,2,FALSE)</f>
        <v>0.5</v>
      </c>
      <c r="J129" s="38">
        <f t="shared" si="3"/>
        <v>3.5</v>
      </c>
    </row>
    <row r="130" spans="1:10" x14ac:dyDescent="0.3">
      <c r="A130" s="37">
        <v>41466</v>
      </c>
      <c r="B130" s="27" t="s">
        <v>75</v>
      </c>
      <c r="C130" s="27" t="s">
        <v>7</v>
      </c>
      <c r="D130" s="27" t="s">
        <v>61</v>
      </c>
      <c r="E130" s="27" t="s">
        <v>37</v>
      </c>
      <c r="F130" s="27">
        <v>13</v>
      </c>
      <c r="G130" s="28">
        <f t="shared" si="2"/>
        <v>5</v>
      </c>
      <c r="H130" s="28">
        <f>VLOOKUP(E130,Arkusz3!$A$1:$B$9,2,FALSE)</f>
        <v>5</v>
      </c>
      <c r="I130" s="28">
        <f>VLOOKUP(E130,[1]Arkusz1!$A$1:$B$9,2,FALSE)</f>
        <v>5</v>
      </c>
      <c r="J130" s="38">
        <f t="shared" si="3"/>
        <v>65</v>
      </c>
    </row>
    <row r="131" spans="1:10" x14ac:dyDescent="0.3">
      <c r="A131" s="37">
        <v>41513</v>
      </c>
      <c r="B131" s="27" t="s">
        <v>67</v>
      </c>
      <c r="C131" s="27" t="s">
        <v>5</v>
      </c>
      <c r="D131" s="27" t="s">
        <v>59</v>
      </c>
      <c r="E131" s="27" t="s">
        <v>38</v>
      </c>
      <c r="F131" s="27">
        <v>12</v>
      </c>
      <c r="G131" s="28">
        <f t="shared" ref="G131:G194" si="4">VLOOKUP(E131,$L$2:$M$9,2,FALSE)</f>
        <v>0.2</v>
      </c>
      <c r="H131" s="28">
        <f>VLOOKUP(E131,Arkusz3!$A$1:$B$9,2,FALSE)</f>
        <v>0.2</v>
      </c>
      <c r="I131" s="28">
        <f>VLOOKUP(E131,[1]Arkusz1!$A$1:$B$9,2,FALSE)</f>
        <v>0.2</v>
      </c>
      <c r="J131" s="38">
        <f t="shared" ref="J131:J194" si="5">F131*G131</f>
        <v>2.4000000000000004</v>
      </c>
    </row>
    <row r="132" spans="1:10" x14ac:dyDescent="0.3">
      <c r="A132" s="37">
        <v>41454</v>
      </c>
      <c r="B132" s="27" t="s">
        <v>75</v>
      </c>
      <c r="C132" s="27" t="s">
        <v>6</v>
      </c>
      <c r="D132" s="27" t="s">
        <v>66</v>
      </c>
      <c r="E132" s="27" t="s">
        <v>34</v>
      </c>
      <c r="F132" s="27">
        <v>17</v>
      </c>
      <c r="G132" s="28">
        <f t="shared" si="4"/>
        <v>2</v>
      </c>
      <c r="H132" s="28">
        <f>VLOOKUP(E132,Arkusz3!$A$1:$B$9,2,FALSE)</f>
        <v>2</v>
      </c>
      <c r="I132" s="28">
        <f>VLOOKUP(E132,[1]Arkusz1!$A$1:$B$9,2,FALSE)</f>
        <v>2</v>
      </c>
      <c r="J132" s="38">
        <f t="shared" si="5"/>
        <v>34</v>
      </c>
    </row>
    <row r="133" spans="1:10" x14ac:dyDescent="0.3">
      <c r="A133" s="37">
        <v>41624</v>
      </c>
      <c r="B133" s="27" t="s">
        <v>58</v>
      </c>
      <c r="C133" s="27" t="s">
        <v>6</v>
      </c>
      <c r="D133" s="27" t="s">
        <v>59</v>
      </c>
      <c r="E133" s="27" t="s">
        <v>41</v>
      </c>
      <c r="F133" s="27">
        <v>17</v>
      </c>
      <c r="G133" s="28">
        <f t="shared" si="4"/>
        <v>4</v>
      </c>
      <c r="H133" s="28">
        <f>VLOOKUP(E133,Arkusz3!$A$1:$B$9,2,FALSE)</f>
        <v>4</v>
      </c>
      <c r="I133" s="28">
        <f>VLOOKUP(E133,[1]Arkusz1!$A$1:$B$9,2,FALSE)</f>
        <v>4</v>
      </c>
      <c r="J133" s="38">
        <f t="shared" si="5"/>
        <v>68</v>
      </c>
    </row>
    <row r="134" spans="1:10" x14ac:dyDescent="0.3">
      <c r="A134" s="37">
        <v>41608</v>
      </c>
      <c r="B134" s="27" t="s">
        <v>62</v>
      </c>
      <c r="C134" s="27" t="s">
        <v>4</v>
      </c>
      <c r="D134" s="27" t="s">
        <v>69</v>
      </c>
      <c r="E134" s="27" t="s">
        <v>38</v>
      </c>
      <c r="F134" s="27">
        <v>9</v>
      </c>
      <c r="G134" s="28">
        <f t="shared" si="4"/>
        <v>0.2</v>
      </c>
      <c r="H134" s="28">
        <f>VLOOKUP(E134,Arkusz3!$A$1:$B$9,2,FALSE)</f>
        <v>0.2</v>
      </c>
      <c r="I134" s="28">
        <f>VLOOKUP(E134,[1]Arkusz1!$A$1:$B$9,2,FALSE)</f>
        <v>0.2</v>
      </c>
      <c r="J134" s="38">
        <f t="shared" si="5"/>
        <v>1.8</v>
      </c>
    </row>
    <row r="135" spans="1:10" x14ac:dyDescent="0.3">
      <c r="A135" s="37">
        <v>41445</v>
      </c>
      <c r="B135" s="27" t="s">
        <v>73</v>
      </c>
      <c r="C135" s="27" t="s">
        <v>5</v>
      </c>
      <c r="D135" s="27" t="s">
        <v>61</v>
      </c>
      <c r="E135" s="27" t="s">
        <v>41</v>
      </c>
      <c r="F135" s="27">
        <v>2</v>
      </c>
      <c r="G135" s="28">
        <f t="shared" si="4"/>
        <v>4</v>
      </c>
      <c r="H135" s="28">
        <f>VLOOKUP(E135,Arkusz3!$A$1:$B$9,2,FALSE)</f>
        <v>4</v>
      </c>
      <c r="I135" s="28">
        <f>VLOOKUP(E135,[1]Arkusz1!$A$1:$B$9,2,FALSE)</f>
        <v>4</v>
      </c>
      <c r="J135" s="38">
        <f t="shared" si="5"/>
        <v>8</v>
      </c>
    </row>
    <row r="136" spans="1:10" x14ac:dyDescent="0.3">
      <c r="A136" s="37">
        <v>41463</v>
      </c>
      <c r="B136" s="27" t="s">
        <v>62</v>
      </c>
      <c r="C136" s="27" t="s">
        <v>7</v>
      </c>
      <c r="D136" s="27" t="s">
        <v>66</v>
      </c>
      <c r="E136" s="27" t="s">
        <v>36</v>
      </c>
      <c r="F136" s="27">
        <v>14</v>
      </c>
      <c r="G136" s="28">
        <f t="shared" si="4"/>
        <v>2.5</v>
      </c>
      <c r="H136" s="28">
        <f>VLOOKUP(E136,Arkusz3!$A$1:$B$9,2,FALSE)</f>
        <v>2.5</v>
      </c>
      <c r="I136" s="28">
        <f>VLOOKUP(E136,[1]Arkusz1!$A$1:$B$9,2,FALSE)</f>
        <v>2.5</v>
      </c>
      <c r="J136" s="38">
        <f t="shared" si="5"/>
        <v>35</v>
      </c>
    </row>
    <row r="137" spans="1:10" x14ac:dyDescent="0.3">
      <c r="A137" s="37">
        <v>41503</v>
      </c>
      <c r="B137" s="27" t="s">
        <v>71</v>
      </c>
      <c r="C137" s="27" t="s">
        <v>3</v>
      </c>
      <c r="D137" s="27" t="s">
        <v>65</v>
      </c>
      <c r="E137" s="27" t="s">
        <v>41</v>
      </c>
      <c r="F137" s="27">
        <v>4</v>
      </c>
      <c r="G137" s="28">
        <f t="shared" si="4"/>
        <v>4</v>
      </c>
      <c r="H137" s="28">
        <f>VLOOKUP(E137,Arkusz3!$A$1:$B$9,2,FALSE)</f>
        <v>4</v>
      </c>
      <c r="I137" s="28">
        <f>VLOOKUP(E137,[1]Arkusz1!$A$1:$B$9,2,FALSE)</f>
        <v>4</v>
      </c>
      <c r="J137" s="38">
        <f t="shared" si="5"/>
        <v>16</v>
      </c>
    </row>
    <row r="138" spans="1:10" x14ac:dyDescent="0.3">
      <c r="A138" s="37">
        <v>41495</v>
      </c>
      <c r="B138" s="27" t="s">
        <v>71</v>
      </c>
      <c r="C138" s="27" t="s">
        <v>6</v>
      </c>
      <c r="D138" s="27" t="s">
        <v>63</v>
      </c>
      <c r="E138" s="27" t="s">
        <v>39</v>
      </c>
      <c r="F138" s="27">
        <v>12</v>
      </c>
      <c r="G138" s="28">
        <f t="shared" si="4"/>
        <v>0.1</v>
      </c>
      <c r="H138" s="28">
        <f>VLOOKUP(E138,Arkusz3!$A$1:$B$9,2,FALSE)</f>
        <v>0.1</v>
      </c>
      <c r="I138" s="28">
        <f>VLOOKUP(E138,[1]Arkusz1!$A$1:$B$9,2,FALSE)</f>
        <v>0.1</v>
      </c>
      <c r="J138" s="38">
        <f t="shared" si="5"/>
        <v>1.2000000000000002</v>
      </c>
    </row>
    <row r="139" spans="1:10" x14ac:dyDescent="0.3">
      <c r="A139" s="37">
        <v>41589</v>
      </c>
      <c r="B139" s="27" t="s">
        <v>73</v>
      </c>
      <c r="C139" s="27" t="s">
        <v>7</v>
      </c>
      <c r="D139" s="27" t="s">
        <v>65</v>
      </c>
      <c r="E139" s="27" t="s">
        <v>41</v>
      </c>
      <c r="F139" s="27">
        <v>14</v>
      </c>
      <c r="G139" s="28">
        <f t="shared" si="4"/>
        <v>4</v>
      </c>
      <c r="H139" s="28">
        <f>VLOOKUP(E139,Arkusz3!$A$1:$B$9,2,FALSE)</f>
        <v>4</v>
      </c>
      <c r="I139" s="28">
        <f>VLOOKUP(E139,[1]Arkusz1!$A$1:$B$9,2,FALSE)</f>
        <v>4</v>
      </c>
      <c r="J139" s="38">
        <f t="shared" si="5"/>
        <v>56</v>
      </c>
    </row>
    <row r="140" spans="1:10" x14ac:dyDescent="0.3">
      <c r="A140" s="37">
        <v>41580</v>
      </c>
      <c r="B140" s="27" t="s">
        <v>73</v>
      </c>
      <c r="C140" s="27" t="s">
        <v>4</v>
      </c>
      <c r="D140" s="27" t="s">
        <v>61</v>
      </c>
      <c r="E140" s="27" t="s">
        <v>38</v>
      </c>
      <c r="F140" s="27">
        <v>2</v>
      </c>
      <c r="G140" s="28">
        <f t="shared" si="4"/>
        <v>0.2</v>
      </c>
      <c r="H140" s="28">
        <f>VLOOKUP(E140,Arkusz3!$A$1:$B$9,2,FALSE)</f>
        <v>0.2</v>
      </c>
      <c r="I140" s="28">
        <f>VLOOKUP(E140,[1]Arkusz1!$A$1:$B$9,2,FALSE)</f>
        <v>0.2</v>
      </c>
      <c r="J140" s="38">
        <f t="shared" si="5"/>
        <v>0.4</v>
      </c>
    </row>
    <row r="141" spans="1:10" x14ac:dyDescent="0.3">
      <c r="A141" s="37">
        <v>41460</v>
      </c>
      <c r="B141" s="27" t="s">
        <v>67</v>
      </c>
      <c r="C141" s="27" t="s">
        <v>5</v>
      </c>
      <c r="D141" s="27" t="s">
        <v>72</v>
      </c>
      <c r="E141" s="27" t="s">
        <v>40</v>
      </c>
      <c r="F141" s="27">
        <v>8</v>
      </c>
      <c r="G141" s="28">
        <f t="shared" si="4"/>
        <v>1.5</v>
      </c>
      <c r="H141" s="28">
        <f>VLOOKUP(E141,Arkusz3!$A$1:$B$9,2,FALSE)</f>
        <v>1.5</v>
      </c>
      <c r="I141" s="28">
        <f>VLOOKUP(E141,[1]Arkusz1!$A$1:$B$9,2,FALSE)</f>
        <v>1.5</v>
      </c>
      <c r="J141" s="38">
        <f t="shared" si="5"/>
        <v>12</v>
      </c>
    </row>
    <row r="142" spans="1:10" x14ac:dyDescent="0.3">
      <c r="A142" s="37">
        <v>41638</v>
      </c>
      <c r="B142" s="27" t="s">
        <v>58</v>
      </c>
      <c r="C142" s="27" t="s">
        <v>6</v>
      </c>
      <c r="D142" s="27" t="s">
        <v>66</v>
      </c>
      <c r="E142" s="27" t="s">
        <v>38</v>
      </c>
      <c r="F142" s="27">
        <v>4</v>
      </c>
      <c r="G142" s="28">
        <f t="shared" si="4"/>
        <v>0.2</v>
      </c>
      <c r="H142" s="28">
        <f>VLOOKUP(E142,Arkusz3!$A$1:$B$9,2,FALSE)</f>
        <v>0.2</v>
      </c>
      <c r="I142" s="28">
        <f>VLOOKUP(E142,[1]Arkusz1!$A$1:$B$9,2,FALSE)</f>
        <v>0.2</v>
      </c>
      <c r="J142" s="38">
        <f t="shared" si="5"/>
        <v>0.8</v>
      </c>
    </row>
    <row r="143" spans="1:10" x14ac:dyDescent="0.3">
      <c r="A143" s="37">
        <v>41523</v>
      </c>
      <c r="B143" s="27" t="s">
        <v>67</v>
      </c>
      <c r="C143" s="27" t="s">
        <v>4</v>
      </c>
      <c r="D143" s="27" t="s">
        <v>63</v>
      </c>
      <c r="E143" s="27" t="s">
        <v>40</v>
      </c>
      <c r="F143" s="27">
        <v>13</v>
      </c>
      <c r="G143" s="28">
        <f t="shared" si="4"/>
        <v>1.5</v>
      </c>
      <c r="H143" s="28">
        <f>VLOOKUP(E143,Arkusz3!$A$1:$B$9,2,FALSE)</f>
        <v>1.5</v>
      </c>
      <c r="I143" s="28">
        <f>VLOOKUP(E143,[1]Arkusz1!$A$1:$B$9,2,FALSE)</f>
        <v>1.5</v>
      </c>
      <c r="J143" s="38">
        <f t="shared" si="5"/>
        <v>19.5</v>
      </c>
    </row>
    <row r="144" spans="1:10" x14ac:dyDescent="0.3">
      <c r="A144" s="37">
        <v>41467</v>
      </c>
      <c r="B144" s="27" t="s">
        <v>67</v>
      </c>
      <c r="C144" s="27" t="s">
        <v>3</v>
      </c>
      <c r="D144" s="27" t="s">
        <v>59</v>
      </c>
      <c r="E144" s="27" t="s">
        <v>37</v>
      </c>
      <c r="F144" s="27">
        <v>10</v>
      </c>
      <c r="G144" s="28">
        <f t="shared" si="4"/>
        <v>5</v>
      </c>
      <c r="H144" s="28">
        <f>VLOOKUP(E144,Arkusz3!$A$1:$B$9,2,FALSE)</f>
        <v>5</v>
      </c>
      <c r="I144" s="28">
        <f>VLOOKUP(E144,[1]Arkusz1!$A$1:$B$9,2,FALSE)</f>
        <v>5</v>
      </c>
      <c r="J144" s="38">
        <f t="shared" si="5"/>
        <v>50</v>
      </c>
    </row>
    <row r="145" spans="1:10" x14ac:dyDescent="0.3">
      <c r="A145" s="37">
        <v>41526</v>
      </c>
      <c r="B145" s="27" t="s">
        <v>73</v>
      </c>
      <c r="C145" s="27" t="s">
        <v>5</v>
      </c>
      <c r="D145" s="27" t="s">
        <v>63</v>
      </c>
      <c r="E145" s="27" t="s">
        <v>37</v>
      </c>
      <c r="F145" s="27">
        <v>13</v>
      </c>
      <c r="G145" s="28">
        <f t="shared" si="4"/>
        <v>5</v>
      </c>
      <c r="H145" s="28">
        <f>VLOOKUP(E145,Arkusz3!$A$1:$B$9,2,FALSE)</f>
        <v>5</v>
      </c>
      <c r="I145" s="28">
        <f>VLOOKUP(E145,[1]Arkusz1!$A$1:$B$9,2,FALSE)</f>
        <v>5</v>
      </c>
      <c r="J145" s="38">
        <f t="shared" si="5"/>
        <v>65</v>
      </c>
    </row>
    <row r="146" spans="1:10" x14ac:dyDescent="0.3">
      <c r="A146" s="37">
        <v>41635</v>
      </c>
      <c r="B146" s="27" t="s">
        <v>71</v>
      </c>
      <c r="C146" s="27" t="s">
        <v>5</v>
      </c>
      <c r="D146" s="27" t="s">
        <v>68</v>
      </c>
      <c r="E146" s="27" t="s">
        <v>38</v>
      </c>
      <c r="F146" s="27">
        <v>2</v>
      </c>
      <c r="G146" s="28">
        <f t="shared" si="4"/>
        <v>0.2</v>
      </c>
      <c r="H146" s="28">
        <f>VLOOKUP(E146,Arkusz3!$A$1:$B$9,2,FALSE)</f>
        <v>0.2</v>
      </c>
      <c r="I146" s="28">
        <f>VLOOKUP(E146,[1]Arkusz1!$A$1:$B$9,2,FALSE)</f>
        <v>0.2</v>
      </c>
      <c r="J146" s="38">
        <f t="shared" si="5"/>
        <v>0.4</v>
      </c>
    </row>
    <row r="147" spans="1:10" x14ac:dyDescent="0.3">
      <c r="A147" s="37">
        <v>41548</v>
      </c>
      <c r="B147" s="27" t="s">
        <v>62</v>
      </c>
      <c r="C147" s="27" t="s">
        <v>3</v>
      </c>
      <c r="D147" s="27" t="s">
        <v>69</v>
      </c>
      <c r="E147" s="27" t="s">
        <v>38</v>
      </c>
      <c r="F147" s="27">
        <v>8</v>
      </c>
      <c r="G147" s="28">
        <f t="shared" si="4"/>
        <v>0.2</v>
      </c>
      <c r="H147" s="28">
        <f>VLOOKUP(E147,Arkusz3!$A$1:$B$9,2,FALSE)</f>
        <v>0.2</v>
      </c>
      <c r="I147" s="28">
        <f>VLOOKUP(E147,[1]Arkusz1!$A$1:$B$9,2,FALSE)</f>
        <v>0.2</v>
      </c>
      <c r="J147" s="38">
        <f t="shared" si="5"/>
        <v>1.6</v>
      </c>
    </row>
    <row r="148" spans="1:10" x14ac:dyDescent="0.3">
      <c r="A148" s="37">
        <v>41485</v>
      </c>
      <c r="B148" s="27" t="s">
        <v>62</v>
      </c>
      <c r="C148" s="27" t="s">
        <v>6</v>
      </c>
      <c r="D148" s="27" t="s">
        <v>68</v>
      </c>
      <c r="E148" s="27" t="s">
        <v>39</v>
      </c>
      <c r="F148" s="27">
        <v>3</v>
      </c>
      <c r="G148" s="28">
        <f t="shared" si="4"/>
        <v>0.1</v>
      </c>
      <c r="H148" s="28">
        <f>VLOOKUP(E148,Arkusz3!$A$1:$B$9,2,FALSE)</f>
        <v>0.1</v>
      </c>
      <c r="I148" s="28">
        <f>VLOOKUP(E148,[1]Arkusz1!$A$1:$B$9,2,FALSE)</f>
        <v>0.1</v>
      </c>
      <c r="J148" s="38">
        <f t="shared" si="5"/>
        <v>0.30000000000000004</v>
      </c>
    </row>
    <row r="149" spans="1:10" x14ac:dyDescent="0.3">
      <c r="A149" s="37">
        <v>41536</v>
      </c>
      <c r="B149" s="27" t="s">
        <v>58</v>
      </c>
      <c r="C149" s="27" t="s">
        <v>3</v>
      </c>
      <c r="D149" s="27" t="s">
        <v>65</v>
      </c>
      <c r="E149" s="27" t="s">
        <v>35</v>
      </c>
      <c r="F149" s="27">
        <v>4</v>
      </c>
      <c r="G149" s="28">
        <f t="shared" si="4"/>
        <v>0.5</v>
      </c>
      <c r="H149" s="28">
        <f>VLOOKUP(E149,Arkusz3!$A$1:$B$9,2,FALSE)</f>
        <v>0.5</v>
      </c>
      <c r="I149" s="28">
        <f>VLOOKUP(E149,[1]Arkusz1!$A$1:$B$9,2,FALSE)</f>
        <v>0.5</v>
      </c>
      <c r="J149" s="38">
        <f t="shared" si="5"/>
        <v>2</v>
      </c>
    </row>
    <row r="150" spans="1:10" x14ac:dyDescent="0.3">
      <c r="A150" s="37">
        <v>41467</v>
      </c>
      <c r="B150" s="27" t="s">
        <v>62</v>
      </c>
      <c r="C150" s="27" t="s">
        <v>4</v>
      </c>
      <c r="D150" s="27" t="s">
        <v>74</v>
      </c>
      <c r="E150" s="27" t="s">
        <v>38</v>
      </c>
      <c r="F150" s="27">
        <v>11</v>
      </c>
      <c r="G150" s="28">
        <f t="shared" si="4"/>
        <v>0.2</v>
      </c>
      <c r="H150" s="28">
        <f>VLOOKUP(E150,Arkusz3!$A$1:$B$9,2,FALSE)</f>
        <v>0.2</v>
      </c>
      <c r="I150" s="28">
        <f>VLOOKUP(E150,[1]Arkusz1!$A$1:$B$9,2,FALSE)</f>
        <v>0.2</v>
      </c>
      <c r="J150" s="38">
        <f t="shared" si="5"/>
        <v>2.2000000000000002</v>
      </c>
    </row>
    <row r="151" spans="1:10" x14ac:dyDescent="0.3">
      <c r="A151" s="37">
        <v>41474</v>
      </c>
      <c r="B151" s="27" t="s">
        <v>71</v>
      </c>
      <c r="C151" s="27" t="s">
        <v>5</v>
      </c>
      <c r="D151" s="27" t="s">
        <v>69</v>
      </c>
      <c r="E151" s="27" t="s">
        <v>35</v>
      </c>
      <c r="F151" s="27">
        <v>1</v>
      </c>
      <c r="G151" s="28">
        <f t="shared" si="4"/>
        <v>0.5</v>
      </c>
      <c r="H151" s="28">
        <f>VLOOKUP(E151,Arkusz3!$A$1:$B$9,2,FALSE)</f>
        <v>0.5</v>
      </c>
      <c r="I151" s="28">
        <f>VLOOKUP(E151,[1]Arkusz1!$A$1:$B$9,2,FALSE)</f>
        <v>0.5</v>
      </c>
      <c r="J151" s="38">
        <f t="shared" si="5"/>
        <v>0.5</v>
      </c>
    </row>
    <row r="152" spans="1:10" x14ac:dyDescent="0.3">
      <c r="A152" s="37">
        <v>41508</v>
      </c>
      <c r="B152" s="27" t="s">
        <v>67</v>
      </c>
      <c r="C152" s="27" t="s">
        <v>7</v>
      </c>
      <c r="D152" s="27" t="s">
        <v>63</v>
      </c>
      <c r="E152" s="27" t="s">
        <v>34</v>
      </c>
      <c r="F152" s="27">
        <v>5</v>
      </c>
      <c r="G152" s="28">
        <f t="shared" si="4"/>
        <v>2</v>
      </c>
      <c r="H152" s="28">
        <f>VLOOKUP(E152,Arkusz3!$A$1:$B$9,2,FALSE)</f>
        <v>2</v>
      </c>
      <c r="I152" s="28">
        <f>VLOOKUP(E152,[1]Arkusz1!$A$1:$B$9,2,FALSE)</f>
        <v>2</v>
      </c>
      <c r="J152" s="38">
        <f t="shared" si="5"/>
        <v>10</v>
      </c>
    </row>
    <row r="153" spans="1:10" x14ac:dyDescent="0.3">
      <c r="A153" s="37">
        <v>41627</v>
      </c>
      <c r="B153" s="27" t="s">
        <v>73</v>
      </c>
      <c r="C153" s="27" t="s">
        <v>6</v>
      </c>
      <c r="D153" s="27" t="s">
        <v>74</v>
      </c>
      <c r="E153" s="27" t="s">
        <v>41</v>
      </c>
      <c r="F153" s="27">
        <v>6</v>
      </c>
      <c r="G153" s="28">
        <f t="shared" si="4"/>
        <v>4</v>
      </c>
      <c r="H153" s="28">
        <f>VLOOKUP(E153,Arkusz3!$A$1:$B$9,2,FALSE)</f>
        <v>4</v>
      </c>
      <c r="I153" s="28">
        <f>VLOOKUP(E153,[1]Arkusz1!$A$1:$B$9,2,FALSE)</f>
        <v>4</v>
      </c>
      <c r="J153" s="38">
        <f t="shared" si="5"/>
        <v>24</v>
      </c>
    </row>
    <row r="154" spans="1:10" x14ac:dyDescent="0.3">
      <c r="A154" s="37">
        <v>41433</v>
      </c>
      <c r="B154" s="27" t="s">
        <v>73</v>
      </c>
      <c r="C154" s="27" t="s">
        <v>6</v>
      </c>
      <c r="D154" s="27" t="s">
        <v>65</v>
      </c>
      <c r="E154" s="27" t="s">
        <v>35</v>
      </c>
      <c r="F154" s="27">
        <v>7</v>
      </c>
      <c r="G154" s="28">
        <f t="shared" si="4"/>
        <v>0.5</v>
      </c>
      <c r="H154" s="28">
        <f>VLOOKUP(E154,Arkusz3!$A$1:$B$9,2,FALSE)</f>
        <v>0.5</v>
      </c>
      <c r="I154" s="28">
        <f>VLOOKUP(E154,[1]Arkusz1!$A$1:$B$9,2,FALSE)</f>
        <v>0.5</v>
      </c>
      <c r="J154" s="38">
        <f t="shared" si="5"/>
        <v>3.5</v>
      </c>
    </row>
    <row r="155" spans="1:10" x14ac:dyDescent="0.3">
      <c r="A155" s="37">
        <v>41614</v>
      </c>
      <c r="B155" s="27" t="s">
        <v>58</v>
      </c>
      <c r="C155" s="27" t="s">
        <v>5</v>
      </c>
      <c r="D155" s="27" t="s">
        <v>70</v>
      </c>
      <c r="E155" s="27" t="s">
        <v>38</v>
      </c>
      <c r="F155" s="27">
        <v>18</v>
      </c>
      <c r="G155" s="28">
        <f t="shared" si="4"/>
        <v>0.2</v>
      </c>
      <c r="H155" s="28">
        <f>VLOOKUP(E155,Arkusz3!$A$1:$B$9,2,FALSE)</f>
        <v>0.2</v>
      </c>
      <c r="I155" s="28">
        <f>VLOOKUP(E155,[1]Arkusz1!$A$1:$B$9,2,FALSE)</f>
        <v>0.2</v>
      </c>
      <c r="J155" s="38">
        <f t="shared" si="5"/>
        <v>3.6</v>
      </c>
    </row>
    <row r="156" spans="1:10" x14ac:dyDescent="0.3">
      <c r="A156" s="37">
        <v>41573</v>
      </c>
      <c r="B156" s="27" t="s">
        <v>58</v>
      </c>
      <c r="C156" s="27" t="s">
        <v>5</v>
      </c>
      <c r="D156" s="27" t="s">
        <v>68</v>
      </c>
      <c r="E156" s="27" t="s">
        <v>37</v>
      </c>
      <c r="F156" s="27">
        <v>17</v>
      </c>
      <c r="G156" s="28">
        <f t="shared" si="4"/>
        <v>5</v>
      </c>
      <c r="H156" s="28">
        <f>VLOOKUP(E156,Arkusz3!$A$1:$B$9,2,FALSE)</f>
        <v>5</v>
      </c>
      <c r="I156" s="28">
        <f>VLOOKUP(E156,[1]Arkusz1!$A$1:$B$9,2,FALSE)</f>
        <v>5</v>
      </c>
      <c r="J156" s="38">
        <f t="shared" si="5"/>
        <v>85</v>
      </c>
    </row>
    <row r="157" spans="1:10" x14ac:dyDescent="0.3">
      <c r="A157" s="37">
        <v>41512</v>
      </c>
      <c r="B157" s="27" t="s">
        <v>62</v>
      </c>
      <c r="C157" s="27" t="s">
        <v>4</v>
      </c>
      <c r="D157" s="27" t="s">
        <v>72</v>
      </c>
      <c r="E157" s="27" t="s">
        <v>40</v>
      </c>
      <c r="F157" s="27">
        <v>10</v>
      </c>
      <c r="G157" s="28">
        <f t="shared" si="4"/>
        <v>1.5</v>
      </c>
      <c r="H157" s="28">
        <f>VLOOKUP(E157,Arkusz3!$A$1:$B$9,2,FALSE)</f>
        <v>1.5</v>
      </c>
      <c r="I157" s="28">
        <f>VLOOKUP(E157,[1]Arkusz1!$A$1:$B$9,2,FALSE)</f>
        <v>1.5</v>
      </c>
      <c r="J157" s="38">
        <f t="shared" si="5"/>
        <v>15</v>
      </c>
    </row>
    <row r="158" spans="1:10" x14ac:dyDescent="0.3">
      <c r="A158" s="37">
        <v>41480</v>
      </c>
      <c r="B158" s="27" t="s">
        <v>62</v>
      </c>
      <c r="C158" s="27" t="s">
        <v>4</v>
      </c>
      <c r="D158" s="27" t="s">
        <v>72</v>
      </c>
      <c r="E158" s="27" t="s">
        <v>36</v>
      </c>
      <c r="F158" s="27">
        <v>14</v>
      </c>
      <c r="G158" s="28">
        <f t="shared" si="4"/>
        <v>2.5</v>
      </c>
      <c r="H158" s="28">
        <f>VLOOKUP(E158,Arkusz3!$A$1:$B$9,2,FALSE)</f>
        <v>2.5</v>
      </c>
      <c r="I158" s="28">
        <f>VLOOKUP(E158,[1]Arkusz1!$A$1:$B$9,2,FALSE)</f>
        <v>2.5</v>
      </c>
      <c r="J158" s="38">
        <f t="shared" si="5"/>
        <v>35</v>
      </c>
    </row>
    <row r="159" spans="1:10" x14ac:dyDescent="0.3">
      <c r="A159" s="37">
        <v>41498</v>
      </c>
      <c r="B159" s="27" t="s">
        <v>67</v>
      </c>
      <c r="C159" s="27" t="s">
        <v>4</v>
      </c>
      <c r="D159" s="27" t="s">
        <v>59</v>
      </c>
      <c r="E159" s="27" t="s">
        <v>37</v>
      </c>
      <c r="F159" s="27">
        <v>15</v>
      </c>
      <c r="G159" s="28">
        <f t="shared" si="4"/>
        <v>5</v>
      </c>
      <c r="H159" s="28">
        <f>VLOOKUP(E159,Arkusz3!$A$1:$B$9,2,FALSE)</f>
        <v>5</v>
      </c>
      <c r="I159" s="28">
        <f>VLOOKUP(E159,[1]Arkusz1!$A$1:$B$9,2,FALSE)</f>
        <v>5</v>
      </c>
      <c r="J159" s="38">
        <f t="shared" si="5"/>
        <v>75</v>
      </c>
    </row>
    <row r="160" spans="1:10" x14ac:dyDescent="0.3">
      <c r="A160" s="37">
        <v>41595</v>
      </c>
      <c r="B160" s="27" t="s">
        <v>67</v>
      </c>
      <c r="C160" s="27" t="s">
        <v>3</v>
      </c>
      <c r="D160" s="27" t="s">
        <v>64</v>
      </c>
      <c r="E160" s="27" t="s">
        <v>38</v>
      </c>
      <c r="F160" s="27">
        <v>10</v>
      </c>
      <c r="G160" s="28">
        <f t="shared" si="4"/>
        <v>0.2</v>
      </c>
      <c r="H160" s="28">
        <f>VLOOKUP(E160,Arkusz3!$A$1:$B$9,2,FALSE)</f>
        <v>0.2</v>
      </c>
      <c r="I160" s="28">
        <f>VLOOKUP(E160,[1]Arkusz1!$A$1:$B$9,2,FALSE)</f>
        <v>0.2</v>
      </c>
      <c r="J160" s="38">
        <f t="shared" si="5"/>
        <v>2</v>
      </c>
    </row>
    <row r="161" spans="1:10" x14ac:dyDescent="0.3">
      <c r="A161" s="37">
        <v>41592</v>
      </c>
      <c r="B161" s="27" t="s">
        <v>58</v>
      </c>
      <c r="C161" s="27" t="s">
        <v>3</v>
      </c>
      <c r="D161" s="27" t="s">
        <v>59</v>
      </c>
      <c r="E161" s="27" t="s">
        <v>39</v>
      </c>
      <c r="F161" s="27">
        <v>18</v>
      </c>
      <c r="G161" s="28">
        <f t="shared" si="4"/>
        <v>0.1</v>
      </c>
      <c r="H161" s="28">
        <f>VLOOKUP(E161,Arkusz3!$A$1:$B$9,2,FALSE)</f>
        <v>0.1</v>
      </c>
      <c r="I161" s="28">
        <f>VLOOKUP(E161,[1]Arkusz1!$A$1:$B$9,2,FALSE)</f>
        <v>0.1</v>
      </c>
      <c r="J161" s="38">
        <f t="shared" si="5"/>
        <v>1.8</v>
      </c>
    </row>
    <row r="162" spans="1:10" x14ac:dyDescent="0.3">
      <c r="A162" s="37">
        <v>41629</v>
      </c>
      <c r="B162" s="27" t="s">
        <v>58</v>
      </c>
      <c r="C162" s="27" t="s">
        <v>7</v>
      </c>
      <c r="D162" s="27" t="s">
        <v>68</v>
      </c>
      <c r="E162" s="27" t="s">
        <v>36</v>
      </c>
      <c r="F162" s="27">
        <v>18</v>
      </c>
      <c r="G162" s="28">
        <f t="shared" si="4"/>
        <v>2.5</v>
      </c>
      <c r="H162" s="28">
        <f>VLOOKUP(E162,Arkusz3!$A$1:$B$9,2,FALSE)</f>
        <v>2.5</v>
      </c>
      <c r="I162" s="28">
        <f>VLOOKUP(E162,[1]Arkusz1!$A$1:$B$9,2,FALSE)</f>
        <v>2.5</v>
      </c>
      <c r="J162" s="38">
        <f t="shared" si="5"/>
        <v>45</v>
      </c>
    </row>
    <row r="163" spans="1:10" x14ac:dyDescent="0.3">
      <c r="A163" s="37">
        <v>41499</v>
      </c>
      <c r="B163" s="27" t="s">
        <v>62</v>
      </c>
      <c r="C163" s="27" t="s">
        <v>7</v>
      </c>
      <c r="D163" s="27" t="s">
        <v>68</v>
      </c>
      <c r="E163" s="27" t="s">
        <v>35</v>
      </c>
      <c r="F163" s="27">
        <v>2</v>
      </c>
      <c r="G163" s="28">
        <f t="shared" si="4"/>
        <v>0.5</v>
      </c>
      <c r="H163" s="28">
        <f>VLOOKUP(E163,Arkusz3!$A$1:$B$9,2,FALSE)</f>
        <v>0.5</v>
      </c>
      <c r="I163" s="28">
        <f>VLOOKUP(E163,[1]Arkusz1!$A$1:$B$9,2,FALSE)</f>
        <v>0.5</v>
      </c>
      <c r="J163" s="38">
        <f t="shared" si="5"/>
        <v>1</v>
      </c>
    </row>
    <row r="164" spans="1:10" x14ac:dyDescent="0.3">
      <c r="A164" s="37">
        <v>41586</v>
      </c>
      <c r="B164" s="27" t="s">
        <v>58</v>
      </c>
      <c r="C164" s="27" t="s">
        <v>4</v>
      </c>
      <c r="D164" s="27" t="s">
        <v>65</v>
      </c>
      <c r="E164" s="27" t="s">
        <v>38</v>
      </c>
      <c r="F164" s="27">
        <v>17</v>
      </c>
      <c r="G164" s="28">
        <f t="shared" si="4"/>
        <v>0.2</v>
      </c>
      <c r="H164" s="28">
        <f>VLOOKUP(E164,Arkusz3!$A$1:$B$9,2,FALSE)</f>
        <v>0.2</v>
      </c>
      <c r="I164" s="28">
        <f>VLOOKUP(E164,[1]Arkusz1!$A$1:$B$9,2,FALSE)</f>
        <v>0.2</v>
      </c>
      <c r="J164" s="38">
        <f t="shared" si="5"/>
        <v>3.4000000000000004</v>
      </c>
    </row>
    <row r="165" spans="1:10" x14ac:dyDescent="0.3">
      <c r="A165" s="37">
        <v>41592</v>
      </c>
      <c r="B165" s="27" t="s">
        <v>62</v>
      </c>
      <c r="C165" s="27" t="s">
        <v>6</v>
      </c>
      <c r="D165" s="27" t="s">
        <v>59</v>
      </c>
      <c r="E165" s="27" t="s">
        <v>38</v>
      </c>
      <c r="F165" s="27">
        <v>18</v>
      </c>
      <c r="G165" s="28">
        <f t="shared" si="4"/>
        <v>0.2</v>
      </c>
      <c r="H165" s="28">
        <f>VLOOKUP(E165,Arkusz3!$A$1:$B$9,2,FALSE)</f>
        <v>0.2</v>
      </c>
      <c r="I165" s="28">
        <f>VLOOKUP(E165,[1]Arkusz1!$A$1:$B$9,2,FALSE)</f>
        <v>0.2</v>
      </c>
      <c r="J165" s="38">
        <f t="shared" si="5"/>
        <v>3.6</v>
      </c>
    </row>
    <row r="166" spans="1:10" x14ac:dyDescent="0.3">
      <c r="A166" s="37">
        <v>41439</v>
      </c>
      <c r="B166" s="27" t="s">
        <v>62</v>
      </c>
      <c r="C166" s="27" t="s">
        <v>7</v>
      </c>
      <c r="D166" s="27" t="s">
        <v>74</v>
      </c>
      <c r="E166" s="27" t="s">
        <v>34</v>
      </c>
      <c r="F166" s="27">
        <v>18</v>
      </c>
      <c r="G166" s="28">
        <f t="shared" si="4"/>
        <v>2</v>
      </c>
      <c r="H166" s="28">
        <f>VLOOKUP(E166,Arkusz3!$A$1:$B$9,2,FALSE)</f>
        <v>2</v>
      </c>
      <c r="I166" s="28">
        <f>VLOOKUP(E166,[1]Arkusz1!$A$1:$B$9,2,FALSE)</f>
        <v>2</v>
      </c>
      <c r="J166" s="38">
        <f t="shared" si="5"/>
        <v>36</v>
      </c>
    </row>
    <row r="167" spans="1:10" x14ac:dyDescent="0.3">
      <c r="A167" s="37">
        <v>41527</v>
      </c>
      <c r="B167" s="27" t="s">
        <v>62</v>
      </c>
      <c r="C167" s="27" t="s">
        <v>6</v>
      </c>
      <c r="D167" s="27" t="s">
        <v>74</v>
      </c>
      <c r="E167" s="27" t="s">
        <v>36</v>
      </c>
      <c r="F167" s="27">
        <v>19</v>
      </c>
      <c r="G167" s="28">
        <f t="shared" si="4"/>
        <v>2.5</v>
      </c>
      <c r="H167" s="28">
        <f>VLOOKUP(E167,Arkusz3!$A$1:$B$9,2,FALSE)</f>
        <v>2.5</v>
      </c>
      <c r="I167" s="28">
        <f>VLOOKUP(E167,[1]Arkusz1!$A$1:$B$9,2,FALSE)</f>
        <v>2.5</v>
      </c>
      <c r="J167" s="38">
        <f t="shared" si="5"/>
        <v>47.5</v>
      </c>
    </row>
    <row r="168" spans="1:10" x14ac:dyDescent="0.3">
      <c r="A168" s="37">
        <v>41568</v>
      </c>
      <c r="B168" s="27" t="s">
        <v>58</v>
      </c>
      <c r="C168" s="27" t="s">
        <v>4</v>
      </c>
      <c r="D168" s="27" t="s">
        <v>64</v>
      </c>
      <c r="E168" s="27" t="s">
        <v>35</v>
      </c>
      <c r="F168" s="27">
        <v>19</v>
      </c>
      <c r="G168" s="28">
        <f t="shared" si="4"/>
        <v>0.5</v>
      </c>
      <c r="H168" s="28">
        <f>VLOOKUP(E168,Arkusz3!$A$1:$B$9,2,FALSE)</f>
        <v>0.5</v>
      </c>
      <c r="I168" s="28">
        <f>VLOOKUP(E168,[1]Arkusz1!$A$1:$B$9,2,FALSE)</f>
        <v>0.5</v>
      </c>
      <c r="J168" s="38">
        <f t="shared" si="5"/>
        <v>9.5</v>
      </c>
    </row>
    <row r="169" spans="1:10" x14ac:dyDescent="0.3">
      <c r="A169" s="37">
        <v>41479</v>
      </c>
      <c r="B169" s="27" t="s">
        <v>67</v>
      </c>
      <c r="C169" s="27" t="s">
        <v>7</v>
      </c>
      <c r="D169" s="27" t="s">
        <v>64</v>
      </c>
      <c r="E169" s="27" t="s">
        <v>38</v>
      </c>
      <c r="F169" s="27">
        <v>13</v>
      </c>
      <c r="G169" s="28">
        <f t="shared" si="4"/>
        <v>0.2</v>
      </c>
      <c r="H169" s="28">
        <f>VLOOKUP(E169,Arkusz3!$A$1:$B$9,2,FALSE)</f>
        <v>0.2</v>
      </c>
      <c r="I169" s="28">
        <f>VLOOKUP(E169,[1]Arkusz1!$A$1:$B$9,2,FALSE)</f>
        <v>0.2</v>
      </c>
      <c r="J169" s="38">
        <f t="shared" si="5"/>
        <v>2.6</v>
      </c>
    </row>
    <row r="170" spans="1:10" x14ac:dyDescent="0.3">
      <c r="A170" s="37">
        <v>41481</v>
      </c>
      <c r="B170" s="27" t="s">
        <v>71</v>
      </c>
      <c r="C170" s="27" t="s">
        <v>3</v>
      </c>
      <c r="D170" s="27" t="s">
        <v>59</v>
      </c>
      <c r="E170" s="27" t="s">
        <v>41</v>
      </c>
      <c r="F170" s="27">
        <v>8</v>
      </c>
      <c r="G170" s="28">
        <f t="shared" si="4"/>
        <v>4</v>
      </c>
      <c r="H170" s="28">
        <f>VLOOKUP(E170,Arkusz3!$A$1:$B$9,2,FALSE)</f>
        <v>4</v>
      </c>
      <c r="I170" s="28">
        <f>VLOOKUP(E170,[1]Arkusz1!$A$1:$B$9,2,FALSE)</f>
        <v>4</v>
      </c>
      <c r="J170" s="38">
        <f t="shared" si="5"/>
        <v>32</v>
      </c>
    </row>
    <row r="171" spans="1:10" x14ac:dyDescent="0.3">
      <c r="A171" s="37">
        <v>41615</v>
      </c>
      <c r="B171" s="27" t="s">
        <v>71</v>
      </c>
      <c r="C171" s="27" t="s">
        <v>6</v>
      </c>
      <c r="D171" s="27" t="s">
        <v>63</v>
      </c>
      <c r="E171" s="27" t="s">
        <v>39</v>
      </c>
      <c r="F171" s="27">
        <v>16</v>
      </c>
      <c r="G171" s="28">
        <f t="shared" si="4"/>
        <v>0.1</v>
      </c>
      <c r="H171" s="28">
        <f>VLOOKUP(E171,Arkusz3!$A$1:$B$9,2,FALSE)</f>
        <v>0.1</v>
      </c>
      <c r="I171" s="28">
        <f>VLOOKUP(E171,[1]Arkusz1!$A$1:$B$9,2,FALSE)</f>
        <v>0.1</v>
      </c>
      <c r="J171" s="38">
        <f t="shared" si="5"/>
        <v>1.6</v>
      </c>
    </row>
    <row r="172" spans="1:10" x14ac:dyDescent="0.3">
      <c r="A172" s="37">
        <v>41555</v>
      </c>
      <c r="B172" s="27" t="s">
        <v>62</v>
      </c>
      <c r="C172" s="27" t="s">
        <v>7</v>
      </c>
      <c r="D172" s="27" t="s">
        <v>61</v>
      </c>
      <c r="E172" s="27" t="s">
        <v>40</v>
      </c>
      <c r="F172" s="27">
        <v>4</v>
      </c>
      <c r="G172" s="28">
        <f t="shared" si="4"/>
        <v>1.5</v>
      </c>
      <c r="H172" s="28">
        <f>VLOOKUP(E172,Arkusz3!$A$1:$B$9,2,FALSE)</f>
        <v>1.5</v>
      </c>
      <c r="I172" s="28">
        <f>VLOOKUP(E172,[1]Arkusz1!$A$1:$B$9,2,FALSE)</f>
        <v>1.5</v>
      </c>
      <c r="J172" s="38">
        <f t="shared" si="5"/>
        <v>6</v>
      </c>
    </row>
    <row r="173" spans="1:10" x14ac:dyDescent="0.3">
      <c r="A173" s="37">
        <v>41497</v>
      </c>
      <c r="B173" s="27" t="s">
        <v>58</v>
      </c>
      <c r="C173" s="27" t="s">
        <v>7</v>
      </c>
      <c r="D173" s="27" t="s">
        <v>59</v>
      </c>
      <c r="E173" s="27" t="s">
        <v>39</v>
      </c>
      <c r="F173" s="27">
        <v>19</v>
      </c>
      <c r="G173" s="28">
        <f t="shared" si="4"/>
        <v>0.1</v>
      </c>
      <c r="H173" s="28">
        <f>VLOOKUP(E173,Arkusz3!$A$1:$B$9,2,FALSE)</f>
        <v>0.1</v>
      </c>
      <c r="I173" s="28">
        <f>VLOOKUP(E173,[1]Arkusz1!$A$1:$B$9,2,FALSE)</f>
        <v>0.1</v>
      </c>
      <c r="J173" s="38">
        <f t="shared" si="5"/>
        <v>1.9000000000000001</v>
      </c>
    </row>
    <row r="174" spans="1:10" x14ac:dyDescent="0.3">
      <c r="A174" s="37">
        <v>41505</v>
      </c>
      <c r="B174" s="27" t="s">
        <v>67</v>
      </c>
      <c r="C174" s="27" t="s">
        <v>4</v>
      </c>
      <c r="D174" s="27" t="s">
        <v>63</v>
      </c>
      <c r="E174" s="27" t="s">
        <v>39</v>
      </c>
      <c r="F174" s="27">
        <v>9</v>
      </c>
      <c r="G174" s="28">
        <f t="shared" si="4"/>
        <v>0.1</v>
      </c>
      <c r="H174" s="28">
        <f>VLOOKUP(E174,Arkusz3!$A$1:$B$9,2,FALSE)</f>
        <v>0.1</v>
      </c>
      <c r="I174" s="28">
        <f>VLOOKUP(E174,[1]Arkusz1!$A$1:$B$9,2,FALSE)</f>
        <v>0.1</v>
      </c>
      <c r="J174" s="38">
        <f t="shared" si="5"/>
        <v>0.9</v>
      </c>
    </row>
    <row r="175" spans="1:10" x14ac:dyDescent="0.3">
      <c r="A175" s="37">
        <v>41585</v>
      </c>
      <c r="B175" s="27" t="s">
        <v>58</v>
      </c>
      <c r="C175" s="27" t="s">
        <v>4</v>
      </c>
      <c r="D175" s="27" t="s">
        <v>63</v>
      </c>
      <c r="E175" s="27" t="s">
        <v>35</v>
      </c>
      <c r="F175" s="27">
        <v>3</v>
      </c>
      <c r="G175" s="28">
        <f t="shared" si="4"/>
        <v>0.5</v>
      </c>
      <c r="H175" s="28">
        <f>VLOOKUP(E175,Arkusz3!$A$1:$B$9,2,FALSE)</f>
        <v>0.5</v>
      </c>
      <c r="I175" s="28">
        <f>VLOOKUP(E175,[1]Arkusz1!$A$1:$B$9,2,FALSE)</f>
        <v>0.5</v>
      </c>
      <c r="J175" s="38">
        <f t="shared" si="5"/>
        <v>1.5</v>
      </c>
    </row>
    <row r="176" spans="1:10" x14ac:dyDescent="0.3">
      <c r="A176" s="37">
        <v>41435</v>
      </c>
      <c r="B176" s="27" t="s">
        <v>67</v>
      </c>
      <c r="C176" s="27" t="s">
        <v>3</v>
      </c>
      <c r="D176" s="27" t="s">
        <v>63</v>
      </c>
      <c r="E176" s="27" t="s">
        <v>36</v>
      </c>
      <c r="F176" s="27">
        <v>5</v>
      </c>
      <c r="G176" s="28">
        <f t="shared" si="4"/>
        <v>2.5</v>
      </c>
      <c r="H176" s="28">
        <f>VLOOKUP(E176,Arkusz3!$A$1:$B$9,2,FALSE)</f>
        <v>2.5</v>
      </c>
      <c r="I176" s="28">
        <f>VLOOKUP(E176,[1]Arkusz1!$A$1:$B$9,2,FALSE)</f>
        <v>2.5</v>
      </c>
      <c r="J176" s="38">
        <f t="shared" si="5"/>
        <v>12.5</v>
      </c>
    </row>
    <row r="177" spans="1:10" x14ac:dyDescent="0.3">
      <c r="A177" s="37">
        <v>41617</v>
      </c>
      <c r="B177" s="27" t="s">
        <v>73</v>
      </c>
      <c r="C177" s="27" t="s">
        <v>5</v>
      </c>
      <c r="D177" s="27" t="s">
        <v>63</v>
      </c>
      <c r="E177" s="27" t="s">
        <v>38</v>
      </c>
      <c r="F177" s="27">
        <v>14</v>
      </c>
      <c r="G177" s="28">
        <f t="shared" si="4"/>
        <v>0.2</v>
      </c>
      <c r="H177" s="28">
        <f>VLOOKUP(E177,Arkusz3!$A$1:$B$9,2,FALSE)</f>
        <v>0.2</v>
      </c>
      <c r="I177" s="28">
        <f>VLOOKUP(E177,[1]Arkusz1!$A$1:$B$9,2,FALSE)</f>
        <v>0.2</v>
      </c>
      <c r="J177" s="38">
        <f t="shared" si="5"/>
        <v>2.8000000000000003</v>
      </c>
    </row>
    <row r="178" spans="1:10" x14ac:dyDescent="0.3">
      <c r="A178" s="37">
        <v>41495</v>
      </c>
      <c r="B178" s="27" t="s">
        <v>62</v>
      </c>
      <c r="C178" s="27" t="s">
        <v>4</v>
      </c>
      <c r="D178" s="27" t="s">
        <v>72</v>
      </c>
      <c r="E178" s="27" t="s">
        <v>38</v>
      </c>
      <c r="F178" s="27">
        <v>7</v>
      </c>
      <c r="G178" s="28">
        <f t="shared" si="4"/>
        <v>0.2</v>
      </c>
      <c r="H178" s="28">
        <f>VLOOKUP(E178,Arkusz3!$A$1:$B$9,2,FALSE)</f>
        <v>0.2</v>
      </c>
      <c r="I178" s="28">
        <f>VLOOKUP(E178,[1]Arkusz1!$A$1:$B$9,2,FALSE)</f>
        <v>0.2</v>
      </c>
      <c r="J178" s="38">
        <f t="shared" si="5"/>
        <v>1.4000000000000001</v>
      </c>
    </row>
    <row r="179" spans="1:10" x14ac:dyDescent="0.3">
      <c r="A179" s="37">
        <v>41465</v>
      </c>
      <c r="B179" s="27" t="s">
        <v>62</v>
      </c>
      <c r="C179" s="27" t="s">
        <v>5</v>
      </c>
      <c r="D179" s="27" t="s">
        <v>65</v>
      </c>
      <c r="E179" s="27" t="s">
        <v>34</v>
      </c>
      <c r="F179" s="27">
        <v>3</v>
      </c>
      <c r="G179" s="28">
        <f t="shared" si="4"/>
        <v>2</v>
      </c>
      <c r="H179" s="28">
        <f>VLOOKUP(E179,Arkusz3!$A$1:$B$9,2,FALSE)</f>
        <v>2</v>
      </c>
      <c r="I179" s="28">
        <f>VLOOKUP(E179,[1]Arkusz1!$A$1:$B$9,2,FALSE)</f>
        <v>2</v>
      </c>
      <c r="J179" s="38">
        <f t="shared" si="5"/>
        <v>6</v>
      </c>
    </row>
    <row r="180" spans="1:10" x14ac:dyDescent="0.3">
      <c r="A180" s="37">
        <v>41441</v>
      </c>
      <c r="B180" s="27" t="s">
        <v>75</v>
      </c>
      <c r="C180" s="27" t="s">
        <v>4</v>
      </c>
      <c r="D180" s="27" t="s">
        <v>61</v>
      </c>
      <c r="E180" s="27" t="s">
        <v>41</v>
      </c>
      <c r="F180" s="27">
        <v>11</v>
      </c>
      <c r="G180" s="28">
        <f t="shared" si="4"/>
        <v>4</v>
      </c>
      <c r="H180" s="28">
        <f>VLOOKUP(E180,Arkusz3!$A$1:$B$9,2,FALSE)</f>
        <v>4</v>
      </c>
      <c r="I180" s="28">
        <f>VLOOKUP(E180,[1]Arkusz1!$A$1:$B$9,2,FALSE)</f>
        <v>4</v>
      </c>
      <c r="J180" s="38">
        <f t="shared" si="5"/>
        <v>44</v>
      </c>
    </row>
    <row r="181" spans="1:10" x14ac:dyDescent="0.3">
      <c r="A181" s="37">
        <v>41544</v>
      </c>
      <c r="B181" s="27" t="s">
        <v>73</v>
      </c>
      <c r="C181" s="27" t="s">
        <v>6</v>
      </c>
      <c r="D181" s="27" t="s">
        <v>64</v>
      </c>
      <c r="E181" s="27" t="s">
        <v>35</v>
      </c>
      <c r="F181" s="27">
        <v>18</v>
      </c>
      <c r="G181" s="28">
        <f t="shared" si="4"/>
        <v>0.5</v>
      </c>
      <c r="H181" s="28">
        <f>VLOOKUP(E181,Arkusz3!$A$1:$B$9,2,FALSE)</f>
        <v>0.5</v>
      </c>
      <c r="I181" s="28">
        <f>VLOOKUP(E181,[1]Arkusz1!$A$1:$B$9,2,FALSE)</f>
        <v>0.5</v>
      </c>
      <c r="J181" s="38">
        <f t="shared" si="5"/>
        <v>9</v>
      </c>
    </row>
    <row r="182" spans="1:10" x14ac:dyDescent="0.3">
      <c r="A182" s="37">
        <v>41595</v>
      </c>
      <c r="B182" s="27" t="s">
        <v>67</v>
      </c>
      <c r="C182" s="27" t="s">
        <v>4</v>
      </c>
      <c r="D182" s="27" t="s">
        <v>66</v>
      </c>
      <c r="E182" s="27" t="s">
        <v>34</v>
      </c>
      <c r="F182" s="27">
        <v>20</v>
      </c>
      <c r="G182" s="28">
        <f t="shared" si="4"/>
        <v>2</v>
      </c>
      <c r="H182" s="28">
        <f>VLOOKUP(E182,Arkusz3!$A$1:$B$9,2,FALSE)</f>
        <v>2</v>
      </c>
      <c r="I182" s="28">
        <f>VLOOKUP(E182,[1]Arkusz1!$A$1:$B$9,2,FALSE)</f>
        <v>2</v>
      </c>
      <c r="J182" s="38">
        <f t="shared" si="5"/>
        <v>40</v>
      </c>
    </row>
    <row r="183" spans="1:10" x14ac:dyDescent="0.3">
      <c r="A183" s="37">
        <v>41571</v>
      </c>
      <c r="B183" s="27" t="s">
        <v>75</v>
      </c>
      <c r="C183" s="27" t="s">
        <v>3</v>
      </c>
      <c r="D183" s="27" t="s">
        <v>74</v>
      </c>
      <c r="E183" s="27" t="s">
        <v>39</v>
      </c>
      <c r="F183" s="27">
        <v>12</v>
      </c>
      <c r="G183" s="28">
        <f t="shared" si="4"/>
        <v>0.1</v>
      </c>
      <c r="H183" s="28">
        <f>VLOOKUP(E183,Arkusz3!$A$1:$B$9,2,FALSE)</f>
        <v>0.1</v>
      </c>
      <c r="I183" s="28">
        <f>VLOOKUP(E183,[1]Arkusz1!$A$1:$B$9,2,FALSE)</f>
        <v>0.1</v>
      </c>
      <c r="J183" s="38">
        <f t="shared" si="5"/>
        <v>1.2000000000000002</v>
      </c>
    </row>
    <row r="184" spans="1:10" x14ac:dyDescent="0.3">
      <c r="A184" s="37">
        <v>41490</v>
      </c>
      <c r="B184" s="27" t="s">
        <v>62</v>
      </c>
      <c r="C184" s="27" t="s">
        <v>7</v>
      </c>
      <c r="D184" s="27" t="s">
        <v>65</v>
      </c>
      <c r="E184" s="27" t="s">
        <v>36</v>
      </c>
      <c r="F184" s="27">
        <v>5</v>
      </c>
      <c r="G184" s="28">
        <f t="shared" si="4"/>
        <v>2.5</v>
      </c>
      <c r="H184" s="28">
        <f>VLOOKUP(E184,Arkusz3!$A$1:$B$9,2,FALSE)</f>
        <v>2.5</v>
      </c>
      <c r="I184" s="28">
        <f>VLOOKUP(E184,[1]Arkusz1!$A$1:$B$9,2,FALSE)</f>
        <v>2.5</v>
      </c>
      <c r="J184" s="38">
        <f t="shared" si="5"/>
        <v>12.5</v>
      </c>
    </row>
    <row r="185" spans="1:10" x14ac:dyDescent="0.3">
      <c r="A185" s="37">
        <v>41498</v>
      </c>
      <c r="B185" s="27" t="s">
        <v>67</v>
      </c>
      <c r="C185" s="27" t="s">
        <v>7</v>
      </c>
      <c r="D185" s="27" t="s">
        <v>74</v>
      </c>
      <c r="E185" s="27" t="s">
        <v>38</v>
      </c>
      <c r="F185" s="27">
        <v>9</v>
      </c>
      <c r="G185" s="28">
        <f t="shared" si="4"/>
        <v>0.2</v>
      </c>
      <c r="H185" s="28">
        <f>VLOOKUP(E185,Arkusz3!$A$1:$B$9,2,FALSE)</f>
        <v>0.2</v>
      </c>
      <c r="I185" s="28">
        <f>VLOOKUP(E185,[1]Arkusz1!$A$1:$B$9,2,FALSE)</f>
        <v>0.2</v>
      </c>
      <c r="J185" s="38">
        <f t="shared" si="5"/>
        <v>1.8</v>
      </c>
    </row>
    <row r="186" spans="1:10" x14ac:dyDescent="0.3">
      <c r="A186" s="37">
        <v>41444</v>
      </c>
      <c r="B186" s="27" t="s">
        <v>71</v>
      </c>
      <c r="C186" s="27" t="s">
        <v>4</v>
      </c>
      <c r="D186" s="27" t="s">
        <v>65</v>
      </c>
      <c r="E186" s="27" t="s">
        <v>35</v>
      </c>
      <c r="F186" s="27">
        <v>1</v>
      </c>
      <c r="G186" s="28">
        <f t="shared" si="4"/>
        <v>0.5</v>
      </c>
      <c r="H186" s="28">
        <f>VLOOKUP(E186,Arkusz3!$A$1:$B$9,2,FALSE)</f>
        <v>0.5</v>
      </c>
      <c r="I186" s="28">
        <f>VLOOKUP(E186,[1]Arkusz1!$A$1:$B$9,2,FALSE)</f>
        <v>0.5</v>
      </c>
      <c r="J186" s="38">
        <f t="shared" si="5"/>
        <v>0.5</v>
      </c>
    </row>
    <row r="187" spans="1:10" x14ac:dyDescent="0.3">
      <c r="A187" s="37">
        <v>41517</v>
      </c>
      <c r="B187" s="27" t="s">
        <v>58</v>
      </c>
      <c r="C187" s="27" t="s">
        <v>3</v>
      </c>
      <c r="D187" s="27" t="s">
        <v>65</v>
      </c>
      <c r="E187" s="27" t="s">
        <v>41</v>
      </c>
      <c r="F187" s="27">
        <v>5</v>
      </c>
      <c r="G187" s="28">
        <f t="shared" si="4"/>
        <v>4</v>
      </c>
      <c r="H187" s="28">
        <f>VLOOKUP(E187,Arkusz3!$A$1:$B$9,2,FALSE)</f>
        <v>4</v>
      </c>
      <c r="I187" s="28">
        <f>VLOOKUP(E187,[1]Arkusz1!$A$1:$B$9,2,FALSE)</f>
        <v>4</v>
      </c>
      <c r="J187" s="38">
        <f t="shared" si="5"/>
        <v>20</v>
      </c>
    </row>
    <row r="188" spans="1:10" x14ac:dyDescent="0.3">
      <c r="A188" s="37">
        <v>41471</v>
      </c>
      <c r="B188" s="27" t="s">
        <v>75</v>
      </c>
      <c r="C188" s="27" t="s">
        <v>4</v>
      </c>
      <c r="D188" s="27" t="s">
        <v>74</v>
      </c>
      <c r="E188" s="27" t="s">
        <v>37</v>
      </c>
      <c r="F188" s="27">
        <v>20</v>
      </c>
      <c r="G188" s="28">
        <f t="shared" si="4"/>
        <v>5</v>
      </c>
      <c r="H188" s="28">
        <f>VLOOKUP(E188,Arkusz3!$A$1:$B$9,2,FALSE)</f>
        <v>5</v>
      </c>
      <c r="I188" s="28">
        <f>VLOOKUP(E188,[1]Arkusz1!$A$1:$B$9,2,FALSE)</f>
        <v>5</v>
      </c>
      <c r="J188" s="38">
        <f t="shared" si="5"/>
        <v>100</v>
      </c>
    </row>
    <row r="189" spans="1:10" x14ac:dyDescent="0.3">
      <c r="A189" s="37">
        <v>41441</v>
      </c>
      <c r="B189" s="27" t="s">
        <v>58</v>
      </c>
      <c r="C189" s="27" t="s">
        <v>7</v>
      </c>
      <c r="D189" s="27" t="s">
        <v>64</v>
      </c>
      <c r="E189" s="27" t="s">
        <v>41</v>
      </c>
      <c r="F189" s="27">
        <v>14</v>
      </c>
      <c r="G189" s="28">
        <f t="shared" si="4"/>
        <v>4</v>
      </c>
      <c r="H189" s="28">
        <f>VLOOKUP(E189,Arkusz3!$A$1:$B$9,2,FALSE)</f>
        <v>4</v>
      </c>
      <c r="I189" s="28">
        <f>VLOOKUP(E189,[1]Arkusz1!$A$1:$B$9,2,FALSE)</f>
        <v>4</v>
      </c>
      <c r="J189" s="38">
        <f t="shared" si="5"/>
        <v>56</v>
      </c>
    </row>
    <row r="190" spans="1:10" x14ac:dyDescent="0.3">
      <c r="A190" s="37">
        <v>41619</v>
      </c>
      <c r="B190" s="27" t="s">
        <v>58</v>
      </c>
      <c r="C190" s="27" t="s">
        <v>6</v>
      </c>
      <c r="D190" s="27" t="s">
        <v>59</v>
      </c>
      <c r="E190" s="27" t="s">
        <v>41</v>
      </c>
      <c r="F190" s="27">
        <v>4</v>
      </c>
      <c r="G190" s="28">
        <f t="shared" si="4"/>
        <v>4</v>
      </c>
      <c r="H190" s="28">
        <f>VLOOKUP(E190,Arkusz3!$A$1:$B$9,2,FALSE)</f>
        <v>4</v>
      </c>
      <c r="I190" s="28">
        <f>VLOOKUP(E190,[1]Arkusz1!$A$1:$B$9,2,FALSE)</f>
        <v>4</v>
      </c>
      <c r="J190" s="38">
        <f t="shared" si="5"/>
        <v>16</v>
      </c>
    </row>
    <row r="191" spans="1:10" x14ac:dyDescent="0.3">
      <c r="A191" s="37">
        <v>41604</v>
      </c>
      <c r="B191" s="27" t="s">
        <v>71</v>
      </c>
      <c r="C191" s="27" t="s">
        <v>7</v>
      </c>
      <c r="D191" s="27" t="s">
        <v>68</v>
      </c>
      <c r="E191" s="27" t="s">
        <v>40</v>
      </c>
      <c r="F191" s="27">
        <v>15</v>
      </c>
      <c r="G191" s="28">
        <f t="shared" si="4"/>
        <v>1.5</v>
      </c>
      <c r="H191" s="28">
        <f>VLOOKUP(E191,Arkusz3!$A$1:$B$9,2,FALSE)</f>
        <v>1.5</v>
      </c>
      <c r="I191" s="28">
        <f>VLOOKUP(E191,[1]Arkusz1!$A$1:$B$9,2,FALSE)</f>
        <v>1.5</v>
      </c>
      <c r="J191" s="38">
        <f t="shared" si="5"/>
        <v>22.5</v>
      </c>
    </row>
    <row r="192" spans="1:10" x14ac:dyDescent="0.3">
      <c r="A192" s="37">
        <v>41612</v>
      </c>
      <c r="B192" s="27" t="s">
        <v>75</v>
      </c>
      <c r="C192" s="27" t="s">
        <v>3</v>
      </c>
      <c r="D192" s="27" t="s">
        <v>70</v>
      </c>
      <c r="E192" s="27" t="s">
        <v>40</v>
      </c>
      <c r="F192" s="27">
        <v>8</v>
      </c>
      <c r="G192" s="28">
        <f t="shared" si="4"/>
        <v>1.5</v>
      </c>
      <c r="H192" s="28">
        <f>VLOOKUP(E192,Arkusz3!$A$1:$B$9,2,FALSE)</f>
        <v>1.5</v>
      </c>
      <c r="I192" s="28">
        <f>VLOOKUP(E192,[1]Arkusz1!$A$1:$B$9,2,FALSE)</f>
        <v>1.5</v>
      </c>
      <c r="J192" s="38">
        <f t="shared" si="5"/>
        <v>12</v>
      </c>
    </row>
    <row r="193" spans="1:10" x14ac:dyDescent="0.3">
      <c r="A193" s="37">
        <v>41568</v>
      </c>
      <c r="B193" s="27" t="s">
        <v>67</v>
      </c>
      <c r="C193" s="27" t="s">
        <v>3</v>
      </c>
      <c r="D193" s="27" t="s">
        <v>64</v>
      </c>
      <c r="E193" s="27" t="s">
        <v>34</v>
      </c>
      <c r="F193" s="27">
        <v>19</v>
      </c>
      <c r="G193" s="28">
        <f t="shared" si="4"/>
        <v>2</v>
      </c>
      <c r="H193" s="28">
        <f>VLOOKUP(E193,Arkusz3!$A$1:$B$9,2,FALSE)</f>
        <v>2</v>
      </c>
      <c r="I193" s="28">
        <f>VLOOKUP(E193,[1]Arkusz1!$A$1:$B$9,2,FALSE)</f>
        <v>2</v>
      </c>
      <c r="J193" s="38">
        <f t="shared" si="5"/>
        <v>38</v>
      </c>
    </row>
    <row r="194" spans="1:10" x14ac:dyDescent="0.3">
      <c r="A194" s="37">
        <v>41574</v>
      </c>
      <c r="B194" s="27" t="s">
        <v>75</v>
      </c>
      <c r="C194" s="27" t="s">
        <v>3</v>
      </c>
      <c r="D194" s="27" t="s">
        <v>72</v>
      </c>
      <c r="E194" s="27" t="s">
        <v>38</v>
      </c>
      <c r="F194" s="27">
        <v>2</v>
      </c>
      <c r="G194" s="28">
        <f t="shared" si="4"/>
        <v>0.2</v>
      </c>
      <c r="H194" s="28">
        <f>VLOOKUP(E194,Arkusz3!$A$1:$B$9,2,FALSE)</f>
        <v>0.2</v>
      </c>
      <c r="I194" s="28">
        <f>VLOOKUP(E194,[1]Arkusz1!$A$1:$B$9,2,FALSE)</f>
        <v>0.2</v>
      </c>
      <c r="J194" s="38">
        <f t="shared" si="5"/>
        <v>0.4</v>
      </c>
    </row>
    <row r="195" spans="1:10" x14ac:dyDescent="0.3">
      <c r="A195" s="37">
        <v>41518</v>
      </c>
      <c r="B195" s="27" t="s">
        <v>62</v>
      </c>
      <c r="C195" s="27" t="s">
        <v>7</v>
      </c>
      <c r="D195" s="27" t="s">
        <v>69</v>
      </c>
      <c r="E195" s="27" t="s">
        <v>38</v>
      </c>
      <c r="F195" s="27">
        <v>20</v>
      </c>
      <c r="G195" s="28">
        <f t="shared" ref="G195:G258" si="6">VLOOKUP(E195,$L$2:$M$9,2,FALSE)</f>
        <v>0.2</v>
      </c>
      <c r="H195" s="28">
        <f>VLOOKUP(E195,Arkusz3!$A$1:$B$9,2,FALSE)</f>
        <v>0.2</v>
      </c>
      <c r="I195" s="28">
        <f>VLOOKUP(E195,[1]Arkusz1!$A$1:$B$9,2,FALSE)</f>
        <v>0.2</v>
      </c>
      <c r="J195" s="38">
        <f t="shared" ref="J195:J258" si="7">F195*G195</f>
        <v>4</v>
      </c>
    </row>
    <row r="196" spans="1:10" x14ac:dyDescent="0.3">
      <c r="A196" s="37">
        <v>41427</v>
      </c>
      <c r="B196" s="27" t="s">
        <v>73</v>
      </c>
      <c r="C196" s="27" t="s">
        <v>6</v>
      </c>
      <c r="D196" s="27" t="s">
        <v>66</v>
      </c>
      <c r="E196" s="27" t="s">
        <v>37</v>
      </c>
      <c r="F196" s="27">
        <v>2</v>
      </c>
      <c r="G196" s="28">
        <f t="shared" si="6"/>
        <v>5</v>
      </c>
      <c r="H196" s="28">
        <f>VLOOKUP(E196,Arkusz3!$A$1:$B$9,2,FALSE)</f>
        <v>5</v>
      </c>
      <c r="I196" s="28">
        <f>VLOOKUP(E196,[1]Arkusz1!$A$1:$B$9,2,FALSE)</f>
        <v>5</v>
      </c>
      <c r="J196" s="38">
        <f t="shared" si="7"/>
        <v>10</v>
      </c>
    </row>
    <row r="197" spans="1:10" x14ac:dyDescent="0.3">
      <c r="A197" s="37">
        <v>41584</v>
      </c>
      <c r="B197" s="27" t="s">
        <v>73</v>
      </c>
      <c r="C197" s="27" t="s">
        <v>6</v>
      </c>
      <c r="D197" s="27" t="s">
        <v>63</v>
      </c>
      <c r="E197" s="27" t="s">
        <v>38</v>
      </c>
      <c r="F197" s="27">
        <v>4</v>
      </c>
      <c r="G197" s="28">
        <f t="shared" si="6"/>
        <v>0.2</v>
      </c>
      <c r="H197" s="28">
        <f>VLOOKUP(E197,Arkusz3!$A$1:$B$9,2,FALSE)</f>
        <v>0.2</v>
      </c>
      <c r="I197" s="28">
        <f>VLOOKUP(E197,[1]Arkusz1!$A$1:$B$9,2,FALSE)</f>
        <v>0.2</v>
      </c>
      <c r="J197" s="38">
        <f t="shared" si="7"/>
        <v>0.8</v>
      </c>
    </row>
    <row r="198" spans="1:10" x14ac:dyDescent="0.3">
      <c r="A198" s="37">
        <v>41515</v>
      </c>
      <c r="B198" s="27" t="s">
        <v>58</v>
      </c>
      <c r="C198" s="27" t="s">
        <v>5</v>
      </c>
      <c r="D198" s="27" t="s">
        <v>59</v>
      </c>
      <c r="E198" s="27" t="s">
        <v>34</v>
      </c>
      <c r="F198" s="27">
        <v>15</v>
      </c>
      <c r="G198" s="28">
        <f t="shared" si="6"/>
        <v>2</v>
      </c>
      <c r="H198" s="28">
        <f>VLOOKUP(E198,Arkusz3!$A$1:$B$9,2,FALSE)</f>
        <v>2</v>
      </c>
      <c r="I198" s="28">
        <f>VLOOKUP(E198,[1]Arkusz1!$A$1:$B$9,2,FALSE)</f>
        <v>2</v>
      </c>
      <c r="J198" s="38">
        <f t="shared" si="7"/>
        <v>30</v>
      </c>
    </row>
    <row r="199" spans="1:10" x14ac:dyDescent="0.3">
      <c r="A199" s="37">
        <v>41594</v>
      </c>
      <c r="B199" s="27" t="s">
        <v>58</v>
      </c>
      <c r="C199" s="27" t="s">
        <v>6</v>
      </c>
      <c r="D199" s="27" t="s">
        <v>63</v>
      </c>
      <c r="E199" s="27" t="s">
        <v>35</v>
      </c>
      <c r="F199" s="27">
        <v>2</v>
      </c>
      <c r="G199" s="28">
        <f t="shared" si="6"/>
        <v>0.5</v>
      </c>
      <c r="H199" s="28">
        <f>VLOOKUP(E199,Arkusz3!$A$1:$B$9,2,FALSE)</f>
        <v>0.5</v>
      </c>
      <c r="I199" s="28">
        <f>VLOOKUP(E199,[1]Arkusz1!$A$1:$B$9,2,FALSE)</f>
        <v>0.5</v>
      </c>
      <c r="J199" s="38">
        <f t="shared" si="7"/>
        <v>1</v>
      </c>
    </row>
    <row r="200" spans="1:10" x14ac:dyDescent="0.3">
      <c r="A200" s="37">
        <v>41546</v>
      </c>
      <c r="B200" s="27" t="s">
        <v>73</v>
      </c>
      <c r="C200" s="27" t="s">
        <v>4</v>
      </c>
      <c r="D200" s="27" t="s">
        <v>66</v>
      </c>
      <c r="E200" s="27" t="s">
        <v>40</v>
      </c>
      <c r="F200" s="27">
        <v>9</v>
      </c>
      <c r="G200" s="28">
        <f t="shared" si="6"/>
        <v>1.5</v>
      </c>
      <c r="H200" s="28">
        <f>VLOOKUP(E200,Arkusz3!$A$1:$B$9,2,FALSE)</f>
        <v>1.5</v>
      </c>
      <c r="I200" s="28">
        <f>VLOOKUP(E200,[1]Arkusz1!$A$1:$B$9,2,FALSE)</f>
        <v>1.5</v>
      </c>
      <c r="J200" s="38">
        <f t="shared" si="7"/>
        <v>13.5</v>
      </c>
    </row>
    <row r="201" spans="1:10" x14ac:dyDescent="0.3">
      <c r="A201" s="37">
        <v>41555</v>
      </c>
      <c r="B201" s="27" t="s">
        <v>73</v>
      </c>
      <c r="C201" s="27" t="s">
        <v>7</v>
      </c>
      <c r="D201" s="27" t="s">
        <v>63</v>
      </c>
      <c r="E201" s="27" t="s">
        <v>38</v>
      </c>
      <c r="F201" s="27">
        <v>3</v>
      </c>
      <c r="G201" s="28">
        <f t="shared" si="6"/>
        <v>0.2</v>
      </c>
      <c r="H201" s="28">
        <f>VLOOKUP(E201,Arkusz3!$A$1:$B$9,2,FALSE)</f>
        <v>0.2</v>
      </c>
      <c r="I201" s="28">
        <f>VLOOKUP(E201,[1]Arkusz1!$A$1:$B$9,2,FALSE)</f>
        <v>0.2</v>
      </c>
      <c r="J201" s="38">
        <f t="shared" si="7"/>
        <v>0.60000000000000009</v>
      </c>
    </row>
    <row r="202" spans="1:10" x14ac:dyDescent="0.3">
      <c r="A202" s="37">
        <v>41547</v>
      </c>
      <c r="B202" s="27" t="s">
        <v>67</v>
      </c>
      <c r="C202" s="27" t="s">
        <v>3</v>
      </c>
      <c r="D202" s="27" t="s">
        <v>69</v>
      </c>
      <c r="E202" s="27" t="s">
        <v>36</v>
      </c>
      <c r="F202" s="27">
        <v>11</v>
      </c>
      <c r="G202" s="28">
        <f t="shared" si="6"/>
        <v>2.5</v>
      </c>
      <c r="H202" s="28">
        <f>VLOOKUP(E202,Arkusz3!$A$1:$B$9,2,FALSE)</f>
        <v>2.5</v>
      </c>
      <c r="I202" s="28">
        <f>VLOOKUP(E202,[1]Arkusz1!$A$1:$B$9,2,FALSE)</f>
        <v>2.5</v>
      </c>
      <c r="J202" s="38">
        <f t="shared" si="7"/>
        <v>27.5</v>
      </c>
    </row>
    <row r="203" spans="1:10" x14ac:dyDescent="0.3">
      <c r="A203" s="37">
        <v>41521</v>
      </c>
      <c r="B203" s="27" t="s">
        <v>58</v>
      </c>
      <c r="C203" s="27" t="s">
        <v>3</v>
      </c>
      <c r="D203" s="27" t="s">
        <v>74</v>
      </c>
      <c r="E203" s="27" t="s">
        <v>39</v>
      </c>
      <c r="F203" s="27">
        <v>7</v>
      </c>
      <c r="G203" s="28">
        <f t="shared" si="6"/>
        <v>0.1</v>
      </c>
      <c r="H203" s="28">
        <f>VLOOKUP(E203,Arkusz3!$A$1:$B$9,2,FALSE)</f>
        <v>0.1</v>
      </c>
      <c r="I203" s="28">
        <f>VLOOKUP(E203,[1]Arkusz1!$A$1:$B$9,2,FALSE)</f>
        <v>0.1</v>
      </c>
      <c r="J203" s="38">
        <f t="shared" si="7"/>
        <v>0.70000000000000007</v>
      </c>
    </row>
    <row r="204" spans="1:10" x14ac:dyDescent="0.3">
      <c r="A204" s="37">
        <v>41559</v>
      </c>
      <c r="B204" s="27" t="s">
        <v>71</v>
      </c>
      <c r="C204" s="27" t="s">
        <v>3</v>
      </c>
      <c r="D204" s="27" t="s">
        <v>68</v>
      </c>
      <c r="E204" s="27" t="s">
        <v>34</v>
      </c>
      <c r="F204" s="27">
        <v>4</v>
      </c>
      <c r="G204" s="28">
        <f t="shared" si="6"/>
        <v>2</v>
      </c>
      <c r="H204" s="28">
        <f>VLOOKUP(E204,Arkusz3!$A$1:$B$9,2,FALSE)</f>
        <v>2</v>
      </c>
      <c r="I204" s="28">
        <f>VLOOKUP(E204,[1]Arkusz1!$A$1:$B$9,2,FALSE)</f>
        <v>2</v>
      </c>
      <c r="J204" s="38">
        <f t="shared" si="7"/>
        <v>8</v>
      </c>
    </row>
    <row r="205" spans="1:10" x14ac:dyDescent="0.3">
      <c r="A205" s="37">
        <v>41443</v>
      </c>
      <c r="B205" s="27" t="s">
        <v>62</v>
      </c>
      <c r="C205" s="27" t="s">
        <v>7</v>
      </c>
      <c r="D205" s="27" t="s">
        <v>68</v>
      </c>
      <c r="E205" s="27" t="s">
        <v>37</v>
      </c>
      <c r="F205" s="27">
        <v>2</v>
      </c>
      <c r="G205" s="28">
        <f t="shared" si="6"/>
        <v>5</v>
      </c>
      <c r="H205" s="28">
        <f>VLOOKUP(E205,Arkusz3!$A$1:$B$9,2,FALSE)</f>
        <v>5</v>
      </c>
      <c r="I205" s="28">
        <f>VLOOKUP(E205,[1]Arkusz1!$A$1:$B$9,2,FALSE)</f>
        <v>5</v>
      </c>
      <c r="J205" s="38">
        <f t="shared" si="7"/>
        <v>10</v>
      </c>
    </row>
    <row r="206" spans="1:10" x14ac:dyDescent="0.3">
      <c r="A206" s="37">
        <v>41503</v>
      </c>
      <c r="B206" s="27" t="s">
        <v>75</v>
      </c>
      <c r="C206" s="27" t="s">
        <v>3</v>
      </c>
      <c r="D206" s="27" t="s">
        <v>65</v>
      </c>
      <c r="E206" s="27" t="s">
        <v>41</v>
      </c>
      <c r="F206" s="27">
        <v>19</v>
      </c>
      <c r="G206" s="28">
        <f t="shared" si="6"/>
        <v>4</v>
      </c>
      <c r="H206" s="28">
        <f>VLOOKUP(E206,Arkusz3!$A$1:$B$9,2,FALSE)</f>
        <v>4</v>
      </c>
      <c r="I206" s="28">
        <f>VLOOKUP(E206,[1]Arkusz1!$A$1:$B$9,2,FALSE)</f>
        <v>4</v>
      </c>
      <c r="J206" s="38">
        <f t="shared" si="7"/>
        <v>76</v>
      </c>
    </row>
    <row r="207" spans="1:10" x14ac:dyDescent="0.3">
      <c r="A207" s="37">
        <v>41473</v>
      </c>
      <c r="B207" s="27" t="s">
        <v>75</v>
      </c>
      <c r="C207" s="27" t="s">
        <v>5</v>
      </c>
      <c r="D207" s="27" t="s">
        <v>65</v>
      </c>
      <c r="E207" s="27" t="s">
        <v>37</v>
      </c>
      <c r="F207" s="27">
        <v>6</v>
      </c>
      <c r="G207" s="28">
        <f t="shared" si="6"/>
        <v>5</v>
      </c>
      <c r="H207" s="28">
        <f>VLOOKUP(E207,Arkusz3!$A$1:$B$9,2,FALSE)</f>
        <v>5</v>
      </c>
      <c r="I207" s="28">
        <f>VLOOKUP(E207,[1]Arkusz1!$A$1:$B$9,2,FALSE)</f>
        <v>5</v>
      </c>
      <c r="J207" s="38">
        <f t="shared" si="7"/>
        <v>30</v>
      </c>
    </row>
    <row r="208" spans="1:10" x14ac:dyDescent="0.3">
      <c r="A208" s="37">
        <v>41637</v>
      </c>
      <c r="B208" s="27" t="s">
        <v>67</v>
      </c>
      <c r="C208" s="27" t="s">
        <v>4</v>
      </c>
      <c r="D208" s="27" t="s">
        <v>61</v>
      </c>
      <c r="E208" s="27" t="s">
        <v>38</v>
      </c>
      <c r="F208" s="27">
        <v>19</v>
      </c>
      <c r="G208" s="28">
        <f t="shared" si="6"/>
        <v>0.2</v>
      </c>
      <c r="H208" s="28">
        <f>VLOOKUP(E208,Arkusz3!$A$1:$B$9,2,FALSE)</f>
        <v>0.2</v>
      </c>
      <c r="I208" s="28">
        <f>VLOOKUP(E208,[1]Arkusz1!$A$1:$B$9,2,FALSE)</f>
        <v>0.2</v>
      </c>
      <c r="J208" s="38">
        <f t="shared" si="7"/>
        <v>3.8000000000000003</v>
      </c>
    </row>
    <row r="209" spans="1:10" x14ac:dyDescent="0.3">
      <c r="A209" s="37">
        <v>41526</v>
      </c>
      <c r="B209" s="27" t="s">
        <v>75</v>
      </c>
      <c r="C209" s="27" t="s">
        <v>7</v>
      </c>
      <c r="D209" s="27" t="s">
        <v>59</v>
      </c>
      <c r="E209" s="27" t="s">
        <v>39</v>
      </c>
      <c r="F209" s="27">
        <v>18</v>
      </c>
      <c r="G209" s="28">
        <f t="shared" si="6"/>
        <v>0.1</v>
      </c>
      <c r="H209" s="28">
        <f>VLOOKUP(E209,Arkusz3!$A$1:$B$9,2,FALSE)</f>
        <v>0.1</v>
      </c>
      <c r="I209" s="28">
        <f>VLOOKUP(E209,[1]Arkusz1!$A$1:$B$9,2,FALSE)</f>
        <v>0.1</v>
      </c>
      <c r="J209" s="38">
        <f t="shared" si="7"/>
        <v>1.8</v>
      </c>
    </row>
    <row r="210" spans="1:10" x14ac:dyDescent="0.3">
      <c r="A210" s="37">
        <v>41477</v>
      </c>
      <c r="B210" s="27" t="s">
        <v>58</v>
      </c>
      <c r="C210" s="27" t="s">
        <v>7</v>
      </c>
      <c r="D210" s="27" t="s">
        <v>70</v>
      </c>
      <c r="E210" s="27" t="s">
        <v>41</v>
      </c>
      <c r="F210" s="27">
        <v>6</v>
      </c>
      <c r="G210" s="28">
        <f t="shared" si="6"/>
        <v>4</v>
      </c>
      <c r="H210" s="28">
        <f>VLOOKUP(E210,Arkusz3!$A$1:$B$9,2,FALSE)</f>
        <v>4</v>
      </c>
      <c r="I210" s="28">
        <f>VLOOKUP(E210,[1]Arkusz1!$A$1:$B$9,2,FALSE)</f>
        <v>4</v>
      </c>
      <c r="J210" s="38">
        <f t="shared" si="7"/>
        <v>24</v>
      </c>
    </row>
    <row r="211" spans="1:10" x14ac:dyDescent="0.3">
      <c r="A211" s="37">
        <v>41609</v>
      </c>
      <c r="B211" s="27" t="s">
        <v>62</v>
      </c>
      <c r="C211" s="27" t="s">
        <v>5</v>
      </c>
      <c r="D211" s="27" t="s">
        <v>72</v>
      </c>
      <c r="E211" s="27" t="s">
        <v>36</v>
      </c>
      <c r="F211" s="27">
        <v>16</v>
      </c>
      <c r="G211" s="28">
        <f t="shared" si="6"/>
        <v>2.5</v>
      </c>
      <c r="H211" s="28">
        <f>VLOOKUP(E211,Arkusz3!$A$1:$B$9,2,FALSE)</f>
        <v>2.5</v>
      </c>
      <c r="I211" s="28">
        <f>VLOOKUP(E211,[1]Arkusz1!$A$1:$B$9,2,FALSE)</f>
        <v>2.5</v>
      </c>
      <c r="J211" s="38">
        <f t="shared" si="7"/>
        <v>40</v>
      </c>
    </row>
    <row r="212" spans="1:10" x14ac:dyDescent="0.3">
      <c r="A212" s="37">
        <v>41479</v>
      </c>
      <c r="B212" s="27" t="s">
        <v>73</v>
      </c>
      <c r="C212" s="27" t="s">
        <v>3</v>
      </c>
      <c r="D212" s="27" t="s">
        <v>61</v>
      </c>
      <c r="E212" s="27" t="s">
        <v>39</v>
      </c>
      <c r="F212" s="27">
        <v>14</v>
      </c>
      <c r="G212" s="28">
        <f t="shared" si="6"/>
        <v>0.1</v>
      </c>
      <c r="H212" s="28">
        <f>VLOOKUP(E212,Arkusz3!$A$1:$B$9,2,FALSE)</f>
        <v>0.1</v>
      </c>
      <c r="I212" s="28">
        <f>VLOOKUP(E212,[1]Arkusz1!$A$1:$B$9,2,FALSE)</f>
        <v>0.1</v>
      </c>
      <c r="J212" s="38">
        <f t="shared" si="7"/>
        <v>1.4000000000000001</v>
      </c>
    </row>
    <row r="213" spans="1:10" x14ac:dyDescent="0.3">
      <c r="A213" s="37">
        <v>41499</v>
      </c>
      <c r="B213" s="27" t="s">
        <v>62</v>
      </c>
      <c r="C213" s="27" t="s">
        <v>7</v>
      </c>
      <c r="D213" s="27" t="s">
        <v>74</v>
      </c>
      <c r="E213" s="27" t="s">
        <v>36</v>
      </c>
      <c r="F213" s="27">
        <v>10</v>
      </c>
      <c r="G213" s="28">
        <f t="shared" si="6"/>
        <v>2.5</v>
      </c>
      <c r="H213" s="28">
        <f>VLOOKUP(E213,Arkusz3!$A$1:$B$9,2,FALSE)</f>
        <v>2.5</v>
      </c>
      <c r="I213" s="28">
        <f>VLOOKUP(E213,[1]Arkusz1!$A$1:$B$9,2,FALSE)</f>
        <v>2.5</v>
      </c>
      <c r="J213" s="38">
        <f t="shared" si="7"/>
        <v>25</v>
      </c>
    </row>
    <row r="214" spans="1:10" x14ac:dyDescent="0.3">
      <c r="A214" s="37">
        <v>41529</v>
      </c>
      <c r="B214" s="27" t="s">
        <v>71</v>
      </c>
      <c r="C214" s="27" t="s">
        <v>7</v>
      </c>
      <c r="D214" s="27" t="s">
        <v>65</v>
      </c>
      <c r="E214" s="27" t="s">
        <v>40</v>
      </c>
      <c r="F214" s="27">
        <v>5</v>
      </c>
      <c r="G214" s="28">
        <f t="shared" si="6"/>
        <v>1.5</v>
      </c>
      <c r="H214" s="28">
        <f>VLOOKUP(E214,Arkusz3!$A$1:$B$9,2,FALSE)</f>
        <v>1.5</v>
      </c>
      <c r="I214" s="28">
        <f>VLOOKUP(E214,[1]Arkusz1!$A$1:$B$9,2,FALSE)</f>
        <v>1.5</v>
      </c>
      <c r="J214" s="38">
        <f t="shared" si="7"/>
        <v>7.5</v>
      </c>
    </row>
    <row r="215" spans="1:10" x14ac:dyDescent="0.3">
      <c r="A215" s="37">
        <v>41452</v>
      </c>
      <c r="B215" s="27" t="s">
        <v>71</v>
      </c>
      <c r="C215" s="27" t="s">
        <v>6</v>
      </c>
      <c r="D215" s="27" t="s">
        <v>63</v>
      </c>
      <c r="E215" s="27" t="s">
        <v>35</v>
      </c>
      <c r="F215" s="27">
        <v>9</v>
      </c>
      <c r="G215" s="28">
        <f t="shared" si="6"/>
        <v>0.5</v>
      </c>
      <c r="H215" s="28">
        <f>VLOOKUP(E215,Arkusz3!$A$1:$B$9,2,FALSE)</f>
        <v>0.5</v>
      </c>
      <c r="I215" s="28">
        <f>VLOOKUP(E215,[1]Arkusz1!$A$1:$B$9,2,FALSE)</f>
        <v>0.5</v>
      </c>
      <c r="J215" s="38">
        <f t="shared" si="7"/>
        <v>4.5</v>
      </c>
    </row>
    <row r="216" spans="1:10" x14ac:dyDescent="0.3">
      <c r="A216" s="37">
        <v>41576</v>
      </c>
      <c r="B216" s="27" t="s">
        <v>73</v>
      </c>
      <c r="C216" s="27" t="s">
        <v>7</v>
      </c>
      <c r="D216" s="27" t="s">
        <v>64</v>
      </c>
      <c r="E216" s="27" t="s">
        <v>34</v>
      </c>
      <c r="F216" s="27">
        <v>2</v>
      </c>
      <c r="G216" s="28">
        <f t="shared" si="6"/>
        <v>2</v>
      </c>
      <c r="H216" s="28">
        <f>VLOOKUP(E216,Arkusz3!$A$1:$B$9,2,FALSE)</f>
        <v>2</v>
      </c>
      <c r="I216" s="28">
        <f>VLOOKUP(E216,[1]Arkusz1!$A$1:$B$9,2,FALSE)</f>
        <v>2</v>
      </c>
      <c r="J216" s="38">
        <f t="shared" si="7"/>
        <v>4</v>
      </c>
    </row>
    <row r="217" spans="1:10" x14ac:dyDescent="0.3">
      <c r="A217" s="37">
        <v>41459</v>
      </c>
      <c r="B217" s="27" t="s">
        <v>73</v>
      </c>
      <c r="C217" s="27" t="s">
        <v>4</v>
      </c>
      <c r="D217" s="27" t="s">
        <v>63</v>
      </c>
      <c r="E217" s="27" t="s">
        <v>35</v>
      </c>
      <c r="F217" s="27">
        <v>19</v>
      </c>
      <c r="G217" s="28">
        <f t="shared" si="6"/>
        <v>0.5</v>
      </c>
      <c r="H217" s="28">
        <f>VLOOKUP(E217,Arkusz3!$A$1:$B$9,2,FALSE)</f>
        <v>0.5</v>
      </c>
      <c r="I217" s="28">
        <f>VLOOKUP(E217,[1]Arkusz1!$A$1:$B$9,2,FALSE)</f>
        <v>0.5</v>
      </c>
      <c r="J217" s="38">
        <f t="shared" si="7"/>
        <v>9.5</v>
      </c>
    </row>
    <row r="218" spans="1:10" x14ac:dyDescent="0.3">
      <c r="A218" s="37">
        <v>41577</v>
      </c>
      <c r="B218" s="27" t="s">
        <v>67</v>
      </c>
      <c r="C218" s="27" t="s">
        <v>6</v>
      </c>
      <c r="D218" s="27" t="s">
        <v>70</v>
      </c>
      <c r="E218" s="27" t="s">
        <v>39</v>
      </c>
      <c r="F218" s="27">
        <v>10</v>
      </c>
      <c r="G218" s="28">
        <f t="shared" si="6"/>
        <v>0.1</v>
      </c>
      <c r="H218" s="28">
        <f>VLOOKUP(E218,Arkusz3!$A$1:$B$9,2,FALSE)</f>
        <v>0.1</v>
      </c>
      <c r="I218" s="28">
        <f>VLOOKUP(E218,[1]Arkusz1!$A$1:$B$9,2,FALSE)</f>
        <v>0.1</v>
      </c>
      <c r="J218" s="38">
        <f t="shared" si="7"/>
        <v>1</v>
      </c>
    </row>
    <row r="219" spans="1:10" x14ac:dyDescent="0.3">
      <c r="A219" s="37">
        <v>41469</v>
      </c>
      <c r="B219" s="27" t="s">
        <v>58</v>
      </c>
      <c r="C219" s="27" t="s">
        <v>7</v>
      </c>
      <c r="D219" s="27" t="s">
        <v>66</v>
      </c>
      <c r="E219" s="27" t="s">
        <v>34</v>
      </c>
      <c r="F219" s="27">
        <v>7</v>
      </c>
      <c r="G219" s="28">
        <f t="shared" si="6"/>
        <v>2</v>
      </c>
      <c r="H219" s="28">
        <f>VLOOKUP(E219,Arkusz3!$A$1:$B$9,2,FALSE)</f>
        <v>2</v>
      </c>
      <c r="I219" s="28">
        <f>VLOOKUP(E219,[1]Arkusz1!$A$1:$B$9,2,FALSE)</f>
        <v>2</v>
      </c>
      <c r="J219" s="38">
        <f t="shared" si="7"/>
        <v>14</v>
      </c>
    </row>
    <row r="220" spans="1:10" x14ac:dyDescent="0.3">
      <c r="A220" s="37">
        <v>41436</v>
      </c>
      <c r="B220" s="27" t="s">
        <v>67</v>
      </c>
      <c r="C220" s="27" t="s">
        <v>7</v>
      </c>
      <c r="D220" s="27" t="s">
        <v>66</v>
      </c>
      <c r="E220" s="27" t="s">
        <v>39</v>
      </c>
      <c r="F220" s="27">
        <v>10</v>
      </c>
      <c r="G220" s="28">
        <f t="shared" si="6"/>
        <v>0.1</v>
      </c>
      <c r="H220" s="28">
        <f>VLOOKUP(E220,Arkusz3!$A$1:$B$9,2,FALSE)</f>
        <v>0.1</v>
      </c>
      <c r="I220" s="28">
        <f>VLOOKUP(E220,[1]Arkusz1!$A$1:$B$9,2,FALSE)</f>
        <v>0.1</v>
      </c>
      <c r="J220" s="38">
        <f t="shared" si="7"/>
        <v>1</v>
      </c>
    </row>
    <row r="221" spans="1:10" x14ac:dyDescent="0.3">
      <c r="A221" s="37">
        <v>41603</v>
      </c>
      <c r="B221" s="27" t="s">
        <v>67</v>
      </c>
      <c r="C221" s="27" t="s">
        <v>4</v>
      </c>
      <c r="D221" s="27" t="s">
        <v>69</v>
      </c>
      <c r="E221" s="27" t="s">
        <v>40</v>
      </c>
      <c r="F221" s="27">
        <v>3</v>
      </c>
      <c r="G221" s="28">
        <f t="shared" si="6"/>
        <v>1.5</v>
      </c>
      <c r="H221" s="28">
        <f>VLOOKUP(E221,Arkusz3!$A$1:$B$9,2,FALSE)</f>
        <v>1.5</v>
      </c>
      <c r="I221" s="28">
        <f>VLOOKUP(E221,[1]Arkusz1!$A$1:$B$9,2,FALSE)</f>
        <v>1.5</v>
      </c>
      <c r="J221" s="38">
        <f t="shared" si="7"/>
        <v>4.5</v>
      </c>
    </row>
    <row r="222" spans="1:10" x14ac:dyDescent="0.3">
      <c r="A222" s="37">
        <v>41552</v>
      </c>
      <c r="B222" s="27" t="s">
        <v>73</v>
      </c>
      <c r="C222" s="27" t="s">
        <v>5</v>
      </c>
      <c r="D222" s="27" t="s">
        <v>61</v>
      </c>
      <c r="E222" s="27" t="s">
        <v>41</v>
      </c>
      <c r="F222" s="27">
        <v>3</v>
      </c>
      <c r="G222" s="28">
        <f t="shared" si="6"/>
        <v>4</v>
      </c>
      <c r="H222" s="28">
        <f>VLOOKUP(E222,Arkusz3!$A$1:$B$9,2,FALSE)</f>
        <v>4</v>
      </c>
      <c r="I222" s="28">
        <f>VLOOKUP(E222,[1]Arkusz1!$A$1:$B$9,2,FALSE)</f>
        <v>4</v>
      </c>
      <c r="J222" s="38">
        <f t="shared" si="7"/>
        <v>12</v>
      </c>
    </row>
    <row r="223" spans="1:10" x14ac:dyDescent="0.3">
      <c r="A223" s="37">
        <v>41544</v>
      </c>
      <c r="B223" s="27" t="s">
        <v>71</v>
      </c>
      <c r="C223" s="27" t="s">
        <v>6</v>
      </c>
      <c r="D223" s="27" t="s">
        <v>72</v>
      </c>
      <c r="E223" s="27" t="s">
        <v>40</v>
      </c>
      <c r="F223" s="27">
        <v>12</v>
      </c>
      <c r="G223" s="28">
        <f t="shared" si="6"/>
        <v>1.5</v>
      </c>
      <c r="H223" s="28">
        <f>VLOOKUP(E223,Arkusz3!$A$1:$B$9,2,FALSE)</f>
        <v>1.5</v>
      </c>
      <c r="I223" s="28">
        <f>VLOOKUP(E223,[1]Arkusz1!$A$1:$B$9,2,FALSE)</f>
        <v>1.5</v>
      </c>
      <c r="J223" s="38">
        <f t="shared" si="7"/>
        <v>18</v>
      </c>
    </row>
    <row r="224" spans="1:10" x14ac:dyDescent="0.3">
      <c r="A224" s="37">
        <v>41453</v>
      </c>
      <c r="B224" s="27" t="s">
        <v>62</v>
      </c>
      <c r="C224" s="27" t="s">
        <v>3</v>
      </c>
      <c r="D224" s="27" t="s">
        <v>72</v>
      </c>
      <c r="E224" s="27" t="s">
        <v>36</v>
      </c>
      <c r="F224" s="27">
        <v>8</v>
      </c>
      <c r="G224" s="28">
        <f t="shared" si="6"/>
        <v>2.5</v>
      </c>
      <c r="H224" s="28">
        <f>VLOOKUP(E224,Arkusz3!$A$1:$B$9,2,FALSE)</f>
        <v>2.5</v>
      </c>
      <c r="I224" s="28">
        <f>VLOOKUP(E224,[1]Arkusz1!$A$1:$B$9,2,FALSE)</f>
        <v>2.5</v>
      </c>
      <c r="J224" s="38">
        <f t="shared" si="7"/>
        <v>20</v>
      </c>
    </row>
    <row r="225" spans="1:10" x14ac:dyDescent="0.3">
      <c r="A225" s="37">
        <v>41537</v>
      </c>
      <c r="B225" s="27" t="s">
        <v>62</v>
      </c>
      <c r="C225" s="27" t="s">
        <v>4</v>
      </c>
      <c r="D225" s="27" t="s">
        <v>65</v>
      </c>
      <c r="E225" s="27" t="s">
        <v>39</v>
      </c>
      <c r="F225" s="27">
        <v>8</v>
      </c>
      <c r="G225" s="28">
        <f t="shared" si="6"/>
        <v>0.1</v>
      </c>
      <c r="H225" s="28">
        <f>VLOOKUP(E225,Arkusz3!$A$1:$B$9,2,FALSE)</f>
        <v>0.1</v>
      </c>
      <c r="I225" s="28">
        <f>VLOOKUP(E225,[1]Arkusz1!$A$1:$B$9,2,FALSE)</f>
        <v>0.1</v>
      </c>
      <c r="J225" s="38">
        <f t="shared" si="7"/>
        <v>0.8</v>
      </c>
    </row>
    <row r="226" spans="1:10" x14ac:dyDescent="0.3">
      <c r="A226" s="37">
        <v>41528</v>
      </c>
      <c r="B226" s="27" t="s">
        <v>58</v>
      </c>
      <c r="C226" s="27" t="s">
        <v>6</v>
      </c>
      <c r="D226" s="27" t="s">
        <v>65</v>
      </c>
      <c r="E226" s="27" t="s">
        <v>36</v>
      </c>
      <c r="F226" s="27">
        <v>19</v>
      </c>
      <c r="G226" s="28">
        <f t="shared" si="6"/>
        <v>2.5</v>
      </c>
      <c r="H226" s="28">
        <f>VLOOKUP(E226,Arkusz3!$A$1:$B$9,2,FALSE)</f>
        <v>2.5</v>
      </c>
      <c r="I226" s="28">
        <f>VLOOKUP(E226,[1]Arkusz1!$A$1:$B$9,2,FALSE)</f>
        <v>2.5</v>
      </c>
      <c r="J226" s="38">
        <f t="shared" si="7"/>
        <v>47.5</v>
      </c>
    </row>
    <row r="227" spans="1:10" x14ac:dyDescent="0.3">
      <c r="A227" s="37">
        <v>41618</v>
      </c>
      <c r="B227" s="27" t="s">
        <v>62</v>
      </c>
      <c r="C227" s="27" t="s">
        <v>3</v>
      </c>
      <c r="D227" s="27" t="s">
        <v>70</v>
      </c>
      <c r="E227" s="27" t="s">
        <v>39</v>
      </c>
      <c r="F227" s="27">
        <v>3</v>
      </c>
      <c r="G227" s="28">
        <f t="shared" si="6"/>
        <v>0.1</v>
      </c>
      <c r="H227" s="28">
        <f>VLOOKUP(E227,Arkusz3!$A$1:$B$9,2,FALSE)</f>
        <v>0.1</v>
      </c>
      <c r="I227" s="28">
        <f>VLOOKUP(E227,[1]Arkusz1!$A$1:$B$9,2,FALSE)</f>
        <v>0.1</v>
      </c>
      <c r="J227" s="38">
        <f t="shared" si="7"/>
        <v>0.30000000000000004</v>
      </c>
    </row>
    <row r="228" spans="1:10" x14ac:dyDescent="0.3">
      <c r="A228" s="37">
        <v>41561</v>
      </c>
      <c r="B228" s="27" t="s">
        <v>71</v>
      </c>
      <c r="C228" s="27" t="s">
        <v>5</v>
      </c>
      <c r="D228" s="27" t="s">
        <v>69</v>
      </c>
      <c r="E228" s="27" t="s">
        <v>34</v>
      </c>
      <c r="F228" s="27">
        <v>9</v>
      </c>
      <c r="G228" s="28">
        <f t="shared" si="6"/>
        <v>2</v>
      </c>
      <c r="H228" s="28">
        <f>VLOOKUP(E228,Arkusz3!$A$1:$B$9,2,FALSE)</f>
        <v>2</v>
      </c>
      <c r="I228" s="28">
        <f>VLOOKUP(E228,[1]Arkusz1!$A$1:$B$9,2,FALSE)</f>
        <v>2</v>
      </c>
      <c r="J228" s="38">
        <f t="shared" si="7"/>
        <v>18</v>
      </c>
    </row>
    <row r="229" spans="1:10" x14ac:dyDescent="0.3">
      <c r="A229" s="37">
        <v>41553</v>
      </c>
      <c r="B229" s="27" t="s">
        <v>67</v>
      </c>
      <c r="C229" s="27" t="s">
        <v>4</v>
      </c>
      <c r="D229" s="27" t="s">
        <v>63</v>
      </c>
      <c r="E229" s="27" t="s">
        <v>39</v>
      </c>
      <c r="F229" s="27">
        <v>5</v>
      </c>
      <c r="G229" s="28">
        <f t="shared" si="6"/>
        <v>0.1</v>
      </c>
      <c r="H229" s="28">
        <f>VLOOKUP(E229,Arkusz3!$A$1:$B$9,2,FALSE)</f>
        <v>0.1</v>
      </c>
      <c r="I229" s="28">
        <f>VLOOKUP(E229,[1]Arkusz1!$A$1:$B$9,2,FALSE)</f>
        <v>0.1</v>
      </c>
      <c r="J229" s="38">
        <f t="shared" si="7"/>
        <v>0.5</v>
      </c>
    </row>
    <row r="230" spans="1:10" x14ac:dyDescent="0.3">
      <c r="A230" s="37">
        <v>41637</v>
      </c>
      <c r="B230" s="27" t="s">
        <v>73</v>
      </c>
      <c r="C230" s="27" t="s">
        <v>7</v>
      </c>
      <c r="D230" s="27" t="s">
        <v>60</v>
      </c>
      <c r="E230" s="27" t="s">
        <v>37</v>
      </c>
      <c r="F230" s="27">
        <v>8</v>
      </c>
      <c r="G230" s="28">
        <f t="shared" si="6"/>
        <v>5</v>
      </c>
      <c r="H230" s="28">
        <f>VLOOKUP(E230,Arkusz3!$A$1:$B$9,2,FALSE)</f>
        <v>5</v>
      </c>
      <c r="I230" s="28">
        <f>VLOOKUP(E230,[1]Arkusz1!$A$1:$B$9,2,FALSE)</f>
        <v>5</v>
      </c>
      <c r="J230" s="38">
        <f t="shared" si="7"/>
        <v>40</v>
      </c>
    </row>
    <row r="231" spans="1:10" x14ac:dyDescent="0.3">
      <c r="A231" s="37">
        <v>41457</v>
      </c>
      <c r="B231" s="27" t="s">
        <v>73</v>
      </c>
      <c r="C231" s="27" t="s">
        <v>7</v>
      </c>
      <c r="D231" s="27" t="s">
        <v>65</v>
      </c>
      <c r="E231" s="27" t="s">
        <v>37</v>
      </c>
      <c r="F231" s="27">
        <v>19</v>
      </c>
      <c r="G231" s="28">
        <f t="shared" si="6"/>
        <v>5</v>
      </c>
      <c r="H231" s="28">
        <f>VLOOKUP(E231,Arkusz3!$A$1:$B$9,2,FALSE)</f>
        <v>5</v>
      </c>
      <c r="I231" s="28">
        <f>VLOOKUP(E231,[1]Arkusz1!$A$1:$B$9,2,FALSE)</f>
        <v>5</v>
      </c>
      <c r="J231" s="38">
        <f t="shared" si="7"/>
        <v>95</v>
      </c>
    </row>
    <row r="232" spans="1:10" x14ac:dyDescent="0.3">
      <c r="A232" s="37">
        <v>41521</v>
      </c>
      <c r="B232" s="27" t="s">
        <v>58</v>
      </c>
      <c r="C232" s="27" t="s">
        <v>5</v>
      </c>
      <c r="D232" s="27" t="s">
        <v>60</v>
      </c>
      <c r="E232" s="27" t="s">
        <v>34</v>
      </c>
      <c r="F232" s="27">
        <v>11</v>
      </c>
      <c r="G232" s="28">
        <f t="shared" si="6"/>
        <v>2</v>
      </c>
      <c r="H232" s="28">
        <f>VLOOKUP(E232,Arkusz3!$A$1:$B$9,2,FALSE)</f>
        <v>2</v>
      </c>
      <c r="I232" s="28">
        <f>VLOOKUP(E232,[1]Arkusz1!$A$1:$B$9,2,FALSE)</f>
        <v>2</v>
      </c>
      <c r="J232" s="38">
        <f t="shared" si="7"/>
        <v>22</v>
      </c>
    </row>
    <row r="233" spans="1:10" x14ac:dyDescent="0.3">
      <c r="A233" s="37">
        <v>41601</v>
      </c>
      <c r="B233" s="27" t="s">
        <v>58</v>
      </c>
      <c r="C233" s="27" t="s">
        <v>4</v>
      </c>
      <c r="D233" s="27" t="s">
        <v>65</v>
      </c>
      <c r="E233" s="27" t="s">
        <v>35</v>
      </c>
      <c r="F233" s="27">
        <v>2</v>
      </c>
      <c r="G233" s="28">
        <f t="shared" si="6"/>
        <v>0.5</v>
      </c>
      <c r="H233" s="28">
        <f>VLOOKUP(E233,Arkusz3!$A$1:$B$9,2,FALSE)</f>
        <v>0.5</v>
      </c>
      <c r="I233" s="28">
        <f>VLOOKUP(E233,[1]Arkusz1!$A$1:$B$9,2,FALSE)</f>
        <v>0.5</v>
      </c>
      <c r="J233" s="38">
        <f t="shared" si="7"/>
        <v>1</v>
      </c>
    </row>
    <row r="234" spans="1:10" x14ac:dyDescent="0.3">
      <c r="A234" s="37">
        <v>41600</v>
      </c>
      <c r="B234" s="27" t="s">
        <v>62</v>
      </c>
      <c r="C234" s="27" t="s">
        <v>5</v>
      </c>
      <c r="D234" s="27" t="s">
        <v>66</v>
      </c>
      <c r="E234" s="27" t="s">
        <v>39</v>
      </c>
      <c r="F234" s="27">
        <v>7</v>
      </c>
      <c r="G234" s="28">
        <f t="shared" si="6"/>
        <v>0.1</v>
      </c>
      <c r="H234" s="28">
        <f>VLOOKUP(E234,Arkusz3!$A$1:$B$9,2,FALSE)</f>
        <v>0.1</v>
      </c>
      <c r="I234" s="28">
        <f>VLOOKUP(E234,[1]Arkusz1!$A$1:$B$9,2,FALSE)</f>
        <v>0.1</v>
      </c>
      <c r="J234" s="38">
        <f t="shared" si="7"/>
        <v>0.70000000000000007</v>
      </c>
    </row>
    <row r="235" spans="1:10" x14ac:dyDescent="0.3">
      <c r="A235" s="37">
        <v>41534</v>
      </c>
      <c r="B235" s="27" t="s">
        <v>62</v>
      </c>
      <c r="C235" s="27" t="s">
        <v>5</v>
      </c>
      <c r="D235" s="27" t="s">
        <v>74</v>
      </c>
      <c r="E235" s="27" t="s">
        <v>41</v>
      </c>
      <c r="F235" s="27">
        <v>5</v>
      </c>
      <c r="G235" s="28">
        <f t="shared" si="6"/>
        <v>4</v>
      </c>
      <c r="H235" s="28">
        <f>VLOOKUP(E235,Arkusz3!$A$1:$B$9,2,FALSE)</f>
        <v>4</v>
      </c>
      <c r="I235" s="28">
        <f>VLOOKUP(E235,[1]Arkusz1!$A$1:$B$9,2,FALSE)</f>
        <v>4</v>
      </c>
      <c r="J235" s="38">
        <f t="shared" si="7"/>
        <v>20</v>
      </c>
    </row>
    <row r="236" spans="1:10" x14ac:dyDescent="0.3">
      <c r="A236" s="37">
        <v>41433</v>
      </c>
      <c r="B236" s="27" t="s">
        <v>67</v>
      </c>
      <c r="C236" s="27" t="s">
        <v>4</v>
      </c>
      <c r="D236" s="27" t="s">
        <v>72</v>
      </c>
      <c r="E236" s="27" t="s">
        <v>39</v>
      </c>
      <c r="F236" s="27">
        <v>1</v>
      </c>
      <c r="G236" s="28">
        <f t="shared" si="6"/>
        <v>0.1</v>
      </c>
      <c r="H236" s="28">
        <f>VLOOKUP(E236,Arkusz3!$A$1:$B$9,2,FALSE)</f>
        <v>0.1</v>
      </c>
      <c r="I236" s="28">
        <f>VLOOKUP(E236,[1]Arkusz1!$A$1:$B$9,2,FALSE)</f>
        <v>0.1</v>
      </c>
      <c r="J236" s="38">
        <f t="shared" si="7"/>
        <v>0.1</v>
      </c>
    </row>
    <row r="237" spans="1:10" x14ac:dyDescent="0.3">
      <c r="A237" s="37">
        <v>41569</v>
      </c>
      <c r="B237" s="27" t="s">
        <v>67</v>
      </c>
      <c r="C237" s="27" t="s">
        <v>7</v>
      </c>
      <c r="D237" s="27" t="s">
        <v>66</v>
      </c>
      <c r="E237" s="27" t="s">
        <v>36</v>
      </c>
      <c r="F237" s="27">
        <v>17</v>
      </c>
      <c r="G237" s="28">
        <f t="shared" si="6"/>
        <v>2.5</v>
      </c>
      <c r="H237" s="28">
        <f>VLOOKUP(E237,Arkusz3!$A$1:$B$9,2,FALSE)</f>
        <v>2.5</v>
      </c>
      <c r="I237" s="28">
        <f>VLOOKUP(E237,[1]Arkusz1!$A$1:$B$9,2,FALSE)</f>
        <v>2.5</v>
      </c>
      <c r="J237" s="38">
        <f t="shared" si="7"/>
        <v>42.5</v>
      </c>
    </row>
    <row r="238" spans="1:10" x14ac:dyDescent="0.3">
      <c r="A238" s="37">
        <v>41573</v>
      </c>
      <c r="B238" s="27" t="s">
        <v>58</v>
      </c>
      <c r="C238" s="27" t="s">
        <v>7</v>
      </c>
      <c r="D238" s="27" t="s">
        <v>70</v>
      </c>
      <c r="E238" s="27" t="s">
        <v>40</v>
      </c>
      <c r="F238" s="27">
        <v>13</v>
      </c>
      <c r="G238" s="28">
        <f t="shared" si="6"/>
        <v>1.5</v>
      </c>
      <c r="H238" s="28">
        <f>VLOOKUP(E238,Arkusz3!$A$1:$B$9,2,FALSE)</f>
        <v>1.5</v>
      </c>
      <c r="I238" s="28">
        <f>VLOOKUP(E238,[1]Arkusz1!$A$1:$B$9,2,FALSE)</f>
        <v>1.5</v>
      </c>
      <c r="J238" s="38">
        <f t="shared" si="7"/>
        <v>19.5</v>
      </c>
    </row>
    <row r="239" spans="1:10" x14ac:dyDescent="0.3">
      <c r="A239" s="37">
        <v>41458</v>
      </c>
      <c r="B239" s="27" t="s">
        <v>58</v>
      </c>
      <c r="C239" s="27" t="s">
        <v>7</v>
      </c>
      <c r="D239" s="27" t="s">
        <v>61</v>
      </c>
      <c r="E239" s="27" t="s">
        <v>38</v>
      </c>
      <c r="F239" s="27">
        <v>7</v>
      </c>
      <c r="G239" s="28">
        <f t="shared" si="6"/>
        <v>0.2</v>
      </c>
      <c r="H239" s="28">
        <f>VLOOKUP(E239,Arkusz3!$A$1:$B$9,2,FALSE)</f>
        <v>0.2</v>
      </c>
      <c r="I239" s="28">
        <f>VLOOKUP(E239,[1]Arkusz1!$A$1:$B$9,2,FALSE)</f>
        <v>0.2</v>
      </c>
      <c r="J239" s="38">
        <f t="shared" si="7"/>
        <v>1.4000000000000001</v>
      </c>
    </row>
    <row r="240" spans="1:10" x14ac:dyDescent="0.3">
      <c r="A240" s="37">
        <v>41569</v>
      </c>
      <c r="B240" s="27" t="s">
        <v>62</v>
      </c>
      <c r="C240" s="27" t="s">
        <v>5</v>
      </c>
      <c r="D240" s="27" t="s">
        <v>61</v>
      </c>
      <c r="E240" s="27" t="s">
        <v>38</v>
      </c>
      <c r="F240" s="27">
        <v>4</v>
      </c>
      <c r="G240" s="28">
        <f t="shared" si="6"/>
        <v>0.2</v>
      </c>
      <c r="H240" s="28">
        <f>VLOOKUP(E240,Arkusz3!$A$1:$B$9,2,FALSE)</f>
        <v>0.2</v>
      </c>
      <c r="I240" s="28">
        <f>VLOOKUP(E240,[1]Arkusz1!$A$1:$B$9,2,FALSE)</f>
        <v>0.2</v>
      </c>
      <c r="J240" s="38">
        <f t="shared" si="7"/>
        <v>0.8</v>
      </c>
    </row>
    <row r="241" spans="1:10" x14ac:dyDescent="0.3">
      <c r="A241" s="37">
        <v>41430</v>
      </c>
      <c r="B241" s="27" t="s">
        <v>58</v>
      </c>
      <c r="C241" s="27" t="s">
        <v>4</v>
      </c>
      <c r="D241" s="27" t="s">
        <v>60</v>
      </c>
      <c r="E241" s="27" t="s">
        <v>38</v>
      </c>
      <c r="F241" s="27">
        <v>4</v>
      </c>
      <c r="G241" s="28">
        <f t="shared" si="6"/>
        <v>0.2</v>
      </c>
      <c r="H241" s="28">
        <f>VLOOKUP(E241,Arkusz3!$A$1:$B$9,2,FALSE)</f>
        <v>0.2</v>
      </c>
      <c r="I241" s="28">
        <f>VLOOKUP(E241,[1]Arkusz1!$A$1:$B$9,2,FALSE)</f>
        <v>0.2</v>
      </c>
      <c r="J241" s="38">
        <f t="shared" si="7"/>
        <v>0.8</v>
      </c>
    </row>
    <row r="242" spans="1:10" x14ac:dyDescent="0.3">
      <c r="A242" s="37">
        <v>41578</v>
      </c>
      <c r="B242" s="27" t="s">
        <v>62</v>
      </c>
      <c r="C242" s="27" t="s">
        <v>4</v>
      </c>
      <c r="D242" s="27" t="s">
        <v>68</v>
      </c>
      <c r="E242" s="27" t="s">
        <v>41</v>
      </c>
      <c r="F242" s="27">
        <v>16</v>
      </c>
      <c r="G242" s="28">
        <f t="shared" si="6"/>
        <v>4</v>
      </c>
      <c r="H242" s="28">
        <f>VLOOKUP(E242,Arkusz3!$A$1:$B$9,2,FALSE)</f>
        <v>4</v>
      </c>
      <c r="I242" s="28">
        <f>VLOOKUP(E242,[1]Arkusz1!$A$1:$B$9,2,FALSE)</f>
        <v>4</v>
      </c>
      <c r="J242" s="38">
        <f t="shared" si="7"/>
        <v>64</v>
      </c>
    </row>
    <row r="243" spans="1:10" x14ac:dyDescent="0.3">
      <c r="A243" s="37">
        <v>41507</v>
      </c>
      <c r="B243" s="27" t="s">
        <v>62</v>
      </c>
      <c r="C243" s="27" t="s">
        <v>3</v>
      </c>
      <c r="D243" s="27" t="s">
        <v>74</v>
      </c>
      <c r="E243" s="27" t="s">
        <v>35</v>
      </c>
      <c r="F243" s="27">
        <v>15</v>
      </c>
      <c r="G243" s="28">
        <f t="shared" si="6"/>
        <v>0.5</v>
      </c>
      <c r="H243" s="28">
        <f>VLOOKUP(E243,Arkusz3!$A$1:$B$9,2,FALSE)</f>
        <v>0.5</v>
      </c>
      <c r="I243" s="28">
        <f>VLOOKUP(E243,[1]Arkusz1!$A$1:$B$9,2,FALSE)</f>
        <v>0.5</v>
      </c>
      <c r="J243" s="38">
        <f t="shared" si="7"/>
        <v>7.5</v>
      </c>
    </row>
    <row r="244" spans="1:10" x14ac:dyDescent="0.3">
      <c r="A244" s="37">
        <v>41584</v>
      </c>
      <c r="B244" s="27" t="s">
        <v>62</v>
      </c>
      <c r="C244" s="27" t="s">
        <v>4</v>
      </c>
      <c r="D244" s="27" t="s">
        <v>65</v>
      </c>
      <c r="E244" s="27" t="s">
        <v>36</v>
      </c>
      <c r="F244" s="27">
        <v>6</v>
      </c>
      <c r="G244" s="28">
        <f t="shared" si="6"/>
        <v>2.5</v>
      </c>
      <c r="H244" s="28">
        <f>VLOOKUP(E244,Arkusz3!$A$1:$B$9,2,FALSE)</f>
        <v>2.5</v>
      </c>
      <c r="I244" s="28">
        <f>VLOOKUP(E244,[1]Arkusz1!$A$1:$B$9,2,FALSE)</f>
        <v>2.5</v>
      </c>
      <c r="J244" s="38">
        <f t="shared" si="7"/>
        <v>15</v>
      </c>
    </row>
    <row r="245" spans="1:10" x14ac:dyDescent="0.3">
      <c r="A245" s="37">
        <v>41440</v>
      </c>
      <c r="B245" s="27" t="s">
        <v>58</v>
      </c>
      <c r="C245" s="27" t="s">
        <v>7</v>
      </c>
      <c r="D245" s="27" t="s">
        <v>72</v>
      </c>
      <c r="E245" s="27" t="s">
        <v>35</v>
      </c>
      <c r="F245" s="27">
        <v>2</v>
      </c>
      <c r="G245" s="28">
        <f t="shared" si="6"/>
        <v>0.5</v>
      </c>
      <c r="H245" s="28">
        <f>VLOOKUP(E245,Arkusz3!$A$1:$B$9,2,FALSE)</f>
        <v>0.5</v>
      </c>
      <c r="I245" s="28">
        <f>VLOOKUP(E245,[1]Arkusz1!$A$1:$B$9,2,FALSE)</f>
        <v>0.5</v>
      </c>
      <c r="J245" s="38">
        <f t="shared" si="7"/>
        <v>1</v>
      </c>
    </row>
    <row r="246" spans="1:10" x14ac:dyDescent="0.3">
      <c r="A246" s="37">
        <v>41522</v>
      </c>
      <c r="B246" s="27" t="s">
        <v>67</v>
      </c>
      <c r="C246" s="27" t="s">
        <v>6</v>
      </c>
      <c r="D246" s="27" t="s">
        <v>60</v>
      </c>
      <c r="E246" s="27" t="s">
        <v>36</v>
      </c>
      <c r="F246" s="27">
        <v>5</v>
      </c>
      <c r="G246" s="28">
        <f t="shared" si="6"/>
        <v>2.5</v>
      </c>
      <c r="H246" s="28">
        <f>VLOOKUP(E246,Arkusz3!$A$1:$B$9,2,FALSE)</f>
        <v>2.5</v>
      </c>
      <c r="I246" s="28">
        <f>VLOOKUP(E246,[1]Arkusz1!$A$1:$B$9,2,FALSE)</f>
        <v>2.5</v>
      </c>
      <c r="J246" s="38">
        <f t="shared" si="7"/>
        <v>12.5</v>
      </c>
    </row>
    <row r="247" spans="1:10" x14ac:dyDescent="0.3">
      <c r="A247" s="37">
        <v>41426</v>
      </c>
      <c r="B247" s="27" t="s">
        <v>71</v>
      </c>
      <c r="C247" s="27" t="s">
        <v>5</v>
      </c>
      <c r="D247" s="27" t="s">
        <v>66</v>
      </c>
      <c r="E247" s="27" t="s">
        <v>41</v>
      </c>
      <c r="F247" s="27">
        <v>18</v>
      </c>
      <c r="G247" s="28">
        <f t="shared" si="6"/>
        <v>4</v>
      </c>
      <c r="H247" s="28">
        <f>VLOOKUP(E247,Arkusz3!$A$1:$B$9,2,FALSE)</f>
        <v>4</v>
      </c>
      <c r="I247" s="28">
        <f>VLOOKUP(E247,[1]Arkusz1!$A$1:$B$9,2,FALSE)</f>
        <v>4</v>
      </c>
      <c r="J247" s="38">
        <f t="shared" si="7"/>
        <v>72</v>
      </c>
    </row>
    <row r="248" spans="1:10" x14ac:dyDescent="0.3">
      <c r="A248" s="37">
        <v>41560</v>
      </c>
      <c r="B248" s="27" t="s">
        <v>71</v>
      </c>
      <c r="C248" s="27" t="s">
        <v>7</v>
      </c>
      <c r="D248" s="27" t="s">
        <v>64</v>
      </c>
      <c r="E248" s="27" t="s">
        <v>41</v>
      </c>
      <c r="F248" s="27">
        <v>19</v>
      </c>
      <c r="G248" s="28">
        <f t="shared" si="6"/>
        <v>4</v>
      </c>
      <c r="H248" s="28">
        <f>VLOOKUP(E248,Arkusz3!$A$1:$B$9,2,FALSE)</f>
        <v>4</v>
      </c>
      <c r="I248" s="28">
        <f>VLOOKUP(E248,[1]Arkusz1!$A$1:$B$9,2,FALSE)</f>
        <v>4</v>
      </c>
      <c r="J248" s="38">
        <f t="shared" si="7"/>
        <v>76</v>
      </c>
    </row>
    <row r="249" spans="1:10" x14ac:dyDescent="0.3">
      <c r="A249" s="37">
        <v>41604</v>
      </c>
      <c r="B249" s="27" t="s">
        <v>62</v>
      </c>
      <c r="C249" s="27" t="s">
        <v>5</v>
      </c>
      <c r="D249" s="27" t="s">
        <v>74</v>
      </c>
      <c r="E249" s="27" t="s">
        <v>40</v>
      </c>
      <c r="F249" s="27">
        <v>1</v>
      </c>
      <c r="G249" s="28">
        <f t="shared" si="6"/>
        <v>1.5</v>
      </c>
      <c r="H249" s="28">
        <f>VLOOKUP(E249,Arkusz3!$A$1:$B$9,2,FALSE)</f>
        <v>1.5</v>
      </c>
      <c r="I249" s="28">
        <f>VLOOKUP(E249,[1]Arkusz1!$A$1:$B$9,2,FALSE)</f>
        <v>1.5</v>
      </c>
      <c r="J249" s="38">
        <f t="shared" si="7"/>
        <v>1.5</v>
      </c>
    </row>
    <row r="250" spans="1:10" x14ac:dyDescent="0.3">
      <c r="A250" s="37">
        <v>41524</v>
      </c>
      <c r="B250" s="27" t="s">
        <v>58</v>
      </c>
      <c r="C250" s="27" t="s">
        <v>7</v>
      </c>
      <c r="D250" s="27" t="s">
        <v>69</v>
      </c>
      <c r="E250" s="27" t="s">
        <v>34</v>
      </c>
      <c r="F250" s="27">
        <v>5</v>
      </c>
      <c r="G250" s="28">
        <f t="shared" si="6"/>
        <v>2</v>
      </c>
      <c r="H250" s="28">
        <f>VLOOKUP(E250,Arkusz3!$A$1:$B$9,2,FALSE)</f>
        <v>2</v>
      </c>
      <c r="I250" s="28">
        <f>VLOOKUP(E250,[1]Arkusz1!$A$1:$B$9,2,FALSE)</f>
        <v>2</v>
      </c>
      <c r="J250" s="38">
        <f t="shared" si="7"/>
        <v>10</v>
      </c>
    </row>
    <row r="251" spans="1:10" x14ac:dyDescent="0.3">
      <c r="A251" s="37">
        <v>41551</v>
      </c>
      <c r="B251" s="27" t="s">
        <v>67</v>
      </c>
      <c r="C251" s="27" t="s">
        <v>5</v>
      </c>
      <c r="D251" s="27" t="s">
        <v>64</v>
      </c>
      <c r="E251" s="27" t="s">
        <v>41</v>
      </c>
      <c r="F251" s="27">
        <v>10</v>
      </c>
      <c r="G251" s="28">
        <f t="shared" si="6"/>
        <v>4</v>
      </c>
      <c r="H251" s="28">
        <f>VLOOKUP(E251,Arkusz3!$A$1:$B$9,2,FALSE)</f>
        <v>4</v>
      </c>
      <c r="I251" s="28">
        <f>VLOOKUP(E251,[1]Arkusz1!$A$1:$B$9,2,FALSE)</f>
        <v>4</v>
      </c>
      <c r="J251" s="38">
        <f t="shared" si="7"/>
        <v>40</v>
      </c>
    </row>
    <row r="252" spans="1:10" x14ac:dyDescent="0.3">
      <c r="A252" s="37">
        <v>41510</v>
      </c>
      <c r="B252" s="27" t="s">
        <v>58</v>
      </c>
      <c r="C252" s="27" t="s">
        <v>7</v>
      </c>
      <c r="D252" s="27" t="s">
        <v>60</v>
      </c>
      <c r="E252" s="27" t="s">
        <v>37</v>
      </c>
      <c r="F252" s="27">
        <v>5</v>
      </c>
      <c r="G252" s="28">
        <f t="shared" si="6"/>
        <v>5</v>
      </c>
      <c r="H252" s="28">
        <f>VLOOKUP(E252,Arkusz3!$A$1:$B$9,2,FALSE)</f>
        <v>5</v>
      </c>
      <c r="I252" s="28">
        <f>VLOOKUP(E252,[1]Arkusz1!$A$1:$B$9,2,FALSE)</f>
        <v>5</v>
      </c>
      <c r="J252" s="38">
        <f t="shared" si="7"/>
        <v>25</v>
      </c>
    </row>
    <row r="253" spans="1:10" x14ac:dyDescent="0.3">
      <c r="A253" s="37">
        <v>41507</v>
      </c>
      <c r="B253" s="27" t="s">
        <v>67</v>
      </c>
      <c r="C253" s="27" t="s">
        <v>3</v>
      </c>
      <c r="D253" s="27" t="s">
        <v>59</v>
      </c>
      <c r="E253" s="27" t="s">
        <v>35</v>
      </c>
      <c r="F253" s="27">
        <v>4</v>
      </c>
      <c r="G253" s="28">
        <f t="shared" si="6"/>
        <v>0.5</v>
      </c>
      <c r="H253" s="28">
        <f>VLOOKUP(E253,Arkusz3!$A$1:$B$9,2,FALSE)</f>
        <v>0.5</v>
      </c>
      <c r="I253" s="28">
        <f>VLOOKUP(E253,[1]Arkusz1!$A$1:$B$9,2,FALSE)</f>
        <v>0.5</v>
      </c>
      <c r="J253" s="38">
        <f t="shared" si="7"/>
        <v>2</v>
      </c>
    </row>
    <row r="254" spans="1:10" x14ac:dyDescent="0.3">
      <c r="A254" s="37">
        <v>41479</v>
      </c>
      <c r="B254" s="27" t="s">
        <v>73</v>
      </c>
      <c r="C254" s="27" t="s">
        <v>3</v>
      </c>
      <c r="D254" s="27" t="s">
        <v>61</v>
      </c>
      <c r="E254" s="27" t="s">
        <v>40</v>
      </c>
      <c r="F254" s="27">
        <v>15</v>
      </c>
      <c r="G254" s="28">
        <f t="shared" si="6"/>
        <v>1.5</v>
      </c>
      <c r="H254" s="28">
        <f>VLOOKUP(E254,Arkusz3!$A$1:$B$9,2,FALSE)</f>
        <v>1.5</v>
      </c>
      <c r="I254" s="28">
        <f>VLOOKUP(E254,[1]Arkusz1!$A$1:$B$9,2,FALSE)</f>
        <v>1.5</v>
      </c>
      <c r="J254" s="38">
        <f t="shared" si="7"/>
        <v>22.5</v>
      </c>
    </row>
    <row r="255" spans="1:10" x14ac:dyDescent="0.3">
      <c r="A255" s="37">
        <v>41467</v>
      </c>
      <c r="B255" s="27" t="s">
        <v>62</v>
      </c>
      <c r="C255" s="27" t="s">
        <v>3</v>
      </c>
      <c r="D255" s="27" t="s">
        <v>68</v>
      </c>
      <c r="E255" s="27" t="s">
        <v>34</v>
      </c>
      <c r="F255" s="27">
        <v>5</v>
      </c>
      <c r="G255" s="28">
        <f t="shared" si="6"/>
        <v>2</v>
      </c>
      <c r="H255" s="28">
        <f>VLOOKUP(E255,Arkusz3!$A$1:$B$9,2,FALSE)</f>
        <v>2</v>
      </c>
      <c r="I255" s="28">
        <f>VLOOKUP(E255,[1]Arkusz1!$A$1:$B$9,2,FALSE)</f>
        <v>2</v>
      </c>
      <c r="J255" s="38">
        <f t="shared" si="7"/>
        <v>10</v>
      </c>
    </row>
    <row r="256" spans="1:10" x14ac:dyDescent="0.3">
      <c r="A256" s="37">
        <v>41426</v>
      </c>
      <c r="B256" s="27" t="s">
        <v>62</v>
      </c>
      <c r="C256" s="27" t="s">
        <v>5</v>
      </c>
      <c r="D256" s="27" t="s">
        <v>66</v>
      </c>
      <c r="E256" s="27" t="s">
        <v>40</v>
      </c>
      <c r="F256" s="27">
        <v>20</v>
      </c>
      <c r="G256" s="28">
        <f t="shared" si="6"/>
        <v>1.5</v>
      </c>
      <c r="H256" s="28">
        <f>VLOOKUP(E256,Arkusz3!$A$1:$B$9,2,FALSE)</f>
        <v>1.5</v>
      </c>
      <c r="I256" s="28">
        <f>VLOOKUP(E256,[1]Arkusz1!$A$1:$B$9,2,FALSE)</f>
        <v>1.5</v>
      </c>
      <c r="J256" s="38">
        <f t="shared" si="7"/>
        <v>30</v>
      </c>
    </row>
    <row r="257" spans="1:10" x14ac:dyDescent="0.3">
      <c r="A257" s="37">
        <v>41511</v>
      </c>
      <c r="B257" s="27" t="s">
        <v>75</v>
      </c>
      <c r="C257" s="27" t="s">
        <v>7</v>
      </c>
      <c r="D257" s="27" t="s">
        <v>64</v>
      </c>
      <c r="E257" s="27" t="s">
        <v>36</v>
      </c>
      <c r="F257" s="27">
        <v>10</v>
      </c>
      <c r="G257" s="28">
        <f t="shared" si="6"/>
        <v>2.5</v>
      </c>
      <c r="H257" s="28">
        <f>VLOOKUP(E257,Arkusz3!$A$1:$B$9,2,FALSE)</f>
        <v>2.5</v>
      </c>
      <c r="I257" s="28">
        <f>VLOOKUP(E257,[1]Arkusz1!$A$1:$B$9,2,FALSE)</f>
        <v>2.5</v>
      </c>
      <c r="J257" s="38">
        <f t="shared" si="7"/>
        <v>25</v>
      </c>
    </row>
    <row r="258" spans="1:10" x14ac:dyDescent="0.3">
      <c r="A258" s="37">
        <v>41511</v>
      </c>
      <c r="B258" s="27" t="s">
        <v>73</v>
      </c>
      <c r="C258" s="27" t="s">
        <v>4</v>
      </c>
      <c r="D258" s="27" t="s">
        <v>65</v>
      </c>
      <c r="E258" s="27" t="s">
        <v>41</v>
      </c>
      <c r="F258" s="27">
        <v>11</v>
      </c>
      <c r="G258" s="28">
        <f t="shared" si="6"/>
        <v>4</v>
      </c>
      <c r="H258" s="28">
        <f>VLOOKUP(E258,Arkusz3!$A$1:$B$9,2,FALSE)</f>
        <v>4</v>
      </c>
      <c r="I258" s="28">
        <f>VLOOKUP(E258,[1]Arkusz1!$A$1:$B$9,2,FALSE)</f>
        <v>4</v>
      </c>
      <c r="J258" s="38">
        <f t="shared" si="7"/>
        <v>44</v>
      </c>
    </row>
    <row r="259" spans="1:10" x14ac:dyDescent="0.3">
      <c r="A259" s="37">
        <v>41456</v>
      </c>
      <c r="B259" s="27" t="s">
        <v>67</v>
      </c>
      <c r="C259" s="27" t="s">
        <v>3</v>
      </c>
      <c r="D259" s="27" t="s">
        <v>70</v>
      </c>
      <c r="E259" s="27" t="s">
        <v>41</v>
      </c>
      <c r="F259" s="27">
        <v>20</v>
      </c>
      <c r="G259" s="28">
        <f t="shared" ref="G259:G322" si="8">VLOOKUP(E259,$L$2:$M$9,2,FALSE)</f>
        <v>4</v>
      </c>
      <c r="H259" s="28">
        <f>VLOOKUP(E259,Arkusz3!$A$1:$B$9,2,FALSE)</f>
        <v>4</v>
      </c>
      <c r="I259" s="28">
        <f>VLOOKUP(E259,[1]Arkusz1!$A$1:$B$9,2,FALSE)</f>
        <v>4</v>
      </c>
      <c r="J259" s="38">
        <f t="shared" ref="J259:J322" si="9">F259*G259</f>
        <v>80</v>
      </c>
    </row>
    <row r="260" spans="1:10" x14ac:dyDescent="0.3">
      <c r="A260" s="37">
        <v>41527</v>
      </c>
      <c r="B260" s="27" t="s">
        <v>75</v>
      </c>
      <c r="C260" s="27" t="s">
        <v>3</v>
      </c>
      <c r="D260" s="27" t="s">
        <v>65</v>
      </c>
      <c r="E260" s="27" t="s">
        <v>35</v>
      </c>
      <c r="F260" s="27">
        <v>17</v>
      </c>
      <c r="G260" s="28">
        <f t="shared" si="8"/>
        <v>0.5</v>
      </c>
      <c r="H260" s="28">
        <f>VLOOKUP(E260,Arkusz3!$A$1:$B$9,2,FALSE)</f>
        <v>0.5</v>
      </c>
      <c r="I260" s="28">
        <f>VLOOKUP(E260,[1]Arkusz1!$A$1:$B$9,2,FALSE)</f>
        <v>0.5</v>
      </c>
      <c r="J260" s="38">
        <f t="shared" si="9"/>
        <v>8.5</v>
      </c>
    </row>
    <row r="261" spans="1:10" x14ac:dyDescent="0.3">
      <c r="A261" s="37">
        <v>41600</v>
      </c>
      <c r="B261" s="27" t="s">
        <v>62</v>
      </c>
      <c r="C261" s="27" t="s">
        <v>5</v>
      </c>
      <c r="D261" s="27" t="s">
        <v>69</v>
      </c>
      <c r="E261" s="27" t="s">
        <v>34</v>
      </c>
      <c r="F261" s="27">
        <v>10</v>
      </c>
      <c r="G261" s="28">
        <f t="shared" si="8"/>
        <v>2</v>
      </c>
      <c r="H261" s="28">
        <f>VLOOKUP(E261,Arkusz3!$A$1:$B$9,2,FALSE)</f>
        <v>2</v>
      </c>
      <c r="I261" s="28">
        <f>VLOOKUP(E261,[1]Arkusz1!$A$1:$B$9,2,FALSE)</f>
        <v>2</v>
      </c>
      <c r="J261" s="38">
        <f t="shared" si="9"/>
        <v>20</v>
      </c>
    </row>
    <row r="262" spans="1:10" x14ac:dyDescent="0.3">
      <c r="A262" s="37">
        <v>41582</v>
      </c>
      <c r="B262" s="27" t="s">
        <v>67</v>
      </c>
      <c r="C262" s="27" t="s">
        <v>7</v>
      </c>
      <c r="D262" s="27" t="s">
        <v>66</v>
      </c>
      <c r="E262" s="27" t="s">
        <v>41</v>
      </c>
      <c r="F262" s="27">
        <v>20</v>
      </c>
      <c r="G262" s="28">
        <f t="shared" si="8"/>
        <v>4</v>
      </c>
      <c r="H262" s="28">
        <f>VLOOKUP(E262,Arkusz3!$A$1:$B$9,2,FALSE)</f>
        <v>4</v>
      </c>
      <c r="I262" s="28">
        <f>VLOOKUP(E262,[1]Arkusz1!$A$1:$B$9,2,FALSE)</f>
        <v>4</v>
      </c>
      <c r="J262" s="38">
        <f t="shared" si="9"/>
        <v>80</v>
      </c>
    </row>
    <row r="263" spans="1:10" x14ac:dyDescent="0.3">
      <c r="A263" s="37">
        <v>41552</v>
      </c>
      <c r="B263" s="27" t="s">
        <v>71</v>
      </c>
      <c r="C263" s="27" t="s">
        <v>6</v>
      </c>
      <c r="D263" s="27" t="s">
        <v>61</v>
      </c>
      <c r="E263" s="27" t="s">
        <v>39</v>
      </c>
      <c r="F263" s="27">
        <v>2</v>
      </c>
      <c r="G263" s="28">
        <f t="shared" si="8"/>
        <v>0.1</v>
      </c>
      <c r="H263" s="28">
        <f>VLOOKUP(E263,Arkusz3!$A$1:$B$9,2,FALSE)</f>
        <v>0.1</v>
      </c>
      <c r="I263" s="28">
        <f>VLOOKUP(E263,[1]Arkusz1!$A$1:$B$9,2,FALSE)</f>
        <v>0.1</v>
      </c>
      <c r="J263" s="38">
        <f t="shared" si="9"/>
        <v>0.2</v>
      </c>
    </row>
    <row r="264" spans="1:10" x14ac:dyDescent="0.3">
      <c r="A264" s="37">
        <v>41570</v>
      </c>
      <c r="B264" s="27" t="s">
        <v>58</v>
      </c>
      <c r="C264" s="27" t="s">
        <v>5</v>
      </c>
      <c r="D264" s="27" t="s">
        <v>69</v>
      </c>
      <c r="E264" s="27" t="s">
        <v>39</v>
      </c>
      <c r="F264" s="27">
        <v>13</v>
      </c>
      <c r="G264" s="28">
        <f t="shared" si="8"/>
        <v>0.1</v>
      </c>
      <c r="H264" s="28">
        <f>VLOOKUP(E264,Arkusz3!$A$1:$B$9,2,FALSE)</f>
        <v>0.1</v>
      </c>
      <c r="I264" s="28">
        <f>VLOOKUP(E264,[1]Arkusz1!$A$1:$B$9,2,FALSE)</f>
        <v>0.1</v>
      </c>
      <c r="J264" s="38">
        <f t="shared" si="9"/>
        <v>1.3</v>
      </c>
    </row>
    <row r="265" spans="1:10" x14ac:dyDescent="0.3">
      <c r="A265" s="37">
        <v>41579</v>
      </c>
      <c r="B265" s="27" t="s">
        <v>75</v>
      </c>
      <c r="C265" s="27" t="s">
        <v>5</v>
      </c>
      <c r="D265" s="27" t="s">
        <v>66</v>
      </c>
      <c r="E265" s="27" t="s">
        <v>36</v>
      </c>
      <c r="F265" s="27">
        <v>1</v>
      </c>
      <c r="G265" s="28">
        <f t="shared" si="8"/>
        <v>2.5</v>
      </c>
      <c r="H265" s="28">
        <f>VLOOKUP(E265,Arkusz3!$A$1:$B$9,2,FALSE)</f>
        <v>2.5</v>
      </c>
      <c r="I265" s="28">
        <f>VLOOKUP(E265,[1]Arkusz1!$A$1:$B$9,2,FALSE)</f>
        <v>2.5</v>
      </c>
      <c r="J265" s="38">
        <f t="shared" si="9"/>
        <v>2.5</v>
      </c>
    </row>
    <row r="266" spans="1:10" x14ac:dyDescent="0.3">
      <c r="A266" s="37">
        <v>41536</v>
      </c>
      <c r="B266" s="27" t="s">
        <v>58</v>
      </c>
      <c r="C266" s="27" t="s">
        <v>6</v>
      </c>
      <c r="D266" s="27" t="s">
        <v>72</v>
      </c>
      <c r="E266" s="27" t="s">
        <v>39</v>
      </c>
      <c r="F266" s="27">
        <v>10</v>
      </c>
      <c r="G266" s="28">
        <f t="shared" si="8"/>
        <v>0.1</v>
      </c>
      <c r="H266" s="28">
        <f>VLOOKUP(E266,Arkusz3!$A$1:$B$9,2,FALSE)</f>
        <v>0.1</v>
      </c>
      <c r="I266" s="28">
        <f>VLOOKUP(E266,[1]Arkusz1!$A$1:$B$9,2,FALSE)</f>
        <v>0.1</v>
      </c>
      <c r="J266" s="38">
        <f t="shared" si="9"/>
        <v>1</v>
      </c>
    </row>
    <row r="267" spans="1:10" x14ac:dyDescent="0.3">
      <c r="A267" s="37">
        <v>41613</v>
      </c>
      <c r="B267" s="27" t="s">
        <v>58</v>
      </c>
      <c r="C267" s="27" t="s">
        <v>5</v>
      </c>
      <c r="D267" s="27" t="s">
        <v>74</v>
      </c>
      <c r="E267" s="27" t="s">
        <v>37</v>
      </c>
      <c r="F267" s="27">
        <v>18</v>
      </c>
      <c r="G267" s="28">
        <f t="shared" si="8"/>
        <v>5</v>
      </c>
      <c r="H267" s="28">
        <f>VLOOKUP(E267,Arkusz3!$A$1:$B$9,2,FALSE)</f>
        <v>5</v>
      </c>
      <c r="I267" s="28">
        <f>VLOOKUP(E267,[1]Arkusz1!$A$1:$B$9,2,FALSE)</f>
        <v>5</v>
      </c>
      <c r="J267" s="38">
        <f t="shared" si="9"/>
        <v>90</v>
      </c>
    </row>
    <row r="268" spans="1:10" x14ac:dyDescent="0.3">
      <c r="A268" s="37">
        <v>41533</v>
      </c>
      <c r="B268" s="27" t="s">
        <v>71</v>
      </c>
      <c r="C268" s="27" t="s">
        <v>4</v>
      </c>
      <c r="D268" s="27" t="s">
        <v>68</v>
      </c>
      <c r="E268" s="27" t="s">
        <v>36</v>
      </c>
      <c r="F268" s="27">
        <v>5</v>
      </c>
      <c r="G268" s="28">
        <f t="shared" si="8"/>
        <v>2.5</v>
      </c>
      <c r="H268" s="28">
        <f>VLOOKUP(E268,Arkusz3!$A$1:$B$9,2,FALSE)</f>
        <v>2.5</v>
      </c>
      <c r="I268" s="28">
        <f>VLOOKUP(E268,[1]Arkusz1!$A$1:$B$9,2,FALSE)</f>
        <v>2.5</v>
      </c>
      <c r="J268" s="38">
        <f t="shared" si="9"/>
        <v>12.5</v>
      </c>
    </row>
    <row r="269" spans="1:10" x14ac:dyDescent="0.3">
      <c r="A269" s="37">
        <v>41458</v>
      </c>
      <c r="B269" s="27" t="s">
        <v>75</v>
      </c>
      <c r="C269" s="27" t="s">
        <v>4</v>
      </c>
      <c r="D269" s="27" t="s">
        <v>59</v>
      </c>
      <c r="E269" s="27" t="s">
        <v>38</v>
      </c>
      <c r="F269" s="27">
        <v>2</v>
      </c>
      <c r="G269" s="28">
        <f t="shared" si="8"/>
        <v>0.2</v>
      </c>
      <c r="H269" s="28">
        <f>VLOOKUP(E269,Arkusz3!$A$1:$B$9,2,FALSE)</f>
        <v>0.2</v>
      </c>
      <c r="I269" s="28">
        <f>VLOOKUP(E269,[1]Arkusz1!$A$1:$B$9,2,FALSE)</f>
        <v>0.2</v>
      </c>
      <c r="J269" s="38">
        <f t="shared" si="9"/>
        <v>0.4</v>
      </c>
    </row>
    <row r="270" spans="1:10" x14ac:dyDescent="0.3">
      <c r="A270" s="37">
        <v>41572</v>
      </c>
      <c r="B270" s="27" t="s">
        <v>67</v>
      </c>
      <c r="C270" s="27" t="s">
        <v>3</v>
      </c>
      <c r="D270" s="27" t="s">
        <v>69</v>
      </c>
      <c r="E270" s="27" t="s">
        <v>34</v>
      </c>
      <c r="F270" s="27">
        <v>11</v>
      </c>
      <c r="G270" s="28">
        <f t="shared" si="8"/>
        <v>2</v>
      </c>
      <c r="H270" s="28">
        <f>VLOOKUP(E270,Arkusz3!$A$1:$B$9,2,FALSE)</f>
        <v>2</v>
      </c>
      <c r="I270" s="28">
        <f>VLOOKUP(E270,[1]Arkusz1!$A$1:$B$9,2,FALSE)</f>
        <v>2</v>
      </c>
      <c r="J270" s="38">
        <f t="shared" si="9"/>
        <v>22</v>
      </c>
    </row>
    <row r="271" spans="1:10" x14ac:dyDescent="0.3">
      <c r="A271" s="37">
        <v>41514</v>
      </c>
      <c r="B271" s="27" t="s">
        <v>75</v>
      </c>
      <c r="C271" s="27" t="s">
        <v>6</v>
      </c>
      <c r="D271" s="27" t="s">
        <v>63</v>
      </c>
      <c r="E271" s="27" t="s">
        <v>34</v>
      </c>
      <c r="F271" s="27">
        <v>15</v>
      </c>
      <c r="G271" s="28">
        <f t="shared" si="8"/>
        <v>2</v>
      </c>
      <c r="H271" s="28">
        <f>VLOOKUP(E271,Arkusz3!$A$1:$B$9,2,FALSE)</f>
        <v>2</v>
      </c>
      <c r="I271" s="28">
        <f>VLOOKUP(E271,[1]Arkusz1!$A$1:$B$9,2,FALSE)</f>
        <v>2</v>
      </c>
      <c r="J271" s="38">
        <f t="shared" si="9"/>
        <v>30</v>
      </c>
    </row>
    <row r="272" spans="1:10" x14ac:dyDescent="0.3">
      <c r="A272" s="37">
        <v>41619</v>
      </c>
      <c r="B272" s="27" t="s">
        <v>62</v>
      </c>
      <c r="C272" s="27" t="s">
        <v>6</v>
      </c>
      <c r="D272" s="27" t="s">
        <v>70</v>
      </c>
      <c r="E272" s="27" t="s">
        <v>34</v>
      </c>
      <c r="F272" s="27">
        <v>8</v>
      </c>
      <c r="G272" s="28">
        <f t="shared" si="8"/>
        <v>2</v>
      </c>
      <c r="H272" s="28">
        <f>VLOOKUP(E272,Arkusz3!$A$1:$B$9,2,FALSE)</f>
        <v>2</v>
      </c>
      <c r="I272" s="28">
        <f>VLOOKUP(E272,[1]Arkusz1!$A$1:$B$9,2,FALSE)</f>
        <v>2</v>
      </c>
      <c r="J272" s="38">
        <f t="shared" si="9"/>
        <v>16</v>
      </c>
    </row>
    <row r="273" spans="1:10" x14ac:dyDescent="0.3">
      <c r="A273" s="37">
        <v>41619</v>
      </c>
      <c r="B273" s="27" t="s">
        <v>73</v>
      </c>
      <c r="C273" s="27" t="s">
        <v>3</v>
      </c>
      <c r="D273" s="27" t="s">
        <v>65</v>
      </c>
      <c r="E273" s="27" t="s">
        <v>35</v>
      </c>
      <c r="F273" s="27">
        <v>8</v>
      </c>
      <c r="G273" s="28">
        <f t="shared" si="8"/>
        <v>0.5</v>
      </c>
      <c r="H273" s="28">
        <f>VLOOKUP(E273,Arkusz3!$A$1:$B$9,2,FALSE)</f>
        <v>0.5</v>
      </c>
      <c r="I273" s="28">
        <f>VLOOKUP(E273,[1]Arkusz1!$A$1:$B$9,2,FALSE)</f>
        <v>0.5</v>
      </c>
      <c r="J273" s="38">
        <f t="shared" si="9"/>
        <v>4</v>
      </c>
    </row>
    <row r="274" spans="1:10" x14ac:dyDescent="0.3">
      <c r="A274" s="37">
        <v>41565</v>
      </c>
      <c r="B274" s="27" t="s">
        <v>73</v>
      </c>
      <c r="C274" s="27" t="s">
        <v>5</v>
      </c>
      <c r="D274" s="27" t="s">
        <v>59</v>
      </c>
      <c r="E274" s="27" t="s">
        <v>34</v>
      </c>
      <c r="F274" s="27">
        <v>9</v>
      </c>
      <c r="G274" s="28">
        <f t="shared" si="8"/>
        <v>2</v>
      </c>
      <c r="H274" s="28">
        <f>VLOOKUP(E274,Arkusz3!$A$1:$B$9,2,FALSE)</f>
        <v>2</v>
      </c>
      <c r="I274" s="28">
        <f>VLOOKUP(E274,[1]Arkusz1!$A$1:$B$9,2,FALSE)</f>
        <v>2</v>
      </c>
      <c r="J274" s="38">
        <f t="shared" si="9"/>
        <v>18</v>
      </c>
    </row>
    <row r="275" spans="1:10" x14ac:dyDescent="0.3">
      <c r="A275" s="37">
        <v>41591</v>
      </c>
      <c r="B275" s="27" t="s">
        <v>58</v>
      </c>
      <c r="C275" s="27" t="s">
        <v>5</v>
      </c>
      <c r="D275" s="27" t="s">
        <v>59</v>
      </c>
      <c r="E275" s="27" t="s">
        <v>39</v>
      </c>
      <c r="F275" s="27">
        <v>2</v>
      </c>
      <c r="G275" s="28">
        <f t="shared" si="8"/>
        <v>0.1</v>
      </c>
      <c r="H275" s="28">
        <f>VLOOKUP(E275,Arkusz3!$A$1:$B$9,2,FALSE)</f>
        <v>0.1</v>
      </c>
      <c r="I275" s="28">
        <f>VLOOKUP(E275,[1]Arkusz1!$A$1:$B$9,2,FALSE)</f>
        <v>0.1</v>
      </c>
      <c r="J275" s="38">
        <f t="shared" si="9"/>
        <v>0.2</v>
      </c>
    </row>
    <row r="276" spans="1:10" x14ac:dyDescent="0.3">
      <c r="A276" s="37">
        <v>41441</v>
      </c>
      <c r="B276" s="27" t="s">
        <v>58</v>
      </c>
      <c r="C276" s="27" t="s">
        <v>4</v>
      </c>
      <c r="D276" s="27" t="s">
        <v>70</v>
      </c>
      <c r="E276" s="27" t="s">
        <v>39</v>
      </c>
      <c r="F276" s="27">
        <v>3</v>
      </c>
      <c r="G276" s="28">
        <f t="shared" si="8"/>
        <v>0.1</v>
      </c>
      <c r="H276" s="28">
        <f>VLOOKUP(E276,Arkusz3!$A$1:$B$9,2,FALSE)</f>
        <v>0.1</v>
      </c>
      <c r="I276" s="28">
        <f>VLOOKUP(E276,[1]Arkusz1!$A$1:$B$9,2,FALSE)</f>
        <v>0.1</v>
      </c>
      <c r="J276" s="38">
        <f t="shared" si="9"/>
        <v>0.30000000000000004</v>
      </c>
    </row>
    <row r="277" spans="1:10" x14ac:dyDescent="0.3">
      <c r="A277" s="37">
        <v>41483</v>
      </c>
      <c r="B277" s="27" t="s">
        <v>73</v>
      </c>
      <c r="C277" s="27" t="s">
        <v>3</v>
      </c>
      <c r="D277" s="27" t="s">
        <v>72</v>
      </c>
      <c r="E277" s="27" t="s">
        <v>36</v>
      </c>
      <c r="F277" s="27">
        <v>10</v>
      </c>
      <c r="G277" s="28">
        <f t="shared" si="8"/>
        <v>2.5</v>
      </c>
      <c r="H277" s="28">
        <f>VLOOKUP(E277,Arkusz3!$A$1:$B$9,2,FALSE)</f>
        <v>2.5</v>
      </c>
      <c r="I277" s="28">
        <f>VLOOKUP(E277,[1]Arkusz1!$A$1:$B$9,2,FALSE)</f>
        <v>2.5</v>
      </c>
      <c r="J277" s="38">
        <f t="shared" si="9"/>
        <v>25</v>
      </c>
    </row>
    <row r="278" spans="1:10" x14ac:dyDescent="0.3">
      <c r="A278" s="37">
        <v>41467</v>
      </c>
      <c r="B278" s="27" t="s">
        <v>73</v>
      </c>
      <c r="C278" s="27" t="s">
        <v>6</v>
      </c>
      <c r="D278" s="27" t="s">
        <v>64</v>
      </c>
      <c r="E278" s="27" t="s">
        <v>35</v>
      </c>
      <c r="F278" s="27">
        <v>5</v>
      </c>
      <c r="G278" s="28">
        <f t="shared" si="8"/>
        <v>0.5</v>
      </c>
      <c r="H278" s="28">
        <f>VLOOKUP(E278,Arkusz3!$A$1:$B$9,2,FALSE)</f>
        <v>0.5</v>
      </c>
      <c r="I278" s="28">
        <f>VLOOKUP(E278,[1]Arkusz1!$A$1:$B$9,2,FALSE)</f>
        <v>0.5</v>
      </c>
      <c r="J278" s="38">
        <f t="shared" si="9"/>
        <v>2.5</v>
      </c>
    </row>
    <row r="279" spans="1:10" x14ac:dyDescent="0.3">
      <c r="A279" s="37">
        <v>41497</v>
      </c>
      <c r="B279" s="27" t="s">
        <v>67</v>
      </c>
      <c r="C279" s="27" t="s">
        <v>6</v>
      </c>
      <c r="D279" s="27" t="s">
        <v>65</v>
      </c>
      <c r="E279" s="27" t="s">
        <v>34</v>
      </c>
      <c r="F279" s="27">
        <v>5</v>
      </c>
      <c r="G279" s="28">
        <f t="shared" si="8"/>
        <v>2</v>
      </c>
      <c r="H279" s="28">
        <f>VLOOKUP(E279,Arkusz3!$A$1:$B$9,2,FALSE)</f>
        <v>2</v>
      </c>
      <c r="I279" s="28">
        <f>VLOOKUP(E279,[1]Arkusz1!$A$1:$B$9,2,FALSE)</f>
        <v>2</v>
      </c>
      <c r="J279" s="38">
        <f t="shared" si="9"/>
        <v>10</v>
      </c>
    </row>
    <row r="280" spans="1:10" x14ac:dyDescent="0.3">
      <c r="A280" s="37">
        <v>41629</v>
      </c>
      <c r="B280" s="27" t="s">
        <v>58</v>
      </c>
      <c r="C280" s="27" t="s">
        <v>7</v>
      </c>
      <c r="D280" s="27" t="s">
        <v>64</v>
      </c>
      <c r="E280" s="27" t="s">
        <v>40</v>
      </c>
      <c r="F280" s="27">
        <v>6</v>
      </c>
      <c r="G280" s="28">
        <f t="shared" si="8"/>
        <v>1.5</v>
      </c>
      <c r="H280" s="28">
        <f>VLOOKUP(E280,Arkusz3!$A$1:$B$9,2,FALSE)</f>
        <v>1.5</v>
      </c>
      <c r="I280" s="28">
        <f>VLOOKUP(E280,[1]Arkusz1!$A$1:$B$9,2,FALSE)</f>
        <v>1.5</v>
      </c>
      <c r="J280" s="38">
        <f t="shared" si="9"/>
        <v>9</v>
      </c>
    </row>
    <row r="281" spans="1:10" x14ac:dyDescent="0.3">
      <c r="A281" s="37">
        <v>41541</v>
      </c>
      <c r="B281" s="27" t="s">
        <v>71</v>
      </c>
      <c r="C281" s="27" t="s">
        <v>3</v>
      </c>
      <c r="D281" s="27" t="s">
        <v>74</v>
      </c>
      <c r="E281" s="27" t="s">
        <v>39</v>
      </c>
      <c r="F281" s="27">
        <v>15</v>
      </c>
      <c r="G281" s="28">
        <f t="shared" si="8"/>
        <v>0.1</v>
      </c>
      <c r="H281" s="28">
        <f>VLOOKUP(E281,Arkusz3!$A$1:$B$9,2,FALSE)</f>
        <v>0.1</v>
      </c>
      <c r="I281" s="28">
        <f>VLOOKUP(E281,[1]Arkusz1!$A$1:$B$9,2,FALSE)</f>
        <v>0.1</v>
      </c>
      <c r="J281" s="38">
        <f t="shared" si="9"/>
        <v>1.5</v>
      </c>
    </row>
    <row r="282" spans="1:10" x14ac:dyDescent="0.3">
      <c r="A282" s="37">
        <v>41563</v>
      </c>
      <c r="B282" s="27" t="s">
        <v>62</v>
      </c>
      <c r="C282" s="27" t="s">
        <v>5</v>
      </c>
      <c r="D282" s="27" t="s">
        <v>70</v>
      </c>
      <c r="E282" s="27" t="s">
        <v>40</v>
      </c>
      <c r="F282" s="27">
        <v>1</v>
      </c>
      <c r="G282" s="28">
        <f t="shared" si="8"/>
        <v>1.5</v>
      </c>
      <c r="H282" s="28">
        <f>VLOOKUP(E282,Arkusz3!$A$1:$B$9,2,FALSE)</f>
        <v>1.5</v>
      </c>
      <c r="I282" s="28">
        <f>VLOOKUP(E282,[1]Arkusz1!$A$1:$B$9,2,FALSE)</f>
        <v>1.5</v>
      </c>
      <c r="J282" s="38">
        <f t="shared" si="9"/>
        <v>1.5</v>
      </c>
    </row>
    <row r="283" spans="1:10" x14ac:dyDescent="0.3">
      <c r="A283" s="37">
        <v>41586</v>
      </c>
      <c r="B283" s="27" t="s">
        <v>75</v>
      </c>
      <c r="C283" s="27" t="s">
        <v>6</v>
      </c>
      <c r="D283" s="27" t="s">
        <v>70</v>
      </c>
      <c r="E283" s="27" t="s">
        <v>39</v>
      </c>
      <c r="F283" s="27">
        <v>19</v>
      </c>
      <c r="G283" s="28">
        <f t="shared" si="8"/>
        <v>0.1</v>
      </c>
      <c r="H283" s="28">
        <f>VLOOKUP(E283,Arkusz3!$A$1:$B$9,2,FALSE)</f>
        <v>0.1</v>
      </c>
      <c r="I283" s="28">
        <f>VLOOKUP(E283,[1]Arkusz1!$A$1:$B$9,2,FALSE)</f>
        <v>0.1</v>
      </c>
      <c r="J283" s="38">
        <f t="shared" si="9"/>
        <v>1.9000000000000001</v>
      </c>
    </row>
    <row r="284" spans="1:10" x14ac:dyDescent="0.3">
      <c r="A284" s="37">
        <v>41594</v>
      </c>
      <c r="B284" s="27" t="s">
        <v>75</v>
      </c>
      <c r="C284" s="27" t="s">
        <v>3</v>
      </c>
      <c r="D284" s="27" t="s">
        <v>64</v>
      </c>
      <c r="E284" s="27" t="s">
        <v>40</v>
      </c>
      <c r="F284" s="27">
        <v>6</v>
      </c>
      <c r="G284" s="28">
        <f t="shared" si="8"/>
        <v>1.5</v>
      </c>
      <c r="H284" s="28">
        <f>VLOOKUP(E284,Arkusz3!$A$1:$B$9,2,FALSE)</f>
        <v>1.5</v>
      </c>
      <c r="I284" s="28">
        <f>VLOOKUP(E284,[1]Arkusz1!$A$1:$B$9,2,FALSE)</f>
        <v>1.5</v>
      </c>
      <c r="J284" s="38">
        <f t="shared" si="9"/>
        <v>9</v>
      </c>
    </row>
    <row r="285" spans="1:10" x14ac:dyDescent="0.3">
      <c r="A285" s="37">
        <v>41620</v>
      </c>
      <c r="B285" s="27" t="s">
        <v>67</v>
      </c>
      <c r="C285" s="27" t="s">
        <v>4</v>
      </c>
      <c r="D285" s="27" t="s">
        <v>69</v>
      </c>
      <c r="E285" s="27" t="s">
        <v>36</v>
      </c>
      <c r="F285" s="27">
        <v>18</v>
      </c>
      <c r="G285" s="28">
        <f t="shared" si="8"/>
        <v>2.5</v>
      </c>
      <c r="H285" s="28">
        <f>VLOOKUP(E285,Arkusz3!$A$1:$B$9,2,FALSE)</f>
        <v>2.5</v>
      </c>
      <c r="I285" s="28">
        <f>VLOOKUP(E285,[1]Arkusz1!$A$1:$B$9,2,FALSE)</f>
        <v>2.5</v>
      </c>
      <c r="J285" s="38">
        <f t="shared" si="9"/>
        <v>45</v>
      </c>
    </row>
    <row r="286" spans="1:10" x14ac:dyDescent="0.3">
      <c r="A286" s="37">
        <v>41515</v>
      </c>
      <c r="B286" s="27" t="s">
        <v>75</v>
      </c>
      <c r="C286" s="27" t="s">
        <v>5</v>
      </c>
      <c r="D286" s="27" t="s">
        <v>68</v>
      </c>
      <c r="E286" s="27" t="s">
        <v>41</v>
      </c>
      <c r="F286" s="27">
        <v>16</v>
      </c>
      <c r="G286" s="28">
        <f t="shared" si="8"/>
        <v>4</v>
      </c>
      <c r="H286" s="28">
        <f>VLOOKUP(E286,Arkusz3!$A$1:$B$9,2,FALSE)</f>
        <v>4</v>
      </c>
      <c r="I286" s="28">
        <f>VLOOKUP(E286,[1]Arkusz1!$A$1:$B$9,2,FALSE)</f>
        <v>4</v>
      </c>
      <c r="J286" s="38">
        <f t="shared" si="9"/>
        <v>64</v>
      </c>
    </row>
    <row r="287" spans="1:10" x14ac:dyDescent="0.3">
      <c r="A287" s="37">
        <v>41613</v>
      </c>
      <c r="B287" s="27" t="s">
        <v>58</v>
      </c>
      <c r="C287" s="27" t="s">
        <v>3</v>
      </c>
      <c r="D287" s="27" t="s">
        <v>74</v>
      </c>
      <c r="E287" s="27" t="s">
        <v>35</v>
      </c>
      <c r="F287" s="27">
        <v>18</v>
      </c>
      <c r="G287" s="28">
        <f t="shared" si="8"/>
        <v>0.5</v>
      </c>
      <c r="H287" s="28">
        <f>VLOOKUP(E287,Arkusz3!$A$1:$B$9,2,FALSE)</f>
        <v>0.5</v>
      </c>
      <c r="I287" s="28">
        <f>VLOOKUP(E287,[1]Arkusz1!$A$1:$B$9,2,FALSE)</f>
        <v>0.5</v>
      </c>
      <c r="J287" s="38">
        <f t="shared" si="9"/>
        <v>9</v>
      </c>
    </row>
    <row r="288" spans="1:10" x14ac:dyDescent="0.3">
      <c r="A288" s="37">
        <v>41443</v>
      </c>
      <c r="B288" s="27" t="s">
        <v>62</v>
      </c>
      <c r="C288" s="27" t="s">
        <v>4</v>
      </c>
      <c r="D288" s="27" t="s">
        <v>60</v>
      </c>
      <c r="E288" s="27" t="s">
        <v>37</v>
      </c>
      <c r="F288" s="27">
        <v>3</v>
      </c>
      <c r="G288" s="28">
        <f t="shared" si="8"/>
        <v>5</v>
      </c>
      <c r="H288" s="28">
        <f>VLOOKUP(E288,Arkusz3!$A$1:$B$9,2,FALSE)</f>
        <v>5</v>
      </c>
      <c r="I288" s="28">
        <f>VLOOKUP(E288,[1]Arkusz1!$A$1:$B$9,2,FALSE)</f>
        <v>5</v>
      </c>
      <c r="J288" s="38">
        <f t="shared" si="9"/>
        <v>15</v>
      </c>
    </row>
    <row r="289" spans="1:10" x14ac:dyDescent="0.3">
      <c r="A289" s="37">
        <v>41602</v>
      </c>
      <c r="B289" s="27" t="s">
        <v>73</v>
      </c>
      <c r="C289" s="27" t="s">
        <v>3</v>
      </c>
      <c r="D289" s="27" t="s">
        <v>72</v>
      </c>
      <c r="E289" s="27" t="s">
        <v>36</v>
      </c>
      <c r="F289" s="27">
        <v>15</v>
      </c>
      <c r="G289" s="28">
        <f t="shared" si="8"/>
        <v>2.5</v>
      </c>
      <c r="H289" s="28">
        <f>VLOOKUP(E289,Arkusz3!$A$1:$B$9,2,FALSE)</f>
        <v>2.5</v>
      </c>
      <c r="I289" s="28">
        <f>VLOOKUP(E289,[1]Arkusz1!$A$1:$B$9,2,FALSE)</f>
        <v>2.5</v>
      </c>
      <c r="J289" s="38">
        <f t="shared" si="9"/>
        <v>37.5</v>
      </c>
    </row>
    <row r="290" spans="1:10" x14ac:dyDescent="0.3">
      <c r="A290" s="37">
        <v>41619</v>
      </c>
      <c r="B290" s="27" t="s">
        <v>62</v>
      </c>
      <c r="C290" s="27" t="s">
        <v>3</v>
      </c>
      <c r="D290" s="27" t="s">
        <v>65</v>
      </c>
      <c r="E290" s="27" t="s">
        <v>41</v>
      </c>
      <c r="F290" s="27">
        <v>12</v>
      </c>
      <c r="G290" s="28">
        <f t="shared" si="8"/>
        <v>4</v>
      </c>
      <c r="H290" s="28">
        <f>VLOOKUP(E290,Arkusz3!$A$1:$B$9,2,FALSE)</f>
        <v>4</v>
      </c>
      <c r="I290" s="28">
        <f>VLOOKUP(E290,[1]Arkusz1!$A$1:$B$9,2,FALSE)</f>
        <v>4</v>
      </c>
      <c r="J290" s="38">
        <f t="shared" si="9"/>
        <v>48</v>
      </c>
    </row>
    <row r="291" spans="1:10" x14ac:dyDescent="0.3">
      <c r="A291" s="37">
        <v>41484</v>
      </c>
      <c r="B291" s="27" t="s">
        <v>71</v>
      </c>
      <c r="C291" s="27" t="s">
        <v>7</v>
      </c>
      <c r="D291" s="27" t="s">
        <v>68</v>
      </c>
      <c r="E291" s="27" t="s">
        <v>37</v>
      </c>
      <c r="F291" s="27">
        <v>7</v>
      </c>
      <c r="G291" s="28">
        <f t="shared" si="8"/>
        <v>5</v>
      </c>
      <c r="H291" s="28">
        <f>VLOOKUP(E291,Arkusz3!$A$1:$B$9,2,FALSE)</f>
        <v>5</v>
      </c>
      <c r="I291" s="28">
        <f>VLOOKUP(E291,[1]Arkusz1!$A$1:$B$9,2,FALSE)</f>
        <v>5</v>
      </c>
      <c r="J291" s="38">
        <f t="shared" si="9"/>
        <v>35</v>
      </c>
    </row>
    <row r="292" spans="1:10" x14ac:dyDescent="0.3">
      <c r="A292" s="37">
        <v>41482</v>
      </c>
      <c r="B292" s="27" t="s">
        <v>71</v>
      </c>
      <c r="C292" s="27" t="s">
        <v>7</v>
      </c>
      <c r="D292" s="27" t="s">
        <v>66</v>
      </c>
      <c r="E292" s="27" t="s">
        <v>34</v>
      </c>
      <c r="F292" s="27">
        <v>15</v>
      </c>
      <c r="G292" s="28">
        <f t="shared" si="8"/>
        <v>2</v>
      </c>
      <c r="H292" s="28">
        <f>VLOOKUP(E292,Arkusz3!$A$1:$B$9,2,FALSE)</f>
        <v>2</v>
      </c>
      <c r="I292" s="28">
        <f>VLOOKUP(E292,[1]Arkusz1!$A$1:$B$9,2,FALSE)</f>
        <v>2</v>
      </c>
      <c r="J292" s="38">
        <f t="shared" si="9"/>
        <v>30</v>
      </c>
    </row>
    <row r="293" spans="1:10" x14ac:dyDescent="0.3">
      <c r="A293" s="37">
        <v>41505</v>
      </c>
      <c r="B293" s="27" t="s">
        <v>73</v>
      </c>
      <c r="C293" s="27" t="s">
        <v>4</v>
      </c>
      <c r="D293" s="27" t="s">
        <v>69</v>
      </c>
      <c r="E293" s="27" t="s">
        <v>36</v>
      </c>
      <c r="F293" s="27">
        <v>17</v>
      </c>
      <c r="G293" s="28">
        <f t="shared" si="8"/>
        <v>2.5</v>
      </c>
      <c r="H293" s="28">
        <f>VLOOKUP(E293,Arkusz3!$A$1:$B$9,2,FALSE)</f>
        <v>2.5</v>
      </c>
      <c r="I293" s="28">
        <f>VLOOKUP(E293,[1]Arkusz1!$A$1:$B$9,2,FALSE)</f>
        <v>2.5</v>
      </c>
      <c r="J293" s="38">
        <f t="shared" si="9"/>
        <v>42.5</v>
      </c>
    </row>
    <row r="294" spans="1:10" x14ac:dyDescent="0.3">
      <c r="A294" s="37">
        <v>41487</v>
      </c>
      <c r="B294" s="27" t="s">
        <v>73</v>
      </c>
      <c r="C294" s="27" t="s">
        <v>5</v>
      </c>
      <c r="D294" s="27" t="s">
        <v>64</v>
      </c>
      <c r="E294" s="27" t="s">
        <v>41</v>
      </c>
      <c r="F294" s="27">
        <v>11</v>
      </c>
      <c r="G294" s="28">
        <f t="shared" si="8"/>
        <v>4</v>
      </c>
      <c r="H294" s="28">
        <f>VLOOKUP(E294,Arkusz3!$A$1:$B$9,2,FALSE)</f>
        <v>4</v>
      </c>
      <c r="I294" s="28">
        <f>VLOOKUP(E294,[1]Arkusz1!$A$1:$B$9,2,FALSE)</f>
        <v>4</v>
      </c>
      <c r="J294" s="38">
        <f t="shared" si="9"/>
        <v>44</v>
      </c>
    </row>
    <row r="295" spans="1:10" x14ac:dyDescent="0.3">
      <c r="A295" s="37">
        <v>41524</v>
      </c>
      <c r="B295" s="27" t="s">
        <v>67</v>
      </c>
      <c r="C295" s="27" t="s">
        <v>5</v>
      </c>
      <c r="D295" s="27" t="s">
        <v>72</v>
      </c>
      <c r="E295" s="27" t="s">
        <v>40</v>
      </c>
      <c r="F295" s="27">
        <v>20</v>
      </c>
      <c r="G295" s="28">
        <f t="shared" si="8"/>
        <v>1.5</v>
      </c>
      <c r="H295" s="28">
        <f>VLOOKUP(E295,Arkusz3!$A$1:$B$9,2,FALSE)</f>
        <v>1.5</v>
      </c>
      <c r="I295" s="28">
        <f>VLOOKUP(E295,[1]Arkusz1!$A$1:$B$9,2,FALSE)</f>
        <v>1.5</v>
      </c>
      <c r="J295" s="38">
        <f t="shared" si="9"/>
        <v>30</v>
      </c>
    </row>
    <row r="296" spans="1:10" x14ac:dyDescent="0.3">
      <c r="A296" s="37">
        <v>41530</v>
      </c>
      <c r="B296" s="27" t="s">
        <v>58</v>
      </c>
      <c r="C296" s="27" t="s">
        <v>3</v>
      </c>
      <c r="D296" s="27" t="s">
        <v>69</v>
      </c>
      <c r="E296" s="27" t="s">
        <v>41</v>
      </c>
      <c r="F296" s="27">
        <v>4</v>
      </c>
      <c r="G296" s="28">
        <f t="shared" si="8"/>
        <v>4</v>
      </c>
      <c r="H296" s="28">
        <f>VLOOKUP(E296,Arkusz3!$A$1:$B$9,2,FALSE)</f>
        <v>4</v>
      </c>
      <c r="I296" s="28">
        <f>VLOOKUP(E296,[1]Arkusz1!$A$1:$B$9,2,FALSE)</f>
        <v>4</v>
      </c>
      <c r="J296" s="38">
        <f t="shared" si="9"/>
        <v>16</v>
      </c>
    </row>
    <row r="297" spans="1:10" x14ac:dyDescent="0.3">
      <c r="A297" s="37">
        <v>41500</v>
      </c>
      <c r="B297" s="27" t="s">
        <v>67</v>
      </c>
      <c r="C297" s="27" t="s">
        <v>6</v>
      </c>
      <c r="D297" s="27" t="s">
        <v>63</v>
      </c>
      <c r="E297" s="27" t="s">
        <v>39</v>
      </c>
      <c r="F297" s="27">
        <v>5</v>
      </c>
      <c r="G297" s="28">
        <f t="shared" si="8"/>
        <v>0.1</v>
      </c>
      <c r="H297" s="28">
        <f>VLOOKUP(E297,Arkusz3!$A$1:$B$9,2,FALSE)</f>
        <v>0.1</v>
      </c>
      <c r="I297" s="28">
        <f>VLOOKUP(E297,[1]Arkusz1!$A$1:$B$9,2,FALSE)</f>
        <v>0.1</v>
      </c>
      <c r="J297" s="38">
        <f t="shared" si="9"/>
        <v>0.5</v>
      </c>
    </row>
    <row r="298" spans="1:10" x14ac:dyDescent="0.3">
      <c r="A298" s="37">
        <v>41440</v>
      </c>
      <c r="B298" s="27" t="s">
        <v>67</v>
      </c>
      <c r="C298" s="27" t="s">
        <v>5</v>
      </c>
      <c r="D298" s="27" t="s">
        <v>66</v>
      </c>
      <c r="E298" s="27" t="s">
        <v>40</v>
      </c>
      <c r="F298" s="27">
        <v>12</v>
      </c>
      <c r="G298" s="28">
        <f t="shared" si="8"/>
        <v>1.5</v>
      </c>
      <c r="H298" s="28">
        <f>VLOOKUP(E298,Arkusz3!$A$1:$B$9,2,FALSE)</f>
        <v>1.5</v>
      </c>
      <c r="I298" s="28">
        <f>VLOOKUP(E298,[1]Arkusz1!$A$1:$B$9,2,FALSE)</f>
        <v>1.5</v>
      </c>
      <c r="J298" s="38">
        <f t="shared" si="9"/>
        <v>18</v>
      </c>
    </row>
    <row r="299" spans="1:10" x14ac:dyDescent="0.3">
      <c r="A299" s="37">
        <v>41445</v>
      </c>
      <c r="B299" s="27" t="s">
        <v>73</v>
      </c>
      <c r="C299" s="27" t="s">
        <v>7</v>
      </c>
      <c r="D299" s="27" t="s">
        <v>63</v>
      </c>
      <c r="E299" s="27" t="s">
        <v>40</v>
      </c>
      <c r="F299" s="27">
        <v>14</v>
      </c>
      <c r="G299" s="28">
        <f t="shared" si="8"/>
        <v>1.5</v>
      </c>
      <c r="H299" s="28">
        <f>VLOOKUP(E299,Arkusz3!$A$1:$B$9,2,FALSE)</f>
        <v>1.5</v>
      </c>
      <c r="I299" s="28">
        <f>VLOOKUP(E299,[1]Arkusz1!$A$1:$B$9,2,FALSE)</f>
        <v>1.5</v>
      </c>
      <c r="J299" s="38">
        <f t="shared" si="9"/>
        <v>21</v>
      </c>
    </row>
    <row r="300" spans="1:10" x14ac:dyDescent="0.3">
      <c r="A300" s="37">
        <v>41615</v>
      </c>
      <c r="B300" s="27" t="s">
        <v>71</v>
      </c>
      <c r="C300" s="27" t="s">
        <v>4</v>
      </c>
      <c r="D300" s="27" t="s">
        <v>74</v>
      </c>
      <c r="E300" s="27" t="s">
        <v>34</v>
      </c>
      <c r="F300" s="27">
        <v>8</v>
      </c>
      <c r="G300" s="28">
        <f t="shared" si="8"/>
        <v>2</v>
      </c>
      <c r="H300" s="28">
        <f>VLOOKUP(E300,Arkusz3!$A$1:$B$9,2,FALSE)</f>
        <v>2</v>
      </c>
      <c r="I300" s="28">
        <f>VLOOKUP(E300,[1]Arkusz1!$A$1:$B$9,2,FALSE)</f>
        <v>2</v>
      </c>
      <c r="J300" s="38">
        <f t="shared" si="9"/>
        <v>16</v>
      </c>
    </row>
    <row r="301" spans="1:10" x14ac:dyDescent="0.3">
      <c r="A301" s="37">
        <v>41563</v>
      </c>
      <c r="B301" s="27" t="s">
        <v>62</v>
      </c>
      <c r="C301" s="27" t="s">
        <v>3</v>
      </c>
      <c r="D301" s="27" t="s">
        <v>68</v>
      </c>
      <c r="E301" s="27" t="s">
        <v>35</v>
      </c>
      <c r="F301" s="27">
        <v>10</v>
      </c>
      <c r="G301" s="28">
        <f t="shared" si="8"/>
        <v>0.5</v>
      </c>
      <c r="H301" s="28">
        <f>VLOOKUP(E301,Arkusz3!$A$1:$B$9,2,FALSE)</f>
        <v>0.5</v>
      </c>
      <c r="I301" s="28">
        <f>VLOOKUP(E301,[1]Arkusz1!$A$1:$B$9,2,FALSE)</f>
        <v>0.5</v>
      </c>
      <c r="J301" s="38">
        <f t="shared" si="9"/>
        <v>5</v>
      </c>
    </row>
    <row r="302" spans="1:10" x14ac:dyDescent="0.3">
      <c r="A302" s="37">
        <v>41600</v>
      </c>
      <c r="B302" s="27" t="s">
        <v>62</v>
      </c>
      <c r="C302" s="27" t="s">
        <v>6</v>
      </c>
      <c r="D302" s="27" t="s">
        <v>69</v>
      </c>
      <c r="E302" s="27" t="s">
        <v>35</v>
      </c>
      <c r="F302" s="27">
        <v>4</v>
      </c>
      <c r="G302" s="28">
        <f t="shared" si="8"/>
        <v>0.5</v>
      </c>
      <c r="H302" s="28">
        <f>VLOOKUP(E302,Arkusz3!$A$1:$B$9,2,FALSE)</f>
        <v>0.5</v>
      </c>
      <c r="I302" s="28">
        <f>VLOOKUP(E302,[1]Arkusz1!$A$1:$B$9,2,FALSE)</f>
        <v>0.5</v>
      </c>
      <c r="J302" s="38">
        <f t="shared" si="9"/>
        <v>2</v>
      </c>
    </row>
    <row r="303" spans="1:10" x14ac:dyDescent="0.3">
      <c r="A303" s="37">
        <v>41444</v>
      </c>
      <c r="B303" s="27" t="s">
        <v>58</v>
      </c>
      <c r="C303" s="27" t="s">
        <v>3</v>
      </c>
      <c r="D303" s="27" t="s">
        <v>68</v>
      </c>
      <c r="E303" s="27" t="s">
        <v>35</v>
      </c>
      <c r="F303" s="27">
        <v>14</v>
      </c>
      <c r="G303" s="28">
        <f t="shared" si="8"/>
        <v>0.5</v>
      </c>
      <c r="H303" s="28">
        <f>VLOOKUP(E303,Arkusz3!$A$1:$B$9,2,FALSE)</f>
        <v>0.5</v>
      </c>
      <c r="I303" s="28">
        <f>VLOOKUP(E303,[1]Arkusz1!$A$1:$B$9,2,FALSE)</f>
        <v>0.5</v>
      </c>
      <c r="J303" s="38">
        <f t="shared" si="9"/>
        <v>7</v>
      </c>
    </row>
    <row r="304" spans="1:10" x14ac:dyDescent="0.3">
      <c r="A304" s="37">
        <v>41527</v>
      </c>
      <c r="B304" s="27" t="s">
        <v>62</v>
      </c>
      <c r="C304" s="27" t="s">
        <v>6</v>
      </c>
      <c r="D304" s="27" t="s">
        <v>59</v>
      </c>
      <c r="E304" s="27" t="s">
        <v>37</v>
      </c>
      <c r="F304" s="27">
        <v>6</v>
      </c>
      <c r="G304" s="28">
        <f t="shared" si="8"/>
        <v>5</v>
      </c>
      <c r="H304" s="28">
        <f>VLOOKUP(E304,Arkusz3!$A$1:$B$9,2,FALSE)</f>
        <v>5</v>
      </c>
      <c r="I304" s="28">
        <f>VLOOKUP(E304,[1]Arkusz1!$A$1:$B$9,2,FALSE)</f>
        <v>5</v>
      </c>
      <c r="J304" s="38">
        <f t="shared" si="9"/>
        <v>30</v>
      </c>
    </row>
    <row r="305" spans="1:10" x14ac:dyDescent="0.3">
      <c r="A305" s="37">
        <v>41523</v>
      </c>
      <c r="B305" s="27" t="s">
        <v>71</v>
      </c>
      <c r="C305" s="27" t="s">
        <v>5</v>
      </c>
      <c r="D305" s="27" t="s">
        <v>68</v>
      </c>
      <c r="E305" s="27" t="s">
        <v>41</v>
      </c>
      <c r="F305" s="27">
        <v>11</v>
      </c>
      <c r="G305" s="28">
        <f t="shared" si="8"/>
        <v>4</v>
      </c>
      <c r="H305" s="28">
        <f>VLOOKUP(E305,Arkusz3!$A$1:$B$9,2,FALSE)</f>
        <v>4</v>
      </c>
      <c r="I305" s="28">
        <f>VLOOKUP(E305,[1]Arkusz1!$A$1:$B$9,2,FALSE)</f>
        <v>4</v>
      </c>
      <c r="J305" s="38">
        <f t="shared" si="9"/>
        <v>44</v>
      </c>
    </row>
    <row r="306" spans="1:10" x14ac:dyDescent="0.3">
      <c r="A306" s="37">
        <v>41483</v>
      </c>
      <c r="B306" s="27" t="s">
        <v>67</v>
      </c>
      <c r="C306" s="27" t="s">
        <v>4</v>
      </c>
      <c r="D306" s="27" t="s">
        <v>64</v>
      </c>
      <c r="E306" s="27" t="s">
        <v>34</v>
      </c>
      <c r="F306" s="27">
        <v>2</v>
      </c>
      <c r="G306" s="28">
        <f t="shared" si="8"/>
        <v>2</v>
      </c>
      <c r="H306" s="28">
        <f>VLOOKUP(E306,Arkusz3!$A$1:$B$9,2,FALSE)</f>
        <v>2</v>
      </c>
      <c r="I306" s="28">
        <f>VLOOKUP(E306,[1]Arkusz1!$A$1:$B$9,2,FALSE)</f>
        <v>2</v>
      </c>
      <c r="J306" s="38">
        <f t="shared" si="9"/>
        <v>4</v>
      </c>
    </row>
    <row r="307" spans="1:10" x14ac:dyDescent="0.3">
      <c r="A307" s="37">
        <v>41551</v>
      </c>
      <c r="B307" s="27" t="s">
        <v>73</v>
      </c>
      <c r="C307" s="27" t="s">
        <v>7</v>
      </c>
      <c r="D307" s="27" t="s">
        <v>60</v>
      </c>
      <c r="E307" s="27" t="s">
        <v>38</v>
      </c>
      <c r="F307" s="27">
        <v>13</v>
      </c>
      <c r="G307" s="28">
        <f t="shared" si="8"/>
        <v>0.2</v>
      </c>
      <c r="H307" s="28">
        <f>VLOOKUP(E307,Arkusz3!$A$1:$B$9,2,FALSE)</f>
        <v>0.2</v>
      </c>
      <c r="I307" s="28">
        <f>VLOOKUP(E307,[1]Arkusz1!$A$1:$B$9,2,FALSE)</f>
        <v>0.2</v>
      </c>
      <c r="J307" s="38">
        <f t="shared" si="9"/>
        <v>2.6</v>
      </c>
    </row>
    <row r="308" spans="1:10" x14ac:dyDescent="0.3">
      <c r="A308" s="37">
        <v>41566</v>
      </c>
      <c r="B308" s="27" t="s">
        <v>73</v>
      </c>
      <c r="C308" s="27" t="s">
        <v>7</v>
      </c>
      <c r="D308" s="27" t="s">
        <v>66</v>
      </c>
      <c r="E308" s="27" t="s">
        <v>37</v>
      </c>
      <c r="F308" s="27">
        <v>18</v>
      </c>
      <c r="G308" s="28">
        <f t="shared" si="8"/>
        <v>5</v>
      </c>
      <c r="H308" s="28">
        <f>VLOOKUP(E308,Arkusz3!$A$1:$B$9,2,FALSE)</f>
        <v>5</v>
      </c>
      <c r="I308" s="28">
        <f>VLOOKUP(E308,[1]Arkusz1!$A$1:$B$9,2,FALSE)</f>
        <v>5</v>
      </c>
      <c r="J308" s="38">
        <f t="shared" si="9"/>
        <v>90</v>
      </c>
    </row>
    <row r="309" spans="1:10" x14ac:dyDescent="0.3">
      <c r="A309" s="37">
        <v>41622</v>
      </c>
      <c r="B309" s="27" t="s">
        <v>58</v>
      </c>
      <c r="C309" s="27" t="s">
        <v>6</v>
      </c>
      <c r="D309" s="27" t="s">
        <v>63</v>
      </c>
      <c r="E309" s="27" t="s">
        <v>35</v>
      </c>
      <c r="F309" s="27">
        <v>7</v>
      </c>
      <c r="G309" s="28">
        <f t="shared" si="8"/>
        <v>0.5</v>
      </c>
      <c r="H309" s="28">
        <f>VLOOKUP(E309,Arkusz3!$A$1:$B$9,2,FALSE)</f>
        <v>0.5</v>
      </c>
      <c r="I309" s="28">
        <f>VLOOKUP(E309,[1]Arkusz1!$A$1:$B$9,2,FALSE)</f>
        <v>0.5</v>
      </c>
      <c r="J309" s="38">
        <f t="shared" si="9"/>
        <v>3.5</v>
      </c>
    </row>
    <row r="310" spans="1:10" x14ac:dyDescent="0.3">
      <c r="A310" s="37">
        <v>41613</v>
      </c>
      <c r="B310" s="27" t="s">
        <v>58</v>
      </c>
      <c r="C310" s="27" t="s">
        <v>4</v>
      </c>
      <c r="D310" s="27" t="s">
        <v>66</v>
      </c>
      <c r="E310" s="27" t="s">
        <v>40</v>
      </c>
      <c r="F310" s="27">
        <v>17</v>
      </c>
      <c r="G310" s="28">
        <f t="shared" si="8"/>
        <v>1.5</v>
      </c>
      <c r="H310" s="28">
        <f>VLOOKUP(E310,Arkusz3!$A$1:$B$9,2,FALSE)</f>
        <v>1.5</v>
      </c>
      <c r="I310" s="28">
        <f>VLOOKUP(E310,[1]Arkusz1!$A$1:$B$9,2,FALSE)</f>
        <v>1.5</v>
      </c>
      <c r="J310" s="38">
        <f t="shared" si="9"/>
        <v>25.5</v>
      </c>
    </row>
    <row r="311" spans="1:10" x14ac:dyDescent="0.3">
      <c r="A311" s="37">
        <v>41522</v>
      </c>
      <c r="B311" s="27" t="s">
        <v>62</v>
      </c>
      <c r="C311" s="27" t="s">
        <v>6</v>
      </c>
      <c r="D311" s="27" t="s">
        <v>72</v>
      </c>
      <c r="E311" s="27" t="s">
        <v>34</v>
      </c>
      <c r="F311" s="27">
        <v>17</v>
      </c>
      <c r="G311" s="28">
        <f t="shared" si="8"/>
        <v>2</v>
      </c>
      <c r="H311" s="28">
        <f>VLOOKUP(E311,Arkusz3!$A$1:$B$9,2,FALSE)</f>
        <v>2</v>
      </c>
      <c r="I311" s="28">
        <f>VLOOKUP(E311,[1]Arkusz1!$A$1:$B$9,2,FALSE)</f>
        <v>2</v>
      </c>
      <c r="J311" s="38">
        <f t="shared" si="9"/>
        <v>34</v>
      </c>
    </row>
    <row r="312" spans="1:10" x14ac:dyDescent="0.3">
      <c r="A312" s="37">
        <v>41495</v>
      </c>
      <c r="B312" s="27" t="s">
        <v>62</v>
      </c>
      <c r="C312" s="27" t="s">
        <v>5</v>
      </c>
      <c r="D312" s="27" t="s">
        <v>68</v>
      </c>
      <c r="E312" s="27" t="s">
        <v>36</v>
      </c>
      <c r="F312" s="27">
        <v>6</v>
      </c>
      <c r="G312" s="28">
        <f t="shared" si="8"/>
        <v>2.5</v>
      </c>
      <c r="H312" s="28">
        <f>VLOOKUP(E312,Arkusz3!$A$1:$B$9,2,FALSE)</f>
        <v>2.5</v>
      </c>
      <c r="I312" s="28">
        <f>VLOOKUP(E312,[1]Arkusz1!$A$1:$B$9,2,FALSE)</f>
        <v>2.5</v>
      </c>
      <c r="J312" s="38">
        <f t="shared" si="9"/>
        <v>15</v>
      </c>
    </row>
    <row r="313" spans="1:10" x14ac:dyDescent="0.3">
      <c r="A313" s="37">
        <v>41639</v>
      </c>
      <c r="B313" s="27" t="s">
        <v>67</v>
      </c>
      <c r="C313" s="27" t="s">
        <v>6</v>
      </c>
      <c r="D313" s="27" t="s">
        <v>61</v>
      </c>
      <c r="E313" s="27" t="s">
        <v>36</v>
      </c>
      <c r="F313" s="27">
        <v>17</v>
      </c>
      <c r="G313" s="28">
        <f t="shared" si="8"/>
        <v>2.5</v>
      </c>
      <c r="H313" s="28">
        <f>VLOOKUP(E313,Arkusz3!$A$1:$B$9,2,FALSE)</f>
        <v>2.5</v>
      </c>
      <c r="I313" s="28">
        <f>VLOOKUP(E313,[1]Arkusz1!$A$1:$B$9,2,FALSE)</f>
        <v>2.5</v>
      </c>
      <c r="J313" s="38">
        <f t="shared" si="9"/>
        <v>42.5</v>
      </c>
    </row>
    <row r="314" spans="1:10" x14ac:dyDescent="0.3">
      <c r="A314" s="37">
        <v>41569</v>
      </c>
      <c r="B314" s="27" t="s">
        <v>67</v>
      </c>
      <c r="C314" s="27" t="s">
        <v>5</v>
      </c>
      <c r="D314" s="27" t="s">
        <v>74</v>
      </c>
      <c r="E314" s="27" t="s">
        <v>35</v>
      </c>
      <c r="F314" s="27">
        <v>20</v>
      </c>
      <c r="G314" s="28">
        <f t="shared" si="8"/>
        <v>0.5</v>
      </c>
      <c r="H314" s="28">
        <f>VLOOKUP(E314,Arkusz3!$A$1:$B$9,2,FALSE)</f>
        <v>0.5</v>
      </c>
      <c r="I314" s="28">
        <f>VLOOKUP(E314,[1]Arkusz1!$A$1:$B$9,2,FALSE)</f>
        <v>0.5</v>
      </c>
      <c r="J314" s="38">
        <f t="shared" si="9"/>
        <v>10</v>
      </c>
    </row>
    <row r="315" spans="1:10" x14ac:dyDescent="0.3">
      <c r="A315" s="37">
        <v>41595</v>
      </c>
      <c r="B315" s="27" t="s">
        <v>58</v>
      </c>
      <c r="C315" s="27" t="s">
        <v>6</v>
      </c>
      <c r="D315" s="27" t="s">
        <v>60</v>
      </c>
      <c r="E315" s="27" t="s">
        <v>38</v>
      </c>
      <c r="F315" s="27">
        <v>14</v>
      </c>
      <c r="G315" s="28">
        <f t="shared" si="8"/>
        <v>0.2</v>
      </c>
      <c r="H315" s="28">
        <f>VLOOKUP(E315,Arkusz3!$A$1:$B$9,2,FALSE)</f>
        <v>0.2</v>
      </c>
      <c r="I315" s="28">
        <f>VLOOKUP(E315,[1]Arkusz1!$A$1:$B$9,2,FALSE)</f>
        <v>0.2</v>
      </c>
      <c r="J315" s="38">
        <f t="shared" si="9"/>
        <v>2.8000000000000003</v>
      </c>
    </row>
    <row r="316" spans="1:10" x14ac:dyDescent="0.3">
      <c r="A316" s="37">
        <v>41494</v>
      </c>
      <c r="B316" s="27" t="s">
        <v>58</v>
      </c>
      <c r="C316" s="27" t="s">
        <v>4</v>
      </c>
      <c r="D316" s="27" t="s">
        <v>66</v>
      </c>
      <c r="E316" s="27" t="s">
        <v>41</v>
      </c>
      <c r="F316" s="27">
        <v>8</v>
      </c>
      <c r="G316" s="28">
        <f t="shared" si="8"/>
        <v>4</v>
      </c>
      <c r="H316" s="28">
        <f>VLOOKUP(E316,Arkusz3!$A$1:$B$9,2,FALSE)</f>
        <v>4</v>
      </c>
      <c r="I316" s="28">
        <f>VLOOKUP(E316,[1]Arkusz1!$A$1:$B$9,2,FALSE)</f>
        <v>4</v>
      </c>
      <c r="J316" s="38">
        <f t="shared" si="9"/>
        <v>32</v>
      </c>
    </row>
    <row r="317" spans="1:10" x14ac:dyDescent="0.3">
      <c r="A317" s="37">
        <v>41582</v>
      </c>
      <c r="B317" s="27" t="s">
        <v>62</v>
      </c>
      <c r="C317" s="27" t="s">
        <v>6</v>
      </c>
      <c r="D317" s="27" t="s">
        <v>61</v>
      </c>
      <c r="E317" s="27" t="s">
        <v>41</v>
      </c>
      <c r="F317" s="27">
        <v>5</v>
      </c>
      <c r="G317" s="28">
        <f t="shared" si="8"/>
        <v>4</v>
      </c>
      <c r="H317" s="28">
        <f>VLOOKUP(E317,Arkusz3!$A$1:$B$9,2,FALSE)</f>
        <v>4</v>
      </c>
      <c r="I317" s="28">
        <f>VLOOKUP(E317,[1]Arkusz1!$A$1:$B$9,2,FALSE)</f>
        <v>4</v>
      </c>
      <c r="J317" s="38">
        <f t="shared" si="9"/>
        <v>20</v>
      </c>
    </row>
    <row r="318" spans="1:10" x14ac:dyDescent="0.3">
      <c r="A318" s="37">
        <v>41573</v>
      </c>
      <c r="B318" s="27" t="s">
        <v>58</v>
      </c>
      <c r="C318" s="27" t="s">
        <v>6</v>
      </c>
      <c r="D318" s="27" t="s">
        <v>64</v>
      </c>
      <c r="E318" s="27" t="s">
        <v>35</v>
      </c>
      <c r="F318" s="27">
        <v>14</v>
      </c>
      <c r="G318" s="28">
        <f t="shared" si="8"/>
        <v>0.5</v>
      </c>
      <c r="H318" s="28">
        <f>VLOOKUP(E318,Arkusz3!$A$1:$B$9,2,FALSE)</f>
        <v>0.5</v>
      </c>
      <c r="I318" s="28">
        <f>VLOOKUP(E318,[1]Arkusz1!$A$1:$B$9,2,FALSE)</f>
        <v>0.5</v>
      </c>
      <c r="J318" s="38">
        <f t="shared" si="9"/>
        <v>7</v>
      </c>
    </row>
    <row r="319" spans="1:10" x14ac:dyDescent="0.3">
      <c r="A319" s="37">
        <v>41561</v>
      </c>
      <c r="B319" s="27" t="s">
        <v>62</v>
      </c>
      <c r="C319" s="27" t="s">
        <v>4</v>
      </c>
      <c r="D319" s="27" t="s">
        <v>64</v>
      </c>
      <c r="E319" s="27" t="s">
        <v>34</v>
      </c>
      <c r="F319" s="27">
        <v>4</v>
      </c>
      <c r="G319" s="28">
        <f t="shared" si="8"/>
        <v>2</v>
      </c>
      <c r="H319" s="28">
        <f>VLOOKUP(E319,Arkusz3!$A$1:$B$9,2,FALSE)</f>
        <v>2</v>
      </c>
      <c r="I319" s="28">
        <f>VLOOKUP(E319,[1]Arkusz1!$A$1:$B$9,2,FALSE)</f>
        <v>2</v>
      </c>
      <c r="J319" s="38">
        <f t="shared" si="9"/>
        <v>8</v>
      </c>
    </row>
    <row r="320" spans="1:10" x14ac:dyDescent="0.3">
      <c r="A320" s="37">
        <v>41602</v>
      </c>
      <c r="B320" s="27" t="s">
        <v>62</v>
      </c>
      <c r="C320" s="27" t="s">
        <v>7</v>
      </c>
      <c r="D320" s="27" t="s">
        <v>63</v>
      </c>
      <c r="E320" s="27" t="s">
        <v>37</v>
      </c>
      <c r="F320" s="27">
        <v>15</v>
      </c>
      <c r="G320" s="28">
        <f t="shared" si="8"/>
        <v>5</v>
      </c>
      <c r="H320" s="28">
        <f>VLOOKUP(E320,Arkusz3!$A$1:$B$9,2,FALSE)</f>
        <v>5</v>
      </c>
      <c r="I320" s="28">
        <f>VLOOKUP(E320,[1]Arkusz1!$A$1:$B$9,2,FALSE)</f>
        <v>5</v>
      </c>
      <c r="J320" s="38">
        <f t="shared" si="9"/>
        <v>75</v>
      </c>
    </row>
    <row r="321" spans="1:10" x14ac:dyDescent="0.3">
      <c r="A321" s="37">
        <v>41633</v>
      </c>
      <c r="B321" s="27" t="s">
        <v>62</v>
      </c>
      <c r="C321" s="27" t="s">
        <v>4</v>
      </c>
      <c r="D321" s="27" t="s">
        <v>70</v>
      </c>
      <c r="E321" s="27" t="s">
        <v>38</v>
      </c>
      <c r="F321" s="27">
        <v>4</v>
      </c>
      <c r="G321" s="28">
        <f t="shared" si="8"/>
        <v>0.2</v>
      </c>
      <c r="H321" s="28">
        <f>VLOOKUP(E321,Arkusz3!$A$1:$B$9,2,FALSE)</f>
        <v>0.2</v>
      </c>
      <c r="I321" s="28">
        <f>VLOOKUP(E321,[1]Arkusz1!$A$1:$B$9,2,FALSE)</f>
        <v>0.2</v>
      </c>
      <c r="J321" s="38">
        <f t="shared" si="9"/>
        <v>0.8</v>
      </c>
    </row>
    <row r="322" spans="1:10" x14ac:dyDescent="0.3">
      <c r="A322" s="37">
        <v>41554</v>
      </c>
      <c r="B322" s="27" t="s">
        <v>58</v>
      </c>
      <c r="C322" s="27" t="s">
        <v>6</v>
      </c>
      <c r="D322" s="27" t="s">
        <v>61</v>
      </c>
      <c r="E322" s="27" t="s">
        <v>36</v>
      </c>
      <c r="F322" s="27">
        <v>7</v>
      </c>
      <c r="G322" s="28">
        <f t="shared" si="8"/>
        <v>2.5</v>
      </c>
      <c r="H322" s="28">
        <f>VLOOKUP(E322,Arkusz3!$A$1:$B$9,2,FALSE)</f>
        <v>2.5</v>
      </c>
      <c r="I322" s="28">
        <f>VLOOKUP(E322,[1]Arkusz1!$A$1:$B$9,2,FALSE)</f>
        <v>2.5</v>
      </c>
      <c r="J322" s="38">
        <f t="shared" si="9"/>
        <v>17.5</v>
      </c>
    </row>
    <row r="323" spans="1:10" x14ac:dyDescent="0.3">
      <c r="A323" s="37">
        <v>41446</v>
      </c>
      <c r="B323" s="27" t="s">
        <v>67</v>
      </c>
      <c r="C323" s="27" t="s">
        <v>3</v>
      </c>
      <c r="D323" s="27" t="s">
        <v>69</v>
      </c>
      <c r="E323" s="27" t="s">
        <v>38</v>
      </c>
      <c r="F323" s="27">
        <v>12</v>
      </c>
      <c r="G323" s="28">
        <f t="shared" ref="G323:G325" si="10">VLOOKUP(E323,$L$2:$M$9,2,FALSE)</f>
        <v>0.2</v>
      </c>
      <c r="H323" s="28">
        <f>VLOOKUP(E323,Arkusz3!$A$1:$B$9,2,FALSE)</f>
        <v>0.2</v>
      </c>
      <c r="I323" s="28">
        <f>VLOOKUP(E323,[1]Arkusz1!$A$1:$B$9,2,FALSE)</f>
        <v>0.2</v>
      </c>
      <c r="J323" s="38">
        <f t="shared" ref="J323:J325" si="11">F323*G323</f>
        <v>2.4000000000000004</v>
      </c>
    </row>
    <row r="324" spans="1:10" x14ac:dyDescent="0.3">
      <c r="A324" s="37">
        <v>41635</v>
      </c>
      <c r="B324" s="27" t="s">
        <v>71</v>
      </c>
      <c r="C324" s="27" t="s">
        <v>7</v>
      </c>
      <c r="D324" s="27" t="s">
        <v>68</v>
      </c>
      <c r="E324" s="27" t="s">
        <v>35</v>
      </c>
      <c r="F324" s="27">
        <v>5</v>
      </c>
      <c r="G324" s="28">
        <f t="shared" si="10"/>
        <v>0.5</v>
      </c>
      <c r="H324" s="28">
        <f>VLOOKUP(E324,Arkusz3!$A$1:$B$9,2,FALSE)</f>
        <v>0.5</v>
      </c>
      <c r="I324" s="28">
        <f>VLOOKUP(E324,[1]Arkusz1!$A$1:$B$9,2,FALSE)</f>
        <v>0.5</v>
      </c>
      <c r="J324" s="38">
        <f t="shared" si="11"/>
        <v>2.5</v>
      </c>
    </row>
    <row r="325" spans="1:10" x14ac:dyDescent="0.3">
      <c r="A325" s="37">
        <v>41569</v>
      </c>
      <c r="B325" s="27" t="s">
        <v>71</v>
      </c>
      <c r="C325" s="27" t="s">
        <v>4</v>
      </c>
      <c r="D325" s="27" t="s">
        <v>68</v>
      </c>
      <c r="E325" s="27" t="s">
        <v>36</v>
      </c>
      <c r="F325" s="27">
        <v>13</v>
      </c>
      <c r="G325" s="28">
        <f t="shared" si="10"/>
        <v>2.5</v>
      </c>
      <c r="H325" s="28">
        <f>VLOOKUP(E325,Arkusz3!$A$1:$B$9,2,FALSE)</f>
        <v>2.5</v>
      </c>
      <c r="I325" s="28">
        <f>VLOOKUP(E325,[1]Arkusz1!$A$1:$B$9,2,FALSE)</f>
        <v>2.5</v>
      </c>
      <c r="J325" s="38">
        <f t="shared" si="11"/>
        <v>32.5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A3F2"/>
  </sheetPr>
  <dimension ref="A1:K325"/>
  <sheetViews>
    <sheetView zoomScale="130" zoomScaleNormal="130" workbookViewId="0">
      <selection activeCell="A4" sqref="A1:A1048576"/>
    </sheetView>
  </sheetViews>
  <sheetFormatPr defaultRowHeight="14.4" x14ac:dyDescent="0.3"/>
  <cols>
    <col min="1" max="1" width="11.109375" style="2" bestFit="1" customWidth="1"/>
    <col min="2" max="2" width="12.6640625" style="2" customWidth="1"/>
    <col min="3" max="3" width="15" style="2" customWidth="1"/>
    <col min="4" max="4" width="9.6640625" style="2" bestFit="1" customWidth="1"/>
    <col min="5" max="5" width="10.6640625" style="2" bestFit="1" customWidth="1"/>
    <col min="6" max="6" width="8.88671875" style="2" bestFit="1" customWidth="1"/>
    <col min="7" max="7" width="9.5546875" style="2" customWidth="1"/>
    <col min="8" max="8" width="9.6640625" style="2" customWidth="1"/>
    <col min="9" max="9" width="4.5546875" style="2" customWidth="1"/>
    <col min="10" max="10" width="10.6640625" style="2" bestFit="1" customWidth="1"/>
    <col min="11" max="16384" width="8.88671875" style="2"/>
  </cols>
  <sheetData>
    <row r="1" spans="1:11" x14ac:dyDescent="0.3">
      <c r="A1" s="23" t="s">
        <v>55</v>
      </c>
      <c r="B1" s="24" t="s">
        <v>1</v>
      </c>
      <c r="C1" s="24" t="s">
        <v>2</v>
      </c>
      <c r="D1" s="24" t="s">
        <v>56</v>
      </c>
      <c r="E1" s="24" t="s">
        <v>0</v>
      </c>
      <c r="F1" s="24" t="s">
        <v>94</v>
      </c>
      <c r="G1" s="24" t="s">
        <v>33</v>
      </c>
      <c r="H1" s="25" t="s">
        <v>57</v>
      </c>
      <c r="J1" s="23" t="s">
        <v>0</v>
      </c>
      <c r="K1" s="25" t="s">
        <v>33</v>
      </c>
    </row>
    <row r="2" spans="1:11" x14ac:dyDescent="0.3">
      <c r="A2" s="26">
        <v>41553</v>
      </c>
      <c r="B2" s="27" t="s">
        <v>58</v>
      </c>
      <c r="C2" s="27" t="s">
        <v>3</v>
      </c>
      <c r="D2" s="27" t="s">
        <v>59</v>
      </c>
      <c r="E2" s="27" t="s">
        <v>35</v>
      </c>
      <c r="F2" s="27">
        <v>19</v>
      </c>
      <c r="G2" s="28">
        <f>VLOOKUP(tblSprzedaż[[#This Row],[Produkt]],tblProdukty[],2,FALSE)</f>
        <v>0.5</v>
      </c>
      <c r="H2" s="29">
        <f>F2*G2</f>
        <v>9.5</v>
      </c>
      <c r="J2" s="30" t="s">
        <v>34</v>
      </c>
      <c r="K2" s="29">
        <v>2</v>
      </c>
    </row>
    <row r="3" spans="1:11" x14ac:dyDescent="0.3">
      <c r="A3" s="26">
        <v>41433</v>
      </c>
      <c r="B3" s="27" t="s">
        <v>62</v>
      </c>
      <c r="C3" s="27" t="s">
        <v>4</v>
      </c>
      <c r="D3" s="27" t="s">
        <v>63</v>
      </c>
      <c r="E3" s="27" t="s">
        <v>39</v>
      </c>
      <c r="F3" s="27">
        <v>12</v>
      </c>
      <c r="G3" s="28">
        <f>VLOOKUP(tblSprzedaż[[#This Row],[Produkt]],tblProdukty[],2,FALSE)</f>
        <v>0.1</v>
      </c>
      <c r="H3" s="29">
        <f t="shared" ref="H3:H66" si="0">F3*G3</f>
        <v>1.2000000000000002</v>
      </c>
      <c r="J3" s="30" t="s">
        <v>35</v>
      </c>
      <c r="K3" s="29">
        <v>0.5</v>
      </c>
    </row>
    <row r="4" spans="1:11" x14ac:dyDescent="0.3">
      <c r="A4" s="26">
        <v>41454</v>
      </c>
      <c r="B4" s="27" t="s">
        <v>62</v>
      </c>
      <c r="C4" s="27" t="s">
        <v>4</v>
      </c>
      <c r="D4" s="27" t="s">
        <v>65</v>
      </c>
      <c r="E4" s="27" t="s">
        <v>35</v>
      </c>
      <c r="F4" s="27">
        <v>15</v>
      </c>
      <c r="G4" s="28">
        <f>VLOOKUP(tblSprzedaż[[#This Row],[Produkt]],tblProdukty[],2,FALSE)</f>
        <v>0.5</v>
      </c>
      <c r="H4" s="29">
        <f t="shared" si="0"/>
        <v>7.5</v>
      </c>
      <c r="J4" s="30" t="s">
        <v>36</v>
      </c>
      <c r="K4" s="29">
        <v>2.5</v>
      </c>
    </row>
    <row r="5" spans="1:11" x14ac:dyDescent="0.3">
      <c r="A5" s="26">
        <v>41608</v>
      </c>
      <c r="B5" s="27" t="s">
        <v>67</v>
      </c>
      <c r="C5" s="27" t="s">
        <v>4</v>
      </c>
      <c r="D5" s="27" t="s">
        <v>68</v>
      </c>
      <c r="E5" s="27" t="s">
        <v>39</v>
      </c>
      <c r="F5" s="27">
        <v>4</v>
      </c>
      <c r="G5" s="28">
        <f>VLOOKUP(tblSprzedaż[[#This Row],[Produkt]],tblProdukty[],2,FALSE)</f>
        <v>0.1</v>
      </c>
      <c r="H5" s="29">
        <f t="shared" si="0"/>
        <v>0.4</v>
      </c>
      <c r="J5" s="30" t="s">
        <v>37</v>
      </c>
      <c r="K5" s="29">
        <v>5</v>
      </c>
    </row>
    <row r="6" spans="1:11" x14ac:dyDescent="0.3">
      <c r="A6" s="26">
        <v>41602</v>
      </c>
      <c r="B6" s="27" t="s">
        <v>67</v>
      </c>
      <c r="C6" s="27" t="s">
        <v>4</v>
      </c>
      <c r="D6" s="27" t="s">
        <v>66</v>
      </c>
      <c r="E6" s="27" t="s">
        <v>39</v>
      </c>
      <c r="F6" s="27">
        <v>6</v>
      </c>
      <c r="G6" s="28">
        <f>VLOOKUP(tblSprzedaż[[#This Row],[Produkt]],tblProdukty[],2,FALSE)</f>
        <v>0.1</v>
      </c>
      <c r="H6" s="29">
        <f t="shared" si="0"/>
        <v>0.60000000000000009</v>
      </c>
      <c r="J6" s="30" t="s">
        <v>38</v>
      </c>
      <c r="K6" s="29">
        <v>0.2</v>
      </c>
    </row>
    <row r="7" spans="1:11" x14ac:dyDescent="0.3">
      <c r="A7" s="26">
        <v>41589</v>
      </c>
      <c r="B7" s="27" t="s">
        <v>58</v>
      </c>
      <c r="C7" s="27" t="s">
        <v>3</v>
      </c>
      <c r="D7" s="27" t="s">
        <v>63</v>
      </c>
      <c r="E7" s="27" t="s">
        <v>41</v>
      </c>
      <c r="F7" s="27">
        <v>20</v>
      </c>
      <c r="G7" s="28">
        <f>VLOOKUP(tblSprzedaż[[#This Row],[Produkt]],tblProdukty[],2,FALSE)</f>
        <v>4</v>
      </c>
      <c r="H7" s="29">
        <f t="shared" si="0"/>
        <v>80</v>
      </c>
      <c r="J7" s="30" t="s">
        <v>39</v>
      </c>
      <c r="K7" s="29">
        <v>0.1</v>
      </c>
    </row>
    <row r="8" spans="1:11" x14ac:dyDescent="0.3">
      <c r="A8" s="26">
        <v>41503</v>
      </c>
      <c r="B8" s="27" t="s">
        <v>58</v>
      </c>
      <c r="C8" s="27" t="s">
        <v>4</v>
      </c>
      <c r="D8" s="27" t="s">
        <v>70</v>
      </c>
      <c r="E8" s="27" t="s">
        <v>36</v>
      </c>
      <c r="F8" s="27">
        <v>4</v>
      </c>
      <c r="G8" s="28">
        <f>VLOOKUP(tblSprzedaż[[#This Row],[Produkt]],tblProdukty[],2,FALSE)</f>
        <v>2.5</v>
      </c>
      <c r="H8" s="29">
        <f t="shared" si="0"/>
        <v>10</v>
      </c>
      <c r="J8" s="30" t="s">
        <v>40</v>
      </c>
      <c r="K8" s="29">
        <v>1.5</v>
      </c>
    </row>
    <row r="9" spans="1:11" x14ac:dyDescent="0.3">
      <c r="A9" s="26">
        <v>41434</v>
      </c>
      <c r="B9" s="27" t="s">
        <v>62</v>
      </c>
      <c r="C9" s="27" t="s">
        <v>5</v>
      </c>
      <c r="D9" s="27" t="s">
        <v>60</v>
      </c>
      <c r="E9" s="27" t="s">
        <v>36</v>
      </c>
      <c r="F9" s="27">
        <v>1</v>
      </c>
      <c r="G9" s="28">
        <f>VLOOKUP(tblSprzedaż[[#This Row],[Produkt]],tblProdukty[],2,FALSE)</f>
        <v>2.5</v>
      </c>
      <c r="H9" s="29">
        <f t="shared" si="0"/>
        <v>2.5</v>
      </c>
      <c r="J9" s="31" t="s">
        <v>41</v>
      </c>
      <c r="K9" s="32">
        <v>4</v>
      </c>
    </row>
    <row r="10" spans="1:11" x14ac:dyDescent="0.3">
      <c r="A10" s="26">
        <v>41582</v>
      </c>
      <c r="B10" s="27" t="s">
        <v>58</v>
      </c>
      <c r="C10" s="27" t="s">
        <v>5</v>
      </c>
      <c r="D10" s="27" t="s">
        <v>64</v>
      </c>
      <c r="E10" s="27" t="s">
        <v>38</v>
      </c>
      <c r="F10" s="27">
        <v>11</v>
      </c>
      <c r="G10" s="28">
        <f>VLOOKUP(tblSprzedaż[[#This Row],[Produkt]],tblProdukty[],2,FALSE)</f>
        <v>0.2</v>
      </c>
      <c r="H10" s="29">
        <f t="shared" si="0"/>
        <v>2.2000000000000002</v>
      </c>
    </row>
    <row r="11" spans="1:11" x14ac:dyDescent="0.3">
      <c r="A11" s="26">
        <v>41633</v>
      </c>
      <c r="B11" s="27" t="s">
        <v>62</v>
      </c>
      <c r="C11" s="27" t="s">
        <v>5</v>
      </c>
      <c r="D11" s="27" t="s">
        <v>59</v>
      </c>
      <c r="E11" s="27" t="s">
        <v>38</v>
      </c>
      <c r="F11" s="27">
        <v>20</v>
      </c>
      <c r="G11" s="28">
        <f>VLOOKUP(tblSprzedaż[[#This Row],[Produkt]],tblProdukty[],2,FALSE)</f>
        <v>0.2</v>
      </c>
      <c r="H11" s="29">
        <f t="shared" si="0"/>
        <v>4</v>
      </c>
    </row>
    <row r="12" spans="1:11" x14ac:dyDescent="0.3">
      <c r="A12" s="26">
        <v>41604</v>
      </c>
      <c r="B12" s="27" t="s">
        <v>62</v>
      </c>
      <c r="C12" s="27" t="s">
        <v>4</v>
      </c>
      <c r="D12" s="27" t="s">
        <v>68</v>
      </c>
      <c r="E12" s="27" t="s">
        <v>34</v>
      </c>
      <c r="F12" s="27">
        <v>8</v>
      </c>
      <c r="G12" s="28">
        <f>VLOOKUP(tblSprzedaż[[#This Row],[Produkt]],tblProdukty[],2,FALSE)</f>
        <v>2</v>
      </c>
      <c r="H12" s="29">
        <f t="shared" si="0"/>
        <v>16</v>
      </c>
    </row>
    <row r="13" spans="1:11" x14ac:dyDescent="0.3">
      <c r="A13" s="26">
        <v>41455</v>
      </c>
      <c r="B13" s="27" t="s">
        <v>62</v>
      </c>
      <c r="C13" s="27" t="s">
        <v>5</v>
      </c>
      <c r="D13" s="27" t="s">
        <v>60</v>
      </c>
      <c r="E13" s="27" t="s">
        <v>41</v>
      </c>
      <c r="F13" s="27">
        <v>12</v>
      </c>
      <c r="G13" s="28">
        <f>VLOOKUP(tblSprzedaż[[#This Row],[Produkt]],tblProdukty[],2,FALSE)</f>
        <v>4</v>
      </c>
      <c r="H13" s="29">
        <f t="shared" si="0"/>
        <v>48</v>
      </c>
    </row>
    <row r="14" spans="1:11" x14ac:dyDescent="0.3">
      <c r="A14" s="26">
        <v>41454</v>
      </c>
      <c r="B14" s="27" t="s">
        <v>58</v>
      </c>
      <c r="C14" s="27" t="s">
        <v>6</v>
      </c>
      <c r="D14" s="27" t="s">
        <v>72</v>
      </c>
      <c r="E14" s="27" t="s">
        <v>39</v>
      </c>
      <c r="F14" s="27">
        <v>11</v>
      </c>
      <c r="G14" s="28">
        <f>VLOOKUP(tblSprzedaż[[#This Row],[Produkt]],tblProdukty[],2,FALSE)</f>
        <v>0.1</v>
      </c>
      <c r="H14" s="29">
        <f t="shared" si="0"/>
        <v>1.1000000000000001</v>
      </c>
    </row>
    <row r="15" spans="1:11" x14ac:dyDescent="0.3">
      <c r="A15" s="26">
        <v>41618</v>
      </c>
      <c r="B15" s="27" t="s">
        <v>67</v>
      </c>
      <c r="C15" s="27" t="s">
        <v>4</v>
      </c>
      <c r="D15" s="27" t="s">
        <v>65</v>
      </c>
      <c r="E15" s="27" t="s">
        <v>40</v>
      </c>
      <c r="F15" s="27">
        <v>5</v>
      </c>
      <c r="G15" s="28">
        <f>VLOOKUP(tblSprzedaż[[#This Row],[Produkt]],tblProdukty[],2,FALSE)</f>
        <v>1.5</v>
      </c>
      <c r="H15" s="29">
        <f t="shared" si="0"/>
        <v>7.5</v>
      </c>
    </row>
    <row r="16" spans="1:11" x14ac:dyDescent="0.3">
      <c r="A16" s="26">
        <v>41524</v>
      </c>
      <c r="B16" s="27" t="s">
        <v>71</v>
      </c>
      <c r="C16" s="27" t="s">
        <v>6</v>
      </c>
      <c r="D16" s="27" t="s">
        <v>59</v>
      </c>
      <c r="E16" s="27" t="s">
        <v>34</v>
      </c>
      <c r="F16" s="27">
        <v>13</v>
      </c>
      <c r="G16" s="28">
        <f>VLOOKUP(tblSprzedaż[[#This Row],[Produkt]],tblProdukty[],2,FALSE)</f>
        <v>2</v>
      </c>
      <c r="H16" s="29">
        <f t="shared" si="0"/>
        <v>26</v>
      </c>
    </row>
    <row r="17" spans="1:8" x14ac:dyDescent="0.3">
      <c r="A17" s="26">
        <v>41574</v>
      </c>
      <c r="B17" s="27" t="s">
        <v>71</v>
      </c>
      <c r="C17" s="27" t="s">
        <v>3</v>
      </c>
      <c r="D17" s="27" t="s">
        <v>68</v>
      </c>
      <c r="E17" s="27" t="s">
        <v>36</v>
      </c>
      <c r="F17" s="27">
        <v>14</v>
      </c>
      <c r="G17" s="28">
        <f>VLOOKUP(tblSprzedaż[[#This Row],[Produkt]],tblProdukty[],2,FALSE)</f>
        <v>2.5</v>
      </c>
      <c r="H17" s="29">
        <f t="shared" si="0"/>
        <v>35</v>
      </c>
    </row>
    <row r="18" spans="1:8" x14ac:dyDescent="0.3">
      <c r="A18" s="26">
        <v>41434</v>
      </c>
      <c r="B18" s="27" t="s">
        <v>62</v>
      </c>
      <c r="C18" s="27" t="s">
        <v>7</v>
      </c>
      <c r="D18" s="27" t="s">
        <v>64</v>
      </c>
      <c r="E18" s="27" t="s">
        <v>36</v>
      </c>
      <c r="F18" s="27">
        <v>17</v>
      </c>
      <c r="G18" s="28">
        <f>VLOOKUP(tblSprzedaż[[#This Row],[Produkt]],tblProdukty[],2,FALSE)</f>
        <v>2.5</v>
      </c>
      <c r="H18" s="29">
        <f t="shared" si="0"/>
        <v>42.5</v>
      </c>
    </row>
    <row r="19" spans="1:8" x14ac:dyDescent="0.3">
      <c r="A19" s="26">
        <v>41489</v>
      </c>
      <c r="B19" s="27" t="s">
        <v>58</v>
      </c>
      <c r="C19" s="27" t="s">
        <v>5</v>
      </c>
      <c r="D19" s="27" t="s">
        <v>65</v>
      </c>
      <c r="E19" s="27" t="s">
        <v>41</v>
      </c>
      <c r="F19" s="27">
        <v>4</v>
      </c>
      <c r="G19" s="28">
        <f>VLOOKUP(tblSprzedaż[[#This Row],[Produkt]],tblProdukty[],2,FALSE)</f>
        <v>4</v>
      </c>
      <c r="H19" s="29">
        <f t="shared" si="0"/>
        <v>16</v>
      </c>
    </row>
    <row r="20" spans="1:8" x14ac:dyDescent="0.3">
      <c r="A20" s="26">
        <v>41473</v>
      </c>
      <c r="B20" s="27" t="s">
        <v>67</v>
      </c>
      <c r="C20" s="27" t="s">
        <v>7</v>
      </c>
      <c r="D20" s="27" t="s">
        <v>70</v>
      </c>
      <c r="E20" s="27" t="s">
        <v>41</v>
      </c>
      <c r="F20" s="27">
        <v>18</v>
      </c>
      <c r="G20" s="28">
        <f>VLOOKUP(tblSprzedaż[[#This Row],[Produkt]],tblProdukty[],2,FALSE)</f>
        <v>4</v>
      </c>
      <c r="H20" s="29">
        <f t="shared" si="0"/>
        <v>72</v>
      </c>
    </row>
    <row r="21" spans="1:8" x14ac:dyDescent="0.3">
      <c r="A21" s="26">
        <v>41553</v>
      </c>
      <c r="B21" s="27" t="s">
        <v>58</v>
      </c>
      <c r="C21" s="27" t="s">
        <v>5</v>
      </c>
      <c r="D21" s="27" t="s">
        <v>72</v>
      </c>
      <c r="E21" s="27" t="s">
        <v>36</v>
      </c>
      <c r="F21" s="27">
        <v>14</v>
      </c>
      <c r="G21" s="28">
        <f>VLOOKUP(tblSprzedaż[[#This Row],[Produkt]],tblProdukty[],2,FALSE)</f>
        <v>2.5</v>
      </c>
      <c r="H21" s="29">
        <f t="shared" si="0"/>
        <v>35</v>
      </c>
    </row>
    <row r="22" spans="1:8" x14ac:dyDescent="0.3">
      <c r="A22" s="26">
        <v>41585</v>
      </c>
      <c r="B22" s="27" t="s">
        <v>67</v>
      </c>
      <c r="C22" s="27" t="s">
        <v>7</v>
      </c>
      <c r="D22" s="27" t="s">
        <v>59</v>
      </c>
      <c r="E22" s="27" t="s">
        <v>38</v>
      </c>
      <c r="F22" s="27">
        <v>16</v>
      </c>
      <c r="G22" s="28">
        <f>VLOOKUP(tblSprzedaż[[#This Row],[Produkt]],tblProdukty[],2,FALSE)</f>
        <v>0.2</v>
      </c>
      <c r="H22" s="29">
        <f t="shared" si="0"/>
        <v>3.2</v>
      </c>
    </row>
    <row r="23" spans="1:8" x14ac:dyDescent="0.3">
      <c r="A23" s="26">
        <v>41596</v>
      </c>
      <c r="B23" s="27" t="s">
        <v>73</v>
      </c>
      <c r="C23" s="27" t="s">
        <v>3</v>
      </c>
      <c r="D23" s="27" t="s">
        <v>59</v>
      </c>
      <c r="E23" s="27" t="s">
        <v>40</v>
      </c>
      <c r="F23" s="27">
        <v>9</v>
      </c>
      <c r="G23" s="28">
        <f>VLOOKUP(tblSprzedaż[[#This Row],[Produkt]],tblProdukty[],2,FALSE)</f>
        <v>1.5</v>
      </c>
      <c r="H23" s="29">
        <f t="shared" si="0"/>
        <v>13.5</v>
      </c>
    </row>
    <row r="24" spans="1:8" x14ac:dyDescent="0.3">
      <c r="A24" s="26">
        <v>41625</v>
      </c>
      <c r="B24" s="27" t="s">
        <v>62</v>
      </c>
      <c r="C24" s="27" t="s">
        <v>5</v>
      </c>
      <c r="D24" s="27" t="s">
        <v>59</v>
      </c>
      <c r="E24" s="27" t="s">
        <v>37</v>
      </c>
      <c r="F24" s="27">
        <v>6</v>
      </c>
      <c r="G24" s="28">
        <f>VLOOKUP(tblSprzedaż[[#This Row],[Produkt]],tblProdukty[],2,FALSE)</f>
        <v>5</v>
      </c>
      <c r="H24" s="29">
        <f t="shared" si="0"/>
        <v>30</v>
      </c>
    </row>
    <row r="25" spans="1:8" x14ac:dyDescent="0.3">
      <c r="A25" s="26">
        <v>41614</v>
      </c>
      <c r="B25" s="27" t="s">
        <v>62</v>
      </c>
      <c r="C25" s="27" t="s">
        <v>5</v>
      </c>
      <c r="D25" s="27" t="s">
        <v>65</v>
      </c>
      <c r="E25" s="27" t="s">
        <v>37</v>
      </c>
      <c r="F25" s="27">
        <v>13</v>
      </c>
      <c r="G25" s="28">
        <f>VLOOKUP(tblSprzedaż[[#This Row],[Produkt]],tblProdukty[],2,FALSE)</f>
        <v>5</v>
      </c>
      <c r="H25" s="29">
        <f t="shared" si="0"/>
        <v>65</v>
      </c>
    </row>
    <row r="26" spans="1:8" x14ac:dyDescent="0.3">
      <c r="A26" s="26">
        <v>41447</v>
      </c>
      <c r="B26" s="27" t="s">
        <v>75</v>
      </c>
      <c r="C26" s="27" t="s">
        <v>4</v>
      </c>
      <c r="D26" s="27" t="s">
        <v>70</v>
      </c>
      <c r="E26" s="27" t="s">
        <v>40</v>
      </c>
      <c r="F26" s="27">
        <v>17</v>
      </c>
      <c r="G26" s="28">
        <f>VLOOKUP(tblSprzedaż[[#This Row],[Produkt]],tblProdukty[],2,FALSE)</f>
        <v>1.5</v>
      </c>
      <c r="H26" s="29">
        <f t="shared" si="0"/>
        <v>25.5</v>
      </c>
    </row>
    <row r="27" spans="1:8" x14ac:dyDescent="0.3">
      <c r="A27" s="26">
        <v>41553</v>
      </c>
      <c r="B27" s="27" t="s">
        <v>73</v>
      </c>
      <c r="C27" s="27" t="s">
        <v>3</v>
      </c>
      <c r="D27" s="27" t="s">
        <v>74</v>
      </c>
      <c r="E27" s="27" t="s">
        <v>38</v>
      </c>
      <c r="F27" s="27">
        <v>5</v>
      </c>
      <c r="G27" s="28">
        <f>VLOOKUP(tblSprzedaż[[#This Row],[Produkt]],tblProdukty[],2,FALSE)</f>
        <v>0.2</v>
      </c>
      <c r="H27" s="29">
        <f t="shared" si="0"/>
        <v>1</v>
      </c>
    </row>
    <row r="28" spans="1:8" x14ac:dyDescent="0.3">
      <c r="A28" s="26">
        <v>41456</v>
      </c>
      <c r="B28" s="27" t="s">
        <v>67</v>
      </c>
      <c r="C28" s="27" t="s">
        <v>7</v>
      </c>
      <c r="D28" s="27" t="s">
        <v>64</v>
      </c>
      <c r="E28" s="27" t="s">
        <v>38</v>
      </c>
      <c r="F28" s="27">
        <v>2</v>
      </c>
      <c r="G28" s="28">
        <f>VLOOKUP(tblSprzedaż[[#This Row],[Produkt]],tblProdukty[],2,FALSE)</f>
        <v>0.2</v>
      </c>
      <c r="H28" s="29">
        <f t="shared" si="0"/>
        <v>0.4</v>
      </c>
    </row>
    <row r="29" spans="1:8" x14ac:dyDescent="0.3">
      <c r="A29" s="26">
        <v>41590</v>
      </c>
      <c r="B29" s="27" t="s">
        <v>75</v>
      </c>
      <c r="C29" s="27" t="s">
        <v>4</v>
      </c>
      <c r="D29" s="27" t="s">
        <v>60</v>
      </c>
      <c r="E29" s="27" t="s">
        <v>39</v>
      </c>
      <c r="F29" s="27">
        <v>13</v>
      </c>
      <c r="G29" s="28">
        <f>VLOOKUP(tblSprzedaż[[#This Row],[Produkt]],tblProdukty[],2,FALSE)</f>
        <v>0.1</v>
      </c>
      <c r="H29" s="29">
        <f t="shared" si="0"/>
        <v>1.3</v>
      </c>
    </row>
    <row r="30" spans="1:8" x14ac:dyDescent="0.3">
      <c r="A30" s="26">
        <v>41459</v>
      </c>
      <c r="B30" s="27" t="s">
        <v>62</v>
      </c>
      <c r="C30" s="27" t="s">
        <v>7</v>
      </c>
      <c r="D30" s="27" t="s">
        <v>64</v>
      </c>
      <c r="E30" s="27" t="s">
        <v>41</v>
      </c>
      <c r="F30" s="27">
        <v>5</v>
      </c>
      <c r="G30" s="28">
        <f>VLOOKUP(tblSprzedaż[[#This Row],[Produkt]],tblProdukty[],2,FALSE)</f>
        <v>4</v>
      </c>
      <c r="H30" s="29">
        <f t="shared" si="0"/>
        <v>20</v>
      </c>
    </row>
    <row r="31" spans="1:8" x14ac:dyDescent="0.3">
      <c r="A31" s="26">
        <v>41595</v>
      </c>
      <c r="B31" s="27" t="s">
        <v>67</v>
      </c>
      <c r="C31" s="27" t="s">
        <v>4</v>
      </c>
      <c r="D31" s="27" t="s">
        <v>59</v>
      </c>
      <c r="E31" s="27" t="s">
        <v>36</v>
      </c>
      <c r="F31" s="27">
        <v>11</v>
      </c>
      <c r="G31" s="28">
        <f>VLOOKUP(tblSprzedaż[[#This Row],[Produkt]],tblProdukty[],2,FALSE)</f>
        <v>2.5</v>
      </c>
      <c r="H31" s="29">
        <f t="shared" si="0"/>
        <v>27.5</v>
      </c>
    </row>
    <row r="32" spans="1:8" x14ac:dyDescent="0.3">
      <c r="A32" s="26">
        <v>41628</v>
      </c>
      <c r="B32" s="27" t="s">
        <v>71</v>
      </c>
      <c r="C32" s="27" t="s">
        <v>3</v>
      </c>
      <c r="D32" s="27" t="s">
        <v>66</v>
      </c>
      <c r="E32" s="27" t="s">
        <v>38</v>
      </c>
      <c r="F32" s="27">
        <v>11</v>
      </c>
      <c r="G32" s="28">
        <f>VLOOKUP(tblSprzedaż[[#This Row],[Produkt]],tblProdukty[],2,FALSE)</f>
        <v>0.2</v>
      </c>
      <c r="H32" s="29">
        <f t="shared" si="0"/>
        <v>2.2000000000000002</v>
      </c>
    </row>
    <row r="33" spans="1:8" x14ac:dyDescent="0.3">
      <c r="A33" s="26">
        <v>41605</v>
      </c>
      <c r="B33" s="27" t="s">
        <v>58</v>
      </c>
      <c r="C33" s="27" t="s">
        <v>5</v>
      </c>
      <c r="D33" s="27" t="s">
        <v>61</v>
      </c>
      <c r="E33" s="27" t="s">
        <v>37</v>
      </c>
      <c r="F33" s="27">
        <v>2</v>
      </c>
      <c r="G33" s="28">
        <f>VLOOKUP(tblSprzedaż[[#This Row],[Produkt]],tblProdukty[],2,FALSE)</f>
        <v>5</v>
      </c>
      <c r="H33" s="29">
        <f t="shared" si="0"/>
        <v>10</v>
      </c>
    </row>
    <row r="34" spans="1:8" x14ac:dyDescent="0.3">
      <c r="A34" s="26">
        <v>41603</v>
      </c>
      <c r="B34" s="27" t="s">
        <v>75</v>
      </c>
      <c r="C34" s="27" t="s">
        <v>6</v>
      </c>
      <c r="D34" s="27" t="s">
        <v>64</v>
      </c>
      <c r="E34" s="27" t="s">
        <v>37</v>
      </c>
      <c r="F34" s="27">
        <v>18</v>
      </c>
      <c r="G34" s="28">
        <f>VLOOKUP(tblSprzedaż[[#This Row],[Produkt]],tblProdukty[],2,FALSE)</f>
        <v>5</v>
      </c>
      <c r="H34" s="29">
        <f t="shared" si="0"/>
        <v>90</v>
      </c>
    </row>
    <row r="35" spans="1:8" x14ac:dyDescent="0.3">
      <c r="A35" s="26">
        <v>41475</v>
      </c>
      <c r="B35" s="27" t="s">
        <v>58</v>
      </c>
      <c r="C35" s="27" t="s">
        <v>5</v>
      </c>
      <c r="D35" s="27" t="s">
        <v>68</v>
      </c>
      <c r="E35" s="27" t="s">
        <v>37</v>
      </c>
      <c r="F35" s="27">
        <v>5</v>
      </c>
      <c r="G35" s="28">
        <f>VLOOKUP(tblSprzedaż[[#This Row],[Produkt]],tblProdukty[],2,FALSE)</f>
        <v>5</v>
      </c>
      <c r="H35" s="29">
        <f t="shared" si="0"/>
        <v>25</v>
      </c>
    </row>
    <row r="36" spans="1:8" x14ac:dyDescent="0.3">
      <c r="A36" s="26">
        <v>41611</v>
      </c>
      <c r="B36" s="27" t="s">
        <v>58</v>
      </c>
      <c r="C36" s="27" t="s">
        <v>5</v>
      </c>
      <c r="D36" s="27" t="s">
        <v>60</v>
      </c>
      <c r="E36" s="27" t="s">
        <v>39</v>
      </c>
      <c r="F36" s="27">
        <v>16</v>
      </c>
      <c r="G36" s="28">
        <f>VLOOKUP(tblSprzedaż[[#This Row],[Produkt]],tblProdukty[],2,FALSE)</f>
        <v>0.1</v>
      </c>
      <c r="H36" s="29">
        <f t="shared" si="0"/>
        <v>1.6</v>
      </c>
    </row>
    <row r="37" spans="1:8" x14ac:dyDescent="0.3">
      <c r="A37" s="26">
        <v>41507</v>
      </c>
      <c r="B37" s="27" t="s">
        <v>71</v>
      </c>
      <c r="C37" s="27" t="s">
        <v>4</v>
      </c>
      <c r="D37" s="27" t="s">
        <v>74</v>
      </c>
      <c r="E37" s="27" t="s">
        <v>38</v>
      </c>
      <c r="F37" s="27">
        <v>13</v>
      </c>
      <c r="G37" s="28">
        <f>VLOOKUP(tblSprzedaż[[#This Row],[Produkt]],tblProdukty[],2,FALSE)</f>
        <v>0.2</v>
      </c>
      <c r="H37" s="29">
        <f t="shared" si="0"/>
        <v>2.6</v>
      </c>
    </row>
    <row r="38" spans="1:8" x14ac:dyDescent="0.3">
      <c r="A38" s="26">
        <v>41616</v>
      </c>
      <c r="B38" s="27" t="s">
        <v>75</v>
      </c>
      <c r="C38" s="27" t="s">
        <v>4</v>
      </c>
      <c r="D38" s="27" t="s">
        <v>64</v>
      </c>
      <c r="E38" s="27" t="s">
        <v>40</v>
      </c>
      <c r="F38" s="27">
        <v>18</v>
      </c>
      <c r="G38" s="28">
        <f>VLOOKUP(tblSprzedaż[[#This Row],[Produkt]],tblProdukty[],2,FALSE)</f>
        <v>1.5</v>
      </c>
      <c r="H38" s="29">
        <f t="shared" si="0"/>
        <v>27</v>
      </c>
    </row>
    <row r="39" spans="1:8" x14ac:dyDescent="0.3">
      <c r="A39" s="26">
        <v>41505</v>
      </c>
      <c r="B39" s="27" t="s">
        <v>67</v>
      </c>
      <c r="C39" s="27" t="s">
        <v>4</v>
      </c>
      <c r="D39" s="27" t="s">
        <v>63</v>
      </c>
      <c r="E39" s="27" t="s">
        <v>40</v>
      </c>
      <c r="F39" s="27">
        <v>6</v>
      </c>
      <c r="G39" s="28">
        <f>VLOOKUP(tblSprzedaż[[#This Row],[Produkt]],tblProdukty[],2,FALSE)</f>
        <v>1.5</v>
      </c>
      <c r="H39" s="29">
        <f t="shared" si="0"/>
        <v>9</v>
      </c>
    </row>
    <row r="40" spans="1:8" x14ac:dyDescent="0.3">
      <c r="A40" s="26">
        <v>41511</v>
      </c>
      <c r="B40" s="27" t="s">
        <v>75</v>
      </c>
      <c r="C40" s="27" t="s">
        <v>4</v>
      </c>
      <c r="D40" s="27" t="s">
        <v>66</v>
      </c>
      <c r="E40" s="27" t="s">
        <v>34</v>
      </c>
      <c r="F40" s="27">
        <v>1</v>
      </c>
      <c r="G40" s="28">
        <f>VLOOKUP(tblSprzedaż[[#This Row],[Produkt]],tblProdukty[],2,FALSE)</f>
        <v>2</v>
      </c>
      <c r="H40" s="29">
        <f t="shared" si="0"/>
        <v>2</v>
      </c>
    </row>
    <row r="41" spans="1:8" x14ac:dyDescent="0.3">
      <c r="A41" s="26">
        <v>41503</v>
      </c>
      <c r="B41" s="27" t="s">
        <v>62</v>
      </c>
      <c r="C41" s="27" t="s">
        <v>5</v>
      </c>
      <c r="D41" s="27" t="s">
        <v>59</v>
      </c>
      <c r="E41" s="27" t="s">
        <v>34</v>
      </c>
      <c r="F41" s="27">
        <v>16</v>
      </c>
      <c r="G41" s="28">
        <f>VLOOKUP(tblSprzedaż[[#This Row],[Produkt]],tblProdukty[],2,FALSE)</f>
        <v>2</v>
      </c>
      <c r="H41" s="29">
        <f t="shared" si="0"/>
        <v>32</v>
      </c>
    </row>
    <row r="42" spans="1:8" x14ac:dyDescent="0.3">
      <c r="A42" s="26">
        <v>41630</v>
      </c>
      <c r="B42" s="27" t="s">
        <v>73</v>
      </c>
      <c r="C42" s="27" t="s">
        <v>4</v>
      </c>
      <c r="D42" s="27" t="s">
        <v>65</v>
      </c>
      <c r="E42" s="27" t="s">
        <v>38</v>
      </c>
      <c r="F42" s="27">
        <v>10</v>
      </c>
      <c r="G42" s="28">
        <f>VLOOKUP(tblSprzedaż[[#This Row],[Produkt]],tblProdukty[],2,FALSE)</f>
        <v>0.2</v>
      </c>
      <c r="H42" s="29">
        <f t="shared" si="0"/>
        <v>2</v>
      </c>
    </row>
    <row r="43" spans="1:8" x14ac:dyDescent="0.3">
      <c r="A43" s="26">
        <v>41453</v>
      </c>
      <c r="B43" s="27" t="s">
        <v>73</v>
      </c>
      <c r="C43" s="27" t="s">
        <v>5</v>
      </c>
      <c r="D43" s="27" t="s">
        <v>72</v>
      </c>
      <c r="E43" s="27" t="s">
        <v>36</v>
      </c>
      <c r="F43" s="27">
        <v>9</v>
      </c>
      <c r="G43" s="28">
        <f>VLOOKUP(tblSprzedaż[[#This Row],[Produkt]],tblProdukty[],2,FALSE)</f>
        <v>2.5</v>
      </c>
      <c r="H43" s="29">
        <f t="shared" si="0"/>
        <v>22.5</v>
      </c>
    </row>
    <row r="44" spans="1:8" x14ac:dyDescent="0.3">
      <c r="A44" s="26">
        <v>41545</v>
      </c>
      <c r="B44" s="27" t="s">
        <v>58</v>
      </c>
      <c r="C44" s="27" t="s">
        <v>4</v>
      </c>
      <c r="D44" s="27" t="s">
        <v>63</v>
      </c>
      <c r="E44" s="27" t="s">
        <v>37</v>
      </c>
      <c r="F44" s="27">
        <v>20</v>
      </c>
      <c r="G44" s="28">
        <f>VLOOKUP(tblSprzedaż[[#This Row],[Produkt]],tblProdukty[],2,FALSE)</f>
        <v>5</v>
      </c>
      <c r="H44" s="29">
        <f t="shared" si="0"/>
        <v>100</v>
      </c>
    </row>
    <row r="45" spans="1:8" x14ac:dyDescent="0.3">
      <c r="A45" s="26">
        <v>41529</v>
      </c>
      <c r="B45" s="27" t="s">
        <v>58</v>
      </c>
      <c r="C45" s="27" t="s">
        <v>4</v>
      </c>
      <c r="D45" s="27" t="s">
        <v>74</v>
      </c>
      <c r="E45" s="27" t="s">
        <v>36</v>
      </c>
      <c r="F45" s="27">
        <v>5</v>
      </c>
      <c r="G45" s="28">
        <f>VLOOKUP(tblSprzedaż[[#This Row],[Produkt]],tblProdukty[],2,FALSE)</f>
        <v>2.5</v>
      </c>
      <c r="H45" s="29">
        <f t="shared" si="0"/>
        <v>12.5</v>
      </c>
    </row>
    <row r="46" spans="1:8" x14ac:dyDescent="0.3">
      <c r="A46" s="26">
        <v>41547</v>
      </c>
      <c r="B46" s="27" t="s">
        <v>73</v>
      </c>
      <c r="C46" s="27" t="s">
        <v>7</v>
      </c>
      <c r="D46" s="27" t="s">
        <v>59</v>
      </c>
      <c r="E46" s="27" t="s">
        <v>37</v>
      </c>
      <c r="F46" s="27">
        <v>18</v>
      </c>
      <c r="G46" s="28">
        <f>VLOOKUP(tblSprzedaż[[#This Row],[Produkt]],tblProdukty[],2,FALSE)</f>
        <v>5</v>
      </c>
      <c r="H46" s="29">
        <f t="shared" si="0"/>
        <v>90</v>
      </c>
    </row>
    <row r="47" spans="1:8" x14ac:dyDescent="0.3">
      <c r="A47" s="26">
        <v>41472</v>
      </c>
      <c r="B47" s="27" t="s">
        <v>73</v>
      </c>
      <c r="C47" s="27" t="s">
        <v>6</v>
      </c>
      <c r="D47" s="27" t="s">
        <v>72</v>
      </c>
      <c r="E47" s="27" t="s">
        <v>38</v>
      </c>
      <c r="F47" s="27">
        <v>12</v>
      </c>
      <c r="G47" s="28">
        <f>VLOOKUP(tblSprzedaż[[#This Row],[Produkt]],tblProdukty[],2,FALSE)</f>
        <v>0.2</v>
      </c>
      <c r="H47" s="29">
        <f t="shared" si="0"/>
        <v>2.4000000000000004</v>
      </c>
    </row>
    <row r="48" spans="1:8" x14ac:dyDescent="0.3">
      <c r="A48" s="26">
        <v>41503</v>
      </c>
      <c r="B48" s="27" t="s">
        <v>67</v>
      </c>
      <c r="C48" s="27" t="s">
        <v>4</v>
      </c>
      <c r="D48" s="27" t="s">
        <v>70</v>
      </c>
      <c r="E48" s="27" t="s">
        <v>39</v>
      </c>
      <c r="F48" s="27">
        <v>6</v>
      </c>
      <c r="G48" s="28">
        <f>VLOOKUP(tblSprzedaż[[#This Row],[Produkt]],tblProdukty[],2,FALSE)</f>
        <v>0.1</v>
      </c>
      <c r="H48" s="29">
        <f t="shared" si="0"/>
        <v>0.60000000000000009</v>
      </c>
    </row>
    <row r="49" spans="1:8" x14ac:dyDescent="0.3">
      <c r="A49" s="26">
        <v>41629</v>
      </c>
      <c r="B49" s="27" t="s">
        <v>58</v>
      </c>
      <c r="C49" s="27" t="s">
        <v>4</v>
      </c>
      <c r="D49" s="27" t="s">
        <v>61</v>
      </c>
      <c r="E49" s="27" t="s">
        <v>41</v>
      </c>
      <c r="F49" s="27">
        <v>3</v>
      </c>
      <c r="G49" s="28">
        <f>VLOOKUP(tblSprzedaż[[#This Row],[Produkt]],tblProdukty[],2,FALSE)</f>
        <v>4</v>
      </c>
      <c r="H49" s="29">
        <f t="shared" si="0"/>
        <v>12</v>
      </c>
    </row>
    <row r="50" spans="1:8" x14ac:dyDescent="0.3">
      <c r="A50" s="26">
        <v>41598</v>
      </c>
      <c r="B50" s="27" t="s">
        <v>71</v>
      </c>
      <c r="C50" s="27" t="s">
        <v>4</v>
      </c>
      <c r="D50" s="27" t="s">
        <v>72</v>
      </c>
      <c r="E50" s="27" t="s">
        <v>39</v>
      </c>
      <c r="F50" s="27">
        <v>11</v>
      </c>
      <c r="G50" s="28">
        <f>VLOOKUP(tblSprzedaż[[#This Row],[Produkt]],tblProdukty[],2,FALSE)</f>
        <v>0.1</v>
      </c>
      <c r="H50" s="29">
        <f t="shared" si="0"/>
        <v>1.1000000000000001</v>
      </c>
    </row>
    <row r="51" spans="1:8" x14ac:dyDescent="0.3">
      <c r="A51" s="26">
        <v>41542</v>
      </c>
      <c r="B51" s="27" t="s">
        <v>62</v>
      </c>
      <c r="C51" s="27" t="s">
        <v>6</v>
      </c>
      <c r="D51" s="27" t="s">
        <v>61</v>
      </c>
      <c r="E51" s="27" t="s">
        <v>37</v>
      </c>
      <c r="F51" s="27">
        <v>16</v>
      </c>
      <c r="G51" s="28">
        <f>VLOOKUP(tblSprzedaż[[#This Row],[Produkt]],tblProdukty[],2,FALSE)</f>
        <v>5</v>
      </c>
      <c r="H51" s="29">
        <f t="shared" si="0"/>
        <v>80</v>
      </c>
    </row>
    <row r="52" spans="1:8" x14ac:dyDescent="0.3">
      <c r="A52" s="26">
        <v>41621</v>
      </c>
      <c r="B52" s="27" t="s">
        <v>75</v>
      </c>
      <c r="C52" s="27" t="s">
        <v>5</v>
      </c>
      <c r="D52" s="27" t="s">
        <v>66</v>
      </c>
      <c r="E52" s="27" t="s">
        <v>41</v>
      </c>
      <c r="F52" s="27">
        <v>19</v>
      </c>
      <c r="G52" s="28">
        <f>VLOOKUP(tblSprzedaż[[#This Row],[Produkt]],tblProdukty[],2,FALSE)</f>
        <v>4</v>
      </c>
      <c r="H52" s="29">
        <f t="shared" si="0"/>
        <v>76</v>
      </c>
    </row>
    <row r="53" spans="1:8" x14ac:dyDescent="0.3">
      <c r="A53" s="26">
        <v>41477</v>
      </c>
      <c r="B53" s="27" t="s">
        <v>75</v>
      </c>
      <c r="C53" s="27" t="s">
        <v>3</v>
      </c>
      <c r="D53" s="27" t="s">
        <v>72</v>
      </c>
      <c r="E53" s="27" t="s">
        <v>36</v>
      </c>
      <c r="F53" s="27">
        <v>1</v>
      </c>
      <c r="G53" s="28">
        <f>VLOOKUP(tblSprzedaż[[#This Row],[Produkt]],tblProdukty[],2,FALSE)</f>
        <v>2.5</v>
      </c>
      <c r="H53" s="29">
        <f t="shared" si="0"/>
        <v>2.5</v>
      </c>
    </row>
    <row r="54" spans="1:8" x14ac:dyDescent="0.3">
      <c r="A54" s="26">
        <v>41554</v>
      </c>
      <c r="B54" s="27" t="s">
        <v>67</v>
      </c>
      <c r="C54" s="27" t="s">
        <v>5</v>
      </c>
      <c r="D54" s="27" t="s">
        <v>59</v>
      </c>
      <c r="E54" s="27" t="s">
        <v>41</v>
      </c>
      <c r="F54" s="27">
        <v>9</v>
      </c>
      <c r="G54" s="28">
        <f>VLOOKUP(tblSprzedaż[[#This Row],[Produkt]],tblProdukty[],2,FALSE)</f>
        <v>4</v>
      </c>
      <c r="H54" s="29">
        <f t="shared" si="0"/>
        <v>36</v>
      </c>
    </row>
    <row r="55" spans="1:8" x14ac:dyDescent="0.3">
      <c r="A55" s="26">
        <v>41519</v>
      </c>
      <c r="B55" s="27" t="s">
        <v>75</v>
      </c>
      <c r="C55" s="27" t="s">
        <v>3</v>
      </c>
      <c r="D55" s="27" t="s">
        <v>68</v>
      </c>
      <c r="E55" s="27" t="s">
        <v>36</v>
      </c>
      <c r="F55" s="27">
        <v>1</v>
      </c>
      <c r="G55" s="28">
        <f>VLOOKUP(tblSprzedaż[[#This Row],[Produkt]],tblProdukty[],2,FALSE)</f>
        <v>2.5</v>
      </c>
      <c r="H55" s="29">
        <f t="shared" si="0"/>
        <v>2.5</v>
      </c>
    </row>
    <row r="56" spans="1:8" x14ac:dyDescent="0.3">
      <c r="A56" s="26">
        <v>41527</v>
      </c>
      <c r="B56" s="27" t="s">
        <v>58</v>
      </c>
      <c r="C56" s="27" t="s">
        <v>7</v>
      </c>
      <c r="D56" s="27" t="s">
        <v>68</v>
      </c>
      <c r="E56" s="27" t="s">
        <v>38</v>
      </c>
      <c r="F56" s="27">
        <v>17</v>
      </c>
      <c r="G56" s="28">
        <f>VLOOKUP(tblSprzedaż[[#This Row],[Produkt]],tblProdukty[],2,FALSE)</f>
        <v>0.2</v>
      </c>
      <c r="H56" s="29">
        <f t="shared" si="0"/>
        <v>3.4000000000000004</v>
      </c>
    </row>
    <row r="57" spans="1:8" x14ac:dyDescent="0.3">
      <c r="A57" s="26">
        <v>41467</v>
      </c>
      <c r="B57" s="27" t="s">
        <v>62</v>
      </c>
      <c r="C57" s="27" t="s">
        <v>7</v>
      </c>
      <c r="D57" s="27" t="s">
        <v>70</v>
      </c>
      <c r="E57" s="27" t="s">
        <v>39</v>
      </c>
      <c r="F57" s="27">
        <v>8</v>
      </c>
      <c r="G57" s="28">
        <f>VLOOKUP(tblSprzedaż[[#This Row],[Produkt]],tblProdukty[],2,FALSE)</f>
        <v>0.1</v>
      </c>
      <c r="H57" s="29">
        <f t="shared" si="0"/>
        <v>0.8</v>
      </c>
    </row>
    <row r="58" spans="1:8" x14ac:dyDescent="0.3">
      <c r="A58" s="26">
        <v>41507</v>
      </c>
      <c r="B58" s="27" t="s">
        <v>73</v>
      </c>
      <c r="C58" s="27" t="s">
        <v>4</v>
      </c>
      <c r="D58" s="27" t="s">
        <v>61</v>
      </c>
      <c r="E58" s="27" t="s">
        <v>40</v>
      </c>
      <c r="F58" s="27">
        <v>15</v>
      </c>
      <c r="G58" s="28">
        <f>VLOOKUP(tblSprzedaż[[#This Row],[Produkt]],tblProdukty[],2,FALSE)</f>
        <v>1.5</v>
      </c>
      <c r="H58" s="29">
        <f t="shared" si="0"/>
        <v>22.5</v>
      </c>
    </row>
    <row r="59" spans="1:8" x14ac:dyDescent="0.3">
      <c r="A59" s="26">
        <v>41573</v>
      </c>
      <c r="B59" s="27" t="s">
        <v>62</v>
      </c>
      <c r="C59" s="27" t="s">
        <v>6</v>
      </c>
      <c r="D59" s="27" t="s">
        <v>59</v>
      </c>
      <c r="E59" s="27" t="s">
        <v>39</v>
      </c>
      <c r="F59" s="27">
        <v>6</v>
      </c>
      <c r="G59" s="28">
        <f>VLOOKUP(tblSprzedaż[[#This Row],[Produkt]],tblProdukty[],2,FALSE)</f>
        <v>0.1</v>
      </c>
      <c r="H59" s="29">
        <f t="shared" si="0"/>
        <v>0.60000000000000009</v>
      </c>
    </row>
    <row r="60" spans="1:8" x14ac:dyDescent="0.3">
      <c r="A60" s="26">
        <v>41487</v>
      </c>
      <c r="B60" s="27" t="s">
        <v>71</v>
      </c>
      <c r="C60" s="27" t="s">
        <v>3</v>
      </c>
      <c r="D60" s="27" t="s">
        <v>69</v>
      </c>
      <c r="E60" s="27" t="s">
        <v>36</v>
      </c>
      <c r="F60" s="27">
        <v>11</v>
      </c>
      <c r="G60" s="28">
        <f>VLOOKUP(tblSprzedaż[[#This Row],[Produkt]],tblProdukty[],2,FALSE)</f>
        <v>2.5</v>
      </c>
      <c r="H60" s="29">
        <f t="shared" si="0"/>
        <v>27.5</v>
      </c>
    </row>
    <row r="61" spans="1:8" x14ac:dyDescent="0.3">
      <c r="A61" s="26">
        <v>41623</v>
      </c>
      <c r="B61" s="27" t="s">
        <v>71</v>
      </c>
      <c r="C61" s="27" t="s">
        <v>6</v>
      </c>
      <c r="D61" s="27" t="s">
        <v>72</v>
      </c>
      <c r="E61" s="27" t="s">
        <v>36</v>
      </c>
      <c r="F61" s="27">
        <v>5</v>
      </c>
      <c r="G61" s="28">
        <f>VLOOKUP(tblSprzedaż[[#This Row],[Produkt]],tblProdukty[],2,FALSE)</f>
        <v>2.5</v>
      </c>
      <c r="H61" s="29">
        <f t="shared" si="0"/>
        <v>12.5</v>
      </c>
    </row>
    <row r="62" spans="1:8" x14ac:dyDescent="0.3">
      <c r="A62" s="26">
        <v>41631</v>
      </c>
      <c r="B62" s="27" t="s">
        <v>73</v>
      </c>
      <c r="C62" s="27" t="s">
        <v>7</v>
      </c>
      <c r="D62" s="27" t="s">
        <v>69</v>
      </c>
      <c r="E62" s="27" t="s">
        <v>36</v>
      </c>
      <c r="F62" s="27">
        <v>2</v>
      </c>
      <c r="G62" s="28">
        <f>VLOOKUP(tblSprzedaż[[#This Row],[Produkt]],tblProdukty[],2,FALSE)</f>
        <v>2.5</v>
      </c>
      <c r="H62" s="29">
        <f t="shared" si="0"/>
        <v>5</v>
      </c>
    </row>
    <row r="63" spans="1:8" x14ac:dyDescent="0.3">
      <c r="A63" s="26">
        <v>41496</v>
      </c>
      <c r="B63" s="27" t="s">
        <v>73</v>
      </c>
      <c r="C63" s="27" t="s">
        <v>5</v>
      </c>
      <c r="D63" s="27" t="s">
        <v>65</v>
      </c>
      <c r="E63" s="27" t="s">
        <v>40</v>
      </c>
      <c r="F63" s="27">
        <v>4</v>
      </c>
      <c r="G63" s="28">
        <f>VLOOKUP(tblSprzedaż[[#This Row],[Produkt]],tblProdukty[],2,FALSE)</f>
        <v>1.5</v>
      </c>
      <c r="H63" s="29">
        <f t="shared" si="0"/>
        <v>6</v>
      </c>
    </row>
    <row r="64" spans="1:8" x14ac:dyDescent="0.3">
      <c r="A64" s="26">
        <v>41567</v>
      </c>
      <c r="B64" s="27" t="s">
        <v>67</v>
      </c>
      <c r="C64" s="27" t="s">
        <v>3</v>
      </c>
      <c r="D64" s="27" t="s">
        <v>74</v>
      </c>
      <c r="E64" s="27" t="s">
        <v>39</v>
      </c>
      <c r="F64" s="27">
        <v>17</v>
      </c>
      <c r="G64" s="28">
        <f>VLOOKUP(tblSprzedaż[[#This Row],[Produkt]],tblProdukty[],2,FALSE)</f>
        <v>0.1</v>
      </c>
      <c r="H64" s="29">
        <f t="shared" si="0"/>
        <v>1.7000000000000002</v>
      </c>
    </row>
    <row r="65" spans="1:8" x14ac:dyDescent="0.3">
      <c r="A65" s="26">
        <v>41559</v>
      </c>
      <c r="B65" s="27" t="s">
        <v>58</v>
      </c>
      <c r="C65" s="27" t="s">
        <v>5</v>
      </c>
      <c r="D65" s="27" t="s">
        <v>68</v>
      </c>
      <c r="E65" s="27" t="s">
        <v>39</v>
      </c>
      <c r="F65" s="27">
        <v>13</v>
      </c>
      <c r="G65" s="28">
        <f>VLOOKUP(tblSprzedaż[[#This Row],[Produkt]],tblProdukty[],2,FALSE)</f>
        <v>0.1</v>
      </c>
      <c r="H65" s="29">
        <f t="shared" si="0"/>
        <v>1.3</v>
      </c>
    </row>
    <row r="66" spans="1:8" x14ac:dyDescent="0.3">
      <c r="A66" s="26">
        <v>41583</v>
      </c>
      <c r="B66" s="27" t="s">
        <v>67</v>
      </c>
      <c r="C66" s="27" t="s">
        <v>5</v>
      </c>
      <c r="D66" s="27" t="s">
        <v>65</v>
      </c>
      <c r="E66" s="27" t="s">
        <v>38</v>
      </c>
      <c r="F66" s="27">
        <v>2</v>
      </c>
      <c r="G66" s="28">
        <f>VLOOKUP(tblSprzedaż[[#This Row],[Produkt]],tblProdukty[],2,FALSE)</f>
        <v>0.2</v>
      </c>
      <c r="H66" s="29">
        <f t="shared" si="0"/>
        <v>0.4</v>
      </c>
    </row>
    <row r="67" spans="1:8" x14ac:dyDescent="0.3">
      <c r="A67" s="26">
        <v>41602</v>
      </c>
      <c r="B67" s="27" t="s">
        <v>67</v>
      </c>
      <c r="C67" s="27" t="s">
        <v>3</v>
      </c>
      <c r="D67" s="27" t="s">
        <v>66</v>
      </c>
      <c r="E67" s="27" t="s">
        <v>36</v>
      </c>
      <c r="F67" s="27">
        <v>17</v>
      </c>
      <c r="G67" s="28">
        <f>VLOOKUP(tblSprzedaż[[#This Row],[Produkt]],tblProdukty[],2,FALSE)</f>
        <v>2.5</v>
      </c>
      <c r="H67" s="29">
        <f t="shared" ref="H67:H130" si="1">F67*G67</f>
        <v>42.5</v>
      </c>
    </row>
    <row r="68" spans="1:8" x14ac:dyDescent="0.3">
      <c r="A68" s="26">
        <v>41609</v>
      </c>
      <c r="B68" s="27" t="s">
        <v>73</v>
      </c>
      <c r="C68" s="27" t="s">
        <v>3</v>
      </c>
      <c r="D68" s="27" t="s">
        <v>61</v>
      </c>
      <c r="E68" s="27" t="s">
        <v>36</v>
      </c>
      <c r="F68" s="27">
        <v>14</v>
      </c>
      <c r="G68" s="28">
        <f>VLOOKUP(tblSprzedaż[[#This Row],[Produkt]],tblProdukty[],2,FALSE)</f>
        <v>2.5</v>
      </c>
      <c r="H68" s="29">
        <f t="shared" si="1"/>
        <v>35</v>
      </c>
    </row>
    <row r="69" spans="1:8" x14ac:dyDescent="0.3">
      <c r="A69" s="26">
        <v>41555</v>
      </c>
      <c r="B69" s="27" t="s">
        <v>71</v>
      </c>
      <c r="C69" s="27" t="s">
        <v>6</v>
      </c>
      <c r="D69" s="27" t="s">
        <v>72</v>
      </c>
      <c r="E69" s="27" t="s">
        <v>40</v>
      </c>
      <c r="F69" s="27">
        <v>6</v>
      </c>
      <c r="G69" s="28">
        <f>VLOOKUP(tblSprzedaż[[#This Row],[Produkt]],tblProdukty[],2,FALSE)</f>
        <v>1.5</v>
      </c>
      <c r="H69" s="29">
        <f t="shared" si="1"/>
        <v>9</v>
      </c>
    </row>
    <row r="70" spans="1:8" x14ac:dyDescent="0.3">
      <c r="A70" s="26">
        <v>41619</v>
      </c>
      <c r="B70" s="27" t="s">
        <v>62</v>
      </c>
      <c r="C70" s="27" t="s">
        <v>5</v>
      </c>
      <c r="D70" s="27" t="s">
        <v>70</v>
      </c>
      <c r="E70" s="27" t="s">
        <v>34</v>
      </c>
      <c r="F70" s="27">
        <v>17</v>
      </c>
      <c r="G70" s="28">
        <f>VLOOKUP(tblSprzedaż[[#This Row],[Produkt]],tblProdukty[],2,FALSE)</f>
        <v>2</v>
      </c>
      <c r="H70" s="29">
        <f t="shared" si="1"/>
        <v>34</v>
      </c>
    </row>
    <row r="71" spans="1:8" x14ac:dyDescent="0.3">
      <c r="A71" s="26">
        <v>41476</v>
      </c>
      <c r="B71" s="27" t="s">
        <v>62</v>
      </c>
      <c r="C71" s="27" t="s">
        <v>7</v>
      </c>
      <c r="D71" s="27" t="s">
        <v>65</v>
      </c>
      <c r="E71" s="27" t="s">
        <v>38</v>
      </c>
      <c r="F71" s="27">
        <v>6</v>
      </c>
      <c r="G71" s="28">
        <f>VLOOKUP(tblSprzedaż[[#This Row],[Produkt]],tblProdukty[],2,FALSE)</f>
        <v>0.2</v>
      </c>
      <c r="H71" s="29">
        <f t="shared" si="1"/>
        <v>1.2000000000000002</v>
      </c>
    </row>
    <row r="72" spans="1:8" x14ac:dyDescent="0.3">
      <c r="A72" s="26">
        <v>41576</v>
      </c>
      <c r="B72" s="27" t="s">
        <v>58</v>
      </c>
      <c r="C72" s="27" t="s">
        <v>3</v>
      </c>
      <c r="D72" s="27" t="s">
        <v>60</v>
      </c>
      <c r="E72" s="27" t="s">
        <v>37</v>
      </c>
      <c r="F72" s="27">
        <v>13</v>
      </c>
      <c r="G72" s="28">
        <f>VLOOKUP(tblSprzedaż[[#This Row],[Produkt]],tblProdukty[],2,FALSE)</f>
        <v>5</v>
      </c>
      <c r="H72" s="29">
        <f t="shared" si="1"/>
        <v>65</v>
      </c>
    </row>
    <row r="73" spans="1:8" x14ac:dyDescent="0.3">
      <c r="A73" s="26">
        <v>41474</v>
      </c>
      <c r="B73" s="27" t="s">
        <v>62</v>
      </c>
      <c r="C73" s="27" t="s">
        <v>6</v>
      </c>
      <c r="D73" s="27" t="s">
        <v>72</v>
      </c>
      <c r="E73" s="27" t="s">
        <v>41</v>
      </c>
      <c r="F73" s="27">
        <v>11</v>
      </c>
      <c r="G73" s="28">
        <f>VLOOKUP(tblSprzedaż[[#This Row],[Produkt]],tblProdukty[],2,FALSE)</f>
        <v>4</v>
      </c>
      <c r="H73" s="29">
        <f t="shared" si="1"/>
        <v>44</v>
      </c>
    </row>
    <row r="74" spans="1:8" x14ac:dyDescent="0.3">
      <c r="A74" s="26">
        <v>41435</v>
      </c>
      <c r="B74" s="27" t="s">
        <v>71</v>
      </c>
      <c r="C74" s="27" t="s">
        <v>7</v>
      </c>
      <c r="D74" s="27" t="s">
        <v>63</v>
      </c>
      <c r="E74" s="27" t="s">
        <v>41</v>
      </c>
      <c r="F74" s="27">
        <v>17</v>
      </c>
      <c r="G74" s="28">
        <f>VLOOKUP(tblSprzedaż[[#This Row],[Produkt]],tblProdukty[],2,FALSE)</f>
        <v>4</v>
      </c>
      <c r="H74" s="29">
        <f t="shared" si="1"/>
        <v>68</v>
      </c>
    </row>
    <row r="75" spans="1:8" x14ac:dyDescent="0.3">
      <c r="A75" s="26">
        <v>41567</v>
      </c>
      <c r="B75" s="27" t="s">
        <v>67</v>
      </c>
      <c r="C75" s="27" t="s">
        <v>5</v>
      </c>
      <c r="D75" s="27" t="s">
        <v>72</v>
      </c>
      <c r="E75" s="27" t="s">
        <v>36</v>
      </c>
      <c r="F75" s="27">
        <v>16</v>
      </c>
      <c r="G75" s="28">
        <f>VLOOKUP(tblSprzedaż[[#This Row],[Produkt]],tblProdukty[],2,FALSE)</f>
        <v>2.5</v>
      </c>
      <c r="H75" s="29">
        <f t="shared" si="1"/>
        <v>40</v>
      </c>
    </row>
    <row r="76" spans="1:8" x14ac:dyDescent="0.3">
      <c r="A76" s="26">
        <v>41542</v>
      </c>
      <c r="B76" s="27" t="s">
        <v>73</v>
      </c>
      <c r="C76" s="27" t="s">
        <v>6</v>
      </c>
      <c r="D76" s="27" t="s">
        <v>61</v>
      </c>
      <c r="E76" s="27" t="s">
        <v>37</v>
      </c>
      <c r="F76" s="27">
        <v>2</v>
      </c>
      <c r="G76" s="28">
        <f>VLOOKUP(tblSprzedaż[[#This Row],[Produkt]],tblProdukty[],2,FALSE)</f>
        <v>5</v>
      </c>
      <c r="H76" s="29">
        <f t="shared" si="1"/>
        <v>10</v>
      </c>
    </row>
    <row r="77" spans="1:8" x14ac:dyDescent="0.3">
      <c r="A77" s="26">
        <v>41451</v>
      </c>
      <c r="B77" s="27" t="s">
        <v>73</v>
      </c>
      <c r="C77" s="27" t="s">
        <v>4</v>
      </c>
      <c r="D77" s="27" t="s">
        <v>63</v>
      </c>
      <c r="E77" s="27" t="s">
        <v>40</v>
      </c>
      <c r="F77" s="27">
        <v>18</v>
      </c>
      <c r="G77" s="28">
        <f>VLOOKUP(tblSprzedaż[[#This Row],[Produkt]],tblProdukty[],2,FALSE)</f>
        <v>1.5</v>
      </c>
      <c r="H77" s="29">
        <f t="shared" si="1"/>
        <v>27</v>
      </c>
    </row>
    <row r="78" spans="1:8" x14ac:dyDescent="0.3">
      <c r="A78" s="26">
        <v>41445</v>
      </c>
      <c r="B78" s="27" t="s">
        <v>58</v>
      </c>
      <c r="C78" s="27" t="s">
        <v>3</v>
      </c>
      <c r="D78" s="27" t="s">
        <v>66</v>
      </c>
      <c r="E78" s="27" t="s">
        <v>41</v>
      </c>
      <c r="F78" s="27">
        <v>9</v>
      </c>
      <c r="G78" s="28">
        <f>VLOOKUP(tblSprzedaż[[#This Row],[Produkt]],tblProdukty[],2,FALSE)</f>
        <v>4</v>
      </c>
      <c r="H78" s="29">
        <f t="shared" si="1"/>
        <v>36</v>
      </c>
    </row>
    <row r="79" spans="1:8" x14ac:dyDescent="0.3">
      <c r="A79" s="26">
        <v>41569</v>
      </c>
      <c r="B79" s="27" t="s">
        <v>58</v>
      </c>
      <c r="C79" s="27" t="s">
        <v>3</v>
      </c>
      <c r="D79" s="27" t="s">
        <v>61</v>
      </c>
      <c r="E79" s="27" t="s">
        <v>40</v>
      </c>
      <c r="F79" s="27">
        <v>9</v>
      </c>
      <c r="G79" s="28">
        <f>VLOOKUP(tblSprzedaż[[#This Row],[Produkt]],tblProdukty[],2,FALSE)</f>
        <v>1.5</v>
      </c>
      <c r="H79" s="29">
        <f t="shared" si="1"/>
        <v>13.5</v>
      </c>
    </row>
    <row r="80" spans="1:8" x14ac:dyDescent="0.3">
      <c r="A80" s="26">
        <v>41516</v>
      </c>
      <c r="B80" s="27" t="s">
        <v>62</v>
      </c>
      <c r="C80" s="27" t="s">
        <v>4</v>
      </c>
      <c r="D80" s="27" t="s">
        <v>70</v>
      </c>
      <c r="E80" s="27" t="s">
        <v>40</v>
      </c>
      <c r="F80" s="27">
        <v>13</v>
      </c>
      <c r="G80" s="28">
        <f>VLOOKUP(tblSprzedaż[[#This Row],[Produkt]],tblProdukty[],2,FALSE)</f>
        <v>1.5</v>
      </c>
      <c r="H80" s="29">
        <f t="shared" si="1"/>
        <v>19.5</v>
      </c>
    </row>
    <row r="81" spans="1:8" x14ac:dyDescent="0.3">
      <c r="A81" s="26">
        <v>41615</v>
      </c>
      <c r="B81" s="27" t="s">
        <v>62</v>
      </c>
      <c r="C81" s="27" t="s">
        <v>5</v>
      </c>
      <c r="D81" s="27" t="s">
        <v>61</v>
      </c>
      <c r="E81" s="27" t="s">
        <v>37</v>
      </c>
      <c r="F81" s="27">
        <v>19</v>
      </c>
      <c r="G81" s="28">
        <f>VLOOKUP(tblSprzedaż[[#This Row],[Produkt]],tblProdukty[],2,FALSE)</f>
        <v>5</v>
      </c>
      <c r="H81" s="29">
        <f t="shared" si="1"/>
        <v>95</v>
      </c>
    </row>
    <row r="82" spans="1:8" x14ac:dyDescent="0.3">
      <c r="A82" s="26">
        <v>41549</v>
      </c>
      <c r="B82" s="27" t="s">
        <v>67</v>
      </c>
      <c r="C82" s="27" t="s">
        <v>5</v>
      </c>
      <c r="D82" s="27" t="s">
        <v>66</v>
      </c>
      <c r="E82" s="27" t="s">
        <v>40</v>
      </c>
      <c r="F82" s="27">
        <v>17</v>
      </c>
      <c r="G82" s="28">
        <f>VLOOKUP(tblSprzedaż[[#This Row],[Produkt]],tblProdukty[],2,FALSE)</f>
        <v>1.5</v>
      </c>
      <c r="H82" s="29">
        <f t="shared" si="1"/>
        <v>25.5</v>
      </c>
    </row>
    <row r="83" spans="1:8" x14ac:dyDescent="0.3">
      <c r="A83" s="26">
        <v>41445</v>
      </c>
      <c r="B83" s="27" t="s">
        <v>67</v>
      </c>
      <c r="C83" s="27" t="s">
        <v>7</v>
      </c>
      <c r="D83" s="27" t="s">
        <v>68</v>
      </c>
      <c r="E83" s="27" t="s">
        <v>40</v>
      </c>
      <c r="F83" s="27">
        <v>2</v>
      </c>
      <c r="G83" s="28">
        <f>VLOOKUP(tblSprzedaż[[#This Row],[Produkt]],tblProdukty[],2,FALSE)</f>
        <v>1.5</v>
      </c>
      <c r="H83" s="29">
        <f t="shared" si="1"/>
        <v>3</v>
      </c>
    </row>
    <row r="84" spans="1:8" x14ac:dyDescent="0.3">
      <c r="A84" s="26">
        <v>41433</v>
      </c>
      <c r="B84" s="27" t="s">
        <v>58</v>
      </c>
      <c r="C84" s="27" t="s">
        <v>5</v>
      </c>
      <c r="D84" s="27" t="s">
        <v>63</v>
      </c>
      <c r="E84" s="27" t="s">
        <v>34</v>
      </c>
      <c r="F84" s="27">
        <v>12</v>
      </c>
      <c r="G84" s="28">
        <f>VLOOKUP(tblSprzedaż[[#This Row],[Produkt]],tblProdukty[],2,FALSE)</f>
        <v>2</v>
      </c>
      <c r="H84" s="29">
        <f t="shared" si="1"/>
        <v>24</v>
      </c>
    </row>
    <row r="85" spans="1:8" x14ac:dyDescent="0.3">
      <c r="A85" s="26">
        <v>41555</v>
      </c>
      <c r="B85" s="27" t="s">
        <v>58</v>
      </c>
      <c r="C85" s="27" t="s">
        <v>4</v>
      </c>
      <c r="D85" s="27" t="s">
        <v>59</v>
      </c>
      <c r="E85" s="27" t="s">
        <v>41</v>
      </c>
      <c r="F85" s="27">
        <v>14</v>
      </c>
      <c r="G85" s="28">
        <f>VLOOKUP(tblSprzedaż[[#This Row],[Produkt]],tblProdukty[],2,FALSE)</f>
        <v>4</v>
      </c>
      <c r="H85" s="29">
        <f t="shared" si="1"/>
        <v>56</v>
      </c>
    </row>
    <row r="86" spans="1:8" x14ac:dyDescent="0.3">
      <c r="A86" s="26">
        <v>41588</v>
      </c>
      <c r="B86" s="27" t="s">
        <v>62</v>
      </c>
      <c r="C86" s="27" t="s">
        <v>6</v>
      </c>
      <c r="D86" s="27" t="s">
        <v>60</v>
      </c>
      <c r="E86" s="27" t="s">
        <v>40</v>
      </c>
      <c r="F86" s="27">
        <v>9</v>
      </c>
      <c r="G86" s="28">
        <f>VLOOKUP(tblSprzedaż[[#This Row],[Produkt]],tblProdukty[],2,FALSE)</f>
        <v>1.5</v>
      </c>
      <c r="H86" s="29">
        <f t="shared" si="1"/>
        <v>13.5</v>
      </c>
    </row>
    <row r="87" spans="1:8" x14ac:dyDescent="0.3">
      <c r="A87" s="26">
        <v>41466</v>
      </c>
      <c r="B87" s="27" t="s">
        <v>58</v>
      </c>
      <c r="C87" s="27" t="s">
        <v>6</v>
      </c>
      <c r="D87" s="27" t="s">
        <v>64</v>
      </c>
      <c r="E87" s="27" t="s">
        <v>39</v>
      </c>
      <c r="F87" s="27">
        <v>20</v>
      </c>
      <c r="G87" s="28">
        <f>VLOOKUP(tblSprzedaż[[#This Row],[Produkt]],tblProdukty[],2,FALSE)</f>
        <v>0.1</v>
      </c>
      <c r="H87" s="29">
        <f t="shared" si="1"/>
        <v>2</v>
      </c>
    </row>
    <row r="88" spans="1:8" x14ac:dyDescent="0.3">
      <c r="A88" s="26">
        <v>41468</v>
      </c>
      <c r="B88" s="27" t="s">
        <v>62</v>
      </c>
      <c r="C88" s="27" t="s">
        <v>3</v>
      </c>
      <c r="D88" s="27" t="s">
        <v>63</v>
      </c>
      <c r="E88" s="27" t="s">
        <v>37</v>
      </c>
      <c r="F88" s="27">
        <v>3</v>
      </c>
      <c r="G88" s="28">
        <f>VLOOKUP(tblSprzedaż[[#This Row],[Produkt]],tblProdukty[],2,FALSE)</f>
        <v>5</v>
      </c>
      <c r="H88" s="29">
        <f t="shared" si="1"/>
        <v>15</v>
      </c>
    </row>
    <row r="89" spans="1:8" x14ac:dyDescent="0.3">
      <c r="A89" s="26">
        <v>41582</v>
      </c>
      <c r="B89" s="27" t="s">
        <v>62</v>
      </c>
      <c r="C89" s="27" t="s">
        <v>5</v>
      </c>
      <c r="D89" s="27" t="s">
        <v>66</v>
      </c>
      <c r="E89" s="27" t="s">
        <v>39</v>
      </c>
      <c r="F89" s="27">
        <v>4</v>
      </c>
      <c r="G89" s="28">
        <f>VLOOKUP(tblSprzedaż[[#This Row],[Produkt]],tblProdukty[],2,FALSE)</f>
        <v>0.1</v>
      </c>
      <c r="H89" s="29">
        <f t="shared" si="1"/>
        <v>0.4</v>
      </c>
    </row>
    <row r="90" spans="1:8" x14ac:dyDescent="0.3">
      <c r="A90" s="26">
        <v>41571</v>
      </c>
      <c r="B90" s="27" t="s">
        <v>62</v>
      </c>
      <c r="C90" s="27" t="s">
        <v>6</v>
      </c>
      <c r="D90" s="27" t="s">
        <v>72</v>
      </c>
      <c r="E90" s="27" t="s">
        <v>41</v>
      </c>
      <c r="F90" s="27">
        <v>6</v>
      </c>
      <c r="G90" s="28">
        <f>VLOOKUP(tblSprzedaż[[#This Row],[Produkt]],tblProdukty[],2,FALSE)</f>
        <v>4</v>
      </c>
      <c r="H90" s="29">
        <f t="shared" si="1"/>
        <v>24</v>
      </c>
    </row>
    <row r="91" spans="1:8" x14ac:dyDescent="0.3">
      <c r="A91" s="26">
        <v>41505</v>
      </c>
      <c r="B91" s="27" t="s">
        <v>58</v>
      </c>
      <c r="C91" s="27" t="s">
        <v>5</v>
      </c>
      <c r="D91" s="27" t="s">
        <v>66</v>
      </c>
      <c r="E91" s="27" t="s">
        <v>39</v>
      </c>
      <c r="F91" s="27">
        <v>11</v>
      </c>
      <c r="G91" s="28">
        <f>VLOOKUP(tblSprzedaż[[#This Row],[Produkt]],tblProdukty[],2,FALSE)</f>
        <v>0.1</v>
      </c>
      <c r="H91" s="29">
        <f t="shared" si="1"/>
        <v>1.1000000000000001</v>
      </c>
    </row>
    <row r="92" spans="1:8" x14ac:dyDescent="0.3">
      <c r="A92" s="26">
        <v>41430</v>
      </c>
      <c r="B92" s="27" t="s">
        <v>67</v>
      </c>
      <c r="C92" s="27" t="s">
        <v>7</v>
      </c>
      <c r="D92" s="27" t="s">
        <v>65</v>
      </c>
      <c r="E92" s="27" t="s">
        <v>39</v>
      </c>
      <c r="F92" s="27">
        <v>15</v>
      </c>
      <c r="G92" s="28">
        <f>VLOOKUP(tblSprzedaż[[#This Row],[Produkt]],tblProdukty[],2,FALSE)</f>
        <v>0.1</v>
      </c>
      <c r="H92" s="29">
        <f t="shared" si="1"/>
        <v>1.5</v>
      </c>
    </row>
    <row r="93" spans="1:8" x14ac:dyDescent="0.3">
      <c r="A93" s="26">
        <v>41494</v>
      </c>
      <c r="B93" s="27" t="s">
        <v>71</v>
      </c>
      <c r="C93" s="27" t="s">
        <v>6</v>
      </c>
      <c r="D93" s="27" t="s">
        <v>66</v>
      </c>
      <c r="E93" s="27" t="s">
        <v>34</v>
      </c>
      <c r="F93" s="27">
        <v>14</v>
      </c>
      <c r="G93" s="28">
        <f>VLOOKUP(tblSprzedaż[[#This Row],[Produkt]],tblProdukty[],2,FALSE)</f>
        <v>2</v>
      </c>
      <c r="H93" s="29">
        <f t="shared" si="1"/>
        <v>28</v>
      </c>
    </row>
    <row r="94" spans="1:8" x14ac:dyDescent="0.3">
      <c r="A94" s="26">
        <v>41559</v>
      </c>
      <c r="B94" s="27" t="s">
        <v>71</v>
      </c>
      <c r="C94" s="27" t="s">
        <v>5</v>
      </c>
      <c r="D94" s="27" t="s">
        <v>63</v>
      </c>
      <c r="E94" s="27" t="s">
        <v>36</v>
      </c>
      <c r="F94" s="27">
        <v>13</v>
      </c>
      <c r="G94" s="28">
        <f>VLOOKUP(tblSprzedaż[[#This Row],[Produkt]],tblProdukty[],2,FALSE)</f>
        <v>2.5</v>
      </c>
      <c r="H94" s="29">
        <f t="shared" si="1"/>
        <v>32.5</v>
      </c>
    </row>
    <row r="95" spans="1:8" x14ac:dyDescent="0.3">
      <c r="A95" s="26">
        <v>41529</v>
      </c>
      <c r="B95" s="27" t="s">
        <v>62</v>
      </c>
      <c r="C95" s="27" t="s">
        <v>7</v>
      </c>
      <c r="D95" s="27" t="s">
        <v>65</v>
      </c>
      <c r="E95" s="27" t="s">
        <v>40</v>
      </c>
      <c r="F95" s="27">
        <v>17</v>
      </c>
      <c r="G95" s="28">
        <f>VLOOKUP(tblSprzedaż[[#This Row],[Produkt]],tblProdukty[],2,FALSE)</f>
        <v>1.5</v>
      </c>
      <c r="H95" s="29">
        <f t="shared" si="1"/>
        <v>25.5</v>
      </c>
    </row>
    <row r="96" spans="1:8" x14ac:dyDescent="0.3">
      <c r="A96" s="26">
        <v>41496</v>
      </c>
      <c r="B96" s="27" t="s">
        <v>58</v>
      </c>
      <c r="C96" s="27" t="s">
        <v>7</v>
      </c>
      <c r="D96" s="27" t="s">
        <v>66</v>
      </c>
      <c r="E96" s="27" t="s">
        <v>40</v>
      </c>
      <c r="F96" s="27">
        <v>8</v>
      </c>
      <c r="G96" s="28">
        <f>VLOOKUP(tblSprzedaż[[#This Row],[Produkt]],tblProdukty[],2,FALSE)</f>
        <v>1.5</v>
      </c>
      <c r="H96" s="29">
        <f t="shared" si="1"/>
        <v>12</v>
      </c>
    </row>
    <row r="97" spans="1:8" x14ac:dyDescent="0.3">
      <c r="A97" s="26">
        <v>41616</v>
      </c>
      <c r="B97" s="27" t="s">
        <v>67</v>
      </c>
      <c r="C97" s="27" t="s">
        <v>7</v>
      </c>
      <c r="D97" s="27" t="s">
        <v>64</v>
      </c>
      <c r="E97" s="27" t="s">
        <v>41</v>
      </c>
      <c r="F97" s="27">
        <v>10</v>
      </c>
      <c r="G97" s="28">
        <f>VLOOKUP(tblSprzedaż[[#This Row],[Produkt]],tblProdukty[],2,FALSE)</f>
        <v>4</v>
      </c>
      <c r="H97" s="29">
        <f t="shared" si="1"/>
        <v>40</v>
      </c>
    </row>
    <row r="98" spans="1:8" x14ac:dyDescent="0.3">
      <c r="A98" s="26">
        <v>41519</v>
      </c>
      <c r="B98" s="27" t="s">
        <v>58</v>
      </c>
      <c r="C98" s="27" t="s">
        <v>3</v>
      </c>
      <c r="D98" s="27" t="s">
        <v>70</v>
      </c>
      <c r="E98" s="27" t="s">
        <v>34</v>
      </c>
      <c r="F98" s="27">
        <v>1</v>
      </c>
      <c r="G98" s="28">
        <f>VLOOKUP(tblSprzedaż[[#This Row],[Produkt]],tblProdukty[],2,FALSE)</f>
        <v>2</v>
      </c>
      <c r="H98" s="29">
        <f t="shared" si="1"/>
        <v>2</v>
      </c>
    </row>
    <row r="99" spans="1:8" x14ac:dyDescent="0.3">
      <c r="A99" s="26">
        <v>41619</v>
      </c>
      <c r="B99" s="27" t="s">
        <v>67</v>
      </c>
      <c r="C99" s="27" t="s">
        <v>7</v>
      </c>
      <c r="D99" s="27" t="s">
        <v>66</v>
      </c>
      <c r="E99" s="27" t="s">
        <v>40</v>
      </c>
      <c r="F99" s="27">
        <v>4</v>
      </c>
      <c r="G99" s="28">
        <f>VLOOKUP(tblSprzedaż[[#This Row],[Produkt]],tblProdukty[],2,FALSE)</f>
        <v>1.5</v>
      </c>
      <c r="H99" s="29">
        <f t="shared" si="1"/>
        <v>6</v>
      </c>
    </row>
    <row r="100" spans="1:8" x14ac:dyDescent="0.3">
      <c r="A100" s="26">
        <v>41586</v>
      </c>
      <c r="B100" s="27" t="s">
        <v>73</v>
      </c>
      <c r="C100" s="27" t="s">
        <v>5</v>
      </c>
      <c r="D100" s="27" t="s">
        <v>61</v>
      </c>
      <c r="E100" s="27" t="s">
        <v>35</v>
      </c>
      <c r="F100" s="27">
        <v>13</v>
      </c>
      <c r="G100" s="28">
        <f>VLOOKUP(tblSprzedaż[[#This Row],[Produkt]],tblProdukty[],2,FALSE)</f>
        <v>0.5</v>
      </c>
      <c r="H100" s="29">
        <f t="shared" si="1"/>
        <v>6.5</v>
      </c>
    </row>
    <row r="101" spans="1:8" x14ac:dyDescent="0.3">
      <c r="A101" s="26">
        <v>41632</v>
      </c>
      <c r="B101" s="27" t="s">
        <v>62</v>
      </c>
      <c r="C101" s="27" t="s">
        <v>6</v>
      </c>
      <c r="D101" s="27" t="s">
        <v>65</v>
      </c>
      <c r="E101" s="27" t="s">
        <v>41</v>
      </c>
      <c r="F101" s="27">
        <v>20</v>
      </c>
      <c r="G101" s="28">
        <f>VLOOKUP(tblSprzedaż[[#This Row],[Produkt]],tblProdukty[],2,FALSE)</f>
        <v>4</v>
      </c>
      <c r="H101" s="29">
        <f t="shared" si="1"/>
        <v>80</v>
      </c>
    </row>
    <row r="102" spans="1:8" x14ac:dyDescent="0.3">
      <c r="A102" s="26">
        <v>41479</v>
      </c>
      <c r="B102" s="27" t="s">
        <v>62</v>
      </c>
      <c r="C102" s="27" t="s">
        <v>3</v>
      </c>
      <c r="D102" s="27" t="s">
        <v>65</v>
      </c>
      <c r="E102" s="27" t="s">
        <v>34</v>
      </c>
      <c r="F102" s="27">
        <v>3</v>
      </c>
      <c r="G102" s="28">
        <f>VLOOKUP(tblSprzedaż[[#This Row],[Produkt]],tblProdukty[],2,FALSE)</f>
        <v>2</v>
      </c>
      <c r="H102" s="29">
        <f t="shared" si="1"/>
        <v>6</v>
      </c>
    </row>
    <row r="103" spans="1:8" x14ac:dyDescent="0.3">
      <c r="A103" s="26">
        <v>41511</v>
      </c>
      <c r="B103" s="27" t="s">
        <v>75</v>
      </c>
      <c r="C103" s="27" t="s">
        <v>3</v>
      </c>
      <c r="D103" s="27" t="s">
        <v>72</v>
      </c>
      <c r="E103" s="27" t="s">
        <v>36</v>
      </c>
      <c r="F103" s="27">
        <v>10</v>
      </c>
      <c r="G103" s="28">
        <f>VLOOKUP(tblSprzedaż[[#This Row],[Produkt]],tblProdukty[],2,FALSE)</f>
        <v>2.5</v>
      </c>
      <c r="H103" s="29">
        <f t="shared" si="1"/>
        <v>25</v>
      </c>
    </row>
    <row r="104" spans="1:8" x14ac:dyDescent="0.3">
      <c r="A104" s="26">
        <v>41457</v>
      </c>
      <c r="B104" s="27" t="s">
        <v>73</v>
      </c>
      <c r="C104" s="27" t="s">
        <v>4</v>
      </c>
      <c r="D104" s="27" t="s">
        <v>74</v>
      </c>
      <c r="E104" s="27" t="s">
        <v>41</v>
      </c>
      <c r="F104" s="27">
        <v>2</v>
      </c>
      <c r="G104" s="28">
        <f>VLOOKUP(tblSprzedaż[[#This Row],[Produkt]],tblProdukty[],2,FALSE)</f>
        <v>4</v>
      </c>
      <c r="H104" s="29">
        <f t="shared" si="1"/>
        <v>8</v>
      </c>
    </row>
    <row r="105" spans="1:8" x14ac:dyDescent="0.3">
      <c r="A105" s="26">
        <v>41444</v>
      </c>
      <c r="B105" s="27" t="s">
        <v>67</v>
      </c>
      <c r="C105" s="27" t="s">
        <v>4</v>
      </c>
      <c r="D105" s="27" t="s">
        <v>63</v>
      </c>
      <c r="E105" s="27" t="s">
        <v>41</v>
      </c>
      <c r="F105" s="27">
        <v>9</v>
      </c>
      <c r="G105" s="28">
        <f>VLOOKUP(tblSprzedaż[[#This Row],[Produkt]],tblProdukty[],2,FALSE)</f>
        <v>4</v>
      </c>
      <c r="H105" s="29">
        <f t="shared" si="1"/>
        <v>36</v>
      </c>
    </row>
    <row r="106" spans="1:8" x14ac:dyDescent="0.3">
      <c r="A106" s="26">
        <v>41625</v>
      </c>
      <c r="B106" s="27" t="s">
        <v>75</v>
      </c>
      <c r="C106" s="27" t="s">
        <v>7</v>
      </c>
      <c r="D106" s="27" t="s">
        <v>72</v>
      </c>
      <c r="E106" s="27" t="s">
        <v>38</v>
      </c>
      <c r="F106" s="27">
        <v>11</v>
      </c>
      <c r="G106" s="28">
        <f>VLOOKUP(tblSprzedaż[[#This Row],[Produkt]],tblProdukty[],2,FALSE)</f>
        <v>0.2</v>
      </c>
      <c r="H106" s="29">
        <f t="shared" si="1"/>
        <v>2.2000000000000002</v>
      </c>
    </row>
    <row r="107" spans="1:8" x14ac:dyDescent="0.3">
      <c r="A107" s="26">
        <v>41468</v>
      </c>
      <c r="B107" s="27" t="s">
        <v>62</v>
      </c>
      <c r="C107" s="27" t="s">
        <v>5</v>
      </c>
      <c r="D107" s="27" t="s">
        <v>72</v>
      </c>
      <c r="E107" s="27" t="s">
        <v>38</v>
      </c>
      <c r="F107" s="27">
        <v>11</v>
      </c>
      <c r="G107" s="28">
        <f>VLOOKUP(tblSprzedaż[[#This Row],[Produkt]],tblProdukty[],2,FALSE)</f>
        <v>0.2</v>
      </c>
      <c r="H107" s="29">
        <f t="shared" si="1"/>
        <v>2.2000000000000002</v>
      </c>
    </row>
    <row r="108" spans="1:8" x14ac:dyDescent="0.3">
      <c r="A108" s="26">
        <v>41438</v>
      </c>
      <c r="B108" s="27" t="s">
        <v>67</v>
      </c>
      <c r="C108" s="27" t="s">
        <v>4</v>
      </c>
      <c r="D108" s="27" t="s">
        <v>64</v>
      </c>
      <c r="E108" s="27" t="s">
        <v>40</v>
      </c>
      <c r="F108" s="27">
        <v>15</v>
      </c>
      <c r="G108" s="28">
        <f>VLOOKUP(tblSprzedaż[[#This Row],[Produkt]],tblProdukty[],2,FALSE)</f>
        <v>1.5</v>
      </c>
      <c r="H108" s="29">
        <f t="shared" si="1"/>
        <v>22.5</v>
      </c>
    </row>
    <row r="109" spans="1:8" x14ac:dyDescent="0.3">
      <c r="A109" s="26">
        <v>41576</v>
      </c>
      <c r="B109" s="27" t="s">
        <v>71</v>
      </c>
      <c r="C109" s="27" t="s">
        <v>7</v>
      </c>
      <c r="D109" s="27" t="s">
        <v>66</v>
      </c>
      <c r="E109" s="27" t="s">
        <v>36</v>
      </c>
      <c r="F109" s="27">
        <v>2</v>
      </c>
      <c r="G109" s="28">
        <f>VLOOKUP(tblSprzedaż[[#This Row],[Produkt]],tblProdukty[],2,FALSE)</f>
        <v>2.5</v>
      </c>
      <c r="H109" s="29">
        <f t="shared" si="1"/>
        <v>5</v>
      </c>
    </row>
    <row r="110" spans="1:8" x14ac:dyDescent="0.3">
      <c r="A110" s="26">
        <v>41613</v>
      </c>
      <c r="B110" s="27" t="s">
        <v>58</v>
      </c>
      <c r="C110" s="27" t="s">
        <v>3</v>
      </c>
      <c r="D110" s="27" t="s">
        <v>65</v>
      </c>
      <c r="E110" s="27" t="s">
        <v>39</v>
      </c>
      <c r="F110" s="27">
        <v>6</v>
      </c>
      <c r="G110" s="28">
        <f>VLOOKUP(tblSprzedaż[[#This Row],[Produkt]],tblProdukty[],2,FALSE)</f>
        <v>0.1</v>
      </c>
      <c r="H110" s="29">
        <f t="shared" si="1"/>
        <v>0.60000000000000009</v>
      </c>
    </row>
    <row r="111" spans="1:8" x14ac:dyDescent="0.3">
      <c r="A111" s="26">
        <v>41551</v>
      </c>
      <c r="B111" s="27" t="s">
        <v>75</v>
      </c>
      <c r="C111" s="27" t="s">
        <v>7</v>
      </c>
      <c r="D111" s="27" t="s">
        <v>61</v>
      </c>
      <c r="E111" s="27" t="s">
        <v>38</v>
      </c>
      <c r="F111" s="27">
        <v>18</v>
      </c>
      <c r="G111" s="28">
        <f>VLOOKUP(tblSprzedaż[[#This Row],[Produkt]],tblProdukty[],2,FALSE)</f>
        <v>0.2</v>
      </c>
      <c r="H111" s="29">
        <f t="shared" si="1"/>
        <v>3.6</v>
      </c>
    </row>
    <row r="112" spans="1:8" x14ac:dyDescent="0.3">
      <c r="A112" s="26">
        <v>41482</v>
      </c>
      <c r="B112" s="27" t="s">
        <v>58</v>
      </c>
      <c r="C112" s="27" t="s">
        <v>7</v>
      </c>
      <c r="D112" s="27" t="s">
        <v>66</v>
      </c>
      <c r="E112" s="27" t="s">
        <v>41</v>
      </c>
      <c r="F112" s="27">
        <v>14</v>
      </c>
      <c r="G112" s="28">
        <f>VLOOKUP(tblSprzedaż[[#This Row],[Produkt]],tblProdukty[],2,FALSE)</f>
        <v>4</v>
      </c>
      <c r="H112" s="29">
        <f t="shared" si="1"/>
        <v>56</v>
      </c>
    </row>
    <row r="113" spans="1:8" x14ac:dyDescent="0.3">
      <c r="A113" s="26">
        <v>41535</v>
      </c>
      <c r="B113" s="27" t="s">
        <v>58</v>
      </c>
      <c r="C113" s="27" t="s">
        <v>5</v>
      </c>
      <c r="D113" s="27" t="s">
        <v>64</v>
      </c>
      <c r="E113" s="27" t="s">
        <v>41</v>
      </c>
      <c r="F113" s="27">
        <v>17</v>
      </c>
      <c r="G113" s="28">
        <f>VLOOKUP(tblSprzedaż[[#This Row],[Produkt]],tblProdukty[],2,FALSE)</f>
        <v>4</v>
      </c>
      <c r="H113" s="29">
        <f t="shared" si="1"/>
        <v>68</v>
      </c>
    </row>
    <row r="114" spans="1:8" x14ac:dyDescent="0.3">
      <c r="A114" s="26">
        <v>41577</v>
      </c>
      <c r="B114" s="27" t="s">
        <v>71</v>
      </c>
      <c r="C114" s="27" t="s">
        <v>3</v>
      </c>
      <c r="D114" s="27" t="s">
        <v>60</v>
      </c>
      <c r="E114" s="27" t="s">
        <v>38</v>
      </c>
      <c r="F114" s="27">
        <v>12</v>
      </c>
      <c r="G114" s="28">
        <f>VLOOKUP(tblSprzedaż[[#This Row],[Produkt]],tblProdukty[],2,FALSE)</f>
        <v>0.2</v>
      </c>
      <c r="H114" s="29">
        <f t="shared" si="1"/>
        <v>2.4000000000000004</v>
      </c>
    </row>
    <row r="115" spans="1:8" x14ac:dyDescent="0.3">
      <c r="A115" s="26">
        <v>41466</v>
      </c>
      <c r="B115" s="27" t="s">
        <v>75</v>
      </c>
      <c r="C115" s="27" t="s">
        <v>5</v>
      </c>
      <c r="D115" s="27" t="s">
        <v>70</v>
      </c>
      <c r="E115" s="27" t="s">
        <v>36</v>
      </c>
      <c r="F115" s="27">
        <v>19</v>
      </c>
      <c r="G115" s="28">
        <f>VLOOKUP(tblSprzedaż[[#This Row],[Produkt]],tblProdukty[],2,FALSE)</f>
        <v>2.5</v>
      </c>
      <c r="H115" s="29">
        <f t="shared" si="1"/>
        <v>47.5</v>
      </c>
    </row>
    <row r="116" spans="1:8" x14ac:dyDescent="0.3">
      <c r="A116" s="26">
        <v>41452</v>
      </c>
      <c r="B116" s="27" t="s">
        <v>67</v>
      </c>
      <c r="C116" s="27" t="s">
        <v>6</v>
      </c>
      <c r="D116" s="27" t="s">
        <v>72</v>
      </c>
      <c r="E116" s="27" t="s">
        <v>38</v>
      </c>
      <c r="F116" s="27">
        <v>20</v>
      </c>
      <c r="G116" s="28">
        <f>VLOOKUP(tblSprzedaż[[#This Row],[Produkt]],tblProdukty[],2,FALSE)</f>
        <v>0.2</v>
      </c>
      <c r="H116" s="29">
        <f t="shared" si="1"/>
        <v>4</v>
      </c>
    </row>
    <row r="117" spans="1:8" x14ac:dyDescent="0.3">
      <c r="A117" s="26">
        <v>41596</v>
      </c>
      <c r="B117" s="27" t="s">
        <v>75</v>
      </c>
      <c r="C117" s="27" t="s">
        <v>6</v>
      </c>
      <c r="D117" s="27" t="s">
        <v>61</v>
      </c>
      <c r="E117" s="27" t="s">
        <v>38</v>
      </c>
      <c r="F117" s="27">
        <v>9</v>
      </c>
      <c r="G117" s="28">
        <f>VLOOKUP(tblSprzedaż[[#This Row],[Produkt]],tblProdukty[],2,FALSE)</f>
        <v>0.2</v>
      </c>
      <c r="H117" s="29">
        <f t="shared" si="1"/>
        <v>1.8</v>
      </c>
    </row>
    <row r="118" spans="1:8" x14ac:dyDescent="0.3">
      <c r="A118" s="26">
        <v>41426</v>
      </c>
      <c r="B118" s="27" t="s">
        <v>62</v>
      </c>
      <c r="C118" s="27" t="s">
        <v>3</v>
      </c>
      <c r="D118" s="27" t="s">
        <v>69</v>
      </c>
      <c r="E118" s="27" t="s">
        <v>38</v>
      </c>
      <c r="F118" s="27">
        <v>19</v>
      </c>
      <c r="G118" s="28">
        <f>VLOOKUP(tblSprzedaż[[#This Row],[Produkt]],tblProdukty[],2,FALSE)</f>
        <v>0.2</v>
      </c>
      <c r="H118" s="29">
        <f t="shared" si="1"/>
        <v>3.8000000000000003</v>
      </c>
    </row>
    <row r="119" spans="1:8" x14ac:dyDescent="0.3">
      <c r="A119" s="26">
        <v>41431</v>
      </c>
      <c r="B119" s="27" t="s">
        <v>73</v>
      </c>
      <c r="C119" s="27" t="s">
        <v>3</v>
      </c>
      <c r="D119" s="27" t="s">
        <v>70</v>
      </c>
      <c r="E119" s="27" t="s">
        <v>40</v>
      </c>
      <c r="F119" s="27">
        <v>1</v>
      </c>
      <c r="G119" s="28">
        <f>VLOOKUP(tblSprzedaż[[#This Row],[Produkt]],tblProdukty[],2,FALSE)</f>
        <v>1.5</v>
      </c>
      <c r="H119" s="29">
        <f t="shared" si="1"/>
        <v>1.5</v>
      </c>
    </row>
    <row r="120" spans="1:8" x14ac:dyDescent="0.3">
      <c r="A120" s="26">
        <v>41440</v>
      </c>
      <c r="B120" s="27" t="s">
        <v>73</v>
      </c>
      <c r="C120" s="27" t="s">
        <v>6</v>
      </c>
      <c r="D120" s="27" t="s">
        <v>68</v>
      </c>
      <c r="E120" s="27" t="s">
        <v>39</v>
      </c>
      <c r="F120" s="27">
        <v>12</v>
      </c>
      <c r="G120" s="28">
        <f>VLOOKUP(tblSprzedaż[[#This Row],[Produkt]],tblProdukty[],2,FALSE)</f>
        <v>0.1</v>
      </c>
      <c r="H120" s="29">
        <f t="shared" si="1"/>
        <v>1.2000000000000002</v>
      </c>
    </row>
    <row r="121" spans="1:8" x14ac:dyDescent="0.3">
      <c r="A121" s="26">
        <v>41587</v>
      </c>
      <c r="B121" s="27" t="s">
        <v>58</v>
      </c>
      <c r="C121" s="27" t="s">
        <v>7</v>
      </c>
      <c r="D121" s="27" t="s">
        <v>63</v>
      </c>
      <c r="E121" s="27" t="s">
        <v>40</v>
      </c>
      <c r="F121" s="27">
        <v>20</v>
      </c>
      <c r="G121" s="28">
        <f>VLOOKUP(tblSprzedaż[[#This Row],[Produkt]],tblProdukty[],2,FALSE)</f>
        <v>1.5</v>
      </c>
      <c r="H121" s="29">
        <f t="shared" si="1"/>
        <v>30</v>
      </c>
    </row>
    <row r="122" spans="1:8" x14ac:dyDescent="0.3">
      <c r="A122" s="26">
        <v>41501</v>
      </c>
      <c r="B122" s="27" t="s">
        <v>58</v>
      </c>
      <c r="C122" s="27" t="s">
        <v>3</v>
      </c>
      <c r="D122" s="27" t="s">
        <v>72</v>
      </c>
      <c r="E122" s="27" t="s">
        <v>35</v>
      </c>
      <c r="F122" s="27">
        <v>2</v>
      </c>
      <c r="G122" s="28">
        <f>VLOOKUP(tblSprzedaż[[#This Row],[Produkt]],tblProdukty[],2,FALSE)</f>
        <v>0.5</v>
      </c>
      <c r="H122" s="29">
        <f t="shared" si="1"/>
        <v>1</v>
      </c>
    </row>
    <row r="123" spans="1:8" x14ac:dyDescent="0.3">
      <c r="A123" s="26">
        <v>41639</v>
      </c>
      <c r="B123" s="27" t="s">
        <v>73</v>
      </c>
      <c r="C123" s="27" t="s">
        <v>5</v>
      </c>
      <c r="D123" s="27" t="s">
        <v>61</v>
      </c>
      <c r="E123" s="27" t="s">
        <v>38</v>
      </c>
      <c r="F123" s="27">
        <v>14</v>
      </c>
      <c r="G123" s="28">
        <f>VLOOKUP(tblSprzedaż[[#This Row],[Produkt]],tblProdukty[],2,FALSE)</f>
        <v>0.2</v>
      </c>
      <c r="H123" s="29">
        <f t="shared" si="1"/>
        <v>2.8000000000000003</v>
      </c>
    </row>
    <row r="124" spans="1:8" x14ac:dyDescent="0.3">
      <c r="A124" s="26">
        <v>41612</v>
      </c>
      <c r="B124" s="27" t="s">
        <v>73</v>
      </c>
      <c r="C124" s="27" t="s">
        <v>6</v>
      </c>
      <c r="D124" s="27" t="s">
        <v>65</v>
      </c>
      <c r="E124" s="27" t="s">
        <v>37</v>
      </c>
      <c r="F124" s="27">
        <v>2</v>
      </c>
      <c r="G124" s="28">
        <f>VLOOKUP(tblSprzedaż[[#This Row],[Produkt]],tblProdukty[],2,FALSE)</f>
        <v>5</v>
      </c>
      <c r="H124" s="29">
        <f t="shared" si="1"/>
        <v>10</v>
      </c>
    </row>
    <row r="125" spans="1:8" x14ac:dyDescent="0.3">
      <c r="A125" s="26">
        <v>41583</v>
      </c>
      <c r="B125" s="27" t="s">
        <v>67</v>
      </c>
      <c r="C125" s="27" t="s">
        <v>7</v>
      </c>
      <c r="D125" s="27" t="s">
        <v>64</v>
      </c>
      <c r="E125" s="27" t="s">
        <v>35</v>
      </c>
      <c r="F125" s="27">
        <v>7</v>
      </c>
      <c r="G125" s="28">
        <f>VLOOKUP(tblSprzedaż[[#This Row],[Produkt]],tblProdukty[],2,FALSE)</f>
        <v>0.5</v>
      </c>
      <c r="H125" s="29">
        <f t="shared" si="1"/>
        <v>3.5</v>
      </c>
    </row>
    <row r="126" spans="1:8" x14ac:dyDescent="0.3">
      <c r="A126" s="26">
        <v>41563</v>
      </c>
      <c r="B126" s="27" t="s">
        <v>58</v>
      </c>
      <c r="C126" s="27" t="s">
        <v>6</v>
      </c>
      <c r="D126" s="27" t="s">
        <v>63</v>
      </c>
      <c r="E126" s="27" t="s">
        <v>40</v>
      </c>
      <c r="F126" s="27">
        <v>13</v>
      </c>
      <c r="G126" s="28">
        <f>VLOOKUP(tblSprzedaż[[#This Row],[Produkt]],tblProdukty[],2,FALSE)</f>
        <v>1.5</v>
      </c>
      <c r="H126" s="29">
        <f t="shared" si="1"/>
        <v>19.5</v>
      </c>
    </row>
    <row r="127" spans="1:8" x14ac:dyDescent="0.3">
      <c r="A127" s="26">
        <v>41476</v>
      </c>
      <c r="B127" s="27" t="s">
        <v>71</v>
      </c>
      <c r="C127" s="27" t="s">
        <v>4</v>
      </c>
      <c r="D127" s="27" t="s">
        <v>60</v>
      </c>
      <c r="E127" s="27" t="s">
        <v>41</v>
      </c>
      <c r="F127" s="27">
        <v>17</v>
      </c>
      <c r="G127" s="28">
        <f>VLOOKUP(tblSprzedaż[[#This Row],[Produkt]],tblProdukty[],2,FALSE)</f>
        <v>4</v>
      </c>
      <c r="H127" s="29">
        <f t="shared" si="1"/>
        <v>68</v>
      </c>
    </row>
    <row r="128" spans="1:8" x14ac:dyDescent="0.3">
      <c r="A128" s="26">
        <v>41494</v>
      </c>
      <c r="B128" s="27" t="s">
        <v>62</v>
      </c>
      <c r="C128" s="27" t="s">
        <v>6</v>
      </c>
      <c r="D128" s="27" t="s">
        <v>64</v>
      </c>
      <c r="E128" s="27" t="s">
        <v>39</v>
      </c>
      <c r="F128" s="27">
        <v>19</v>
      </c>
      <c r="G128" s="28">
        <f>VLOOKUP(tblSprzedaż[[#This Row],[Produkt]],tblProdukty[],2,FALSE)</f>
        <v>0.1</v>
      </c>
      <c r="H128" s="29">
        <f t="shared" si="1"/>
        <v>1.9000000000000001</v>
      </c>
    </row>
    <row r="129" spans="1:8" x14ac:dyDescent="0.3">
      <c r="A129" s="26">
        <v>41542</v>
      </c>
      <c r="B129" s="27" t="s">
        <v>75</v>
      </c>
      <c r="C129" s="27" t="s">
        <v>3</v>
      </c>
      <c r="D129" s="27" t="s">
        <v>74</v>
      </c>
      <c r="E129" s="27" t="s">
        <v>35</v>
      </c>
      <c r="F129" s="27">
        <v>7</v>
      </c>
      <c r="G129" s="28">
        <f>VLOOKUP(tblSprzedaż[[#This Row],[Produkt]],tblProdukty[],2,FALSE)</f>
        <v>0.5</v>
      </c>
      <c r="H129" s="29">
        <f t="shared" si="1"/>
        <v>3.5</v>
      </c>
    </row>
    <row r="130" spans="1:8" x14ac:dyDescent="0.3">
      <c r="A130" s="26">
        <v>41466</v>
      </c>
      <c r="B130" s="27" t="s">
        <v>75</v>
      </c>
      <c r="C130" s="27" t="s">
        <v>7</v>
      </c>
      <c r="D130" s="27" t="s">
        <v>61</v>
      </c>
      <c r="E130" s="27" t="s">
        <v>37</v>
      </c>
      <c r="F130" s="27">
        <v>13</v>
      </c>
      <c r="G130" s="28">
        <f>VLOOKUP(tblSprzedaż[[#This Row],[Produkt]],tblProdukty[],2,FALSE)</f>
        <v>5</v>
      </c>
      <c r="H130" s="29">
        <f t="shared" si="1"/>
        <v>65</v>
      </c>
    </row>
    <row r="131" spans="1:8" x14ac:dyDescent="0.3">
      <c r="A131" s="26">
        <v>41513</v>
      </c>
      <c r="B131" s="27" t="s">
        <v>67</v>
      </c>
      <c r="C131" s="27" t="s">
        <v>5</v>
      </c>
      <c r="D131" s="27" t="s">
        <v>59</v>
      </c>
      <c r="E131" s="27" t="s">
        <v>38</v>
      </c>
      <c r="F131" s="27">
        <v>12</v>
      </c>
      <c r="G131" s="28">
        <f>VLOOKUP(tblSprzedaż[[#This Row],[Produkt]],tblProdukty[],2,FALSE)</f>
        <v>0.2</v>
      </c>
      <c r="H131" s="29">
        <f t="shared" ref="H131:H194" si="2">F131*G131</f>
        <v>2.4000000000000004</v>
      </c>
    </row>
    <row r="132" spans="1:8" x14ac:dyDescent="0.3">
      <c r="A132" s="26">
        <v>41454</v>
      </c>
      <c r="B132" s="27" t="s">
        <v>75</v>
      </c>
      <c r="C132" s="27" t="s">
        <v>6</v>
      </c>
      <c r="D132" s="27" t="s">
        <v>66</v>
      </c>
      <c r="E132" s="27" t="s">
        <v>34</v>
      </c>
      <c r="F132" s="27">
        <v>17</v>
      </c>
      <c r="G132" s="28">
        <f>VLOOKUP(tblSprzedaż[[#This Row],[Produkt]],tblProdukty[],2,FALSE)</f>
        <v>2</v>
      </c>
      <c r="H132" s="29">
        <f t="shared" si="2"/>
        <v>34</v>
      </c>
    </row>
    <row r="133" spans="1:8" x14ac:dyDescent="0.3">
      <c r="A133" s="26">
        <v>41624</v>
      </c>
      <c r="B133" s="27" t="s">
        <v>58</v>
      </c>
      <c r="C133" s="27" t="s">
        <v>6</v>
      </c>
      <c r="D133" s="27" t="s">
        <v>59</v>
      </c>
      <c r="E133" s="27" t="s">
        <v>41</v>
      </c>
      <c r="F133" s="27">
        <v>17</v>
      </c>
      <c r="G133" s="28">
        <f>VLOOKUP(tblSprzedaż[[#This Row],[Produkt]],tblProdukty[],2,FALSE)</f>
        <v>4</v>
      </c>
      <c r="H133" s="29">
        <f t="shared" si="2"/>
        <v>68</v>
      </c>
    </row>
    <row r="134" spans="1:8" x14ac:dyDescent="0.3">
      <c r="A134" s="26">
        <v>41608</v>
      </c>
      <c r="B134" s="27" t="s">
        <v>62</v>
      </c>
      <c r="C134" s="27" t="s">
        <v>4</v>
      </c>
      <c r="D134" s="27" t="s">
        <v>69</v>
      </c>
      <c r="E134" s="27" t="s">
        <v>38</v>
      </c>
      <c r="F134" s="27">
        <v>9</v>
      </c>
      <c r="G134" s="28">
        <f>VLOOKUP(tblSprzedaż[[#This Row],[Produkt]],tblProdukty[],2,FALSE)</f>
        <v>0.2</v>
      </c>
      <c r="H134" s="29">
        <f t="shared" si="2"/>
        <v>1.8</v>
      </c>
    </row>
    <row r="135" spans="1:8" x14ac:dyDescent="0.3">
      <c r="A135" s="26">
        <v>41445</v>
      </c>
      <c r="B135" s="27" t="s">
        <v>73</v>
      </c>
      <c r="C135" s="27" t="s">
        <v>5</v>
      </c>
      <c r="D135" s="27" t="s">
        <v>61</v>
      </c>
      <c r="E135" s="27" t="s">
        <v>41</v>
      </c>
      <c r="F135" s="27">
        <v>2</v>
      </c>
      <c r="G135" s="28">
        <f>VLOOKUP(tblSprzedaż[[#This Row],[Produkt]],tblProdukty[],2,FALSE)</f>
        <v>4</v>
      </c>
      <c r="H135" s="29">
        <f t="shared" si="2"/>
        <v>8</v>
      </c>
    </row>
    <row r="136" spans="1:8" x14ac:dyDescent="0.3">
      <c r="A136" s="26">
        <v>41463</v>
      </c>
      <c r="B136" s="27" t="s">
        <v>62</v>
      </c>
      <c r="C136" s="27" t="s">
        <v>7</v>
      </c>
      <c r="D136" s="27" t="s">
        <v>66</v>
      </c>
      <c r="E136" s="27" t="s">
        <v>36</v>
      </c>
      <c r="F136" s="27">
        <v>14</v>
      </c>
      <c r="G136" s="28">
        <f>VLOOKUP(tblSprzedaż[[#This Row],[Produkt]],tblProdukty[],2,FALSE)</f>
        <v>2.5</v>
      </c>
      <c r="H136" s="29">
        <f t="shared" si="2"/>
        <v>35</v>
      </c>
    </row>
    <row r="137" spans="1:8" x14ac:dyDescent="0.3">
      <c r="A137" s="26">
        <v>41503</v>
      </c>
      <c r="B137" s="27" t="s">
        <v>71</v>
      </c>
      <c r="C137" s="27" t="s">
        <v>3</v>
      </c>
      <c r="D137" s="27" t="s">
        <v>65</v>
      </c>
      <c r="E137" s="27" t="s">
        <v>41</v>
      </c>
      <c r="F137" s="27">
        <v>4</v>
      </c>
      <c r="G137" s="28">
        <f>VLOOKUP(tblSprzedaż[[#This Row],[Produkt]],tblProdukty[],2,FALSE)</f>
        <v>4</v>
      </c>
      <c r="H137" s="29">
        <f t="shared" si="2"/>
        <v>16</v>
      </c>
    </row>
    <row r="138" spans="1:8" x14ac:dyDescent="0.3">
      <c r="A138" s="26">
        <v>41495</v>
      </c>
      <c r="B138" s="27" t="s">
        <v>71</v>
      </c>
      <c r="C138" s="27" t="s">
        <v>6</v>
      </c>
      <c r="D138" s="27" t="s">
        <v>63</v>
      </c>
      <c r="E138" s="27" t="s">
        <v>39</v>
      </c>
      <c r="F138" s="27">
        <v>12</v>
      </c>
      <c r="G138" s="28">
        <f>VLOOKUP(tblSprzedaż[[#This Row],[Produkt]],tblProdukty[],2,FALSE)</f>
        <v>0.1</v>
      </c>
      <c r="H138" s="29">
        <f t="shared" si="2"/>
        <v>1.2000000000000002</v>
      </c>
    </row>
    <row r="139" spans="1:8" x14ac:dyDescent="0.3">
      <c r="A139" s="26">
        <v>41589</v>
      </c>
      <c r="B139" s="27" t="s">
        <v>73</v>
      </c>
      <c r="C139" s="27" t="s">
        <v>7</v>
      </c>
      <c r="D139" s="27" t="s">
        <v>65</v>
      </c>
      <c r="E139" s="27" t="s">
        <v>41</v>
      </c>
      <c r="F139" s="27">
        <v>14</v>
      </c>
      <c r="G139" s="28">
        <f>VLOOKUP(tblSprzedaż[[#This Row],[Produkt]],tblProdukty[],2,FALSE)</f>
        <v>4</v>
      </c>
      <c r="H139" s="29">
        <f t="shared" si="2"/>
        <v>56</v>
      </c>
    </row>
    <row r="140" spans="1:8" x14ac:dyDescent="0.3">
      <c r="A140" s="26">
        <v>41580</v>
      </c>
      <c r="B140" s="27" t="s">
        <v>73</v>
      </c>
      <c r="C140" s="27" t="s">
        <v>4</v>
      </c>
      <c r="D140" s="27" t="s">
        <v>61</v>
      </c>
      <c r="E140" s="27" t="s">
        <v>38</v>
      </c>
      <c r="F140" s="27">
        <v>2</v>
      </c>
      <c r="G140" s="28">
        <f>VLOOKUP(tblSprzedaż[[#This Row],[Produkt]],tblProdukty[],2,FALSE)</f>
        <v>0.2</v>
      </c>
      <c r="H140" s="29">
        <f t="shared" si="2"/>
        <v>0.4</v>
      </c>
    </row>
    <row r="141" spans="1:8" x14ac:dyDescent="0.3">
      <c r="A141" s="26">
        <v>41460</v>
      </c>
      <c r="B141" s="27" t="s">
        <v>67</v>
      </c>
      <c r="C141" s="27" t="s">
        <v>5</v>
      </c>
      <c r="D141" s="27" t="s">
        <v>72</v>
      </c>
      <c r="E141" s="27" t="s">
        <v>40</v>
      </c>
      <c r="F141" s="27">
        <v>8</v>
      </c>
      <c r="G141" s="28">
        <f>VLOOKUP(tblSprzedaż[[#This Row],[Produkt]],tblProdukty[],2,FALSE)</f>
        <v>1.5</v>
      </c>
      <c r="H141" s="29">
        <f t="shared" si="2"/>
        <v>12</v>
      </c>
    </row>
    <row r="142" spans="1:8" x14ac:dyDescent="0.3">
      <c r="A142" s="26">
        <v>41638</v>
      </c>
      <c r="B142" s="27" t="s">
        <v>58</v>
      </c>
      <c r="C142" s="27" t="s">
        <v>6</v>
      </c>
      <c r="D142" s="27" t="s">
        <v>66</v>
      </c>
      <c r="E142" s="27" t="s">
        <v>38</v>
      </c>
      <c r="F142" s="27">
        <v>4</v>
      </c>
      <c r="G142" s="28">
        <f>VLOOKUP(tblSprzedaż[[#This Row],[Produkt]],tblProdukty[],2,FALSE)</f>
        <v>0.2</v>
      </c>
      <c r="H142" s="29">
        <f t="shared" si="2"/>
        <v>0.8</v>
      </c>
    </row>
    <row r="143" spans="1:8" x14ac:dyDescent="0.3">
      <c r="A143" s="26">
        <v>41523</v>
      </c>
      <c r="B143" s="27" t="s">
        <v>67</v>
      </c>
      <c r="C143" s="27" t="s">
        <v>4</v>
      </c>
      <c r="D143" s="27" t="s">
        <v>63</v>
      </c>
      <c r="E143" s="27" t="s">
        <v>40</v>
      </c>
      <c r="F143" s="27">
        <v>13</v>
      </c>
      <c r="G143" s="28">
        <f>VLOOKUP(tblSprzedaż[[#This Row],[Produkt]],tblProdukty[],2,FALSE)</f>
        <v>1.5</v>
      </c>
      <c r="H143" s="29">
        <f t="shared" si="2"/>
        <v>19.5</v>
      </c>
    </row>
    <row r="144" spans="1:8" x14ac:dyDescent="0.3">
      <c r="A144" s="26">
        <v>41467</v>
      </c>
      <c r="B144" s="27" t="s">
        <v>67</v>
      </c>
      <c r="C144" s="27" t="s">
        <v>3</v>
      </c>
      <c r="D144" s="27" t="s">
        <v>59</v>
      </c>
      <c r="E144" s="27" t="s">
        <v>37</v>
      </c>
      <c r="F144" s="27">
        <v>10</v>
      </c>
      <c r="G144" s="28">
        <f>VLOOKUP(tblSprzedaż[[#This Row],[Produkt]],tblProdukty[],2,FALSE)</f>
        <v>5</v>
      </c>
      <c r="H144" s="29">
        <f t="shared" si="2"/>
        <v>50</v>
      </c>
    </row>
    <row r="145" spans="1:8" x14ac:dyDescent="0.3">
      <c r="A145" s="26">
        <v>41526</v>
      </c>
      <c r="B145" s="27" t="s">
        <v>73</v>
      </c>
      <c r="C145" s="27" t="s">
        <v>5</v>
      </c>
      <c r="D145" s="27" t="s">
        <v>63</v>
      </c>
      <c r="E145" s="27" t="s">
        <v>37</v>
      </c>
      <c r="F145" s="27">
        <v>13</v>
      </c>
      <c r="G145" s="28">
        <f>VLOOKUP(tblSprzedaż[[#This Row],[Produkt]],tblProdukty[],2,FALSE)</f>
        <v>5</v>
      </c>
      <c r="H145" s="29">
        <f t="shared" si="2"/>
        <v>65</v>
      </c>
    </row>
    <row r="146" spans="1:8" x14ac:dyDescent="0.3">
      <c r="A146" s="26">
        <v>41635</v>
      </c>
      <c r="B146" s="27" t="s">
        <v>71</v>
      </c>
      <c r="C146" s="27" t="s">
        <v>5</v>
      </c>
      <c r="D146" s="27" t="s">
        <v>68</v>
      </c>
      <c r="E146" s="27" t="s">
        <v>38</v>
      </c>
      <c r="F146" s="27">
        <v>2</v>
      </c>
      <c r="G146" s="28">
        <f>VLOOKUP(tblSprzedaż[[#This Row],[Produkt]],tblProdukty[],2,FALSE)</f>
        <v>0.2</v>
      </c>
      <c r="H146" s="29">
        <f t="shared" si="2"/>
        <v>0.4</v>
      </c>
    </row>
    <row r="147" spans="1:8" x14ac:dyDescent="0.3">
      <c r="A147" s="26">
        <v>41548</v>
      </c>
      <c r="B147" s="27" t="s">
        <v>62</v>
      </c>
      <c r="C147" s="27" t="s">
        <v>3</v>
      </c>
      <c r="D147" s="27" t="s">
        <v>69</v>
      </c>
      <c r="E147" s="27" t="s">
        <v>38</v>
      </c>
      <c r="F147" s="27">
        <v>8</v>
      </c>
      <c r="G147" s="28">
        <f>VLOOKUP(tblSprzedaż[[#This Row],[Produkt]],tblProdukty[],2,FALSE)</f>
        <v>0.2</v>
      </c>
      <c r="H147" s="29">
        <f t="shared" si="2"/>
        <v>1.6</v>
      </c>
    </row>
    <row r="148" spans="1:8" x14ac:dyDescent="0.3">
      <c r="A148" s="26">
        <v>41485</v>
      </c>
      <c r="B148" s="27" t="s">
        <v>62</v>
      </c>
      <c r="C148" s="27" t="s">
        <v>6</v>
      </c>
      <c r="D148" s="27" t="s">
        <v>68</v>
      </c>
      <c r="E148" s="27" t="s">
        <v>39</v>
      </c>
      <c r="F148" s="27">
        <v>3</v>
      </c>
      <c r="G148" s="28">
        <f>VLOOKUP(tblSprzedaż[[#This Row],[Produkt]],tblProdukty[],2,FALSE)</f>
        <v>0.1</v>
      </c>
      <c r="H148" s="29">
        <f t="shared" si="2"/>
        <v>0.30000000000000004</v>
      </c>
    </row>
    <row r="149" spans="1:8" x14ac:dyDescent="0.3">
      <c r="A149" s="26">
        <v>41536</v>
      </c>
      <c r="B149" s="27" t="s">
        <v>58</v>
      </c>
      <c r="C149" s="27" t="s">
        <v>3</v>
      </c>
      <c r="D149" s="27" t="s">
        <v>65</v>
      </c>
      <c r="E149" s="27" t="s">
        <v>35</v>
      </c>
      <c r="F149" s="27">
        <v>4</v>
      </c>
      <c r="G149" s="28">
        <f>VLOOKUP(tblSprzedaż[[#This Row],[Produkt]],tblProdukty[],2,FALSE)</f>
        <v>0.5</v>
      </c>
      <c r="H149" s="29">
        <f t="shared" si="2"/>
        <v>2</v>
      </c>
    </row>
    <row r="150" spans="1:8" x14ac:dyDescent="0.3">
      <c r="A150" s="26">
        <v>41467</v>
      </c>
      <c r="B150" s="27" t="s">
        <v>62</v>
      </c>
      <c r="C150" s="27" t="s">
        <v>4</v>
      </c>
      <c r="D150" s="27" t="s">
        <v>74</v>
      </c>
      <c r="E150" s="27" t="s">
        <v>38</v>
      </c>
      <c r="F150" s="27">
        <v>11</v>
      </c>
      <c r="G150" s="28">
        <f>VLOOKUP(tblSprzedaż[[#This Row],[Produkt]],tblProdukty[],2,FALSE)</f>
        <v>0.2</v>
      </c>
      <c r="H150" s="29">
        <f t="shared" si="2"/>
        <v>2.2000000000000002</v>
      </c>
    </row>
    <row r="151" spans="1:8" x14ac:dyDescent="0.3">
      <c r="A151" s="26">
        <v>41474</v>
      </c>
      <c r="B151" s="27" t="s">
        <v>71</v>
      </c>
      <c r="C151" s="27" t="s">
        <v>5</v>
      </c>
      <c r="D151" s="27" t="s">
        <v>69</v>
      </c>
      <c r="E151" s="27" t="s">
        <v>35</v>
      </c>
      <c r="F151" s="27">
        <v>1</v>
      </c>
      <c r="G151" s="28">
        <f>VLOOKUP(tblSprzedaż[[#This Row],[Produkt]],tblProdukty[],2,FALSE)</f>
        <v>0.5</v>
      </c>
      <c r="H151" s="29">
        <f t="shared" si="2"/>
        <v>0.5</v>
      </c>
    </row>
    <row r="152" spans="1:8" x14ac:dyDescent="0.3">
      <c r="A152" s="26">
        <v>41508</v>
      </c>
      <c r="B152" s="27" t="s">
        <v>67</v>
      </c>
      <c r="C152" s="27" t="s">
        <v>7</v>
      </c>
      <c r="D152" s="27" t="s">
        <v>63</v>
      </c>
      <c r="E152" s="27" t="s">
        <v>34</v>
      </c>
      <c r="F152" s="27">
        <v>5</v>
      </c>
      <c r="G152" s="28">
        <f>VLOOKUP(tblSprzedaż[[#This Row],[Produkt]],tblProdukty[],2,FALSE)</f>
        <v>2</v>
      </c>
      <c r="H152" s="29">
        <f t="shared" si="2"/>
        <v>10</v>
      </c>
    </row>
    <row r="153" spans="1:8" x14ac:dyDescent="0.3">
      <c r="A153" s="26">
        <v>41627</v>
      </c>
      <c r="B153" s="27" t="s">
        <v>73</v>
      </c>
      <c r="C153" s="27" t="s">
        <v>6</v>
      </c>
      <c r="D153" s="27" t="s">
        <v>74</v>
      </c>
      <c r="E153" s="27" t="s">
        <v>41</v>
      </c>
      <c r="F153" s="27">
        <v>6</v>
      </c>
      <c r="G153" s="28">
        <f>VLOOKUP(tblSprzedaż[[#This Row],[Produkt]],tblProdukty[],2,FALSE)</f>
        <v>4</v>
      </c>
      <c r="H153" s="29">
        <f t="shared" si="2"/>
        <v>24</v>
      </c>
    </row>
    <row r="154" spans="1:8" x14ac:dyDescent="0.3">
      <c r="A154" s="26">
        <v>41433</v>
      </c>
      <c r="B154" s="27" t="s">
        <v>73</v>
      </c>
      <c r="C154" s="27" t="s">
        <v>6</v>
      </c>
      <c r="D154" s="27" t="s">
        <v>65</v>
      </c>
      <c r="E154" s="27" t="s">
        <v>35</v>
      </c>
      <c r="F154" s="27">
        <v>7</v>
      </c>
      <c r="G154" s="28">
        <f>VLOOKUP(tblSprzedaż[[#This Row],[Produkt]],tblProdukty[],2,FALSE)</f>
        <v>0.5</v>
      </c>
      <c r="H154" s="29">
        <f t="shared" si="2"/>
        <v>3.5</v>
      </c>
    </row>
    <row r="155" spans="1:8" x14ac:dyDescent="0.3">
      <c r="A155" s="26">
        <v>41614</v>
      </c>
      <c r="B155" s="27" t="s">
        <v>58</v>
      </c>
      <c r="C155" s="27" t="s">
        <v>5</v>
      </c>
      <c r="D155" s="27" t="s">
        <v>70</v>
      </c>
      <c r="E155" s="27" t="s">
        <v>38</v>
      </c>
      <c r="F155" s="27">
        <v>18</v>
      </c>
      <c r="G155" s="28">
        <f>VLOOKUP(tblSprzedaż[[#This Row],[Produkt]],tblProdukty[],2,FALSE)</f>
        <v>0.2</v>
      </c>
      <c r="H155" s="29">
        <f t="shared" si="2"/>
        <v>3.6</v>
      </c>
    </row>
    <row r="156" spans="1:8" x14ac:dyDescent="0.3">
      <c r="A156" s="26">
        <v>41573</v>
      </c>
      <c r="B156" s="27" t="s">
        <v>58</v>
      </c>
      <c r="C156" s="27" t="s">
        <v>5</v>
      </c>
      <c r="D156" s="27" t="s">
        <v>68</v>
      </c>
      <c r="E156" s="27" t="s">
        <v>37</v>
      </c>
      <c r="F156" s="27">
        <v>17</v>
      </c>
      <c r="G156" s="28">
        <f>VLOOKUP(tblSprzedaż[[#This Row],[Produkt]],tblProdukty[],2,FALSE)</f>
        <v>5</v>
      </c>
      <c r="H156" s="29">
        <f t="shared" si="2"/>
        <v>85</v>
      </c>
    </row>
    <row r="157" spans="1:8" x14ac:dyDescent="0.3">
      <c r="A157" s="26">
        <v>41512</v>
      </c>
      <c r="B157" s="27" t="s">
        <v>62</v>
      </c>
      <c r="C157" s="27" t="s">
        <v>4</v>
      </c>
      <c r="D157" s="27" t="s">
        <v>72</v>
      </c>
      <c r="E157" s="27" t="s">
        <v>40</v>
      </c>
      <c r="F157" s="27">
        <v>10</v>
      </c>
      <c r="G157" s="28">
        <f>VLOOKUP(tblSprzedaż[[#This Row],[Produkt]],tblProdukty[],2,FALSE)</f>
        <v>1.5</v>
      </c>
      <c r="H157" s="29">
        <f t="shared" si="2"/>
        <v>15</v>
      </c>
    </row>
    <row r="158" spans="1:8" x14ac:dyDescent="0.3">
      <c r="A158" s="26">
        <v>41480</v>
      </c>
      <c r="B158" s="27" t="s">
        <v>62</v>
      </c>
      <c r="C158" s="27" t="s">
        <v>4</v>
      </c>
      <c r="D158" s="27" t="s">
        <v>72</v>
      </c>
      <c r="E158" s="27" t="s">
        <v>36</v>
      </c>
      <c r="F158" s="27">
        <v>14</v>
      </c>
      <c r="G158" s="28">
        <f>VLOOKUP(tblSprzedaż[[#This Row],[Produkt]],tblProdukty[],2,FALSE)</f>
        <v>2.5</v>
      </c>
      <c r="H158" s="29">
        <f t="shared" si="2"/>
        <v>35</v>
      </c>
    </row>
    <row r="159" spans="1:8" x14ac:dyDescent="0.3">
      <c r="A159" s="26">
        <v>41498</v>
      </c>
      <c r="B159" s="27" t="s">
        <v>67</v>
      </c>
      <c r="C159" s="27" t="s">
        <v>4</v>
      </c>
      <c r="D159" s="27" t="s">
        <v>59</v>
      </c>
      <c r="E159" s="27" t="s">
        <v>37</v>
      </c>
      <c r="F159" s="27">
        <v>15</v>
      </c>
      <c r="G159" s="28">
        <f>VLOOKUP(tblSprzedaż[[#This Row],[Produkt]],tblProdukty[],2,FALSE)</f>
        <v>5</v>
      </c>
      <c r="H159" s="29">
        <f t="shared" si="2"/>
        <v>75</v>
      </c>
    </row>
    <row r="160" spans="1:8" x14ac:dyDescent="0.3">
      <c r="A160" s="26">
        <v>41595</v>
      </c>
      <c r="B160" s="27" t="s">
        <v>67</v>
      </c>
      <c r="C160" s="27" t="s">
        <v>3</v>
      </c>
      <c r="D160" s="27" t="s">
        <v>64</v>
      </c>
      <c r="E160" s="27" t="s">
        <v>38</v>
      </c>
      <c r="F160" s="27">
        <v>10</v>
      </c>
      <c r="G160" s="28">
        <f>VLOOKUP(tblSprzedaż[[#This Row],[Produkt]],tblProdukty[],2,FALSE)</f>
        <v>0.2</v>
      </c>
      <c r="H160" s="29">
        <f t="shared" si="2"/>
        <v>2</v>
      </c>
    </row>
    <row r="161" spans="1:8" x14ac:dyDescent="0.3">
      <c r="A161" s="26">
        <v>41592</v>
      </c>
      <c r="B161" s="27" t="s">
        <v>58</v>
      </c>
      <c r="C161" s="27" t="s">
        <v>3</v>
      </c>
      <c r="D161" s="27" t="s">
        <v>59</v>
      </c>
      <c r="E161" s="27" t="s">
        <v>39</v>
      </c>
      <c r="F161" s="27">
        <v>18</v>
      </c>
      <c r="G161" s="28">
        <f>VLOOKUP(tblSprzedaż[[#This Row],[Produkt]],tblProdukty[],2,FALSE)</f>
        <v>0.1</v>
      </c>
      <c r="H161" s="29">
        <f t="shared" si="2"/>
        <v>1.8</v>
      </c>
    </row>
    <row r="162" spans="1:8" x14ac:dyDescent="0.3">
      <c r="A162" s="26">
        <v>41629</v>
      </c>
      <c r="B162" s="27" t="s">
        <v>58</v>
      </c>
      <c r="C162" s="27" t="s">
        <v>7</v>
      </c>
      <c r="D162" s="27" t="s">
        <v>68</v>
      </c>
      <c r="E162" s="27" t="s">
        <v>36</v>
      </c>
      <c r="F162" s="27">
        <v>18</v>
      </c>
      <c r="G162" s="28">
        <f>VLOOKUP(tblSprzedaż[[#This Row],[Produkt]],tblProdukty[],2,FALSE)</f>
        <v>2.5</v>
      </c>
      <c r="H162" s="29">
        <f t="shared" si="2"/>
        <v>45</v>
      </c>
    </row>
    <row r="163" spans="1:8" x14ac:dyDescent="0.3">
      <c r="A163" s="26">
        <v>41499</v>
      </c>
      <c r="B163" s="27" t="s">
        <v>62</v>
      </c>
      <c r="C163" s="27" t="s">
        <v>7</v>
      </c>
      <c r="D163" s="27" t="s">
        <v>68</v>
      </c>
      <c r="E163" s="27" t="s">
        <v>35</v>
      </c>
      <c r="F163" s="27">
        <v>2</v>
      </c>
      <c r="G163" s="28">
        <f>VLOOKUP(tblSprzedaż[[#This Row],[Produkt]],tblProdukty[],2,FALSE)</f>
        <v>0.5</v>
      </c>
      <c r="H163" s="29">
        <f t="shared" si="2"/>
        <v>1</v>
      </c>
    </row>
    <row r="164" spans="1:8" x14ac:dyDescent="0.3">
      <c r="A164" s="26">
        <v>41586</v>
      </c>
      <c r="B164" s="27" t="s">
        <v>58</v>
      </c>
      <c r="C164" s="27" t="s">
        <v>4</v>
      </c>
      <c r="D164" s="27" t="s">
        <v>65</v>
      </c>
      <c r="E164" s="27" t="s">
        <v>38</v>
      </c>
      <c r="F164" s="27">
        <v>17</v>
      </c>
      <c r="G164" s="28">
        <f>VLOOKUP(tblSprzedaż[[#This Row],[Produkt]],tblProdukty[],2,FALSE)</f>
        <v>0.2</v>
      </c>
      <c r="H164" s="29">
        <f t="shared" si="2"/>
        <v>3.4000000000000004</v>
      </c>
    </row>
    <row r="165" spans="1:8" x14ac:dyDescent="0.3">
      <c r="A165" s="26">
        <v>41592</v>
      </c>
      <c r="B165" s="27" t="s">
        <v>62</v>
      </c>
      <c r="C165" s="27" t="s">
        <v>6</v>
      </c>
      <c r="D165" s="27" t="s">
        <v>59</v>
      </c>
      <c r="E165" s="27" t="s">
        <v>38</v>
      </c>
      <c r="F165" s="27">
        <v>18</v>
      </c>
      <c r="G165" s="28">
        <f>VLOOKUP(tblSprzedaż[[#This Row],[Produkt]],tblProdukty[],2,FALSE)</f>
        <v>0.2</v>
      </c>
      <c r="H165" s="29">
        <f t="shared" si="2"/>
        <v>3.6</v>
      </c>
    </row>
    <row r="166" spans="1:8" x14ac:dyDescent="0.3">
      <c r="A166" s="26">
        <v>41439</v>
      </c>
      <c r="B166" s="27" t="s">
        <v>62</v>
      </c>
      <c r="C166" s="27" t="s">
        <v>7</v>
      </c>
      <c r="D166" s="27" t="s">
        <v>74</v>
      </c>
      <c r="E166" s="27" t="s">
        <v>34</v>
      </c>
      <c r="F166" s="27">
        <v>18</v>
      </c>
      <c r="G166" s="28">
        <f>VLOOKUP(tblSprzedaż[[#This Row],[Produkt]],tblProdukty[],2,FALSE)</f>
        <v>2</v>
      </c>
      <c r="H166" s="29">
        <f t="shared" si="2"/>
        <v>36</v>
      </c>
    </row>
    <row r="167" spans="1:8" x14ac:dyDescent="0.3">
      <c r="A167" s="26">
        <v>41527</v>
      </c>
      <c r="B167" s="27" t="s">
        <v>62</v>
      </c>
      <c r="C167" s="27" t="s">
        <v>6</v>
      </c>
      <c r="D167" s="27" t="s">
        <v>74</v>
      </c>
      <c r="E167" s="27" t="s">
        <v>36</v>
      </c>
      <c r="F167" s="27">
        <v>19</v>
      </c>
      <c r="G167" s="28">
        <f>VLOOKUP(tblSprzedaż[[#This Row],[Produkt]],tblProdukty[],2,FALSE)</f>
        <v>2.5</v>
      </c>
      <c r="H167" s="29">
        <f t="shared" si="2"/>
        <v>47.5</v>
      </c>
    </row>
    <row r="168" spans="1:8" x14ac:dyDescent="0.3">
      <c r="A168" s="26">
        <v>41568</v>
      </c>
      <c r="B168" s="27" t="s">
        <v>58</v>
      </c>
      <c r="C168" s="27" t="s">
        <v>4</v>
      </c>
      <c r="D168" s="27" t="s">
        <v>64</v>
      </c>
      <c r="E168" s="27" t="s">
        <v>35</v>
      </c>
      <c r="F168" s="27">
        <v>19</v>
      </c>
      <c r="G168" s="28">
        <f>VLOOKUP(tblSprzedaż[[#This Row],[Produkt]],tblProdukty[],2,FALSE)</f>
        <v>0.5</v>
      </c>
      <c r="H168" s="29">
        <f t="shared" si="2"/>
        <v>9.5</v>
      </c>
    </row>
    <row r="169" spans="1:8" x14ac:dyDescent="0.3">
      <c r="A169" s="26">
        <v>41479</v>
      </c>
      <c r="B169" s="27" t="s">
        <v>67</v>
      </c>
      <c r="C169" s="27" t="s">
        <v>7</v>
      </c>
      <c r="D169" s="27" t="s">
        <v>64</v>
      </c>
      <c r="E169" s="27" t="s">
        <v>38</v>
      </c>
      <c r="F169" s="27">
        <v>13</v>
      </c>
      <c r="G169" s="28">
        <f>VLOOKUP(tblSprzedaż[[#This Row],[Produkt]],tblProdukty[],2,FALSE)</f>
        <v>0.2</v>
      </c>
      <c r="H169" s="29">
        <f t="shared" si="2"/>
        <v>2.6</v>
      </c>
    </row>
    <row r="170" spans="1:8" x14ac:dyDescent="0.3">
      <c r="A170" s="26">
        <v>41481</v>
      </c>
      <c r="B170" s="27" t="s">
        <v>71</v>
      </c>
      <c r="C170" s="27" t="s">
        <v>3</v>
      </c>
      <c r="D170" s="27" t="s">
        <v>59</v>
      </c>
      <c r="E170" s="27" t="s">
        <v>41</v>
      </c>
      <c r="F170" s="27">
        <v>8</v>
      </c>
      <c r="G170" s="28">
        <f>VLOOKUP(tblSprzedaż[[#This Row],[Produkt]],tblProdukty[],2,FALSE)</f>
        <v>4</v>
      </c>
      <c r="H170" s="29">
        <f t="shared" si="2"/>
        <v>32</v>
      </c>
    </row>
    <row r="171" spans="1:8" x14ac:dyDescent="0.3">
      <c r="A171" s="26">
        <v>41615</v>
      </c>
      <c r="B171" s="27" t="s">
        <v>71</v>
      </c>
      <c r="C171" s="27" t="s">
        <v>6</v>
      </c>
      <c r="D171" s="27" t="s">
        <v>63</v>
      </c>
      <c r="E171" s="27" t="s">
        <v>39</v>
      </c>
      <c r="F171" s="27">
        <v>16</v>
      </c>
      <c r="G171" s="28">
        <f>VLOOKUP(tblSprzedaż[[#This Row],[Produkt]],tblProdukty[],2,FALSE)</f>
        <v>0.1</v>
      </c>
      <c r="H171" s="29">
        <f t="shared" si="2"/>
        <v>1.6</v>
      </c>
    </row>
    <row r="172" spans="1:8" x14ac:dyDescent="0.3">
      <c r="A172" s="26">
        <v>41555</v>
      </c>
      <c r="B172" s="27" t="s">
        <v>62</v>
      </c>
      <c r="C172" s="27" t="s">
        <v>7</v>
      </c>
      <c r="D172" s="27" t="s">
        <v>61</v>
      </c>
      <c r="E172" s="27" t="s">
        <v>40</v>
      </c>
      <c r="F172" s="27">
        <v>4</v>
      </c>
      <c r="G172" s="28">
        <f>VLOOKUP(tblSprzedaż[[#This Row],[Produkt]],tblProdukty[],2,FALSE)</f>
        <v>1.5</v>
      </c>
      <c r="H172" s="29">
        <f t="shared" si="2"/>
        <v>6</v>
      </c>
    </row>
    <row r="173" spans="1:8" x14ac:dyDescent="0.3">
      <c r="A173" s="26">
        <v>41497</v>
      </c>
      <c r="B173" s="27" t="s">
        <v>58</v>
      </c>
      <c r="C173" s="27" t="s">
        <v>7</v>
      </c>
      <c r="D173" s="27" t="s">
        <v>59</v>
      </c>
      <c r="E173" s="27" t="s">
        <v>39</v>
      </c>
      <c r="F173" s="27">
        <v>19</v>
      </c>
      <c r="G173" s="28">
        <f>VLOOKUP(tblSprzedaż[[#This Row],[Produkt]],tblProdukty[],2,FALSE)</f>
        <v>0.1</v>
      </c>
      <c r="H173" s="29">
        <f t="shared" si="2"/>
        <v>1.9000000000000001</v>
      </c>
    </row>
    <row r="174" spans="1:8" x14ac:dyDescent="0.3">
      <c r="A174" s="26">
        <v>41505</v>
      </c>
      <c r="B174" s="27" t="s">
        <v>67</v>
      </c>
      <c r="C174" s="27" t="s">
        <v>4</v>
      </c>
      <c r="D174" s="27" t="s">
        <v>63</v>
      </c>
      <c r="E174" s="27" t="s">
        <v>39</v>
      </c>
      <c r="F174" s="27">
        <v>9</v>
      </c>
      <c r="G174" s="28">
        <f>VLOOKUP(tblSprzedaż[[#This Row],[Produkt]],tblProdukty[],2,FALSE)</f>
        <v>0.1</v>
      </c>
      <c r="H174" s="29">
        <f t="shared" si="2"/>
        <v>0.9</v>
      </c>
    </row>
    <row r="175" spans="1:8" x14ac:dyDescent="0.3">
      <c r="A175" s="26">
        <v>41585</v>
      </c>
      <c r="B175" s="27" t="s">
        <v>58</v>
      </c>
      <c r="C175" s="27" t="s">
        <v>4</v>
      </c>
      <c r="D175" s="27" t="s">
        <v>63</v>
      </c>
      <c r="E175" s="27" t="s">
        <v>35</v>
      </c>
      <c r="F175" s="27">
        <v>3</v>
      </c>
      <c r="G175" s="28">
        <f>VLOOKUP(tblSprzedaż[[#This Row],[Produkt]],tblProdukty[],2,FALSE)</f>
        <v>0.5</v>
      </c>
      <c r="H175" s="29">
        <f t="shared" si="2"/>
        <v>1.5</v>
      </c>
    </row>
    <row r="176" spans="1:8" x14ac:dyDescent="0.3">
      <c r="A176" s="26">
        <v>41435</v>
      </c>
      <c r="B176" s="27" t="s">
        <v>67</v>
      </c>
      <c r="C176" s="27" t="s">
        <v>3</v>
      </c>
      <c r="D176" s="27" t="s">
        <v>63</v>
      </c>
      <c r="E176" s="27" t="s">
        <v>36</v>
      </c>
      <c r="F176" s="27">
        <v>5</v>
      </c>
      <c r="G176" s="28">
        <f>VLOOKUP(tblSprzedaż[[#This Row],[Produkt]],tblProdukty[],2,FALSE)</f>
        <v>2.5</v>
      </c>
      <c r="H176" s="29">
        <f t="shared" si="2"/>
        <v>12.5</v>
      </c>
    </row>
    <row r="177" spans="1:8" x14ac:dyDescent="0.3">
      <c r="A177" s="26">
        <v>41617</v>
      </c>
      <c r="B177" s="27" t="s">
        <v>73</v>
      </c>
      <c r="C177" s="27" t="s">
        <v>5</v>
      </c>
      <c r="D177" s="27" t="s">
        <v>63</v>
      </c>
      <c r="E177" s="27" t="s">
        <v>38</v>
      </c>
      <c r="F177" s="27">
        <v>14</v>
      </c>
      <c r="G177" s="28">
        <f>VLOOKUP(tblSprzedaż[[#This Row],[Produkt]],tblProdukty[],2,FALSE)</f>
        <v>0.2</v>
      </c>
      <c r="H177" s="29">
        <f t="shared" si="2"/>
        <v>2.8000000000000003</v>
      </c>
    </row>
    <row r="178" spans="1:8" x14ac:dyDescent="0.3">
      <c r="A178" s="26">
        <v>41495</v>
      </c>
      <c r="B178" s="27" t="s">
        <v>62</v>
      </c>
      <c r="C178" s="27" t="s">
        <v>4</v>
      </c>
      <c r="D178" s="27" t="s">
        <v>72</v>
      </c>
      <c r="E178" s="27" t="s">
        <v>38</v>
      </c>
      <c r="F178" s="27">
        <v>7</v>
      </c>
      <c r="G178" s="28">
        <f>VLOOKUP(tblSprzedaż[[#This Row],[Produkt]],tblProdukty[],2,FALSE)</f>
        <v>0.2</v>
      </c>
      <c r="H178" s="29">
        <f t="shared" si="2"/>
        <v>1.4000000000000001</v>
      </c>
    </row>
    <row r="179" spans="1:8" x14ac:dyDescent="0.3">
      <c r="A179" s="26">
        <v>41465</v>
      </c>
      <c r="B179" s="27" t="s">
        <v>62</v>
      </c>
      <c r="C179" s="27" t="s">
        <v>5</v>
      </c>
      <c r="D179" s="27" t="s">
        <v>65</v>
      </c>
      <c r="E179" s="27" t="s">
        <v>34</v>
      </c>
      <c r="F179" s="27">
        <v>3</v>
      </c>
      <c r="G179" s="28">
        <f>VLOOKUP(tblSprzedaż[[#This Row],[Produkt]],tblProdukty[],2,FALSE)</f>
        <v>2</v>
      </c>
      <c r="H179" s="29">
        <f t="shared" si="2"/>
        <v>6</v>
      </c>
    </row>
    <row r="180" spans="1:8" x14ac:dyDescent="0.3">
      <c r="A180" s="26">
        <v>41441</v>
      </c>
      <c r="B180" s="27" t="s">
        <v>75</v>
      </c>
      <c r="C180" s="27" t="s">
        <v>4</v>
      </c>
      <c r="D180" s="27" t="s">
        <v>61</v>
      </c>
      <c r="E180" s="27" t="s">
        <v>41</v>
      </c>
      <c r="F180" s="27">
        <v>11</v>
      </c>
      <c r="G180" s="28">
        <f>VLOOKUP(tblSprzedaż[[#This Row],[Produkt]],tblProdukty[],2,FALSE)</f>
        <v>4</v>
      </c>
      <c r="H180" s="29">
        <f t="shared" si="2"/>
        <v>44</v>
      </c>
    </row>
    <row r="181" spans="1:8" x14ac:dyDescent="0.3">
      <c r="A181" s="26">
        <v>41544</v>
      </c>
      <c r="B181" s="27" t="s">
        <v>73</v>
      </c>
      <c r="C181" s="27" t="s">
        <v>6</v>
      </c>
      <c r="D181" s="27" t="s">
        <v>64</v>
      </c>
      <c r="E181" s="27" t="s">
        <v>35</v>
      </c>
      <c r="F181" s="27">
        <v>18</v>
      </c>
      <c r="G181" s="28">
        <f>VLOOKUP(tblSprzedaż[[#This Row],[Produkt]],tblProdukty[],2,FALSE)</f>
        <v>0.5</v>
      </c>
      <c r="H181" s="29">
        <f t="shared" si="2"/>
        <v>9</v>
      </c>
    </row>
    <row r="182" spans="1:8" x14ac:dyDescent="0.3">
      <c r="A182" s="26">
        <v>41595</v>
      </c>
      <c r="B182" s="27" t="s">
        <v>67</v>
      </c>
      <c r="C182" s="27" t="s">
        <v>4</v>
      </c>
      <c r="D182" s="27" t="s">
        <v>66</v>
      </c>
      <c r="E182" s="27" t="s">
        <v>34</v>
      </c>
      <c r="F182" s="27">
        <v>20</v>
      </c>
      <c r="G182" s="28">
        <f>VLOOKUP(tblSprzedaż[[#This Row],[Produkt]],tblProdukty[],2,FALSE)</f>
        <v>2</v>
      </c>
      <c r="H182" s="29">
        <f t="shared" si="2"/>
        <v>40</v>
      </c>
    </row>
    <row r="183" spans="1:8" x14ac:dyDescent="0.3">
      <c r="A183" s="26">
        <v>41571</v>
      </c>
      <c r="B183" s="27" t="s">
        <v>75</v>
      </c>
      <c r="C183" s="27" t="s">
        <v>3</v>
      </c>
      <c r="D183" s="27" t="s">
        <v>74</v>
      </c>
      <c r="E183" s="27" t="s">
        <v>39</v>
      </c>
      <c r="F183" s="27">
        <v>12</v>
      </c>
      <c r="G183" s="28">
        <f>VLOOKUP(tblSprzedaż[[#This Row],[Produkt]],tblProdukty[],2,FALSE)</f>
        <v>0.1</v>
      </c>
      <c r="H183" s="29">
        <f t="shared" si="2"/>
        <v>1.2000000000000002</v>
      </c>
    </row>
    <row r="184" spans="1:8" x14ac:dyDescent="0.3">
      <c r="A184" s="26">
        <v>41490</v>
      </c>
      <c r="B184" s="27" t="s">
        <v>62</v>
      </c>
      <c r="C184" s="27" t="s">
        <v>7</v>
      </c>
      <c r="D184" s="27" t="s">
        <v>65</v>
      </c>
      <c r="E184" s="27" t="s">
        <v>36</v>
      </c>
      <c r="F184" s="27">
        <v>5</v>
      </c>
      <c r="G184" s="28">
        <f>VLOOKUP(tblSprzedaż[[#This Row],[Produkt]],tblProdukty[],2,FALSE)</f>
        <v>2.5</v>
      </c>
      <c r="H184" s="29">
        <f t="shared" si="2"/>
        <v>12.5</v>
      </c>
    </row>
    <row r="185" spans="1:8" x14ac:dyDescent="0.3">
      <c r="A185" s="26">
        <v>41498</v>
      </c>
      <c r="B185" s="27" t="s">
        <v>67</v>
      </c>
      <c r="C185" s="27" t="s">
        <v>7</v>
      </c>
      <c r="D185" s="27" t="s">
        <v>74</v>
      </c>
      <c r="E185" s="27" t="s">
        <v>38</v>
      </c>
      <c r="F185" s="27">
        <v>9</v>
      </c>
      <c r="G185" s="28">
        <f>VLOOKUP(tblSprzedaż[[#This Row],[Produkt]],tblProdukty[],2,FALSE)</f>
        <v>0.2</v>
      </c>
      <c r="H185" s="29">
        <f t="shared" si="2"/>
        <v>1.8</v>
      </c>
    </row>
    <row r="186" spans="1:8" x14ac:dyDescent="0.3">
      <c r="A186" s="26">
        <v>41444</v>
      </c>
      <c r="B186" s="27" t="s">
        <v>71</v>
      </c>
      <c r="C186" s="27" t="s">
        <v>4</v>
      </c>
      <c r="D186" s="27" t="s">
        <v>65</v>
      </c>
      <c r="E186" s="27" t="s">
        <v>35</v>
      </c>
      <c r="F186" s="27">
        <v>1</v>
      </c>
      <c r="G186" s="28">
        <f>VLOOKUP(tblSprzedaż[[#This Row],[Produkt]],tblProdukty[],2,FALSE)</f>
        <v>0.5</v>
      </c>
      <c r="H186" s="29">
        <f t="shared" si="2"/>
        <v>0.5</v>
      </c>
    </row>
    <row r="187" spans="1:8" x14ac:dyDescent="0.3">
      <c r="A187" s="26">
        <v>41517</v>
      </c>
      <c r="B187" s="27" t="s">
        <v>58</v>
      </c>
      <c r="C187" s="27" t="s">
        <v>3</v>
      </c>
      <c r="D187" s="27" t="s">
        <v>65</v>
      </c>
      <c r="E187" s="27" t="s">
        <v>41</v>
      </c>
      <c r="F187" s="27">
        <v>5</v>
      </c>
      <c r="G187" s="28">
        <f>VLOOKUP(tblSprzedaż[[#This Row],[Produkt]],tblProdukty[],2,FALSE)</f>
        <v>4</v>
      </c>
      <c r="H187" s="29">
        <f t="shared" si="2"/>
        <v>20</v>
      </c>
    </row>
    <row r="188" spans="1:8" x14ac:dyDescent="0.3">
      <c r="A188" s="26">
        <v>41471</v>
      </c>
      <c r="B188" s="27" t="s">
        <v>75</v>
      </c>
      <c r="C188" s="27" t="s">
        <v>4</v>
      </c>
      <c r="D188" s="27" t="s">
        <v>74</v>
      </c>
      <c r="E188" s="27" t="s">
        <v>37</v>
      </c>
      <c r="F188" s="27">
        <v>20</v>
      </c>
      <c r="G188" s="28">
        <f>VLOOKUP(tblSprzedaż[[#This Row],[Produkt]],tblProdukty[],2,FALSE)</f>
        <v>5</v>
      </c>
      <c r="H188" s="29">
        <f t="shared" si="2"/>
        <v>100</v>
      </c>
    </row>
    <row r="189" spans="1:8" x14ac:dyDescent="0.3">
      <c r="A189" s="26">
        <v>41441</v>
      </c>
      <c r="B189" s="27" t="s">
        <v>58</v>
      </c>
      <c r="C189" s="27" t="s">
        <v>7</v>
      </c>
      <c r="D189" s="27" t="s">
        <v>64</v>
      </c>
      <c r="E189" s="27" t="s">
        <v>41</v>
      </c>
      <c r="F189" s="27">
        <v>14</v>
      </c>
      <c r="G189" s="28">
        <f>VLOOKUP(tblSprzedaż[[#This Row],[Produkt]],tblProdukty[],2,FALSE)</f>
        <v>4</v>
      </c>
      <c r="H189" s="29">
        <f t="shared" si="2"/>
        <v>56</v>
      </c>
    </row>
    <row r="190" spans="1:8" x14ac:dyDescent="0.3">
      <c r="A190" s="26">
        <v>41619</v>
      </c>
      <c r="B190" s="27" t="s">
        <v>58</v>
      </c>
      <c r="C190" s="27" t="s">
        <v>6</v>
      </c>
      <c r="D190" s="27" t="s">
        <v>59</v>
      </c>
      <c r="E190" s="27" t="s">
        <v>41</v>
      </c>
      <c r="F190" s="27">
        <v>4</v>
      </c>
      <c r="G190" s="28">
        <f>VLOOKUP(tblSprzedaż[[#This Row],[Produkt]],tblProdukty[],2,FALSE)</f>
        <v>4</v>
      </c>
      <c r="H190" s="29">
        <f t="shared" si="2"/>
        <v>16</v>
      </c>
    </row>
    <row r="191" spans="1:8" x14ac:dyDescent="0.3">
      <c r="A191" s="26">
        <v>41604</v>
      </c>
      <c r="B191" s="27" t="s">
        <v>71</v>
      </c>
      <c r="C191" s="27" t="s">
        <v>7</v>
      </c>
      <c r="D191" s="27" t="s">
        <v>68</v>
      </c>
      <c r="E191" s="27" t="s">
        <v>40</v>
      </c>
      <c r="F191" s="27">
        <v>15</v>
      </c>
      <c r="G191" s="28">
        <f>VLOOKUP(tblSprzedaż[[#This Row],[Produkt]],tblProdukty[],2,FALSE)</f>
        <v>1.5</v>
      </c>
      <c r="H191" s="29">
        <f t="shared" si="2"/>
        <v>22.5</v>
      </c>
    </row>
    <row r="192" spans="1:8" x14ac:dyDescent="0.3">
      <c r="A192" s="26">
        <v>41612</v>
      </c>
      <c r="B192" s="27" t="s">
        <v>75</v>
      </c>
      <c r="C192" s="27" t="s">
        <v>3</v>
      </c>
      <c r="D192" s="27" t="s">
        <v>70</v>
      </c>
      <c r="E192" s="27" t="s">
        <v>40</v>
      </c>
      <c r="F192" s="27">
        <v>8</v>
      </c>
      <c r="G192" s="28">
        <f>VLOOKUP(tblSprzedaż[[#This Row],[Produkt]],tblProdukty[],2,FALSE)</f>
        <v>1.5</v>
      </c>
      <c r="H192" s="29">
        <f t="shared" si="2"/>
        <v>12</v>
      </c>
    </row>
    <row r="193" spans="1:8" x14ac:dyDescent="0.3">
      <c r="A193" s="26">
        <v>41568</v>
      </c>
      <c r="B193" s="27" t="s">
        <v>67</v>
      </c>
      <c r="C193" s="27" t="s">
        <v>3</v>
      </c>
      <c r="D193" s="27" t="s">
        <v>64</v>
      </c>
      <c r="E193" s="27" t="s">
        <v>34</v>
      </c>
      <c r="F193" s="27">
        <v>19</v>
      </c>
      <c r="G193" s="28">
        <f>VLOOKUP(tblSprzedaż[[#This Row],[Produkt]],tblProdukty[],2,FALSE)</f>
        <v>2</v>
      </c>
      <c r="H193" s="29">
        <f t="shared" si="2"/>
        <v>38</v>
      </c>
    </row>
    <row r="194" spans="1:8" x14ac:dyDescent="0.3">
      <c r="A194" s="26">
        <v>41574</v>
      </c>
      <c r="B194" s="27" t="s">
        <v>75</v>
      </c>
      <c r="C194" s="27" t="s">
        <v>3</v>
      </c>
      <c r="D194" s="27" t="s">
        <v>72</v>
      </c>
      <c r="E194" s="27" t="s">
        <v>38</v>
      </c>
      <c r="F194" s="27">
        <v>2</v>
      </c>
      <c r="G194" s="28">
        <f>VLOOKUP(tblSprzedaż[[#This Row],[Produkt]],tblProdukty[],2,FALSE)</f>
        <v>0.2</v>
      </c>
      <c r="H194" s="29">
        <f t="shared" si="2"/>
        <v>0.4</v>
      </c>
    </row>
    <row r="195" spans="1:8" x14ac:dyDescent="0.3">
      <c r="A195" s="26">
        <v>41518</v>
      </c>
      <c r="B195" s="27" t="s">
        <v>62</v>
      </c>
      <c r="C195" s="27" t="s">
        <v>7</v>
      </c>
      <c r="D195" s="27" t="s">
        <v>69</v>
      </c>
      <c r="E195" s="27" t="s">
        <v>38</v>
      </c>
      <c r="F195" s="27">
        <v>20</v>
      </c>
      <c r="G195" s="28">
        <f>VLOOKUP(tblSprzedaż[[#This Row],[Produkt]],tblProdukty[],2,FALSE)</f>
        <v>0.2</v>
      </c>
      <c r="H195" s="29">
        <f t="shared" ref="H195:H258" si="3">F195*G195</f>
        <v>4</v>
      </c>
    </row>
    <row r="196" spans="1:8" x14ac:dyDescent="0.3">
      <c r="A196" s="26">
        <v>41427</v>
      </c>
      <c r="B196" s="27" t="s">
        <v>73</v>
      </c>
      <c r="C196" s="27" t="s">
        <v>6</v>
      </c>
      <c r="D196" s="27" t="s">
        <v>66</v>
      </c>
      <c r="E196" s="27" t="s">
        <v>37</v>
      </c>
      <c r="F196" s="27">
        <v>2</v>
      </c>
      <c r="G196" s="28">
        <f>VLOOKUP(tblSprzedaż[[#This Row],[Produkt]],tblProdukty[],2,FALSE)</f>
        <v>5</v>
      </c>
      <c r="H196" s="29">
        <f t="shared" si="3"/>
        <v>10</v>
      </c>
    </row>
    <row r="197" spans="1:8" x14ac:dyDescent="0.3">
      <c r="A197" s="26">
        <v>41584</v>
      </c>
      <c r="B197" s="27" t="s">
        <v>73</v>
      </c>
      <c r="C197" s="27" t="s">
        <v>6</v>
      </c>
      <c r="D197" s="27" t="s">
        <v>63</v>
      </c>
      <c r="E197" s="27" t="s">
        <v>38</v>
      </c>
      <c r="F197" s="27">
        <v>4</v>
      </c>
      <c r="G197" s="28">
        <f>VLOOKUP(tblSprzedaż[[#This Row],[Produkt]],tblProdukty[],2,FALSE)</f>
        <v>0.2</v>
      </c>
      <c r="H197" s="29">
        <f t="shared" si="3"/>
        <v>0.8</v>
      </c>
    </row>
    <row r="198" spans="1:8" x14ac:dyDescent="0.3">
      <c r="A198" s="26">
        <v>41515</v>
      </c>
      <c r="B198" s="27" t="s">
        <v>58</v>
      </c>
      <c r="C198" s="27" t="s">
        <v>5</v>
      </c>
      <c r="D198" s="27" t="s">
        <v>59</v>
      </c>
      <c r="E198" s="27" t="s">
        <v>34</v>
      </c>
      <c r="F198" s="27">
        <v>15</v>
      </c>
      <c r="G198" s="28">
        <f>VLOOKUP(tblSprzedaż[[#This Row],[Produkt]],tblProdukty[],2,FALSE)</f>
        <v>2</v>
      </c>
      <c r="H198" s="29">
        <f t="shared" si="3"/>
        <v>30</v>
      </c>
    </row>
    <row r="199" spans="1:8" x14ac:dyDescent="0.3">
      <c r="A199" s="26">
        <v>41594</v>
      </c>
      <c r="B199" s="27" t="s">
        <v>58</v>
      </c>
      <c r="C199" s="27" t="s">
        <v>6</v>
      </c>
      <c r="D199" s="27" t="s">
        <v>63</v>
      </c>
      <c r="E199" s="27" t="s">
        <v>35</v>
      </c>
      <c r="F199" s="27">
        <v>2</v>
      </c>
      <c r="G199" s="28">
        <f>VLOOKUP(tblSprzedaż[[#This Row],[Produkt]],tblProdukty[],2,FALSE)</f>
        <v>0.5</v>
      </c>
      <c r="H199" s="29">
        <f t="shared" si="3"/>
        <v>1</v>
      </c>
    </row>
    <row r="200" spans="1:8" x14ac:dyDescent="0.3">
      <c r="A200" s="26">
        <v>41546</v>
      </c>
      <c r="B200" s="27" t="s">
        <v>73</v>
      </c>
      <c r="C200" s="27" t="s">
        <v>4</v>
      </c>
      <c r="D200" s="27" t="s">
        <v>66</v>
      </c>
      <c r="E200" s="27" t="s">
        <v>40</v>
      </c>
      <c r="F200" s="27">
        <v>9</v>
      </c>
      <c r="G200" s="28">
        <f>VLOOKUP(tblSprzedaż[[#This Row],[Produkt]],tblProdukty[],2,FALSE)</f>
        <v>1.5</v>
      </c>
      <c r="H200" s="29">
        <f t="shared" si="3"/>
        <v>13.5</v>
      </c>
    </row>
    <row r="201" spans="1:8" x14ac:dyDescent="0.3">
      <c r="A201" s="26">
        <v>41555</v>
      </c>
      <c r="B201" s="27" t="s">
        <v>73</v>
      </c>
      <c r="C201" s="27" t="s">
        <v>7</v>
      </c>
      <c r="D201" s="27" t="s">
        <v>63</v>
      </c>
      <c r="E201" s="27" t="s">
        <v>38</v>
      </c>
      <c r="F201" s="27">
        <v>3</v>
      </c>
      <c r="G201" s="28">
        <f>VLOOKUP(tblSprzedaż[[#This Row],[Produkt]],tblProdukty[],2,FALSE)</f>
        <v>0.2</v>
      </c>
      <c r="H201" s="29">
        <f t="shared" si="3"/>
        <v>0.60000000000000009</v>
      </c>
    </row>
    <row r="202" spans="1:8" x14ac:dyDescent="0.3">
      <c r="A202" s="26">
        <v>41547</v>
      </c>
      <c r="B202" s="27" t="s">
        <v>67</v>
      </c>
      <c r="C202" s="27" t="s">
        <v>3</v>
      </c>
      <c r="D202" s="27" t="s">
        <v>69</v>
      </c>
      <c r="E202" s="27" t="s">
        <v>36</v>
      </c>
      <c r="F202" s="27">
        <v>11</v>
      </c>
      <c r="G202" s="28">
        <f>VLOOKUP(tblSprzedaż[[#This Row],[Produkt]],tblProdukty[],2,FALSE)</f>
        <v>2.5</v>
      </c>
      <c r="H202" s="29">
        <f t="shared" si="3"/>
        <v>27.5</v>
      </c>
    </row>
    <row r="203" spans="1:8" x14ac:dyDescent="0.3">
      <c r="A203" s="26">
        <v>41521</v>
      </c>
      <c r="B203" s="27" t="s">
        <v>58</v>
      </c>
      <c r="C203" s="27" t="s">
        <v>3</v>
      </c>
      <c r="D203" s="27" t="s">
        <v>74</v>
      </c>
      <c r="E203" s="27" t="s">
        <v>39</v>
      </c>
      <c r="F203" s="27">
        <v>7</v>
      </c>
      <c r="G203" s="28">
        <f>VLOOKUP(tblSprzedaż[[#This Row],[Produkt]],tblProdukty[],2,FALSE)</f>
        <v>0.1</v>
      </c>
      <c r="H203" s="29">
        <f t="shared" si="3"/>
        <v>0.70000000000000007</v>
      </c>
    </row>
    <row r="204" spans="1:8" x14ac:dyDescent="0.3">
      <c r="A204" s="26">
        <v>41559</v>
      </c>
      <c r="B204" s="27" t="s">
        <v>71</v>
      </c>
      <c r="C204" s="27" t="s">
        <v>3</v>
      </c>
      <c r="D204" s="27" t="s">
        <v>68</v>
      </c>
      <c r="E204" s="27" t="s">
        <v>34</v>
      </c>
      <c r="F204" s="27">
        <v>4</v>
      </c>
      <c r="G204" s="28">
        <f>VLOOKUP(tblSprzedaż[[#This Row],[Produkt]],tblProdukty[],2,FALSE)</f>
        <v>2</v>
      </c>
      <c r="H204" s="29">
        <f t="shared" si="3"/>
        <v>8</v>
      </c>
    </row>
    <row r="205" spans="1:8" x14ac:dyDescent="0.3">
      <c r="A205" s="26">
        <v>41443</v>
      </c>
      <c r="B205" s="27" t="s">
        <v>62</v>
      </c>
      <c r="C205" s="27" t="s">
        <v>7</v>
      </c>
      <c r="D205" s="27" t="s">
        <v>68</v>
      </c>
      <c r="E205" s="27" t="s">
        <v>37</v>
      </c>
      <c r="F205" s="27">
        <v>2</v>
      </c>
      <c r="G205" s="28">
        <f>VLOOKUP(tblSprzedaż[[#This Row],[Produkt]],tblProdukty[],2,FALSE)</f>
        <v>5</v>
      </c>
      <c r="H205" s="29">
        <f t="shared" si="3"/>
        <v>10</v>
      </c>
    </row>
    <row r="206" spans="1:8" x14ac:dyDescent="0.3">
      <c r="A206" s="26">
        <v>41503</v>
      </c>
      <c r="B206" s="27" t="s">
        <v>75</v>
      </c>
      <c r="C206" s="27" t="s">
        <v>3</v>
      </c>
      <c r="D206" s="27" t="s">
        <v>65</v>
      </c>
      <c r="E206" s="27" t="s">
        <v>41</v>
      </c>
      <c r="F206" s="27">
        <v>19</v>
      </c>
      <c r="G206" s="28">
        <f>VLOOKUP(tblSprzedaż[[#This Row],[Produkt]],tblProdukty[],2,FALSE)</f>
        <v>4</v>
      </c>
      <c r="H206" s="29">
        <f t="shared" si="3"/>
        <v>76</v>
      </c>
    </row>
    <row r="207" spans="1:8" x14ac:dyDescent="0.3">
      <c r="A207" s="26">
        <v>41473</v>
      </c>
      <c r="B207" s="27" t="s">
        <v>75</v>
      </c>
      <c r="C207" s="27" t="s">
        <v>5</v>
      </c>
      <c r="D207" s="27" t="s">
        <v>65</v>
      </c>
      <c r="E207" s="27" t="s">
        <v>37</v>
      </c>
      <c r="F207" s="27">
        <v>6</v>
      </c>
      <c r="G207" s="28">
        <f>VLOOKUP(tblSprzedaż[[#This Row],[Produkt]],tblProdukty[],2,FALSE)</f>
        <v>5</v>
      </c>
      <c r="H207" s="29">
        <f t="shared" si="3"/>
        <v>30</v>
      </c>
    </row>
    <row r="208" spans="1:8" x14ac:dyDescent="0.3">
      <c r="A208" s="26">
        <v>41637</v>
      </c>
      <c r="B208" s="27" t="s">
        <v>67</v>
      </c>
      <c r="C208" s="27" t="s">
        <v>4</v>
      </c>
      <c r="D208" s="27" t="s">
        <v>61</v>
      </c>
      <c r="E208" s="27" t="s">
        <v>38</v>
      </c>
      <c r="F208" s="27">
        <v>19</v>
      </c>
      <c r="G208" s="28">
        <f>VLOOKUP(tblSprzedaż[[#This Row],[Produkt]],tblProdukty[],2,FALSE)</f>
        <v>0.2</v>
      </c>
      <c r="H208" s="29">
        <f t="shared" si="3"/>
        <v>3.8000000000000003</v>
      </c>
    </row>
    <row r="209" spans="1:8" x14ac:dyDescent="0.3">
      <c r="A209" s="26">
        <v>41526</v>
      </c>
      <c r="B209" s="27" t="s">
        <v>75</v>
      </c>
      <c r="C209" s="27" t="s">
        <v>7</v>
      </c>
      <c r="D209" s="27" t="s">
        <v>59</v>
      </c>
      <c r="E209" s="27" t="s">
        <v>39</v>
      </c>
      <c r="F209" s="27">
        <v>18</v>
      </c>
      <c r="G209" s="28">
        <f>VLOOKUP(tblSprzedaż[[#This Row],[Produkt]],tblProdukty[],2,FALSE)</f>
        <v>0.1</v>
      </c>
      <c r="H209" s="29">
        <f t="shared" si="3"/>
        <v>1.8</v>
      </c>
    </row>
    <row r="210" spans="1:8" x14ac:dyDescent="0.3">
      <c r="A210" s="26">
        <v>41477</v>
      </c>
      <c r="B210" s="27" t="s">
        <v>58</v>
      </c>
      <c r="C210" s="27" t="s">
        <v>7</v>
      </c>
      <c r="D210" s="27" t="s">
        <v>70</v>
      </c>
      <c r="E210" s="27" t="s">
        <v>41</v>
      </c>
      <c r="F210" s="27">
        <v>6</v>
      </c>
      <c r="G210" s="28">
        <f>VLOOKUP(tblSprzedaż[[#This Row],[Produkt]],tblProdukty[],2,FALSE)</f>
        <v>4</v>
      </c>
      <c r="H210" s="29">
        <f t="shared" si="3"/>
        <v>24</v>
      </c>
    </row>
    <row r="211" spans="1:8" x14ac:dyDescent="0.3">
      <c r="A211" s="26">
        <v>41609</v>
      </c>
      <c r="B211" s="27" t="s">
        <v>62</v>
      </c>
      <c r="C211" s="27" t="s">
        <v>5</v>
      </c>
      <c r="D211" s="27" t="s">
        <v>72</v>
      </c>
      <c r="E211" s="27" t="s">
        <v>36</v>
      </c>
      <c r="F211" s="27">
        <v>16</v>
      </c>
      <c r="G211" s="28">
        <f>VLOOKUP(tblSprzedaż[[#This Row],[Produkt]],tblProdukty[],2,FALSE)</f>
        <v>2.5</v>
      </c>
      <c r="H211" s="29">
        <f t="shared" si="3"/>
        <v>40</v>
      </c>
    </row>
    <row r="212" spans="1:8" x14ac:dyDescent="0.3">
      <c r="A212" s="26">
        <v>41479</v>
      </c>
      <c r="B212" s="27" t="s">
        <v>73</v>
      </c>
      <c r="C212" s="27" t="s">
        <v>3</v>
      </c>
      <c r="D212" s="27" t="s">
        <v>61</v>
      </c>
      <c r="E212" s="27" t="s">
        <v>39</v>
      </c>
      <c r="F212" s="27">
        <v>14</v>
      </c>
      <c r="G212" s="28">
        <f>VLOOKUP(tblSprzedaż[[#This Row],[Produkt]],tblProdukty[],2,FALSE)</f>
        <v>0.1</v>
      </c>
      <c r="H212" s="29">
        <f t="shared" si="3"/>
        <v>1.4000000000000001</v>
      </c>
    </row>
    <row r="213" spans="1:8" x14ac:dyDescent="0.3">
      <c r="A213" s="26">
        <v>41499</v>
      </c>
      <c r="B213" s="27" t="s">
        <v>62</v>
      </c>
      <c r="C213" s="27" t="s">
        <v>7</v>
      </c>
      <c r="D213" s="27" t="s">
        <v>74</v>
      </c>
      <c r="E213" s="27" t="s">
        <v>36</v>
      </c>
      <c r="F213" s="27">
        <v>10</v>
      </c>
      <c r="G213" s="28">
        <f>VLOOKUP(tblSprzedaż[[#This Row],[Produkt]],tblProdukty[],2,FALSE)</f>
        <v>2.5</v>
      </c>
      <c r="H213" s="29">
        <f t="shared" si="3"/>
        <v>25</v>
      </c>
    </row>
    <row r="214" spans="1:8" x14ac:dyDescent="0.3">
      <c r="A214" s="26">
        <v>41529</v>
      </c>
      <c r="B214" s="27" t="s">
        <v>71</v>
      </c>
      <c r="C214" s="27" t="s">
        <v>7</v>
      </c>
      <c r="D214" s="27" t="s">
        <v>65</v>
      </c>
      <c r="E214" s="27" t="s">
        <v>40</v>
      </c>
      <c r="F214" s="27">
        <v>5</v>
      </c>
      <c r="G214" s="28">
        <f>VLOOKUP(tblSprzedaż[[#This Row],[Produkt]],tblProdukty[],2,FALSE)</f>
        <v>1.5</v>
      </c>
      <c r="H214" s="29">
        <f t="shared" si="3"/>
        <v>7.5</v>
      </c>
    </row>
    <row r="215" spans="1:8" x14ac:dyDescent="0.3">
      <c r="A215" s="26">
        <v>41452</v>
      </c>
      <c r="B215" s="27" t="s">
        <v>71</v>
      </c>
      <c r="C215" s="27" t="s">
        <v>6</v>
      </c>
      <c r="D215" s="27" t="s">
        <v>63</v>
      </c>
      <c r="E215" s="27" t="s">
        <v>35</v>
      </c>
      <c r="F215" s="27">
        <v>9</v>
      </c>
      <c r="G215" s="28">
        <f>VLOOKUP(tblSprzedaż[[#This Row],[Produkt]],tblProdukty[],2,FALSE)</f>
        <v>0.5</v>
      </c>
      <c r="H215" s="29">
        <f t="shared" si="3"/>
        <v>4.5</v>
      </c>
    </row>
    <row r="216" spans="1:8" x14ac:dyDescent="0.3">
      <c r="A216" s="26">
        <v>41576</v>
      </c>
      <c r="B216" s="27" t="s">
        <v>73</v>
      </c>
      <c r="C216" s="27" t="s">
        <v>7</v>
      </c>
      <c r="D216" s="27" t="s">
        <v>64</v>
      </c>
      <c r="E216" s="27" t="s">
        <v>34</v>
      </c>
      <c r="F216" s="27">
        <v>2</v>
      </c>
      <c r="G216" s="28">
        <f>VLOOKUP(tblSprzedaż[[#This Row],[Produkt]],tblProdukty[],2,FALSE)</f>
        <v>2</v>
      </c>
      <c r="H216" s="29">
        <f t="shared" si="3"/>
        <v>4</v>
      </c>
    </row>
    <row r="217" spans="1:8" x14ac:dyDescent="0.3">
      <c r="A217" s="26">
        <v>41459</v>
      </c>
      <c r="B217" s="27" t="s">
        <v>73</v>
      </c>
      <c r="C217" s="27" t="s">
        <v>4</v>
      </c>
      <c r="D217" s="27" t="s">
        <v>63</v>
      </c>
      <c r="E217" s="27" t="s">
        <v>35</v>
      </c>
      <c r="F217" s="27">
        <v>19</v>
      </c>
      <c r="G217" s="28">
        <f>VLOOKUP(tblSprzedaż[[#This Row],[Produkt]],tblProdukty[],2,FALSE)</f>
        <v>0.5</v>
      </c>
      <c r="H217" s="29">
        <f t="shared" si="3"/>
        <v>9.5</v>
      </c>
    </row>
    <row r="218" spans="1:8" x14ac:dyDescent="0.3">
      <c r="A218" s="26">
        <v>41577</v>
      </c>
      <c r="B218" s="27" t="s">
        <v>67</v>
      </c>
      <c r="C218" s="27" t="s">
        <v>6</v>
      </c>
      <c r="D218" s="27" t="s">
        <v>70</v>
      </c>
      <c r="E218" s="27" t="s">
        <v>39</v>
      </c>
      <c r="F218" s="27">
        <v>10</v>
      </c>
      <c r="G218" s="28">
        <f>VLOOKUP(tblSprzedaż[[#This Row],[Produkt]],tblProdukty[],2,FALSE)</f>
        <v>0.1</v>
      </c>
      <c r="H218" s="29">
        <f t="shared" si="3"/>
        <v>1</v>
      </c>
    </row>
    <row r="219" spans="1:8" x14ac:dyDescent="0.3">
      <c r="A219" s="26">
        <v>41469</v>
      </c>
      <c r="B219" s="27" t="s">
        <v>58</v>
      </c>
      <c r="C219" s="27" t="s">
        <v>7</v>
      </c>
      <c r="D219" s="27" t="s">
        <v>66</v>
      </c>
      <c r="E219" s="27" t="s">
        <v>34</v>
      </c>
      <c r="F219" s="27">
        <v>7</v>
      </c>
      <c r="G219" s="28">
        <f>VLOOKUP(tblSprzedaż[[#This Row],[Produkt]],tblProdukty[],2,FALSE)</f>
        <v>2</v>
      </c>
      <c r="H219" s="29">
        <f t="shared" si="3"/>
        <v>14</v>
      </c>
    </row>
    <row r="220" spans="1:8" x14ac:dyDescent="0.3">
      <c r="A220" s="26">
        <v>41436</v>
      </c>
      <c r="B220" s="27" t="s">
        <v>67</v>
      </c>
      <c r="C220" s="27" t="s">
        <v>7</v>
      </c>
      <c r="D220" s="27" t="s">
        <v>66</v>
      </c>
      <c r="E220" s="27" t="s">
        <v>39</v>
      </c>
      <c r="F220" s="27">
        <v>10</v>
      </c>
      <c r="G220" s="28">
        <f>VLOOKUP(tblSprzedaż[[#This Row],[Produkt]],tblProdukty[],2,FALSE)</f>
        <v>0.1</v>
      </c>
      <c r="H220" s="29">
        <f t="shared" si="3"/>
        <v>1</v>
      </c>
    </row>
    <row r="221" spans="1:8" x14ac:dyDescent="0.3">
      <c r="A221" s="26">
        <v>41603</v>
      </c>
      <c r="B221" s="27" t="s">
        <v>67</v>
      </c>
      <c r="C221" s="27" t="s">
        <v>4</v>
      </c>
      <c r="D221" s="27" t="s">
        <v>69</v>
      </c>
      <c r="E221" s="27" t="s">
        <v>40</v>
      </c>
      <c r="F221" s="27">
        <v>3</v>
      </c>
      <c r="G221" s="28">
        <f>VLOOKUP(tblSprzedaż[[#This Row],[Produkt]],tblProdukty[],2,FALSE)</f>
        <v>1.5</v>
      </c>
      <c r="H221" s="29">
        <f t="shared" si="3"/>
        <v>4.5</v>
      </c>
    </row>
    <row r="222" spans="1:8" x14ac:dyDescent="0.3">
      <c r="A222" s="26">
        <v>41552</v>
      </c>
      <c r="B222" s="27" t="s">
        <v>73</v>
      </c>
      <c r="C222" s="27" t="s">
        <v>5</v>
      </c>
      <c r="D222" s="27" t="s">
        <v>61</v>
      </c>
      <c r="E222" s="27" t="s">
        <v>41</v>
      </c>
      <c r="F222" s="27">
        <v>3</v>
      </c>
      <c r="G222" s="28">
        <f>VLOOKUP(tblSprzedaż[[#This Row],[Produkt]],tblProdukty[],2,FALSE)</f>
        <v>4</v>
      </c>
      <c r="H222" s="29">
        <f t="shared" si="3"/>
        <v>12</v>
      </c>
    </row>
    <row r="223" spans="1:8" x14ac:dyDescent="0.3">
      <c r="A223" s="26">
        <v>41544</v>
      </c>
      <c r="B223" s="27" t="s">
        <v>71</v>
      </c>
      <c r="C223" s="27" t="s">
        <v>6</v>
      </c>
      <c r="D223" s="27" t="s">
        <v>72</v>
      </c>
      <c r="E223" s="27" t="s">
        <v>40</v>
      </c>
      <c r="F223" s="27">
        <v>12</v>
      </c>
      <c r="G223" s="28">
        <f>VLOOKUP(tblSprzedaż[[#This Row],[Produkt]],tblProdukty[],2,FALSE)</f>
        <v>1.5</v>
      </c>
      <c r="H223" s="29">
        <f t="shared" si="3"/>
        <v>18</v>
      </c>
    </row>
    <row r="224" spans="1:8" x14ac:dyDescent="0.3">
      <c r="A224" s="26">
        <v>41453</v>
      </c>
      <c r="B224" s="27" t="s">
        <v>62</v>
      </c>
      <c r="C224" s="27" t="s">
        <v>3</v>
      </c>
      <c r="D224" s="27" t="s">
        <v>72</v>
      </c>
      <c r="E224" s="27" t="s">
        <v>36</v>
      </c>
      <c r="F224" s="27">
        <v>8</v>
      </c>
      <c r="G224" s="28">
        <f>VLOOKUP(tblSprzedaż[[#This Row],[Produkt]],tblProdukty[],2,FALSE)</f>
        <v>2.5</v>
      </c>
      <c r="H224" s="29">
        <f t="shared" si="3"/>
        <v>20</v>
      </c>
    </row>
    <row r="225" spans="1:8" x14ac:dyDescent="0.3">
      <c r="A225" s="26">
        <v>41537</v>
      </c>
      <c r="B225" s="27" t="s">
        <v>62</v>
      </c>
      <c r="C225" s="27" t="s">
        <v>4</v>
      </c>
      <c r="D225" s="27" t="s">
        <v>65</v>
      </c>
      <c r="E225" s="27" t="s">
        <v>39</v>
      </c>
      <c r="F225" s="27">
        <v>8</v>
      </c>
      <c r="G225" s="28">
        <f>VLOOKUP(tblSprzedaż[[#This Row],[Produkt]],tblProdukty[],2,FALSE)</f>
        <v>0.1</v>
      </c>
      <c r="H225" s="29">
        <f t="shared" si="3"/>
        <v>0.8</v>
      </c>
    </row>
    <row r="226" spans="1:8" x14ac:dyDescent="0.3">
      <c r="A226" s="26">
        <v>41528</v>
      </c>
      <c r="B226" s="27" t="s">
        <v>58</v>
      </c>
      <c r="C226" s="27" t="s">
        <v>6</v>
      </c>
      <c r="D226" s="27" t="s">
        <v>65</v>
      </c>
      <c r="E226" s="27" t="s">
        <v>36</v>
      </c>
      <c r="F226" s="27">
        <v>19</v>
      </c>
      <c r="G226" s="28">
        <f>VLOOKUP(tblSprzedaż[[#This Row],[Produkt]],tblProdukty[],2,FALSE)</f>
        <v>2.5</v>
      </c>
      <c r="H226" s="29">
        <f t="shared" si="3"/>
        <v>47.5</v>
      </c>
    </row>
    <row r="227" spans="1:8" x14ac:dyDescent="0.3">
      <c r="A227" s="26">
        <v>41618</v>
      </c>
      <c r="B227" s="27" t="s">
        <v>62</v>
      </c>
      <c r="C227" s="27" t="s">
        <v>3</v>
      </c>
      <c r="D227" s="27" t="s">
        <v>70</v>
      </c>
      <c r="E227" s="27" t="s">
        <v>39</v>
      </c>
      <c r="F227" s="27">
        <v>3</v>
      </c>
      <c r="G227" s="28">
        <f>VLOOKUP(tblSprzedaż[[#This Row],[Produkt]],tblProdukty[],2,FALSE)</f>
        <v>0.1</v>
      </c>
      <c r="H227" s="29">
        <f t="shared" si="3"/>
        <v>0.30000000000000004</v>
      </c>
    </row>
    <row r="228" spans="1:8" x14ac:dyDescent="0.3">
      <c r="A228" s="26">
        <v>41561</v>
      </c>
      <c r="B228" s="27" t="s">
        <v>71</v>
      </c>
      <c r="C228" s="27" t="s">
        <v>5</v>
      </c>
      <c r="D228" s="27" t="s">
        <v>69</v>
      </c>
      <c r="E228" s="27" t="s">
        <v>34</v>
      </c>
      <c r="F228" s="27">
        <v>9</v>
      </c>
      <c r="G228" s="28">
        <f>VLOOKUP(tblSprzedaż[[#This Row],[Produkt]],tblProdukty[],2,FALSE)</f>
        <v>2</v>
      </c>
      <c r="H228" s="29">
        <f t="shared" si="3"/>
        <v>18</v>
      </c>
    </row>
    <row r="229" spans="1:8" x14ac:dyDescent="0.3">
      <c r="A229" s="26">
        <v>41553</v>
      </c>
      <c r="B229" s="27" t="s">
        <v>67</v>
      </c>
      <c r="C229" s="27" t="s">
        <v>4</v>
      </c>
      <c r="D229" s="27" t="s">
        <v>63</v>
      </c>
      <c r="E229" s="27" t="s">
        <v>39</v>
      </c>
      <c r="F229" s="27">
        <v>5</v>
      </c>
      <c r="G229" s="28">
        <f>VLOOKUP(tblSprzedaż[[#This Row],[Produkt]],tblProdukty[],2,FALSE)</f>
        <v>0.1</v>
      </c>
      <c r="H229" s="29">
        <f t="shared" si="3"/>
        <v>0.5</v>
      </c>
    </row>
    <row r="230" spans="1:8" x14ac:dyDescent="0.3">
      <c r="A230" s="26">
        <v>41637</v>
      </c>
      <c r="B230" s="27" t="s">
        <v>73</v>
      </c>
      <c r="C230" s="27" t="s">
        <v>7</v>
      </c>
      <c r="D230" s="27" t="s">
        <v>60</v>
      </c>
      <c r="E230" s="27" t="s">
        <v>37</v>
      </c>
      <c r="F230" s="27">
        <v>8</v>
      </c>
      <c r="G230" s="28">
        <f>VLOOKUP(tblSprzedaż[[#This Row],[Produkt]],tblProdukty[],2,FALSE)</f>
        <v>5</v>
      </c>
      <c r="H230" s="29">
        <f t="shared" si="3"/>
        <v>40</v>
      </c>
    </row>
    <row r="231" spans="1:8" x14ac:dyDescent="0.3">
      <c r="A231" s="26">
        <v>41457</v>
      </c>
      <c r="B231" s="27" t="s">
        <v>73</v>
      </c>
      <c r="C231" s="27" t="s">
        <v>7</v>
      </c>
      <c r="D231" s="27" t="s">
        <v>65</v>
      </c>
      <c r="E231" s="27" t="s">
        <v>37</v>
      </c>
      <c r="F231" s="27">
        <v>19</v>
      </c>
      <c r="G231" s="28">
        <f>VLOOKUP(tblSprzedaż[[#This Row],[Produkt]],tblProdukty[],2,FALSE)</f>
        <v>5</v>
      </c>
      <c r="H231" s="29">
        <f t="shared" si="3"/>
        <v>95</v>
      </c>
    </row>
    <row r="232" spans="1:8" x14ac:dyDescent="0.3">
      <c r="A232" s="26">
        <v>41521</v>
      </c>
      <c r="B232" s="27" t="s">
        <v>58</v>
      </c>
      <c r="C232" s="27" t="s">
        <v>5</v>
      </c>
      <c r="D232" s="27" t="s">
        <v>60</v>
      </c>
      <c r="E232" s="27" t="s">
        <v>34</v>
      </c>
      <c r="F232" s="27">
        <v>11</v>
      </c>
      <c r="G232" s="28">
        <f>VLOOKUP(tblSprzedaż[[#This Row],[Produkt]],tblProdukty[],2,FALSE)</f>
        <v>2</v>
      </c>
      <c r="H232" s="29">
        <f t="shared" si="3"/>
        <v>22</v>
      </c>
    </row>
    <row r="233" spans="1:8" x14ac:dyDescent="0.3">
      <c r="A233" s="26">
        <v>41601</v>
      </c>
      <c r="B233" s="27" t="s">
        <v>58</v>
      </c>
      <c r="C233" s="27" t="s">
        <v>4</v>
      </c>
      <c r="D233" s="27" t="s">
        <v>65</v>
      </c>
      <c r="E233" s="27" t="s">
        <v>35</v>
      </c>
      <c r="F233" s="27">
        <v>2</v>
      </c>
      <c r="G233" s="28">
        <f>VLOOKUP(tblSprzedaż[[#This Row],[Produkt]],tblProdukty[],2,FALSE)</f>
        <v>0.5</v>
      </c>
      <c r="H233" s="29">
        <f t="shared" si="3"/>
        <v>1</v>
      </c>
    </row>
    <row r="234" spans="1:8" x14ac:dyDescent="0.3">
      <c r="A234" s="26">
        <v>41600</v>
      </c>
      <c r="B234" s="27" t="s">
        <v>62</v>
      </c>
      <c r="C234" s="27" t="s">
        <v>5</v>
      </c>
      <c r="D234" s="27" t="s">
        <v>66</v>
      </c>
      <c r="E234" s="27" t="s">
        <v>39</v>
      </c>
      <c r="F234" s="27">
        <v>7</v>
      </c>
      <c r="G234" s="28">
        <f>VLOOKUP(tblSprzedaż[[#This Row],[Produkt]],tblProdukty[],2,FALSE)</f>
        <v>0.1</v>
      </c>
      <c r="H234" s="29">
        <f t="shared" si="3"/>
        <v>0.70000000000000007</v>
      </c>
    </row>
    <row r="235" spans="1:8" x14ac:dyDescent="0.3">
      <c r="A235" s="26">
        <v>41534</v>
      </c>
      <c r="B235" s="27" t="s">
        <v>62</v>
      </c>
      <c r="C235" s="27" t="s">
        <v>5</v>
      </c>
      <c r="D235" s="27" t="s">
        <v>74</v>
      </c>
      <c r="E235" s="27" t="s">
        <v>41</v>
      </c>
      <c r="F235" s="27">
        <v>5</v>
      </c>
      <c r="G235" s="28">
        <f>VLOOKUP(tblSprzedaż[[#This Row],[Produkt]],tblProdukty[],2,FALSE)</f>
        <v>4</v>
      </c>
      <c r="H235" s="29">
        <f t="shared" si="3"/>
        <v>20</v>
      </c>
    </row>
    <row r="236" spans="1:8" x14ac:dyDescent="0.3">
      <c r="A236" s="26">
        <v>41433</v>
      </c>
      <c r="B236" s="27" t="s">
        <v>67</v>
      </c>
      <c r="C236" s="27" t="s">
        <v>4</v>
      </c>
      <c r="D236" s="27" t="s">
        <v>72</v>
      </c>
      <c r="E236" s="27" t="s">
        <v>39</v>
      </c>
      <c r="F236" s="27">
        <v>1</v>
      </c>
      <c r="G236" s="28">
        <f>VLOOKUP(tblSprzedaż[[#This Row],[Produkt]],tblProdukty[],2,FALSE)</f>
        <v>0.1</v>
      </c>
      <c r="H236" s="29">
        <f t="shared" si="3"/>
        <v>0.1</v>
      </c>
    </row>
    <row r="237" spans="1:8" x14ac:dyDescent="0.3">
      <c r="A237" s="26">
        <v>41569</v>
      </c>
      <c r="B237" s="27" t="s">
        <v>67</v>
      </c>
      <c r="C237" s="27" t="s">
        <v>7</v>
      </c>
      <c r="D237" s="27" t="s">
        <v>66</v>
      </c>
      <c r="E237" s="27" t="s">
        <v>36</v>
      </c>
      <c r="F237" s="27">
        <v>17</v>
      </c>
      <c r="G237" s="28">
        <f>VLOOKUP(tblSprzedaż[[#This Row],[Produkt]],tblProdukty[],2,FALSE)</f>
        <v>2.5</v>
      </c>
      <c r="H237" s="29">
        <f t="shared" si="3"/>
        <v>42.5</v>
      </c>
    </row>
    <row r="238" spans="1:8" x14ac:dyDescent="0.3">
      <c r="A238" s="26">
        <v>41573</v>
      </c>
      <c r="B238" s="27" t="s">
        <v>58</v>
      </c>
      <c r="C238" s="27" t="s">
        <v>7</v>
      </c>
      <c r="D238" s="27" t="s">
        <v>70</v>
      </c>
      <c r="E238" s="27" t="s">
        <v>40</v>
      </c>
      <c r="F238" s="27">
        <v>13</v>
      </c>
      <c r="G238" s="28">
        <f>VLOOKUP(tblSprzedaż[[#This Row],[Produkt]],tblProdukty[],2,FALSE)</f>
        <v>1.5</v>
      </c>
      <c r="H238" s="29">
        <f t="shared" si="3"/>
        <v>19.5</v>
      </c>
    </row>
    <row r="239" spans="1:8" x14ac:dyDescent="0.3">
      <c r="A239" s="26">
        <v>41458</v>
      </c>
      <c r="B239" s="27" t="s">
        <v>58</v>
      </c>
      <c r="C239" s="27" t="s">
        <v>7</v>
      </c>
      <c r="D239" s="27" t="s">
        <v>61</v>
      </c>
      <c r="E239" s="27" t="s">
        <v>38</v>
      </c>
      <c r="F239" s="27">
        <v>7</v>
      </c>
      <c r="G239" s="28">
        <f>VLOOKUP(tblSprzedaż[[#This Row],[Produkt]],tblProdukty[],2,FALSE)</f>
        <v>0.2</v>
      </c>
      <c r="H239" s="29">
        <f t="shared" si="3"/>
        <v>1.4000000000000001</v>
      </c>
    </row>
    <row r="240" spans="1:8" x14ac:dyDescent="0.3">
      <c r="A240" s="26">
        <v>41569</v>
      </c>
      <c r="B240" s="27" t="s">
        <v>62</v>
      </c>
      <c r="C240" s="27" t="s">
        <v>5</v>
      </c>
      <c r="D240" s="27" t="s">
        <v>61</v>
      </c>
      <c r="E240" s="27" t="s">
        <v>38</v>
      </c>
      <c r="F240" s="27">
        <v>4</v>
      </c>
      <c r="G240" s="28">
        <f>VLOOKUP(tblSprzedaż[[#This Row],[Produkt]],tblProdukty[],2,FALSE)</f>
        <v>0.2</v>
      </c>
      <c r="H240" s="29">
        <f t="shared" si="3"/>
        <v>0.8</v>
      </c>
    </row>
    <row r="241" spans="1:8" x14ac:dyDescent="0.3">
      <c r="A241" s="26">
        <v>41430</v>
      </c>
      <c r="B241" s="27" t="s">
        <v>58</v>
      </c>
      <c r="C241" s="27" t="s">
        <v>4</v>
      </c>
      <c r="D241" s="27" t="s">
        <v>60</v>
      </c>
      <c r="E241" s="27" t="s">
        <v>38</v>
      </c>
      <c r="F241" s="27">
        <v>4</v>
      </c>
      <c r="G241" s="28">
        <f>VLOOKUP(tblSprzedaż[[#This Row],[Produkt]],tblProdukty[],2,FALSE)</f>
        <v>0.2</v>
      </c>
      <c r="H241" s="29">
        <f t="shared" si="3"/>
        <v>0.8</v>
      </c>
    </row>
    <row r="242" spans="1:8" x14ac:dyDescent="0.3">
      <c r="A242" s="26">
        <v>41578</v>
      </c>
      <c r="B242" s="27" t="s">
        <v>62</v>
      </c>
      <c r="C242" s="27" t="s">
        <v>4</v>
      </c>
      <c r="D242" s="27" t="s">
        <v>68</v>
      </c>
      <c r="E242" s="27" t="s">
        <v>41</v>
      </c>
      <c r="F242" s="27">
        <v>16</v>
      </c>
      <c r="G242" s="28">
        <f>VLOOKUP(tblSprzedaż[[#This Row],[Produkt]],tblProdukty[],2,FALSE)</f>
        <v>4</v>
      </c>
      <c r="H242" s="29">
        <f t="shared" si="3"/>
        <v>64</v>
      </c>
    </row>
    <row r="243" spans="1:8" x14ac:dyDescent="0.3">
      <c r="A243" s="26">
        <v>41507</v>
      </c>
      <c r="B243" s="27" t="s">
        <v>62</v>
      </c>
      <c r="C243" s="27" t="s">
        <v>3</v>
      </c>
      <c r="D243" s="27" t="s">
        <v>74</v>
      </c>
      <c r="E243" s="27" t="s">
        <v>35</v>
      </c>
      <c r="F243" s="27">
        <v>15</v>
      </c>
      <c r="G243" s="28">
        <f>VLOOKUP(tblSprzedaż[[#This Row],[Produkt]],tblProdukty[],2,FALSE)</f>
        <v>0.5</v>
      </c>
      <c r="H243" s="29">
        <f t="shared" si="3"/>
        <v>7.5</v>
      </c>
    </row>
    <row r="244" spans="1:8" x14ac:dyDescent="0.3">
      <c r="A244" s="26">
        <v>41584</v>
      </c>
      <c r="B244" s="27" t="s">
        <v>62</v>
      </c>
      <c r="C244" s="27" t="s">
        <v>4</v>
      </c>
      <c r="D244" s="27" t="s">
        <v>65</v>
      </c>
      <c r="E244" s="27" t="s">
        <v>36</v>
      </c>
      <c r="F244" s="27">
        <v>6</v>
      </c>
      <c r="G244" s="28">
        <f>VLOOKUP(tblSprzedaż[[#This Row],[Produkt]],tblProdukty[],2,FALSE)</f>
        <v>2.5</v>
      </c>
      <c r="H244" s="29">
        <f t="shared" si="3"/>
        <v>15</v>
      </c>
    </row>
    <row r="245" spans="1:8" x14ac:dyDescent="0.3">
      <c r="A245" s="26">
        <v>41440</v>
      </c>
      <c r="B245" s="27" t="s">
        <v>58</v>
      </c>
      <c r="C245" s="27" t="s">
        <v>7</v>
      </c>
      <c r="D245" s="27" t="s">
        <v>72</v>
      </c>
      <c r="E245" s="27" t="s">
        <v>35</v>
      </c>
      <c r="F245" s="27">
        <v>2</v>
      </c>
      <c r="G245" s="28">
        <f>VLOOKUP(tblSprzedaż[[#This Row],[Produkt]],tblProdukty[],2,FALSE)</f>
        <v>0.5</v>
      </c>
      <c r="H245" s="29">
        <f t="shared" si="3"/>
        <v>1</v>
      </c>
    </row>
    <row r="246" spans="1:8" x14ac:dyDescent="0.3">
      <c r="A246" s="26">
        <v>41522</v>
      </c>
      <c r="B246" s="27" t="s">
        <v>67</v>
      </c>
      <c r="C246" s="27" t="s">
        <v>6</v>
      </c>
      <c r="D246" s="27" t="s">
        <v>60</v>
      </c>
      <c r="E246" s="27" t="s">
        <v>36</v>
      </c>
      <c r="F246" s="27">
        <v>5</v>
      </c>
      <c r="G246" s="28">
        <f>VLOOKUP(tblSprzedaż[[#This Row],[Produkt]],tblProdukty[],2,FALSE)</f>
        <v>2.5</v>
      </c>
      <c r="H246" s="29">
        <f t="shared" si="3"/>
        <v>12.5</v>
      </c>
    </row>
    <row r="247" spans="1:8" x14ac:dyDescent="0.3">
      <c r="A247" s="26">
        <v>41426</v>
      </c>
      <c r="B247" s="27" t="s">
        <v>71</v>
      </c>
      <c r="C247" s="27" t="s">
        <v>5</v>
      </c>
      <c r="D247" s="27" t="s">
        <v>66</v>
      </c>
      <c r="E247" s="27" t="s">
        <v>41</v>
      </c>
      <c r="F247" s="27">
        <v>18</v>
      </c>
      <c r="G247" s="28">
        <f>VLOOKUP(tblSprzedaż[[#This Row],[Produkt]],tblProdukty[],2,FALSE)</f>
        <v>4</v>
      </c>
      <c r="H247" s="29">
        <f t="shared" si="3"/>
        <v>72</v>
      </c>
    </row>
    <row r="248" spans="1:8" x14ac:dyDescent="0.3">
      <c r="A248" s="26">
        <v>41560</v>
      </c>
      <c r="B248" s="27" t="s">
        <v>71</v>
      </c>
      <c r="C248" s="27" t="s">
        <v>7</v>
      </c>
      <c r="D248" s="27" t="s">
        <v>64</v>
      </c>
      <c r="E248" s="27" t="s">
        <v>41</v>
      </c>
      <c r="F248" s="27">
        <v>19</v>
      </c>
      <c r="G248" s="28">
        <f>VLOOKUP(tblSprzedaż[[#This Row],[Produkt]],tblProdukty[],2,FALSE)</f>
        <v>4</v>
      </c>
      <c r="H248" s="29">
        <f t="shared" si="3"/>
        <v>76</v>
      </c>
    </row>
    <row r="249" spans="1:8" x14ac:dyDescent="0.3">
      <c r="A249" s="26">
        <v>41604</v>
      </c>
      <c r="B249" s="27" t="s">
        <v>62</v>
      </c>
      <c r="C249" s="27" t="s">
        <v>5</v>
      </c>
      <c r="D249" s="27" t="s">
        <v>74</v>
      </c>
      <c r="E249" s="27" t="s">
        <v>40</v>
      </c>
      <c r="F249" s="27">
        <v>1</v>
      </c>
      <c r="G249" s="28">
        <f>VLOOKUP(tblSprzedaż[[#This Row],[Produkt]],tblProdukty[],2,FALSE)</f>
        <v>1.5</v>
      </c>
      <c r="H249" s="29">
        <f t="shared" si="3"/>
        <v>1.5</v>
      </c>
    </row>
    <row r="250" spans="1:8" x14ac:dyDescent="0.3">
      <c r="A250" s="26">
        <v>41524</v>
      </c>
      <c r="B250" s="27" t="s">
        <v>58</v>
      </c>
      <c r="C250" s="27" t="s">
        <v>7</v>
      </c>
      <c r="D250" s="27" t="s">
        <v>69</v>
      </c>
      <c r="E250" s="27" t="s">
        <v>34</v>
      </c>
      <c r="F250" s="27">
        <v>5</v>
      </c>
      <c r="G250" s="28">
        <f>VLOOKUP(tblSprzedaż[[#This Row],[Produkt]],tblProdukty[],2,FALSE)</f>
        <v>2</v>
      </c>
      <c r="H250" s="29">
        <f t="shared" si="3"/>
        <v>10</v>
      </c>
    </row>
    <row r="251" spans="1:8" x14ac:dyDescent="0.3">
      <c r="A251" s="26">
        <v>41551</v>
      </c>
      <c r="B251" s="27" t="s">
        <v>67</v>
      </c>
      <c r="C251" s="27" t="s">
        <v>5</v>
      </c>
      <c r="D251" s="27" t="s">
        <v>64</v>
      </c>
      <c r="E251" s="27" t="s">
        <v>41</v>
      </c>
      <c r="F251" s="27">
        <v>10</v>
      </c>
      <c r="G251" s="28">
        <f>VLOOKUP(tblSprzedaż[[#This Row],[Produkt]],tblProdukty[],2,FALSE)</f>
        <v>4</v>
      </c>
      <c r="H251" s="29">
        <f t="shared" si="3"/>
        <v>40</v>
      </c>
    </row>
    <row r="252" spans="1:8" x14ac:dyDescent="0.3">
      <c r="A252" s="26">
        <v>41510</v>
      </c>
      <c r="B252" s="27" t="s">
        <v>58</v>
      </c>
      <c r="C252" s="27" t="s">
        <v>7</v>
      </c>
      <c r="D252" s="27" t="s">
        <v>60</v>
      </c>
      <c r="E252" s="27" t="s">
        <v>37</v>
      </c>
      <c r="F252" s="27">
        <v>5</v>
      </c>
      <c r="G252" s="28">
        <f>VLOOKUP(tblSprzedaż[[#This Row],[Produkt]],tblProdukty[],2,FALSE)</f>
        <v>5</v>
      </c>
      <c r="H252" s="29">
        <f t="shared" si="3"/>
        <v>25</v>
      </c>
    </row>
    <row r="253" spans="1:8" x14ac:dyDescent="0.3">
      <c r="A253" s="26">
        <v>41507</v>
      </c>
      <c r="B253" s="27" t="s">
        <v>67</v>
      </c>
      <c r="C253" s="27" t="s">
        <v>3</v>
      </c>
      <c r="D253" s="27" t="s">
        <v>59</v>
      </c>
      <c r="E253" s="27" t="s">
        <v>35</v>
      </c>
      <c r="F253" s="27">
        <v>4</v>
      </c>
      <c r="G253" s="28">
        <f>VLOOKUP(tblSprzedaż[[#This Row],[Produkt]],tblProdukty[],2,FALSE)</f>
        <v>0.5</v>
      </c>
      <c r="H253" s="29">
        <f t="shared" si="3"/>
        <v>2</v>
      </c>
    </row>
    <row r="254" spans="1:8" x14ac:dyDescent="0.3">
      <c r="A254" s="26">
        <v>41479</v>
      </c>
      <c r="B254" s="27" t="s">
        <v>73</v>
      </c>
      <c r="C254" s="27" t="s">
        <v>3</v>
      </c>
      <c r="D254" s="27" t="s">
        <v>61</v>
      </c>
      <c r="E254" s="27" t="s">
        <v>40</v>
      </c>
      <c r="F254" s="27">
        <v>15</v>
      </c>
      <c r="G254" s="28">
        <f>VLOOKUP(tblSprzedaż[[#This Row],[Produkt]],tblProdukty[],2,FALSE)</f>
        <v>1.5</v>
      </c>
      <c r="H254" s="29">
        <f t="shared" si="3"/>
        <v>22.5</v>
      </c>
    </row>
    <row r="255" spans="1:8" x14ac:dyDescent="0.3">
      <c r="A255" s="26">
        <v>41467</v>
      </c>
      <c r="B255" s="27" t="s">
        <v>62</v>
      </c>
      <c r="C255" s="27" t="s">
        <v>3</v>
      </c>
      <c r="D255" s="27" t="s">
        <v>68</v>
      </c>
      <c r="E255" s="27" t="s">
        <v>34</v>
      </c>
      <c r="F255" s="27">
        <v>5</v>
      </c>
      <c r="G255" s="28">
        <f>VLOOKUP(tblSprzedaż[[#This Row],[Produkt]],tblProdukty[],2,FALSE)</f>
        <v>2</v>
      </c>
      <c r="H255" s="29">
        <f t="shared" si="3"/>
        <v>10</v>
      </c>
    </row>
    <row r="256" spans="1:8" x14ac:dyDescent="0.3">
      <c r="A256" s="26">
        <v>41426</v>
      </c>
      <c r="B256" s="27" t="s">
        <v>62</v>
      </c>
      <c r="C256" s="27" t="s">
        <v>5</v>
      </c>
      <c r="D256" s="27" t="s">
        <v>66</v>
      </c>
      <c r="E256" s="27" t="s">
        <v>40</v>
      </c>
      <c r="F256" s="27">
        <v>20</v>
      </c>
      <c r="G256" s="28">
        <f>VLOOKUP(tblSprzedaż[[#This Row],[Produkt]],tblProdukty[],2,FALSE)</f>
        <v>1.5</v>
      </c>
      <c r="H256" s="29">
        <f t="shared" si="3"/>
        <v>30</v>
      </c>
    </row>
    <row r="257" spans="1:8" x14ac:dyDescent="0.3">
      <c r="A257" s="26">
        <v>41511</v>
      </c>
      <c r="B257" s="27" t="s">
        <v>75</v>
      </c>
      <c r="C257" s="27" t="s">
        <v>7</v>
      </c>
      <c r="D257" s="27" t="s">
        <v>64</v>
      </c>
      <c r="E257" s="27" t="s">
        <v>36</v>
      </c>
      <c r="F257" s="27">
        <v>10</v>
      </c>
      <c r="G257" s="28">
        <f>VLOOKUP(tblSprzedaż[[#This Row],[Produkt]],tblProdukty[],2,FALSE)</f>
        <v>2.5</v>
      </c>
      <c r="H257" s="29">
        <f t="shared" si="3"/>
        <v>25</v>
      </c>
    </row>
    <row r="258" spans="1:8" x14ac:dyDescent="0.3">
      <c r="A258" s="26">
        <v>41511</v>
      </c>
      <c r="B258" s="27" t="s">
        <v>73</v>
      </c>
      <c r="C258" s="27" t="s">
        <v>4</v>
      </c>
      <c r="D258" s="27" t="s">
        <v>65</v>
      </c>
      <c r="E258" s="27" t="s">
        <v>41</v>
      </c>
      <c r="F258" s="27">
        <v>11</v>
      </c>
      <c r="G258" s="28">
        <f>VLOOKUP(tblSprzedaż[[#This Row],[Produkt]],tblProdukty[],2,FALSE)</f>
        <v>4</v>
      </c>
      <c r="H258" s="29">
        <f t="shared" si="3"/>
        <v>44</v>
      </c>
    </row>
    <row r="259" spans="1:8" x14ac:dyDescent="0.3">
      <c r="A259" s="26">
        <v>41456</v>
      </c>
      <c r="B259" s="27" t="s">
        <v>67</v>
      </c>
      <c r="C259" s="27" t="s">
        <v>3</v>
      </c>
      <c r="D259" s="27" t="s">
        <v>70</v>
      </c>
      <c r="E259" s="27" t="s">
        <v>41</v>
      </c>
      <c r="F259" s="27">
        <v>20</v>
      </c>
      <c r="G259" s="28">
        <f>VLOOKUP(tblSprzedaż[[#This Row],[Produkt]],tblProdukty[],2,FALSE)</f>
        <v>4</v>
      </c>
      <c r="H259" s="29">
        <f t="shared" ref="H259:H322" si="4">F259*G259</f>
        <v>80</v>
      </c>
    </row>
    <row r="260" spans="1:8" x14ac:dyDescent="0.3">
      <c r="A260" s="26">
        <v>41527</v>
      </c>
      <c r="B260" s="27" t="s">
        <v>75</v>
      </c>
      <c r="C260" s="27" t="s">
        <v>3</v>
      </c>
      <c r="D260" s="27" t="s">
        <v>65</v>
      </c>
      <c r="E260" s="27" t="s">
        <v>35</v>
      </c>
      <c r="F260" s="27">
        <v>17</v>
      </c>
      <c r="G260" s="28">
        <f>VLOOKUP(tblSprzedaż[[#This Row],[Produkt]],tblProdukty[],2,FALSE)</f>
        <v>0.5</v>
      </c>
      <c r="H260" s="29">
        <f t="shared" si="4"/>
        <v>8.5</v>
      </c>
    </row>
    <row r="261" spans="1:8" x14ac:dyDescent="0.3">
      <c r="A261" s="26">
        <v>41600</v>
      </c>
      <c r="B261" s="27" t="s">
        <v>62</v>
      </c>
      <c r="C261" s="27" t="s">
        <v>5</v>
      </c>
      <c r="D261" s="27" t="s">
        <v>69</v>
      </c>
      <c r="E261" s="27" t="s">
        <v>34</v>
      </c>
      <c r="F261" s="27">
        <v>10</v>
      </c>
      <c r="G261" s="28">
        <f>VLOOKUP(tblSprzedaż[[#This Row],[Produkt]],tblProdukty[],2,FALSE)</f>
        <v>2</v>
      </c>
      <c r="H261" s="29">
        <f t="shared" si="4"/>
        <v>20</v>
      </c>
    </row>
    <row r="262" spans="1:8" x14ac:dyDescent="0.3">
      <c r="A262" s="26">
        <v>41582</v>
      </c>
      <c r="B262" s="27" t="s">
        <v>67</v>
      </c>
      <c r="C262" s="27" t="s">
        <v>7</v>
      </c>
      <c r="D262" s="27" t="s">
        <v>66</v>
      </c>
      <c r="E262" s="27" t="s">
        <v>41</v>
      </c>
      <c r="F262" s="27">
        <v>20</v>
      </c>
      <c r="G262" s="28">
        <f>VLOOKUP(tblSprzedaż[[#This Row],[Produkt]],tblProdukty[],2,FALSE)</f>
        <v>4</v>
      </c>
      <c r="H262" s="29">
        <f t="shared" si="4"/>
        <v>80</v>
      </c>
    </row>
    <row r="263" spans="1:8" x14ac:dyDescent="0.3">
      <c r="A263" s="26">
        <v>41552</v>
      </c>
      <c r="B263" s="27" t="s">
        <v>71</v>
      </c>
      <c r="C263" s="27" t="s">
        <v>6</v>
      </c>
      <c r="D263" s="27" t="s">
        <v>61</v>
      </c>
      <c r="E263" s="27" t="s">
        <v>39</v>
      </c>
      <c r="F263" s="27">
        <v>2</v>
      </c>
      <c r="G263" s="28">
        <f>VLOOKUP(tblSprzedaż[[#This Row],[Produkt]],tblProdukty[],2,FALSE)</f>
        <v>0.1</v>
      </c>
      <c r="H263" s="29">
        <f t="shared" si="4"/>
        <v>0.2</v>
      </c>
    </row>
    <row r="264" spans="1:8" x14ac:dyDescent="0.3">
      <c r="A264" s="26">
        <v>41570</v>
      </c>
      <c r="B264" s="27" t="s">
        <v>58</v>
      </c>
      <c r="C264" s="27" t="s">
        <v>5</v>
      </c>
      <c r="D264" s="27" t="s">
        <v>69</v>
      </c>
      <c r="E264" s="27" t="s">
        <v>39</v>
      </c>
      <c r="F264" s="27">
        <v>13</v>
      </c>
      <c r="G264" s="28">
        <f>VLOOKUP(tblSprzedaż[[#This Row],[Produkt]],tblProdukty[],2,FALSE)</f>
        <v>0.1</v>
      </c>
      <c r="H264" s="29">
        <f t="shared" si="4"/>
        <v>1.3</v>
      </c>
    </row>
    <row r="265" spans="1:8" x14ac:dyDescent="0.3">
      <c r="A265" s="26">
        <v>41579</v>
      </c>
      <c r="B265" s="27" t="s">
        <v>75</v>
      </c>
      <c r="C265" s="27" t="s">
        <v>5</v>
      </c>
      <c r="D265" s="27" t="s">
        <v>66</v>
      </c>
      <c r="E265" s="27" t="s">
        <v>36</v>
      </c>
      <c r="F265" s="27">
        <v>1</v>
      </c>
      <c r="G265" s="28">
        <f>VLOOKUP(tblSprzedaż[[#This Row],[Produkt]],tblProdukty[],2,FALSE)</f>
        <v>2.5</v>
      </c>
      <c r="H265" s="29">
        <f t="shared" si="4"/>
        <v>2.5</v>
      </c>
    </row>
    <row r="266" spans="1:8" x14ac:dyDescent="0.3">
      <c r="A266" s="26">
        <v>41536</v>
      </c>
      <c r="B266" s="27" t="s">
        <v>58</v>
      </c>
      <c r="C266" s="27" t="s">
        <v>6</v>
      </c>
      <c r="D266" s="27" t="s">
        <v>72</v>
      </c>
      <c r="E266" s="27" t="s">
        <v>39</v>
      </c>
      <c r="F266" s="27">
        <v>10</v>
      </c>
      <c r="G266" s="28">
        <f>VLOOKUP(tblSprzedaż[[#This Row],[Produkt]],tblProdukty[],2,FALSE)</f>
        <v>0.1</v>
      </c>
      <c r="H266" s="29">
        <f t="shared" si="4"/>
        <v>1</v>
      </c>
    </row>
    <row r="267" spans="1:8" x14ac:dyDescent="0.3">
      <c r="A267" s="26">
        <v>41613</v>
      </c>
      <c r="B267" s="27" t="s">
        <v>58</v>
      </c>
      <c r="C267" s="27" t="s">
        <v>5</v>
      </c>
      <c r="D267" s="27" t="s">
        <v>74</v>
      </c>
      <c r="E267" s="27" t="s">
        <v>37</v>
      </c>
      <c r="F267" s="27">
        <v>18</v>
      </c>
      <c r="G267" s="28">
        <f>VLOOKUP(tblSprzedaż[[#This Row],[Produkt]],tblProdukty[],2,FALSE)</f>
        <v>5</v>
      </c>
      <c r="H267" s="29">
        <f t="shared" si="4"/>
        <v>90</v>
      </c>
    </row>
    <row r="268" spans="1:8" x14ac:dyDescent="0.3">
      <c r="A268" s="26">
        <v>41533</v>
      </c>
      <c r="B268" s="27" t="s">
        <v>71</v>
      </c>
      <c r="C268" s="27" t="s">
        <v>4</v>
      </c>
      <c r="D268" s="27" t="s">
        <v>68</v>
      </c>
      <c r="E268" s="27" t="s">
        <v>36</v>
      </c>
      <c r="F268" s="27">
        <v>5</v>
      </c>
      <c r="G268" s="28">
        <f>VLOOKUP(tblSprzedaż[[#This Row],[Produkt]],tblProdukty[],2,FALSE)</f>
        <v>2.5</v>
      </c>
      <c r="H268" s="29">
        <f t="shared" si="4"/>
        <v>12.5</v>
      </c>
    </row>
    <row r="269" spans="1:8" x14ac:dyDescent="0.3">
      <c r="A269" s="26">
        <v>41458</v>
      </c>
      <c r="B269" s="27" t="s">
        <v>75</v>
      </c>
      <c r="C269" s="27" t="s">
        <v>4</v>
      </c>
      <c r="D269" s="27" t="s">
        <v>59</v>
      </c>
      <c r="E269" s="27" t="s">
        <v>38</v>
      </c>
      <c r="F269" s="27">
        <v>2</v>
      </c>
      <c r="G269" s="28">
        <f>VLOOKUP(tblSprzedaż[[#This Row],[Produkt]],tblProdukty[],2,FALSE)</f>
        <v>0.2</v>
      </c>
      <c r="H269" s="29">
        <f t="shared" si="4"/>
        <v>0.4</v>
      </c>
    </row>
    <row r="270" spans="1:8" x14ac:dyDescent="0.3">
      <c r="A270" s="26">
        <v>41572</v>
      </c>
      <c r="B270" s="27" t="s">
        <v>67</v>
      </c>
      <c r="C270" s="27" t="s">
        <v>3</v>
      </c>
      <c r="D270" s="27" t="s">
        <v>69</v>
      </c>
      <c r="E270" s="27" t="s">
        <v>34</v>
      </c>
      <c r="F270" s="27">
        <v>11</v>
      </c>
      <c r="G270" s="28">
        <f>VLOOKUP(tblSprzedaż[[#This Row],[Produkt]],tblProdukty[],2,FALSE)</f>
        <v>2</v>
      </c>
      <c r="H270" s="29">
        <f t="shared" si="4"/>
        <v>22</v>
      </c>
    </row>
    <row r="271" spans="1:8" x14ac:dyDescent="0.3">
      <c r="A271" s="26">
        <v>41514</v>
      </c>
      <c r="B271" s="27" t="s">
        <v>75</v>
      </c>
      <c r="C271" s="27" t="s">
        <v>6</v>
      </c>
      <c r="D271" s="27" t="s">
        <v>63</v>
      </c>
      <c r="E271" s="27" t="s">
        <v>34</v>
      </c>
      <c r="F271" s="27">
        <v>15</v>
      </c>
      <c r="G271" s="28">
        <f>VLOOKUP(tblSprzedaż[[#This Row],[Produkt]],tblProdukty[],2,FALSE)</f>
        <v>2</v>
      </c>
      <c r="H271" s="29">
        <f t="shared" si="4"/>
        <v>30</v>
      </c>
    </row>
    <row r="272" spans="1:8" x14ac:dyDescent="0.3">
      <c r="A272" s="26">
        <v>41619</v>
      </c>
      <c r="B272" s="27" t="s">
        <v>62</v>
      </c>
      <c r="C272" s="27" t="s">
        <v>6</v>
      </c>
      <c r="D272" s="27" t="s">
        <v>70</v>
      </c>
      <c r="E272" s="27" t="s">
        <v>34</v>
      </c>
      <c r="F272" s="27">
        <v>8</v>
      </c>
      <c r="G272" s="28">
        <f>VLOOKUP(tblSprzedaż[[#This Row],[Produkt]],tblProdukty[],2,FALSE)</f>
        <v>2</v>
      </c>
      <c r="H272" s="29">
        <f t="shared" si="4"/>
        <v>16</v>
      </c>
    </row>
    <row r="273" spans="1:8" x14ac:dyDescent="0.3">
      <c r="A273" s="26">
        <v>41619</v>
      </c>
      <c r="B273" s="27" t="s">
        <v>73</v>
      </c>
      <c r="C273" s="27" t="s">
        <v>3</v>
      </c>
      <c r="D273" s="27" t="s">
        <v>65</v>
      </c>
      <c r="E273" s="27" t="s">
        <v>35</v>
      </c>
      <c r="F273" s="27">
        <v>8</v>
      </c>
      <c r="G273" s="28">
        <f>VLOOKUP(tblSprzedaż[[#This Row],[Produkt]],tblProdukty[],2,FALSE)</f>
        <v>0.5</v>
      </c>
      <c r="H273" s="29">
        <f t="shared" si="4"/>
        <v>4</v>
      </c>
    </row>
    <row r="274" spans="1:8" x14ac:dyDescent="0.3">
      <c r="A274" s="26">
        <v>41565</v>
      </c>
      <c r="B274" s="27" t="s">
        <v>73</v>
      </c>
      <c r="C274" s="27" t="s">
        <v>5</v>
      </c>
      <c r="D274" s="27" t="s">
        <v>59</v>
      </c>
      <c r="E274" s="27" t="s">
        <v>34</v>
      </c>
      <c r="F274" s="27">
        <v>9</v>
      </c>
      <c r="G274" s="28">
        <f>VLOOKUP(tblSprzedaż[[#This Row],[Produkt]],tblProdukty[],2,FALSE)</f>
        <v>2</v>
      </c>
      <c r="H274" s="29">
        <f t="shared" si="4"/>
        <v>18</v>
      </c>
    </row>
    <row r="275" spans="1:8" x14ac:dyDescent="0.3">
      <c r="A275" s="26">
        <v>41591</v>
      </c>
      <c r="B275" s="27" t="s">
        <v>58</v>
      </c>
      <c r="C275" s="27" t="s">
        <v>5</v>
      </c>
      <c r="D275" s="27" t="s">
        <v>59</v>
      </c>
      <c r="E275" s="27" t="s">
        <v>39</v>
      </c>
      <c r="F275" s="27">
        <v>2</v>
      </c>
      <c r="G275" s="28">
        <f>VLOOKUP(tblSprzedaż[[#This Row],[Produkt]],tblProdukty[],2,FALSE)</f>
        <v>0.1</v>
      </c>
      <c r="H275" s="29">
        <f t="shared" si="4"/>
        <v>0.2</v>
      </c>
    </row>
    <row r="276" spans="1:8" x14ac:dyDescent="0.3">
      <c r="A276" s="26">
        <v>41441</v>
      </c>
      <c r="B276" s="27" t="s">
        <v>58</v>
      </c>
      <c r="C276" s="27" t="s">
        <v>4</v>
      </c>
      <c r="D276" s="27" t="s">
        <v>70</v>
      </c>
      <c r="E276" s="27" t="s">
        <v>39</v>
      </c>
      <c r="F276" s="27">
        <v>3</v>
      </c>
      <c r="G276" s="28">
        <f>VLOOKUP(tblSprzedaż[[#This Row],[Produkt]],tblProdukty[],2,FALSE)</f>
        <v>0.1</v>
      </c>
      <c r="H276" s="29">
        <f t="shared" si="4"/>
        <v>0.30000000000000004</v>
      </c>
    </row>
    <row r="277" spans="1:8" x14ac:dyDescent="0.3">
      <c r="A277" s="26">
        <v>41483</v>
      </c>
      <c r="B277" s="27" t="s">
        <v>73</v>
      </c>
      <c r="C277" s="27" t="s">
        <v>3</v>
      </c>
      <c r="D277" s="27" t="s">
        <v>72</v>
      </c>
      <c r="E277" s="27" t="s">
        <v>36</v>
      </c>
      <c r="F277" s="27">
        <v>10</v>
      </c>
      <c r="G277" s="28">
        <f>VLOOKUP(tblSprzedaż[[#This Row],[Produkt]],tblProdukty[],2,FALSE)</f>
        <v>2.5</v>
      </c>
      <c r="H277" s="29">
        <f t="shared" si="4"/>
        <v>25</v>
      </c>
    </row>
    <row r="278" spans="1:8" x14ac:dyDescent="0.3">
      <c r="A278" s="26">
        <v>41467</v>
      </c>
      <c r="B278" s="27" t="s">
        <v>73</v>
      </c>
      <c r="C278" s="27" t="s">
        <v>6</v>
      </c>
      <c r="D278" s="27" t="s">
        <v>64</v>
      </c>
      <c r="E278" s="27" t="s">
        <v>35</v>
      </c>
      <c r="F278" s="27">
        <v>5</v>
      </c>
      <c r="G278" s="28">
        <f>VLOOKUP(tblSprzedaż[[#This Row],[Produkt]],tblProdukty[],2,FALSE)</f>
        <v>0.5</v>
      </c>
      <c r="H278" s="29">
        <f t="shared" si="4"/>
        <v>2.5</v>
      </c>
    </row>
    <row r="279" spans="1:8" x14ac:dyDescent="0.3">
      <c r="A279" s="26">
        <v>41497</v>
      </c>
      <c r="B279" s="27" t="s">
        <v>67</v>
      </c>
      <c r="C279" s="27" t="s">
        <v>6</v>
      </c>
      <c r="D279" s="27" t="s">
        <v>65</v>
      </c>
      <c r="E279" s="27" t="s">
        <v>34</v>
      </c>
      <c r="F279" s="27">
        <v>5</v>
      </c>
      <c r="G279" s="28">
        <f>VLOOKUP(tblSprzedaż[[#This Row],[Produkt]],tblProdukty[],2,FALSE)</f>
        <v>2</v>
      </c>
      <c r="H279" s="29">
        <f t="shared" si="4"/>
        <v>10</v>
      </c>
    </row>
    <row r="280" spans="1:8" x14ac:dyDescent="0.3">
      <c r="A280" s="26">
        <v>41629</v>
      </c>
      <c r="B280" s="27" t="s">
        <v>58</v>
      </c>
      <c r="C280" s="27" t="s">
        <v>7</v>
      </c>
      <c r="D280" s="27" t="s">
        <v>64</v>
      </c>
      <c r="E280" s="27" t="s">
        <v>40</v>
      </c>
      <c r="F280" s="27">
        <v>6</v>
      </c>
      <c r="G280" s="28">
        <f>VLOOKUP(tblSprzedaż[[#This Row],[Produkt]],tblProdukty[],2,FALSE)</f>
        <v>1.5</v>
      </c>
      <c r="H280" s="29">
        <f t="shared" si="4"/>
        <v>9</v>
      </c>
    </row>
    <row r="281" spans="1:8" x14ac:dyDescent="0.3">
      <c r="A281" s="26">
        <v>41541</v>
      </c>
      <c r="B281" s="27" t="s">
        <v>71</v>
      </c>
      <c r="C281" s="27" t="s">
        <v>3</v>
      </c>
      <c r="D281" s="27" t="s">
        <v>74</v>
      </c>
      <c r="E281" s="27" t="s">
        <v>39</v>
      </c>
      <c r="F281" s="27">
        <v>15</v>
      </c>
      <c r="G281" s="28">
        <f>VLOOKUP(tblSprzedaż[[#This Row],[Produkt]],tblProdukty[],2,FALSE)</f>
        <v>0.1</v>
      </c>
      <c r="H281" s="29">
        <f t="shared" si="4"/>
        <v>1.5</v>
      </c>
    </row>
    <row r="282" spans="1:8" x14ac:dyDescent="0.3">
      <c r="A282" s="26">
        <v>41563</v>
      </c>
      <c r="B282" s="27" t="s">
        <v>62</v>
      </c>
      <c r="C282" s="27" t="s">
        <v>5</v>
      </c>
      <c r="D282" s="27" t="s">
        <v>70</v>
      </c>
      <c r="E282" s="27" t="s">
        <v>40</v>
      </c>
      <c r="F282" s="27">
        <v>1</v>
      </c>
      <c r="G282" s="28">
        <f>VLOOKUP(tblSprzedaż[[#This Row],[Produkt]],tblProdukty[],2,FALSE)</f>
        <v>1.5</v>
      </c>
      <c r="H282" s="29">
        <f t="shared" si="4"/>
        <v>1.5</v>
      </c>
    </row>
    <row r="283" spans="1:8" x14ac:dyDescent="0.3">
      <c r="A283" s="26">
        <v>41586</v>
      </c>
      <c r="B283" s="27" t="s">
        <v>75</v>
      </c>
      <c r="C283" s="27" t="s">
        <v>6</v>
      </c>
      <c r="D283" s="27" t="s">
        <v>70</v>
      </c>
      <c r="E283" s="27" t="s">
        <v>39</v>
      </c>
      <c r="F283" s="27">
        <v>19</v>
      </c>
      <c r="G283" s="28">
        <f>VLOOKUP(tblSprzedaż[[#This Row],[Produkt]],tblProdukty[],2,FALSE)</f>
        <v>0.1</v>
      </c>
      <c r="H283" s="29">
        <f t="shared" si="4"/>
        <v>1.9000000000000001</v>
      </c>
    </row>
    <row r="284" spans="1:8" x14ac:dyDescent="0.3">
      <c r="A284" s="26">
        <v>41594</v>
      </c>
      <c r="B284" s="27" t="s">
        <v>75</v>
      </c>
      <c r="C284" s="27" t="s">
        <v>3</v>
      </c>
      <c r="D284" s="27" t="s">
        <v>64</v>
      </c>
      <c r="E284" s="27" t="s">
        <v>40</v>
      </c>
      <c r="F284" s="27">
        <v>6</v>
      </c>
      <c r="G284" s="28">
        <f>VLOOKUP(tblSprzedaż[[#This Row],[Produkt]],tblProdukty[],2,FALSE)</f>
        <v>1.5</v>
      </c>
      <c r="H284" s="29">
        <f t="shared" si="4"/>
        <v>9</v>
      </c>
    </row>
    <row r="285" spans="1:8" x14ac:dyDescent="0.3">
      <c r="A285" s="26">
        <v>41620</v>
      </c>
      <c r="B285" s="27" t="s">
        <v>67</v>
      </c>
      <c r="C285" s="27" t="s">
        <v>4</v>
      </c>
      <c r="D285" s="27" t="s">
        <v>69</v>
      </c>
      <c r="E285" s="27" t="s">
        <v>36</v>
      </c>
      <c r="F285" s="27">
        <v>18</v>
      </c>
      <c r="G285" s="28">
        <f>VLOOKUP(tblSprzedaż[[#This Row],[Produkt]],tblProdukty[],2,FALSE)</f>
        <v>2.5</v>
      </c>
      <c r="H285" s="29">
        <f t="shared" si="4"/>
        <v>45</v>
      </c>
    </row>
    <row r="286" spans="1:8" x14ac:dyDescent="0.3">
      <c r="A286" s="26">
        <v>41515</v>
      </c>
      <c r="B286" s="27" t="s">
        <v>75</v>
      </c>
      <c r="C286" s="27" t="s">
        <v>5</v>
      </c>
      <c r="D286" s="27" t="s">
        <v>68</v>
      </c>
      <c r="E286" s="27" t="s">
        <v>41</v>
      </c>
      <c r="F286" s="27">
        <v>16</v>
      </c>
      <c r="G286" s="28">
        <f>VLOOKUP(tblSprzedaż[[#This Row],[Produkt]],tblProdukty[],2,FALSE)</f>
        <v>4</v>
      </c>
      <c r="H286" s="29">
        <f t="shared" si="4"/>
        <v>64</v>
      </c>
    </row>
    <row r="287" spans="1:8" x14ac:dyDescent="0.3">
      <c r="A287" s="26">
        <v>41613</v>
      </c>
      <c r="B287" s="27" t="s">
        <v>58</v>
      </c>
      <c r="C287" s="27" t="s">
        <v>3</v>
      </c>
      <c r="D287" s="27" t="s">
        <v>74</v>
      </c>
      <c r="E287" s="27" t="s">
        <v>35</v>
      </c>
      <c r="F287" s="27">
        <v>18</v>
      </c>
      <c r="G287" s="28">
        <f>VLOOKUP(tblSprzedaż[[#This Row],[Produkt]],tblProdukty[],2,FALSE)</f>
        <v>0.5</v>
      </c>
      <c r="H287" s="29">
        <f t="shared" si="4"/>
        <v>9</v>
      </c>
    </row>
    <row r="288" spans="1:8" x14ac:dyDescent="0.3">
      <c r="A288" s="26">
        <v>41443</v>
      </c>
      <c r="B288" s="27" t="s">
        <v>62</v>
      </c>
      <c r="C288" s="27" t="s">
        <v>4</v>
      </c>
      <c r="D288" s="27" t="s">
        <v>60</v>
      </c>
      <c r="E288" s="27" t="s">
        <v>37</v>
      </c>
      <c r="F288" s="27">
        <v>3</v>
      </c>
      <c r="G288" s="28">
        <f>VLOOKUP(tblSprzedaż[[#This Row],[Produkt]],tblProdukty[],2,FALSE)</f>
        <v>5</v>
      </c>
      <c r="H288" s="29">
        <f t="shared" si="4"/>
        <v>15</v>
      </c>
    </row>
    <row r="289" spans="1:8" x14ac:dyDescent="0.3">
      <c r="A289" s="26">
        <v>41602</v>
      </c>
      <c r="B289" s="27" t="s">
        <v>73</v>
      </c>
      <c r="C289" s="27" t="s">
        <v>3</v>
      </c>
      <c r="D289" s="27" t="s">
        <v>72</v>
      </c>
      <c r="E289" s="27" t="s">
        <v>36</v>
      </c>
      <c r="F289" s="27">
        <v>15</v>
      </c>
      <c r="G289" s="28">
        <f>VLOOKUP(tblSprzedaż[[#This Row],[Produkt]],tblProdukty[],2,FALSE)</f>
        <v>2.5</v>
      </c>
      <c r="H289" s="29">
        <f t="shared" si="4"/>
        <v>37.5</v>
      </c>
    </row>
    <row r="290" spans="1:8" x14ac:dyDescent="0.3">
      <c r="A290" s="26">
        <v>41619</v>
      </c>
      <c r="B290" s="27" t="s">
        <v>62</v>
      </c>
      <c r="C290" s="27" t="s">
        <v>3</v>
      </c>
      <c r="D290" s="27" t="s">
        <v>65</v>
      </c>
      <c r="E290" s="27" t="s">
        <v>41</v>
      </c>
      <c r="F290" s="27">
        <v>12</v>
      </c>
      <c r="G290" s="28">
        <f>VLOOKUP(tblSprzedaż[[#This Row],[Produkt]],tblProdukty[],2,FALSE)</f>
        <v>4</v>
      </c>
      <c r="H290" s="29">
        <f t="shared" si="4"/>
        <v>48</v>
      </c>
    </row>
    <row r="291" spans="1:8" x14ac:dyDescent="0.3">
      <c r="A291" s="26">
        <v>41484</v>
      </c>
      <c r="B291" s="27" t="s">
        <v>71</v>
      </c>
      <c r="C291" s="27" t="s">
        <v>7</v>
      </c>
      <c r="D291" s="27" t="s">
        <v>68</v>
      </c>
      <c r="E291" s="27" t="s">
        <v>37</v>
      </c>
      <c r="F291" s="27">
        <v>7</v>
      </c>
      <c r="G291" s="28">
        <f>VLOOKUP(tblSprzedaż[[#This Row],[Produkt]],tblProdukty[],2,FALSE)</f>
        <v>5</v>
      </c>
      <c r="H291" s="29">
        <f t="shared" si="4"/>
        <v>35</v>
      </c>
    </row>
    <row r="292" spans="1:8" x14ac:dyDescent="0.3">
      <c r="A292" s="26">
        <v>41482</v>
      </c>
      <c r="B292" s="27" t="s">
        <v>71</v>
      </c>
      <c r="C292" s="27" t="s">
        <v>7</v>
      </c>
      <c r="D292" s="27" t="s">
        <v>66</v>
      </c>
      <c r="E292" s="27" t="s">
        <v>34</v>
      </c>
      <c r="F292" s="27">
        <v>15</v>
      </c>
      <c r="G292" s="28">
        <f>VLOOKUP(tblSprzedaż[[#This Row],[Produkt]],tblProdukty[],2,FALSE)</f>
        <v>2</v>
      </c>
      <c r="H292" s="29">
        <f t="shared" si="4"/>
        <v>30</v>
      </c>
    </row>
    <row r="293" spans="1:8" x14ac:dyDescent="0.3">
      <c r="A293" s="26">
        <v>41505</v>
      </c>
      <c r="B293" s="27" t="s">
        <v>73</v>
      </c>
      <c r="C293" s="27" t="s">
        <v>4</v>
      </c>
      <c r="D293" s="27" t="s">
        <v>69</v>
      </c>
      <c r="E293" s="27" t="s">
        <v>36</v>
      </c>
      <c r="F293" s="27">
        <v>17</v>
      </c>
      <c r="G293" s="28">
        <f>VLOOKUP(tblSprzedaż[[#This Row],[Produkt]],tblProdukty[],2,FALSE)</f>
        <v>2.5</v>
      </c>
      <c r="H293" s="29">
        <f t="shared" si="4"/>
        <v>42.5</v>
      </c>
    </row>
    <row r="294" spans="1:8" x14ac:dyDescent="0.3">
      <c r="A294" s="26">
        <v>41487</v>
      </c>
      <c r="B294" s="27" t="s">
        <v>73</v>
      </c>
      <c r="C294" s="27" t="s">
        <v>5</v>
      </c>
      <c r="D294" s="27" t="s">
        <v>64</v>
      </c>
      <c r="E294" s="27" t="s">
        <v>41</v>
      </c>
      <c r="F294" s="27">
        <v>11</v>
      </c>
      <c r="G294" s="28">
        <f>VLOOKUP(tblSprzedaż[[#This Row],[Produkt]],tblProdukty[],2,FALSE)</f>
        <v>4</v>
      </c>
      <c r="H294" s="29">
        <f t="shared" si="4"/>
        <v>44</v>
      </c>
    </row>
    <row r="295" spans="1:8" x14ac:dyDescent="0.3">
      <c r="A295" s="26">
        <v>41524</v>
      </c>
      <c r="B295" s="27" t="s">
        <v>67</v>
      </c>
      <c r="C295" s="27" t="s">
        <v>5</v>
      </c>
      <c r="D295" s="27" t="s">
        <v>72</v>
      </c>
      <c r="E295" s="27" t="s">
        <v>40</v>
      </c>
      <c r="F295" s="27">
        <v>20</v>
      </c>
      <c r="G295" s="28">
        <f>VLOOKUP(tblSprzedaż[[#This Row],[Produkt]],tblProdukty[],2,FALSE)</f>
        <v>1.5</v>
      </c>
      <c r="H295" s="29">
        <f t="shared" si="4"/>
        <v>30</v>
      </c>
    </row>
    <row r="296" spans="1:8" x14ac:dyDescent="0.3">
      <c r="A296" s="26">
        <v>41530</v>
      </c>
      <c r="B296" s="27" t="s">
        <v>58</v>
      </c>
      <c r="C296" s="27" t="s">
        <v>3</v>
      </c>
      <c r="D296" s="27" t="s">
        <v>69</v>
      </c>
      <c r="E296" s="27" t="s">
        <v>41</v>
      </c>
      <c r="F296" s="27">
        <v>4</v>
      </c>
      <c r="G296" s="28">
        <f>VLOOKUP(tblSprzedaż[[#This Row],[Produkt]],tblProdukty[],2,FALSE)</f>
        <v>4</v>
      </c>
      <c r="H296" s="29">
        <f t="shared" si="4"/>
        <v>16</v>
      </c>
    </row>
    <row r="297" spans="1:8" x14ac:dyDescent="0.3">
      <c r="A297" s="26">
        <v>41500</v>
      </c>
      <c r="B297" s="27" t="s">
        <v>67</v>
      </c>
      <c r="C297" s="27" t="s">
        <v>6</v>
      </c>
      <c r="D297" s="27" t="s">
        <v>63</v>
      </c>
      <c r="E297" s="27" t="s">
        <v>39</v>
      </c>
      <c r="F297" s="27">
        <v>5</v>
      </c>
      <c r="G297" s="28">
        <f>VLOOKUP(tblSprzedaż[[#This Row],[Produkt]],tblProdukty[],2,FALSE)</f>
        <v>0.1</v>
      </c>
      <c r="H297" s="29">
        <f t="shared" si="4"/>
        <v>0.5</v>
      </c>
    </row>
    <row r="298" spans="1:8" x14ac:dyDescent="0.3">
      <c r="A298" s="26">
        <v>41440</v>
      </c>
      <c r="B298" s="27" t="s">
        <v>67</v>
      </c>
      <c r="C298" s="27" t="s">
        <v>5</v>
      </c>
      <c r="D298" s="27" t="s">
        <v>66</v>
      </c>
      <c r="E298" s="27" t="s">
        <v>40</v>
      </c>
      <c r="F298" s="27">
        <v>12</v>
      </c>
      <c r="G298" s="28">
        <f>VLOOKUP(tblSprzedaż[[#This Row],[Produkt]],tblProdukty[],2,FALSE)</f>
        <v>1.5</v>
      </c>
      <c r="H298" s="29">
        <f t="shared" si="4"/>
        <v>18</v>
      </c>
    </row>
    <row r="299" spans="1:8" x14ac:dyDescent="0.3">
      <c r="A299" s="26">
        <v>41445</v>
      </c>
      <c r="B299" s="27" t="s">
        <v>73</v>
      </c>
      <c r="C299" s="27" t="s">
        <v>7</v>
      </c>
      <c r="D299" s="27" t="s">
        <v>63</v>
      </c>
      <c r="E299" s="27" t="s">
        <v>40</v>
      </c>
      <c r="F299" s="27">
        <v>14</v>
      </c>
      <c r="G299" s="28">
        <f>VLOOKUP(tblSprzedaż[[#This Row],[Produkt]],tblProdukty[],2,FALSE)</f>
        <v>1.5</v>
      </c>
      <c r="H299" s="29">
        <f t="shared" si="4"/>
        <v>21</v>
      </c>
    </row>
    <row r="300" spans="1:8" x14ac:dyDescent="0.3">
      <c r="A300" s="26">
        <v>41615</v>
      </c>
      <c r="B300" s="27" t="s">
        <v>71</v>
      </c>
      <c r="C300" s="27" t="s">
        <v>4</v>
      </c>
      <c r="D300" s="27" t="s">
        <v>74</v>
      </c>
      <c r="E300" s="27" t="s">
        <v>34</v>
      </c>
      <c r="F300" s="27">
        <v>8</v>
      </c>
      <c r="G300" s="28">
        <f>VLOOKUP(tblSprzedaż[[#This Row],[Produkt]],tblProdukty[],2,FALSE)</f>
        <v>2</v>
      </c>
      <c r="H300" s="29">
        <f t="shared" si="4"/>
        <v>16</v>
      </c>
    </row>
    <row r="301" spans="1:8" x14ac:dyDescent="0.3">
      <c r="A301" s="26">
        <v>41563</v>
      </c>
      <c r="B301" s="27" t="s">
        <v>62</v>
      </c>
      <c r="C301" s="27" t="s">
        <v>3</v>
      </c>
      <c r="D301" s="27" t="s">
        <v>68</v>
      </c>
      <c r="E301" s="27" t="s">
        <v>35</v>
      </c>
      <c r="F301" s="27">
        <v>10</v>
      </c>
      <c r="G301" s="28">
        <f>VLOOKUP(tblSprzedaż[[#This Row],[Produkt]],tblProdukty[],2,FALSE)</f>
        <v>0.5</v>
      </c>
      <c r="H301" s="29">
        <f t="shared" si="4"/>
        <v>5</v>
      </c>
    </row>
    <row r="302" spans="1:8" x14ac:dyDescent="0.3">
      <c r="A302" s="26">
        <v>41600</v>
      </c>
      <c r="B302" s="27" t="s">
        <v>62</v>
      </c>
      <c r="C302" s="27" t="s">
        <v>6</v>
      </c>
      <c r="D302" s="27" t="s">
        <v>69</v>
      </c>
      <c r="E302" s="27" t="s">
        <v>35</v>
      </c>
      <c r="F302" s="27">
        <v>4</v>
      </c>
      <c r="G302" s="28">
        <f>VLOOKUP(tblSprzedaż[[#This Row],[Produkt]],tblProdukty[],2,FALSE)</f>
        <v>0.5</v>
      </c>
      <c r="H302" s="29">
        <f t="shared" si="4"/>
        <v>2</v>
      </c>
    </row>
    <row r="303" spans="1:8" x14ac:dyDescent="0.3">
      <c r="A303" s="26">
        <v>41444</v>
      </c>
      <c r="B303" s="27" t="s">
        <v>58</v>
      </c>
      <c r="C303" s="27" t="s">
        <v>3</v>
      </c>
      <c r="D303" s="27" t="s">
        <v>68</v>
      </c>
      <c r="E303" s="27" t="s">
        <v>35</v>
      </c>
      <c r="F303" s="27">
        <v>14</v>
      </c>
      <c r="G303" s="28">
        <f>VLOOKUP(tblSprzedaż[[#This Row],[Produkt]],tblProdukty[],2,FALSE)</f>
        <v>0.5</v>
      </c>
      <c r="H303" s="29">
        <f t="shared" si="4"/>
        <v>7</v>
      </c>
    </row>
    <row r="304" spans="1:8" x14ac:dyDescent="0.3">
      <c r="A304" s="26">
        <v>41527</v>
      </c>
      <c r="B304" s="27" t="s">
        <v>62</v>
      </c>
      <c r="C304" s="27" t="s">
        <v>6</v>
      </c>
      <c r="D304" s="27" t="s">
        <v>59</v>
      </c>
      <c r="E304" s="27" t="s">
        <v>37</v>
      </c>
      <c r="F304" s="27">
        <v>6</v>
      </c>
      <c r="G304" s="28">
        <f>VLOOKUP(tblSprzedaż[[#This Row],[Produkt]],tblProdukty[],2,FALSE)</f>
        <v>5</v>
      </c>
      <c r="H304" s="29">
        <f t="shared" si="4"/>
        <v>30</v>
      </c>
    </row>
    <row r="305" spans="1:8" x14ac:dyDescent="0.3">
      <c r="A305" s="26">
        <v>41523</v>
      </c>
      <c r="B305" s="27" t="s">
        <v>71</v>
      </c>
      <c r="C305" s="27" t="s">
        <v>5</v>
      </c>
      <c r="D305" s="27" t="s">
        <v>68</v>
      </c>
      <c r="E305" s="27" t="s">
        <v>41</v>
      </c>
      <c r="F305" s="27">
        <v>11</v>
      </c>
      <c r="G305" s="28">
        <f>VLOOKUP(tblSprzedaż[[#This Row],[Produkt]],tblProdukty[],2,FALSE)</f>
        <v>4</v>
      </c>
      <c r="H305" s="29">
        <f t="shared" si="4"/>
        <v>44</v>
      </c>
    </row>
    <row r="306" spans="1:8" x14ac:dyDescent="0.3">
      <c r="A306" s="26">
        <v>41483</v>
      </c>
      <c r="B306" s="27" t="s">
        <v>67</v>
      </c>
      <c r="C306" s="27" t="s">
        <v>4</v>
      </c>
      <c r="D306" s="27" t="s">
        <v>64</v>
      </c>
      <c r="E306" s="27" t="s">
        <v>34</v>
      </c>
      <c r="F306" s="27">
        <v>2</v>
      </c>
      <c r="G306" s="28">
        <f>VLOOKUP(tblSprzedaż[[#This Row],[Produkt]],tblProdukty[],2,FALSE)</f>
        <v>2</v>
      </c>
      <c r="H306" s="29">
        <f t="shared" si="4"/>
        <v>4</v>
      </c>
    </row>
    <row r="307" spans="1:8" x14ac:dyDescent="0.3">
      <c r="A307" s="26">
        <v>41551</v>
      </c>
      <c r="B307" s="27" t="s">
        <v>73</v>
      </c>
      <c r="C307" s="27" t="s">
        <v>7</v>
      </c>
      <c r="D307" s="27" t="s">
        <v>60</v>
      </c>
      <c r="E307" s="27" t="s">
        <v>38</v>
      </c>
      <c r="F307" s="27">
        <v>13</v>
      </c>
      <c r="G307" s="28">
        <f>VLOOKUP(tblSprzedaż[[#This Row],[Produkt]],tblProdukty[],2,FALSE)</f>
        <v>0.2</v>
      </c>
      <c r="H307" s="29">
        <f t="shared" si="4"/>
        <v>2.6</v>
      </c>
    </row>
    <row r="308" spans="1:8" x14ac:dyDescent="0.3">
      <c r="A308" s="26">
        <v>41566</v>
      </c>
      <c r="B308" s="27" t="s">
        <v>73</v>
      </c>
      <c r="C308" s="27" t="s">
        <v>7</v>
      </c>
      <c r="D308" s="27" t="s">
        <v>66</v>
      </c>
      <c r="E308" s="27" t="s">
        <v>37</v>
      </c>
      <c r="F308" s="27">
        <v>18</v>
      </c>
      <c r="G308" s="28">
        <f>VLOOKUP(tblSprzedaż[[#This Row],[Produkt]],tblProdukty[],2,FALSE)</f>
        <v>5</v>
      </c>
      <c r="H308" s="29">
        <f t="shared" si="4"/>
        <v>90</v>
      </c>
    </row>
    <row r="309" spans="1:8" x14ac:dyDescent="0.3">
      <c r="A309" s="26">
        <v>41622</v>
      </c>
      <c r="B309" s="27" t="s">
        <v>58</v>
      </c>
      <c r="C309" s="27" t="s">
        <v>6</v>
      </c>
      <c r="D309" s="27" t="s">
        <v>63</v>
      </c>
      <c r="E309" s="27" t="s">
        <v>35</v>
      </c>
      <c r="F309" s="27">
        <v>7</v>
      </c>
      <c r="G309" s="28">
        <f>VLOOKUP(tblSprzedaż[[#This Row],[Produkt]],tblProdukty[],2,FALSE)</f>
        <v>0.5</v>
      </c>
      <c r="H309" s="29">
        <f t="shared" si="4"/>
        <v>3.5</v>
      </c>
    </row>
    <row r="310" spans="1:8" x14ac:dyDescent="0.3">
      <c r="A310" s="26">
        <v>41613</v>
      </c>
      <c r="B310" s="27" t="s">
        <v>58</v>
      </c>
      <c r="C310" s="27" t="s">
        <v>4</v>
      </c>
      <c r="D310" s="27" t="s">
        <v>66</v>
      </c>
      <c r="E310" s="27" t="s">
        <v>40</v>
      </c>
      <c r="F310" s="27">
        <v>17</v>
      </c>
      <c r="G310" s="28">
        <f>VLOOKUP(tblSprzedaż[[#This Row],[Produkt]],tblProdukty[],2,FALSE)</f>
        <v>1.5</v>
      </c>
      <c r="H310" s="29">
        <f t="shared" si="4"/>
        <v>25.5</v>
      </c>
    </row>
    <row r="311" spans="1:8" x14ac:dyDescent="0.3">
      <c r="A311" s="26">
        <v>41522</v>
      </c>
      <c r="B311" s="27" t="s">
        <v>62</v>
      </c>
      <c r="C311" s="27" t="s">
        <v>6</v>
      </c>
      <c r="D311" s="27" t="s">
        <v>72</v>
      </c>
      <c r="E311" s="27" t="s">
        <v>34</v>
      </c>
      <c r="F311" s="27">
        <v>17</v>
      </c>
      <c r="G311" s="28">
        <f>VLOOKUP(tblSprzedaż[[#This Row],[Produkt]],tblProdukty[],2,FALSE)</f>
        <v>2</v>
      </c>
      <c r="H311" s="29">
        <f t="shared" si="4"/>
        <v>34</v>
      </c>
    </row>
    <row r="312" spans="1:8" x14ac:dyDescent="0.3">
      <c r="A312" s="26">
        <v>41495</v>
      </c>
      <c r="B312" s="27" t="s">
        <v>62</v>
      </c>
      <c r="C312" s="27" t="s">
        <v>5</v>
      </c>
      <c r="D312" s="27" t="s">
        <v>68</v>
      </c>
      <c r="E312" s="27" t="s">
        <v>36</v>
      </c>
      <c r="F312" s="27">
        <v>6</v>
      </c>
      <c r="G312" s="28">
        <f>VLOOKUP(tblSprzedaż[[#This Row],[Produkt]],tblProdukty[],2,FALSE)</f>
        <v>2.5</v>
      </c>
      <c r="H312" s="29">
        <f t="shared" si="4"/>
        <v>15</v>
      </c>
    </row>
    <row r="313" spans="1:8" x14ac:dyDescent="0.3">
      <c r="A313" s="26">
        <v>41639</v>
      </c>
      <c r="B313" s="27" t="s">
        <v>67</v>
      </c>
      <c r="C313" s="27" t="s">
        <v>6</v>
      </c>
      <c r="D313" s="27" t="s">
        <v>61</v>
      </c>
      <c r="E313" s="27" t="s">
        <v>36</v>
      </c>
      <c r="F313" s="27">
        <v>17</v>
      </c>
      <c r="G313" s="28">
        <f>VLOOKUP(tblSprzedaż[[#This Row],[Produkt]],tblProdukty[],2,FALSE)</f>
        <v>2.5</v>
      </c>
      <c r="H313" s="29">
        <f t="shared" si="4"/>
        <v>42.5</v>
      </c>
    </row>
    <row r="314" spans="1:8" x14ac:dyDescent="0.3">
      <c r="A314" s="26">
        <v>41569</v>
      </c>
      <c r="B314" s="27" t="s">
        <v>67</v>
      </c>
      <c r="C314" s="27" t="s">
        <v>5</v>
      </c>
      <c r="D314" s="27" t="s">
        <v>74</v>
      </c>
      <c r="E314" s="27" t="s">
        <v>35</v>
      </c>
      <c r="F314" s="27">
        <v>20</v>
      </c>
      <c r="G314" s="28">
        <f>VLOOKUP(tblSprzedaż[[#This Row],[Produkt]],tblProdukty[],2,FALSE)</f>
        <v>0.5</v>
      </c>
      <c r="H314" s="29">
        <f t="shared" si="4"/>
        <v>10</v>
      </c>
    </row>
    <row r="315" spans="1:8" x14ac:dyDescent="0.3">
      <c r="A315" s="26">
        <v>41595</v>
      </c>
      <c r="B315" s="27" t="s">
        <v>58</v>
      </c>
      <c r="C315" s="27" t="s">
        <v>6</v>
      </c>
      <c r="D315" s="27" t="s">
        <v>60</v>
      </c>
      <c r="E315" s="27" t="s">
        <v>38</v>
      </c>
      <c r="F315" s="27">
        <v>14</v>
      </c>
      <c r="G315" s="28">
        <f>VLOOKUP(tblSprzedaż[[#This Row],[Produkt]],tblProdukty[],2,FALSE)</f>
        <v>0.2</v>
      </c>
      <c r="H315" s="29">
        <f t="shared" si="4"/>
        <v>2.8000000000000003</v>
      </c>
    </row>
    <row r="316" spans="1:8" x14ac:dyDescent="0.3">
      <c r="A316" s="26">
        <v>41494</v>
      </c>
      <c r="B316" s="27" t="s">
        <v>58</v>
      </c>
      <c r="C316" s="27" t="s">
        <v>4</v>
      </c>
      <c r="D316" s="27" t="s">
        <v>66</v>
      </c>
      <c r="E316" s="27" t="s">
        <v>41</v>
      </c>
      <c r="F316" s="27">
        <v>8</v>
      </c>
      <c r="G316" s="28">
        <f>VLOOKUP(tblSprzedaż[[#This Row],[Produkt]],tblProdukty[],2,FALSE)</f>
        <v>4</v>
      </c>
      <c r="H316" s="29">
        <f t="shared" si="4"/>
        <v>32</v>
      </c>
    </row>
    <row r="317" spans="1:8" x14ac:dyDescent="0.3">
      <c r="A317" s="26">
        <v>41582</v>
      </c>
      <c r="B317" s="27" t="s">
        <v>62</v>
      </c>
      <c r="C317" s="27" t="s">
        <v>6</v>
      </c>
      <c r="D317" s="27" t="s">
        <v>61</v>
      </c>
      <c r="E317" s="27" t="s">
        <v>41</v>
      </c>
      <c r="F317" s="27">
        <v>5</v>
      </c>
      <c r="G317" s="28">
        <f>VLOOKUP(tblSprzedaż[[#This Row],[Produkt]],tblProdukty[],2,FALSE)</f>
        <v>4</v>
      </c>
      <c r="H317" s="29">
        <f t="shared" si="4"/>
        <v>20</v>
      </c>
    </row>
    <row r="318" spans="1:8" x14ac:dyDescent="0.3">
      <c r="A318" s="26">
        <v>41573</v>
      </c>
      <c r="B318" s="27" t="s">
        <v>58</v>
      </c>
      <c r="C318" s="27" t="s">
        <v>6</v>
      </c>
      <c r="D318" s="27" t="s">
        <v>64</v>
      </c>
      <c r="E318" s="27" t="s">
        <v>35</v>
      </c>
      <c r="F318" s="27">
        <v>14</v>
      </c>
      <c r="G318" s="28">
        <f>VLOOKUP(tblSprzedaż[[#This Row],[Produkt]],tblProdukty[],2,FALSE)</f>
        <v>0.5</v>
      </c>
      <c r="H318" s="29">
        <f t="shared" si="4"/>
        <v>7</v>
      </c>
    </row>
    <row r="319" spans="1:8" x14ac:dyDescent="0.3">
      <c r="A319" s="26">
        <v>41561</v>
      </c>
      <c r="B319" s="27" t="s">
        <v>62</v>
      </c>
      <c r="C319" s="27" t="s">
        <v>4</v>
      </c>
      <c r="D319" s="27" t="s">
        <v>64</v>
      </c>
      <c r="E319" s="27" t="s">
        <v>34</v>
      </c>
      <c r="F319" s="27">
        <v>4</v>
      </c>
      <c r="G319" s="28">
        <f>VLOOKUP(tblSprzedaż[[#This Row],[Produkt]],tblProdukty[],2,FALSE)</f>
        <v>2</v>
      </c>
      <c r="H319" s="29">
        <f t="shared" si="4"/>
        <v>8</v>
      </c>
    </row>
    <row r="320" spans="1:8" x14ac:dyDescent="0.3">
      <c r="A320" s="26">
        <v>41602</v>
      </c>
      <c r="B320" s="27" t="s">
        <v>62</v>
      </c>
      <c r="C320" s="27" t="s">
        <v>7</v>
      </c>
      <c r="D320" s="27" t="s">
        <v>63</v>
      </c>
      <c r="E320" s="27" t="s">
        <v>37</v>
      </c>
      <c r="F320" s="27">
        <v>15</v>
      </c>
      <c r="G320" s="28">
        <f>VLOOKUP(tblSprzedaż[[#This Row],[Produkt]],tblProdukty[],2,FALSE)</f>
        <v>5</v>
      </c>
      <c r="H320" s="29">
        <f t="shared" si="4"/>
        <v>75</v>
      </c>
    </row>
    <row r="321" spans="1:8" x14ac:dyDescent="0.3">
      <c r="A321" s="26">
        <v>41633</v>
      </c>
      <c r="B321" s="27" t="s">
        <v>62</v>
      </c>
      <c r="C321" s="27" t="s">
        <v>4</v>
      </c>
      <c r="D321" s="27" t="s">
        <v>70</v>
      </c>
      <c r="E321" s="27" t="s">
        <v>38</v>
      </c>
      <c r="F321" s="27">
        <v>4</v>
      </c>
      <c r="G321" s="28">
        <f>VLOOKUP(tblSprzedaż[[#This Row],[Produkt]],tblProdukty[],2,FALSE)</f>
        <v>0.2</v>
      </c>
      <c r="H321" s="29">
        <f t="shared" si="4"/>
        <v>0.8</v>
      </c>
    </row>
    <row r="322" spans="1:8" x14ac:dyDescent="0.3">
      <c r="A322" s="26">
        <v>41554</v>
      </c>
      <c r="B322" s="27" t="s">
        <v>58</v>
      </c>
      <c r="C322" s="27" t="s">
        <v>6</v>
      </c>
      <c r="D322" s="27" t="s">
        <v>61</v>
      </c>
      <c r="E322" s="27" t="s">
        <v>36</v>
      </c>
      <c r="F322" s="27">
        <v>7</v>
      </c>
      <c r="G322" s="28">
        <f>VLOOKUP(tblSprzedaż[[#This Row],[Produkt]],tblProdukty[],2,FALSE)</f>
        <v>2.5</v>
      </c>
      <c r="H322" s="29">
        <f t="shared" si="4"/>
        <v>17.5</v>
      </c>
    </row>
    <row r="323" spans="1:8" x14ac:dyDescent="0.3">
      <c r="A323" s="26">
        <v>41446</v>
      </c>
      <c r="B323" s="27" t="s">
        <v>67</v>
      </c>
      <c r="C323" s="27" t="s">
        <v>3</v>
      </c>
      <c r="D323" s="27" t="s">
        <v>69</v>
      </c>
      <c r="E323" s="27" t="s">
        <v>38</v>
      </c>
      <c r="F323" s="27">
        <v>12</v>
      </c>
      <c r="G323" s="28">
        <f>VLOOKUP(tblSprzedaż[[#This Row],[Produkt]],tblProdukty[],2,FALSE)</f>
        <v>0.2</v>
      </c>
      <c r="H323" s="29">
        <f t="shared" ref="H323:H325" si="5">F323*G323</f>
        <v>2.4000000000000004</v>
      </c>
    </row>
    <row r="324" spans="1:8" x14ac:dyDescent="0.3">
      <c r="A324" s="26">
        <v>41635</v>
      </c>
      <c r="B324" s="27" t="s">
        <v>71</v>
      </c>
      <c r="C324" s="27" t="s">
        <v>7</v>
      </c>
      <c r="D324" s="27" t="s">
        <v>68</v>
      </c>
      <c r="E324" s="27" t="s">
        <v>35</v>
      </c>
      <c r="F324" s="27">
        <v>5</v>
      </c>
      <c r="G324" s="28">
        <f>VLOOKUP(tblSprzedaż[[#This Row],[Produkt]],tblProdukty[],2,FALSE)</f>
        <v>0.5</v>
      </c>
      <c r="H324" s="29">
        <f t="shared" si="5"/>
        <v>2.5</v>
      </c>
    </row>
    <row r="325" spans="1:8" x14ac:dyDescent="0.3">
      <c r="A325" s="33">
        <v>41569</v>
      </c>
      <c r="B325" s="34" t="s">
        <v>71</v>
      </c>
      <c r="C325" s="34" t="s">
        <v>4</v>
      </c>
      <c r="D325" s="34" t="s">
        <v>68</v>
      </c>
      <c r="E325" s="34" t="s">
        <v>36</v>
      </c>
      <c r="F325" s="34">
        <v>13</v>
      </c>
      <c r="G325" s="35">
        <f>VLOOKUP(tblSprzedaż[[#This Row],[Produkt]],tblProdukty[],2,FALSE)</f>
        <v>2.5</v>
      </c>
      <c r="H325" s="32">
        <f t="shared" si="5"/>
        <v>32.5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Nazwane zakresy</vt:lpstr>
      </vt:variant>
      <vt:variant>
        <vt:i4>1</vt:i4>
      </vt:variant>
    </vt:vector>
  </HeadingPairs>
  <TitlesOfParts>
    <vt:vector size="11" baseType="lpstr">
      <vt:lpstr>ExceliAdam</vt:lpstr>
      <vt:lpstr>Odwołania(0)</vt:lpstr>
      <vt:lpstr>Zysk</vt:lpstr>
      <vt:lpstr>Vat</vt:lpstr>
      <vt:lpstr>TabliczkaMnożenia</vt:lpstr>
      <vt:lpstr>StanInwestycji</vt:lpstr>
      <vt:lpstr>PodziałZysków</vt:lpstr>
      <vt:lpstr>Arkusz3</vt:lpstr>
      <vt:lpstr>Zakresy</vt:lpstr>
      <vt:lpstr>Zakresy (2)</vt:lpstr>
      <vt:lpstr>Produkty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LENOVO</cp:lastModifiedBy>
  <cp:lastPrinted>2013-08-28T23:00:25Z</cp:lastPrinted>
  <dcterms:created xsi:type="dcterms:W3CDTF">2013-08-21T20:08:04Z</dcterms:created>
  <dcterms:modified xsi:type="dcterms:W3CDTF">2019-05-13T07:41:04Z</dcterms:modified>
</cp:coreProperties>
</file>