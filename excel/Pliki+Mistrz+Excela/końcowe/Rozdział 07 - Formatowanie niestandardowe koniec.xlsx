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01"/>
  <workbookPr codeName="Ten_skoroszyt"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Pliki Mistrz Excela\końcowe\"/>
    </mc:Choice>
  </mc:AlternateContent>
  <xr:revisionPtr revIDLastSave="0" documentId="13_ncr:1_{DE4DBC98-8A8E-486B-90F8-A7FE54D35E8D}" xr6:coauthVersionLast="43" xr6:coauthVersionMax="43" xr10:uidLastSave="{00000000-0000-0000-0000-000000000000}"/>
  <bookViews>
    <workbookView xWindow="-108" yWindow="-108" windowWidth="23256" windowHeight="12576" tabRatio="777" xr2:uid="{00000000-000D-0000-FFFF-FFFF00000000}"/>
  </bookViews>
  <sheets>
    <sheet name="ExceliAdam" sheetId="22" r:id="rId1"/>
    <sheet name="Walutowe" sheetId="16" r:id="rId2"/>
    <sheet name="Data" sheetId="17" r:id="rId3"/>
    <sheet name="Kody Daty" sheetId="18" r:id="rId4"/>
    <sheet name="Czas" sheetId="21" r:id="rId5"/>
    <sheet name="Kody Czasu" sheetId="19" r:id="rId6"/>
    <sheet name="Różne" sheetId="20" r:id="rId7"/>
  </sheets>
  <calcPr calcId="191029" iterate="1" iterateCount="1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B6" i="20" l="1"/>
  <c r="D19" i="21"/>
  <c r="B19" i="21"/>
  <c r="B10" i="21"/>
  <c r="B12" i="17"/>
  <c r="D5" i="17"/>
  <c r="B14" i="21"/>
  <c r="B6" i="21"/>
  <c r="B5" i="21"/>
  <c r="B4" i="21"/>
  <c r="B3" i="21"/>
  <c r="B2" i="21"/>
  <c r="B10" i="16"/>
  <c r="B11" i="16"/>
  <c r="B9" i="16"/>
  <c r="D3" i="16"/>
  <c r="B12" i="20" l="1"/>
  <c r="B7" i="20"/>
  <c r="B8" i="20" s="1"/>
  <c r="B6" i="17"/>
  <c r="B5" i="17"/>
  <c r="B4" i="17"/>
  <c r="B3" i="17"/>
  <c r="B2" i="17"/>
</calcChain>
</file>

<file path=xl/sharedStrings.xml><?xml version="1.0" encoding="utf-8"?>
<sst xmlns="http://schemas.openxmlformats.org/spreadsheetml/2006/main" count="161" uniqueCount="136">
  <si>
    <t>http://office.microsoft.com/pl-pl/excel-help/tworzenie-lub-usuwanie-niestandardowego-formatu-liczb-HP001216503.aspx</t>
  </si>
  <si>
    <t>Chcemy:</t>
  </si>
  <si>
    <t>Formatowanie:</t>
  </si>
  <si>
    <t>Formatowanie niestandardowe</t>
  </si>
  <si>
    <t>Data</t>
  </si>
  <si>
    <t>luty 7, 2014</t>
  </si>
  <si>
    <t>Fomatowanie:</t>
  </si>
  <si>
    <t>Godzina</t>
  </si>
  <si>
    <t>Liczbę godzin powyżej 24</t>
  </si>
  <si>
    <t>Dokładny procent</t>
  </si>
  <si>
    <t>Ułamek</t>
  </si>
  <si>
    <t>12 zł za sztukę</t>
  </si>
  <si>
    <t>Liczba sztuk</t>
  </si>
  <si>
    <t>Wartość Sprzedaży</t>
  </si>
  <si>
    <t>4 sekcje w formatowaniu niestandardowym</t>
  </si>
  <si>
    <t>&lt;LICZBY DODATNIE&gt;;&lt;LICZBY UJEMNE&gt;;&lt;WARTOŚCI ZEROWE&gt;;&lt;TEKST&gt;</t>
  </si>
  <si>
    <t>Hania</t>
  </si>
  <si>
    <t>Formatowanie walutowe liczby</t>
  </si>
  <si>
    <t>Formatowanie niestandardowe daty</t>
  </si>
  <si>
    <t># ##0,00 zł</t>
  </si>
  <si>
    <t>Liczba z tekstem</t>
  </si>
  <si>
    <t># ##0,00 zł" za sztukę"</t>
  </si>
  <si>
    <t>Liczba jej odpowiadająca</t>
  </si>
  <si>
    <t>mmmm d, rrrr</t>
  </si>
  <si>
    <t>Zwykła godzina</t>
  </si>
  <si>
    <t>g:mm</t>
  </si>
  <si>
    <t>[g]:mm</t>
  </si>
  <si>
    <t>Obliczanie dniówki</t>
  </si>
  <si>
    <t>Przepracowane godziny</t>
  </si>
  <si>
    <t>Stawka za godzinę</t>
  </si>
  <si>
    <t>Dniówka</t>
  </si>
  <si>
    <t>Kod</t>
  </si>
  <si>
    <t>Sposób wyświetlania</t>
  </si>
  <si>
    <t>Przykład</t>
  </si>
  <si>
    <t>m</t>
  </si>
  <si>
    <t>Wyświetlanie miesiąca w postaci liczby bez zera wiodącego.</t>
  </si>
  <si>
    <t>1 – 12</t>
  </si>
  <si>
    <t>mm</t>
  </si>
  <si>
    <t>Wyświetlanie miesiąca w postaci liczby z zerem wiodącym, jeśli to konieczne.</t>
  </si>
  <si>
    <t>01 – 12</t>
  </si>
  <si>
    <t>mmm</t>
  </si>
  <si>
    <t>Wyświetlanie miesiąca w postaci skrótu (sty – gru).</t>
  </si>
  <si>
    <t>sty – gru</t>
  </si>
  <si>
    <t>mmmm</t>
  </si>
  <si>
    <t>Wyświetlanie pełnej nazwy miesiąca (styczeń – grudzień).</t>
  </si>
  <si>
    <t>styczeń – grudzień</t>
  </si>
  <si>
    <t>mmmmm</t>
  </si>
  <si>
    <t>Wyświetlanie miesiąca w postaci skrótu jednoliterowego (s – g).</t>
  </si>
  <si>
    <t>s – g</t>
  </si>
  <si>
    <t>d</t>
  </si>
  <si>
    <t>Wyświetlanie dnia w postaci liczby bez zera wiodącego.</t>
  </si>
  <si>
    <t>1 – 31</t>
  </si>
  <si>
    <t>dd</t>
  </si>
  <si>
    <t>Wyświetlanie dnia w postaci liczby z zerem wiodącym, jeśli to konieczne.</t>
  </si>
  <si>
    <t>01 – 31</t>
  </si>
  <si>
    <t>ddd</t>
  </si>
  <si>
    <t>Wyświetlanie dnia w postaci skrótu (Pn – N).</t>
  </si>
  <si>
    <t>Pn – N</t>
  </si>
  <si>
    <t>dddd</t>
  </si>
  <si>
    <t>Wyświetlanie pełnej nazwy dnia (poniedziałek – niedziela).</t>
  </si>
  <si>
    <t>poniedziałek – niedziela</t>
  </si>
  <si>
    <t>rr</t>
  </si>
  <si>
    <t>Wyświetlanie roku w postaci liczby dwucyfrowej.</t>
  </si>
  <si>
    <t>00 – 99</t>
  </si>
  <si>
    <t>rrrr</t>
  </si>
  <si>
    <t>Wyświetlanie roku w postaci liczby czterocyfrowej.</t>
  </si>
  <si>
    <t>1900 – 9999</t>
  </si>
  <si>
    <t>g</t>
  </si>
  <si>
    <t>Wyświetlanie godziny jako liczby bez zera wiodącego.</t>
  </si>
  <si>
    <t>[g]</t>
  </si>
  <si>
    <t>gg</t>
  </si>
  <si>
    <t>Wyświetlanie minut w postaci liczby bez zera wiodącego.
Uwaga   Kod m lub mm musi występować bezpośrednio po kodzie g lub gg albo występować bezpośrednio przed kodem ss. W przeciwnym razie program Excel wyświetli miesiąc zamiast minut.</t>
  </si>
  <si>
    <t>[m]</t>
  </si>
  <si>
    <t>Wyświetlanie minut w postaci liczby z zerem wiodącym, jeśli to konieczne.</t>
  </si>
  <si>
    <t>s</t>
  </si>
  <si>
    <t>Wyświetlanie sekund w postaci liczby bez zera wiodącego.</t>
  </si>
  <si>
    <t>[s]</t>
  </si>
  <si>
    <t>ss</t>
  </si>
  <si>
    <t>AM/PM, am/pm, A/P, a/p</t>
  </si>
  <si>
    <t>Kod formatowania</t>
  </si>
  <si>
    <t>Liczba:</t>
  </si>
  <si>
    <t>0,0000%</t>
  </si>
  <si>
    <t>#" "?/?</t>
  </si>
  <si>
    <t>Dokładność liczb zmiennoprzecinkowych: 0,000000000000000028</t>
  </si>
  <si>
    <t>?/?</t>
  </si>
  <si>
    <t xml:space="preserve">Specyfikacja IEEE 754 nie wyróżnia żadnych liczb; wszystkie liczby są zapisywane zgodnie z możliwościami w mantysie, a pozostałość jest obcinana. Powoduje to błąd wynoszący około -2,8E-17 lub 0,000000000000000028 przy zapisywaniu. </t>
  </si>
  <si>
    <t>Liczba w milionach</t>
  </si>
  <si>
    <t>0,00  " M"</t>
  </si>
  <si>
    <t>Zera wiodące - kod pocztowy</t>
  </si>
  <si>
    <t>00-000</t>
  </si>
  <si>
    <t>Pseudo ukrywanie zawartości komórki</t>
  </si>
  <si>
    <t>0,00;-0,00;-;@</t>
  </si>
  <si>
    <t>;;;</t>
  </si>
  <si>
    <r>
      <t xml:space="preserve">Wyświetlanie czasu, jaki upłynął, w godzinach. Używając formuły zwracającej wartość czasu, w której liczba godzin przekracza 24, należy zastosować format liczbowy podobny do formatu </t>
    </r>
    <r>
      <rPr>
        <b/>
        <sz val="10.5"/>
        <color theme="1"/>
        <rFont val="Calibri"/>
        <family val="2"/>
        <scheme val="minor"/>
      </rPr>
      <t>[g]:mm:ss</t>
    </r>
    <r>
      <rPr>
        <sz val="10.5"/>
        <color theme="1"/>
        <rFont val="Calibri"/>
        <family val="2"/>
        <scheme val="minor"/>
      </rPr>
      <t>.</t>
    </r>
  </si>
  <si>
    <r>
      <t xml:space="preserve">Wyświetlanie godziny w postaci liczby z zerem wiodącym, jeśli to konieczne. Jeżeli format zawiera symbole </t>
    </r>
    <r>
      <rPr>
        <b/>
        <sz val="10.5"/>
        <color theme="1"/>
        <rFont val="Calibri"/>
        <family val="2"/>
        <scheme val="minor"/>
      </rPr>
      <t>AM</t>
    </r>
    <r>
      <rPr>
        <sz val="10.5"/>
        <color theme="1"/>
        <rFont val="Calibri"/>
        <family val="2"/>
        <scheme val="minor"/>
      </rPr>
      <t xml:space="preserve"> lub </t>
    </r>
    <r>
      <rPr>
        <b/>
        <sz val="10.5"/>
        <color theme="1"/>
        <rFont val="Calibri"/>
        <family val="2"/>
        <scheme val="minor"/>
      </rPr>
      <t>PM</t>
    </r>
    <r>
      <rPr>
        <sz val="10.5"/>
        <color theme="1"/>
        <rFont val="Calibri"/>
        <family val="2"/>
        <scheme val="minor"/>
      </rPr>
      <t>, godzina będzie wyświetlana w formacie 12-godzinnym. W przeciwnym razie godzina będzie wyświetlana w formacie 24-godzinnym.</t>
    </r>
  </si>
  <si>
    <r>
      <t xml:space="preserve">Wyświetlanie czasu, jaki upłynął, w minutach. Używając formuły zwracającej wartość czasu, w której liczba minut przekracza 60, należy zastosować format liczbowy podobny do formatu </t>
    </r>
    <r>
      <rPr>
        <b/>
        <sz val="10.5"/>
        <color theme="1"/>
        <rFont val="Calibri"/>
        <family val="2"/>
        <scheme val="minor"/>
      </rPr>
      <t>[mm]:ss</t>
    </r>
    <r>
      <rPr>
        <sz val="10.5"/>
        <color theme="1"/>
        <rFont val="Calibri"/>
        <family val="2"/>
        <scheme val="minor"/>
      </rPr>
      <t>.</t>
    </r>
  </si>
  <si>
    <r>
      <t xml:space="preserve">Wyświetlanie czasu, jaki upłynął, w sekundach. Używając formuły zwracającej wartość czasu, w której liczba sekund przekracza 60, należy zastosować format liczbowy podobny do formatu </t>
    </r>
    <r>
      <rPr>
        <b/>
        <sz val="10.5"/>
        <color theme="1"/>
        <rFont val="Calibri"/>
        <family val="2"/>
        <scheme val="minor"/>
      </rPr>
      <t>[ss]</t>
    </r>
    <r>
      <rPr>
        <sz val="10.5"/>
        <color theme="1"/>
        <rFont val="Calibri"/>
        <family val="2"/>
        <scheme val="minor"/>
      </rPr>
      <t>.</t>
    </r>
  </si>
  <si>
    <r>
      <t xml:space="preserve">Wyświetlanie sekund w postaci liczby z zerem wiodącym, jeśli to konieczne. Jeżeli mają być wyświetlane ułamki sekund, należy użyć formatu liczbowego podobnego do formatu </t>
    </r>
    <r>
      <rPr>
        <b/>
        <sz val="10.5"/>
        <color theme="1"/>
        <rFont val="Calibri"/>
        <family val="2"/>
        <scheme val="minor"/>
      </rPr>
      <t>g:mm:ss,00</t>
    </r>
    <r>
      <rPr>
        <sz val="10.5"/>
        <color theme="1"/>
        <rFont val="Calibri"/>
        <family val="2"/>
        <scheme val="minor"/>
      </rPr>
      <t>.</t>
    </r>
  </si>
  <si>
    <r>
      <t xml:space="preserve">Wyświetlanie godziny w formacie 12-godzinnym. Program Excel wyświetla symbol </t>
    </r>
    <r>
      <rPr>
        <b/>
        <sz val="10.5"/>
        <color theme="1"/>
        <rFont val="Calibri"/>
        <family val="2"/>
        <scheme val="minor"/>
      </rPr>
      <t>AM</t>
    </r>
    <r>
      <rPr>
        <sz val="10.5"/>
        <color theme="1"/>
        <rFont val="Calibri"/>
        <family val="2"/>
        <scheme val="minor"/>
      </rPr>
      <t xml:space="preserve">, </t>
    </r>
    <r>
      <rPr>
        <b/>
        <sz val="10.5"/>
        <color theme="1"/>
        <rFont val="Calibri"/>
        <family val="2"/>
        <scheme val="minor"/>
      </rPr>
      <t>am</t>
    </r>
    <r>
      <rPr>
        <sz val="10.5"/>
        <color theme="1"/>
        <rFont val="Calibri"/>
        <family val="2"/>
        <scheme val="minor"/>
      </rPr>
      <t xml:space="preserve">, </t>
    </r>
    <r>
      <rPr>
        <b/>
        <sz val="10.5"/>
        <color theme="1"/>
        <rFont val="Calibri"/>
        <family val="2"/>
        <scheme val="minor"/>
      </rPr>
      <t>A</t>
    </r>
    <r>
      <rPr>
        <sz val="10.5"/>
        <color theme="1"/>
        <rFont val="Calibri"/>
        <family val="2"/>
        <scheme val="minor"/>
      </rPr>
      <t xml:space="preserve"> lub </t>
    </r>
    <r>
      <rPr>
        <b/>
        <sz val="10.5"/>
        <color theme="1"/>
        <rFont val="Calibri"/>
        <family val="2"/>
        <scheme val="minor"/>
      </rPr>
      <t>a</t>
    </r>
    <r>
      <rPr>
        <sz val="10.5"/>
        <color theme="1"/>
        <rFont val="Calibri"/>
        <family val="2"/>
        <scheme val="minor"/>
      </rPr>
      <t xml:space="preserve">, wskazując czas od północy do południa, oraz symbol </t>
    </r>
    <r>
      <rPr>
        <b/>
        <sz val="10.5"/>
        <color theme="1"/>
        <rFont val="Calibri"/>
        <family val="2"/>
        <scheme val="minor"/>
      </rPr>
      <t>PM</t>
    </r>
    <r>
      <rPr>
        <sz val="10.5"/>
        <color theme="1"/>
        <rFont val="Calibri"/>
        <family val="2"/>
        <scheme val="minor"/>
      </rPr>
      <t xml:space="preserve">, </t>
    </r>
    <r>
      <rPr>
        <b/>
        <sz val="10.5"/>
        <color theme="1"/>
        <rFont val="Calibri"/>
        <family val="2"/>
        <scheme val="minor"/>
      </rPr>
      <t>pm</t>
    </r>
    <r>
      <rPr>
        <sz val="10.5"/>
        <color theme="1"/>
        <rFont val="Calibri"/>
        <family val="2"/>
        <scheme val="minor"/>
      </rPr>
      <t xml:space="preserve">, </t>
    </r>
    <r>
      <rPr>
        <b/>
        <sz val="10.5"/>
        <color theme="1"/>
        <rFont val="Calibri"/>
        <family val="2"/>
        <scheme val="minor"/>
      </rPr>
      <t>P</t>
    </r>
    <r>
      <rPr>
        <sz val="10.5"/>
        <color theme="1"/>
        <rFont val="Calibri"/>
        <family val="2"/>
        <scheme val="minor"/>
      </rPr>
      <t xml:space="preserve"> lub </t>
    </r>
    <r>
      <rPr>
        <b/>
        <sz val="10.5"/>
        <color theme="1"/>
        <rFont val="Calibri"/>
        <family val="2"/>
        <scheme val="minor"/>
      </rPr>
      <t>p</t>
    </r>
    <r>
      <rPr>
        <sz val="10.5"/>
        <color theme="1"/>
        <rFont val="Calibri"/>
        <family val="2"/>
        <scheme val="minor"/>
      </rPr>
      <t>, wskazując czas od południa do północy.</t>
    </r>
  </si>
  <si>
    <t>Newsletter (info o webinarach, pliki końcowe po webinarach itp.)</t>
  </si>
  <si>
    <t>http://exceliadam.getleads.pl/newsletter/</t>
  </si>
  <si>
    <t>KURSY WIDEO</t>
  </si>
  <si>
    <t>KSIĄŻKI</t>
  </si>
  <si>
    <r>
      <t xml:space="preserve">Mistrz Excela - </t>
    </r>
    <r>
      <rPr>
        <sz val="11"/>
        <color theme="1"/>
        <rFont val="Calibri"/>
        <family val="2"/>
        <charset val="238"/>
        <scheme val="minor"/>
      </rPr>
      <t>wprowadzi Cię w tajniki Excela, od podstawowych zagadnień, przez tabele przestawne i wyszukiwanie pionowo</t>
    </r>
  </si>
  <si>
    <t>Nakład wyczerpany - książka dostępna w wersji elektornicznej</t>
  </si>
  <si>
    <t>http://ksplus.komputerswiat.pl/sklep#mistrz-excela-w-20-dni</t>
  </si>
  <si>
    <t>aż po wstęp do programowania VBA (rejestrowanie makr).</t>
  </si>
  <si>
    <t>https://www.udemy.com/mistrz-excela/?couponCode=STANDARDOWY</t>
  </si>
  <si>
    <r>
      <t xml:space="preserve">Excel Mistrz Formuł </t>
    </r>
    <r>
      <rPr>
        <sz val="11"/>
        <color theme="1"/>
        <rFont val="Calibri"/>
        <family val="2"/>
        <charset val="238"/>
        <scheme val="minor"/>
      </rPr>
      <t>- poznaj najczęściej wykorzystywane funkcje w Excelu</t>
    </r>
  </si>
  <si>
    <t>i stań się mistrzem formuł</t>
  </si>
  <si>
    <t>https://www.udemy.com/excel-mistrz-formul/?couponCode=STANDARDOWY</t>
  </si>
  <si>
    <r>
      <t xml:space="preserve">Mistrz Power Query - </t>
    </r>
    <r>
      <rPr>
        <sz val="11"/>
        <color theme="1"/>
        <rFont val="Calibri"/>
        <family val="2"/>
        <charset val="238"/>
        <scheme val="minor"/>
      </rPr>
      <t>poznaj tajniki pobierania, łączenia, przekształcania, grupowania, parametryzacji</t>
    </r>
  </si>
  <si>
    <t>Standardowa księgarnia</t>
  </si>
  <si>
    <t>oraz tworzenia własnych funkcji w dodatku do Excela Power Query</t>
  </si>
  <si>
    <t>https://literia.pl/excel-w-przykladach-zaawansowane-funkcje-krok-po-kroku</t>
  </si>
  <si>
    <t>https://www.udemy.com/mistrz-power-query/?couponCode=STANDARDOWY</t>
  </si>
  <si>
    <t>Książka w wersji elektronicznej:</t>
  </si>
  <si>
    <r>
      <t xml:space="preserve">Dashboardy w Excelu - </t>
    </r>
    <r>
      <rPr>
        <sz val="11"/>
        <color theme="1"/>
        <rFont val="Calibri"/>
        <family val="2"/>
        <charset val="238"/>
        <scheme val="minor"/>
      </rPr>
      <t>kurs nauczy Cię prezentować dane na Panelach Menadżerskich, dzięki czemu będą bardziej czytelne</t>
    </r>
  </si>
  <si>
    <t>http://ksplus.komputerswiat.pl/sklep#biblioteczka-1-2016</t>
  </si>
  <si>
    <t>oraz będziesz mógł wprowadzić w prezentacji dynamiczne elementy.</t>
  </si>
  <si>
    <t>http://www.ExceliAdam.pl</t>
  </si>
  <si>
    <t>https://www.udemy.com/excel-dashboardy/?couponCode=STANDARDOWY</t>
  </si>
  <si>
    <t>Więcej wiedzy na YouTubie</t>
  </si>
  <si>
    <r>
      <t xml:space="preserve">VBA w 30 dni - </t>
    </r>
    <r>
      <rPr>
        <sz val="11"/>
        <color theme="1"/>
        <rFont val="Calibri"/>
        <family val="2"/>
        <charset val="238"/>
        <scheme val="minor"/>
      </rPr>
      <t>kurs wprowadzi Cię w tajniki programowania w Excelu, czyli nauczy Cię jak rejestrować, pisać oraz automatycznie</t>
    </r>
  </si>
  <si>
    <t>https://www.youtube.com/ExceliAdam</t>
  </si>
  <si>
    <t>uruchamiać makra, a tym samym zautomatyzować wiele czynności w Excelu</t>
  </si>
  <si>
    <t>Polub moją stronę na facebooku ;)</t>
  </si>
  <si>
    <t>https://www.udemy.com/excel-vba-makra/?couponCode=STANDARDOWY</t>
  </si>
  <si>
    <t>https://literia.pl/excel-50-najwazniejszych-funkcji</t>
  </si>
  <si>
    <t>https://web.facebook.com/ExceliAdam/</t>
  </si>
  <si>
    <r>
      <t xml:space="preserve">Power BI - </t>
    </r>
    <r>
      <rPr>
        <sz val="11"/>
        <color theme="1"/>
        <rFont val="Calibri"/>
        <family val="2"/>
        <charset val="238"/>
        <scheme val="minor"/>
      </rPr>
      <t>nowe narzędzie Microsoftu, które pozwala Ci pobierać, analizować, a na koniec wizualizować dane</t>
    </r>
  </si>
  <si>
    <t>http://ksplus.komputerswiat.pl/sklep#biblioteczka-2-2019</t>
  </si>
  <si>
    <t>https://www.udemy.com/power-bi-microsoft/?couponCode=STANDARDOWY</t>
  </si>
  <si>
    <r>
      <t xml:space="preserve">W przypadku </t>
    </r>
    <r>
      <rPr>
        <b/>
        <sz val="11"/>
        <color theme="1"/>
        <rFont val="Calibri"/>
        <family val="2"/>
        <charset val="238"/>
        <scheme val="minor"/>
      </rPr>
      <t>Standardowych</t>
    </r>
    <r>
      <rPr>
        <sz val="11"/>
        <color theme="1"/>
        <rFont val="Calibri"/>
        <family val="2"/>
        <charset val="238"/>
        <scheme val="minor"/>
      </rPr>
      <t xml:space="preserve"> linków promocyjnych warto sprawdzić czy Udemy nie ma aktualnie lepszej propozycji niż moja.</t>
    </r>
  </si>
  <si>
    <t>Czyli wejść przez podany przeze mnie link do kursu (żeby sprzadaż kursu została zaliczona dla mnie, a nie dla Udemy, wtedy mam większą prowizję, ze sprzedaży mojego kursu),</t>
  </si>
  <si>
    <r>
      <t xml:space="preserve">a następnie usunąć końcówkę: </t>
    </r>
    <r>
      <rPr>
        <b/>
        <sz val="11"/>
        <color theme="1"/>
        <rFont val="Calibri"/>
        <family val="2"/>
        <charset val="238"/>
        <scheme val="minor"/>
      </rPr>
      <t>?couponCode=STANDARDOWY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</si>
</sst>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2">
    <numFmt numFmtId="6" formatCode="#,##0\ &quot;zł&quot;;[Red]\-#,##0\ &quot;zł&quot;"/>
    <numFmt numFmtId="8" formatCode="#,##0.00\ &quot;zł&quot;;[Red]\-#,##0.00\ &quot;zł&quot;"/>
    <numFmt numFmtId="164" formatCode="_-* #,##0.00\ _z_ł_-;\-* #,##0.00\ _z_ł_-;_-* &quot;-&quot;??\ _z_ł_-;_-@_-"/>
    <numFmt numFmtId="165" formatCode="_(* #,##0.00_);_(* \(#,##0.00\);_(* &quot;-&quot;??_);_(@_)"/>
    <numFmt numFmtId="166" formatCode="&quot;$&quot;#,##0,"/>
    <numFmt numFmtId="167" formatCode="d\-mmm\-yyyy"/>
    <numFmt numFmtId="168" formatCode="#,##0.00\ &quot;zł&quot;"/>
    <numFmt numFmtId="169" formatCode="h:mm"/>
    <numFmt numFmtId="170" formatCode="[h]:mm"/>
    <numFmt numFmtId="171" formatCode="0.0000%"/>
    <numFmt numFmtId="172" formatCode="?/?"/>
    <numFmt numFmtId="173" formatCode="00\-000"/>
    <numFmt numFmtId="174" formatCode="#,##0.00\ &quot;zł&quot;&quot; za sztukę&quot;"/>
    <numFmt numFmtId="175" formatCode="[$-F400]h:mm:ss\ AM/PM"/>
    <numFmt numFmtId="176" formatCode="0.00,,&quot; M&quot;"/>
    <numFmt numFmtId="177" formatCode="#,##0\ &quot;zł&quot;&quot; za sztukę&quot;"/>
    <numFmt numFmtId="178" formatCode="[$-F800]dddd\,\ mmmm\ dd\,\ yyyy"/>
    <numFmt numFmtId="179" formatCode="mmmm\ d\,\ yyyy\,\ dddd"/>
    <numFmt numFmtId="180" formatCode="??/??"/>
    <numFmt numFmtId="181" formatCode="0.0,,&quot; M&quot;"/>
    <numFmt numFmtId="182" formatCode="#,##0.00\ &quot;zł&quot;;[Red]\-#,##0.00\ &quot;zł&quot;;\-"/>
    <numFmt numFmtId="183" formatCode=";;;"/>
  </numFmts>
  <fonts count="23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charset val="238"/>
      <scheme val="minor"/>
    </font>
    <font>
      <sz val="10"/>
      <color indexed="9"/>
      <name val="Arial"/>
      <family val="2"/>
    </font>
    <font>
      <b/>
      <sz val="14"/>
      <color theme="0"/>
      <name val="Calibri"/>
      <family val="2"/>
      <scheme val="minor"/>
    </font>
    <font>
      <sz val="10"/>
      <name val="Arial"/>
      <family val="2"/>
    </font>
    <font>
      <sz val="12"/>
      <name val="Bookman Old Style"/>
      <family val="1"/>
    </font>
    <font>
      <b/>
      <sz val="10"/>
      <name val="Arial"/>
      <family val="2"/>
    </font>
    <font>
      <sz val="11"/>
      <color theme="1"/>
      <name val="Czcionka tekstu podstawowego"/>
      <family val="2"/>
      <charset val="238"/>
    </font>
    <font>
      <b/>
      <sz val="11"/>
      <color theme="1"/>
      <name val="Calibri"/>
      <family val="2"/>
      <charset val="238"/>
      <scheme val="minor"/>
    </font>
    <font>
      <u/>
      <sz val="11"/>
      <color theme="10"/>
      <name val="Calibri"/>
      <family val="2"/>
      <charset val="238"/>
      <scheme val="minor"/>
    </font>
    <font>
      <b/>
      <sz val="10.5"/>
      <color theme="0"/>
      <name val="Calibri"/>
      <family val="2"/>
      <scheme val="minor"/>
    </font>
    <font>
      <sz val="10.5"/>
      <color theme="1"/>
      <name val="Calibri"/>
      <family val="2"/>
      <scheme val="minor"/>
    </font>
    <font>
      <u/>
      <sz val="10.5"/>
      <color theme="10"/>
      <name val="Calibri"/>
      <family val="2"/>
      <scheme val="minor"/>
    </font>
    <font>
      <sz val="10.5"/>
      <name val="Calibri"/>
      <family val="2"/>
      <scheme val="minor"/>
    </font>
    <font>
      <b/>
      <sz val="10.5"/>
      <color theme="1"/>
      <name val="Calibri"/>
      <family val="2"/>
      <scheme val="minor"/>
    </font>
    <font>
      <sz val="10.5"/>
      <color theme="0"/>
      <name val="Calibri"/>
      <family val="2"/>
      <scheme val="minor"/>
    </font>
    <font>
      <b/>
      <u/>
      <sz val="11"/>
      <color theme="10"/>
      <name val="Calibri"/>
      <family val="2"/>
      <charset val="238"/>
      <scheme val="minor"/>
    </font>
    <font>
      <u val="double"/>
      <sz val="11"/>
      <color theme="1"/>
      <name val="Calibri"/>
      <family val="2"/>
      <charset val="238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1"/>
        <bgColor indexed="64"/>
      </patternFill>
    </fill>
    <fill>
      <patternFill patternType="solid">
        <fgColor rgb="FF2EA3F2"/>
        <bgColor indexed="64"/>
      </patternFill>
    </fill>
    <fill>
      <patternFill patternType="solid">
        <fgColor rgb="FF5FCE77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1E73BE"/>
        <bgColor indexed="64"/>
      </patternFill>
    </fill>
    <fill>
      <patternFill patternType="solid">
        <fgColor rgb="FF81D742"/>
        <bgColor indexed="64"/>
      </patternFill>
    </fill>
    <fill>
      <patternFill patternType="solid">
        <fgColor rgb="FFDD9933"/>
        <bgColor indexed="64"/>
      </patternFill>
    </fill>
    <fill>
      <patternFill patternType="solid">
        <fgColor rgb="FF8224E3"/>
        <bgColor indexed="64"/>
      </patternFill>
    </fill>
    <fill>
      <patternFill patternType="solid">
        <fgColor rgb="FFDD3333"/>
        <bgColor indexed="64"/>
      </patternFill>
    </fill>
    <fill>
      <patternFill patternType="solid">
        <fgColor rgb="FFEEEE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FF1D6"/>
        <bgColor indexed="64"/>
      </patternFill>
    </fill>
    <fill>
      <patternFill patternType="solid">
        <fgColor rgb="FFCFC5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8">
    <xf numFmtId="0" fontId="0" fillId="0" borderId="0"/>
    <xf numFmtId="0" fontId="3" fillId="2" borderId="0" applyNumberFormat="0" applyBorder="0" applyAlignment="0" applyProtection="0"/>
    <xf numFmtId="0" fontId="4" fillId="0" borderId="0" applyNumberFormat="0" applyFill="0" applyBorder="0" applyAlignment="0" applyProtection="0"/>
    <xf numFmtId="0" fontId="5" fillId="0" borderId="0"/>
    <xf numFmtId="0" fontId="6" fillId="4" borderId="1"/>
    <xf numFmtId="0" fontId="7" fillId="8" borderId="1">
      <alignment wrapText="1"/>
    </xf>
    <xf numFmtId="0" fontId="8" fillId="9" borderId="2" applyBorder="0">
      <alignment horizontal="centerContinuous" wrapText="1"/>
    </xf>
    <xf numFmtId="165" fontId="9" fillId="0" borderId="0" applyFont="0" applyFill="0" applyBorder="0" applyAlignment="0" applyProtection="0"/>
    <xf numFmtId="166" fontId="10" fillId="0" borderId="0"/>
    <xf numFmtId="0" fontId="2" fillId="5" borderId="0"/>
    <xf numFmtId="164" fontId="5" fillId="0" borderId="0" applyFont="0" applyFill="0" applyBorder="0" applyAlignment="0" applyProtection="0"/>
    <xf numFmtId="0" fontId="3" fillId="10" borderId="1">
      <alignment horizontal="center" vertical="center"/>
    </xf>
    <xf numFmtId="0" fontId="2" fillId="6" borderId="1">
      <alignment horizontal="center" vertical="center"/>
    </xf>
    <xf numFmtId="8" fontId="1" fillId="7" borderId="1" applyNumberFormat="0"/>
    <xf numFmtId="8" fontId="1" fillId="11" borderId="1" applyFont="0" applyBorder="0"/>
    <xf numFmtId="8" fontId="1" fillId="6" borderId="1" applyFont="0" applyBorder="0"/>
    <xf numFmtId="8" fontId="1" fillId="12" borderId="1" applyFont="0" applyBorder="0"/>
    <xf numFmtId="8" fontId="1" fillId="13" borderId="1" applyFont="0" applyBorder="0"/>
    <xf numFmtId="0" fontId="1" fillId="14" borderId="0" applyFont="0" applyBorder="0"/>
    <xf numFmtId="8" fontId="1" fillId="15" borderId="1" applyFont="0" applyBorder="0"/>
    <xf numFmtId="8" fontId="6" fillId="4" borderId="1"/>
    <xf numFmtId="8" fontId="6" fillId="4" borderId="1" applyNumberFormat="0"/>
    <xf numFmtId="8" fontId="6" fillId="4" borderId="1" applyNumberFormat="0" applyAlignment="0"/>
    <xf numFmtId="167" fontId="11" fillId="0" borderId="0" applyFont="0" applyFill="0" applyBorder="0" applyProtection="0">
      <alignment horizontal="center"/>
    </xf>
    <xf numFmtId="0" fontId="6" fillId="3" borderId="2" applyBorder="0"/>
    <xf numFmtId="0" fontId="2" fillId="2" borderId="1"/>
    <xf numFmtId="0" fontId="9" fillId="0" borderId="0"/>
    <xf numFmtId="0" fontId="12" fillId="0" borderId="0"/>
    <xf numFmtId="8" fontId="1" fillId="16" borderId="1"/>
    <xf numFmtId="0" fontId="9" fillId="0" borderId="0">
      <alignment wrapText="1"/>
    </xf>
    <xf numFmtId="0" fontId="6" fillId="3" borderId="2"/>
    <xf numFmtId="0" fontId="3" fillId="3" borderId="0" applyNumberFormat="0" applyBorder="0" applyAlignment="0" applyProtection="0"/>
    <xf numFmtId="0" fontId="14" fillId="0" borderId="0" applyNumberForma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0" fontId="14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91">
    <xf numFmtId="0" fontId="0" fillId="0" borderId="0" xfId="0"/>
    <xf numFmtId="0" fontId="5" fillId="0" borderId="0" xfId="3"/>
    <xf numFmtId="0" fontId="15" fillId="5" borderId="0" xfId="3" applyFont="1" applyFill="1" applyAlignment="1">
      <alignment horizontal="centerContinuous"/>
    </xf>
    <xf numFmtId="0" fontId="16" fillId="0" borderId="0" xfId="0" applyFont="1"/>
    <xf numFmtId="0" fontId="17" fillId="0" borderId="0" xfId="32" applyFont="1"/>
    <xf numFmtId="0" fontId="16" fillId="0" borderId="0" xfId="3" applyFont="1"/>
    <xf numFmtId="0" fontId="15" fillId="6" borderId="1" xfId="1" applyFont="1" applyFill="1" applyBorder="1" applyAlignment="1">
      <alignment horizontal="center" vertical="center" wrapText="1"/>
    </xf>
    <xf numFmtId="168" fontId="16" fillId="0" borderId="1" xfId="3" applyNumberFormat="1" applyFont="1" applyBorder="1"/>
    <xf numFmtId="0" fontId="18" fillId="18" borderId="1" xfId="31" applyFont="1" applyFill="1" applyBorder="1"/>
    <xf numFmtId="8" fontId="16" fillId="0" borderId="1" xfId="3" applyNumberFormat="1" applyFont="1" applyBorder="1"/>
    <xf numFmtId="168" fontId="16" fillId="0" borderId="0" xfId="3" applyNumberFormat="1" applyFont="1"/>
    <xf numFmtId="12" fontId="16" fillId="0" borderId="1" xfId="3" applyNumberFormat="1" applyFont="1" applyBorder="1"/>
    <xf numFmtId="0" fontId="16" fillId="0" borderId="0" xfId="3" applyNumberFormat="1" applyFont="1"/>
    <xf numFmtId="177" fontId="16" fillId="0" borderId="1" xfId="3" applyNumberFormat="1" applyFont="1" applyBorder="1"/>
    <xf numFmtId="0" fontId="16" fillId="0" borderId="1" xfId="3" applyFont="1" applyBorder="1"/>
    <xf numFmtId="177" fontId="18" fillId="17" borderId="1" xfId="4" applyNumberFormat="1" applyFont="1" applyFill="1"/>
    <xf numFmtId="174" fontId="16" fillId="0" borderId="0" xfId="3" applyNumberFormat="1" applyFont="1"/>
    <xf numFmtId="168" fontId="19" fillId="0" borderId="0" xfId="3" applyNumberFormat="1" applyFont="1"/>
    <xf numFmtId="171" fontId="16" fillId="0" borderId="1" xfId="33" applyNumberFormat="1" applyFont="1" applyBorder="1"/>
    <xf numFmtId="171" fontId="16" fillId="0" borderId="1" xfId="3" applyNumberFormat="1" applyFont="1" applyBorder="1"/>
    <xf numFmtId="10" fontId="18" fillId="18" borderId="1" xfId="31" quotePrefix="1" applyNumberFormat="1" applyFont="1" applyFill="1" applyBorder="1"/>
    <xf numFmtId="180" fontId="16" fillId="0" borderId="1" xfId="3" applyNumberFormat="1" applyFont="1" applyBorder="1"/>
    <xf numFmtId="172" fontId="16" fillId="0" borderId="1" xfId="3" applyNumberFormat="1" applyFont="1" applyBorder="1"/>
    <xf numFmtId="181" fontId="16" fillId="0" borderId="1" xfId="3" applyNumberFormat="1" applyFont="1" applyBorder="1"/>
    <xf numFmtId="176" fontId="16" fillId="0" borderId="1" xfId="3" applyNumberFormat="1" applyFont="1" applyBorder="1"/>
    <xf numFmtId="173" fontId="16" fillId="0" borderId="1" xfId="3" applyNumberFormat="1" applyFont="1" applyBorder="1"/>
    <xf numFmtId="182" fontId="16" fillId="0" borderId="0" xfId="3" applyNumberFormat="1" applyFont="1"/>
    <xf numFmtId="0" fontId="20" fillId="19" borderId="1" xfId="3" applyNumberFormat="1" applyFont="1" applyFill="1" applyBorder="1"/>
    <xf numFmtId="183" fontId="16" fillId="19" borderId="1" xfId="3" applyNumberFormat="1" applyFont="1" applyFill="1" applyBorder="1"/>
    <xf numFmtId="0" fontId="16" fillId="0" borderId="1" xfId="0" applyFont="1" applyBorder="1" applyAlignment="1">
      <alignment horizontal="center" vertical="center" wrapText="1"/>
    </xf>
    <xf numFmtId="0" fontId="16" fillId="0" borderId="1" xfId="0" applyFont="1" applyBorder="1" applyAlignment="1">
      <alignment vertical="center" wrapText="1"/>
    </xf>
    <xf numFmtId="20" fontId="16" fillId="0" borderId="1" xfId="3" applyNumberFormat="1" applyFont="1" applyBorder="1"/>
    <xf numFmtId="0" fontId="16" fillId="0" borderId="1" xfId="3" applyNumberFormat="1" applyFont="1" applyBorder="1"/>
    <xf numFmtId="20" fontId="16" fillId="0" borderId="0" xfId="3" applyNumberFormat="1" applyFont="1" applyBorder="1"/>
    <xf numFmtId="0" fontId="16" fillId="0" borderId="0" xfId="3" applyNumberFormat="1" applyFont="1" applyBorder="1"/>
    <xf numFmtId="169" fontId="16" fillId="0" borderId="1" xfId="3" applyNumberFormat="1" applyFont="1" applyBorder="1"/>
    <xf numFmtId="170" fontId="16" fillId="0" borderId="1" xfId="3" applyNumberFormat="1" applyFont="1" applyBorder="1"/>
    <xf numFmtId="175" fontId="16" fillId="0" borderId="1" xfId="3" applyNumberFormat="1" applyFont="1" applyBorder="1"/>
    <xf numFmtId="6" fontId="16" fillId="0" borderId="1" xfId="3" applyNumberFormat="1" applyFont="1" applyBorder="1"/>
    <xf numFmtId="6" fontId="16" fillId="0" borderId="0" xfId="3" applyNumberFormat="1" applyFont="1"/>
    <xf numFmtId="6" fontId="16" fillId="17" borderId="1" xfId="3" applyNumberFormat="1" applyFont="1" applyFill="1" applyBorder="1"/>
    <xf numFmtId="0" fontId="16" fillId="0" borderId="1" xfId="0" applyFont="1" applyBorder="1" applyAlignment="1">
      <alignment horizontal="center" vertical="center"/>
    </xf>
    <xf numFmtId="0" fontId="16" fillId="0" borderId="1" xfId="3" applyNumberFormat="1" applyFont="1" applyBorder="1" applyAlignment="1">
      <alignment horizontal="center" vertical="center"/>
    </xf>
    <xf numFmtId="0" fontId="16" fillId="0" borderId="1" xfId="3" applyFont="1" applyBorder="1" applyAlignment="1">
      <alignment horizontal="center" vertical="center" wrapText="1"/>
    </xf>
    <xf numFmtId="0" fontId="16" fillId="0" borderId="1" xfId="3" applyFont="1" applyBorder="1" applyAlignment="1">
      <alignment horizontal="center" vertical="center"/>
    </xf>
    <xf numFmtId="14" fontId="16" fillId="0" borderId="1" xfId="0" applyNumberFormat="1" applyFont="1" applyBorder="1"/>
    <xf numFmtId="0" fontId="16" fillId="17" borderId="1" xfId="0" applyNumberFormat="1" applyFont="1" applyFill="1" applyBorder="1"/>
    <xf numFmtId="14" fontId="16" fillId="0" borderId="0" xfId="0" applyNumberFormat="1" applyFont="1"/>
    <xf numFmtId="178" fontId="16" fillId="0" borderId="1" xfId="0" applyNumberFormat="1" applyFont="1" applyBorder="1"/>
    <xf numFmtId="178" fontId="16" fillId="0" borderId="0" xfId="0" applyNumberFormat="1" applyFont="1"/>
    <xf numFmtId="0" fontId="16" fillId="0" borderId="1" xfId="3" applyFont="1" applyBorder="1" applyAlignment="1"/>
    <xf numFmtId="179" fontId="16" fillId="0" borderId="1" xfId="3" applyNumberFormat="1" applyFont="1" applyBorder="1"/>
    <xf numFmtId="179" fontId="16" fillId="0" borderId="0" xfId="0" applyNumberFormat="1" applyFont="1"/>
    <xf numFmtId="0" fontId="1" fillId="0" borderId="0" xfId="34"/>
    <xf numFmtId="0" fontId="13" fillId="0" borderId="0" xfId="35" applyFont="1" applyAlignment="1">
      <alignment vertical="center"/>
    </xf>
    <xf numFmtId="0" fontId="13" fillId="0" borderId="0" xfId="35" applyFont="1" applyAlignment="1">
      <alignment vertical="center"/>
    </xf>
    <xf numFmtId="0" fontId="21" fillId="0" borderId="0" xfId="36" applyFont="1" applyAlignment="1">
      <alignment vertical="center"/>
    </xf>
    <xf numFmtId="0" fontId="14" fillId="0" borderId="0" xfId="36" applyFont="1" applyAlignment="1">
      <alignment vertical="center"/>
    </xf>
    <xf numFmtId="0" fontId="22" fillId="0" borderId="0" xfId="34" applyFont="1" applyAlignment="1">
      <alignment vertical="center"/>
    </xf>
    <xf numFmtId="0" fontId="22" fillId="0" borderId="0" xfId="34" applyFont="1" applyAlignment="1">
      <alignment vertical="center"/>
    </xf>
    <xf numFmtId="0" fontId="1" fillId="0" borderId="3" xfId="34" applyBorder="1"/>
    <xf numFmtId="0" fontId="13" fillId="0" borderId="3" xfId="34" applyFont="1" applyBorder="1" applyAlignment="1">
      <alignment wrapText="1"/>
    </xf>
    <xf numFmtId="0" fontId="13" fillId="0" borderId="0" xfId="34" applyFont="1" applyBorder="1" applyAlignment="1">
      <alignment wrapText="1"/>
    </xf>
    <xf numFmtId="0" fontId="0" fillId="0" borderId="3" xfId="34" applyFont="1" applyBorder="1" applyAlignment="1">
      <alignment vertical="top"/>
    </xf>
    <xf numFmtId="0" fontId="0" fillId="0" borderId="0" xfId="34" applyFont="1" applyBorder="1" applyAlignment="1">
      <alignment vertical="top"/>
    </xf>
    <xf numFmtId="0" fontId="13" fillId="0" borderId="0" xfId="34" applyFont="1" applyBorder="1" applyAlignment="1">
      <alignment wrapText="1"/>
    </xf>
    <xf numFmtId="0" fontId="0" fillId="0" borderId="0" xfId="34" applyFont="1" applyBorder="1" applyAlignment="1">
      <alignment vertical="top"/>
    </xf>
    <xf numFmtId="0" fontId="21" fillId="0" borderId="0" xfId="36" applyFont="1" applyAlignment="1"/>
    <xf numFmtId="0" fontId="14" fillId="0" borderId="0" xfId="36" applyAlignment="1"/>
    <xf numFmtId="0" fontId="1" fillId="0" borderId="0" xfId="34" applyFont="1" applyAlignment="1">
      <alignment vertical="top"/>
    </xf>
    <xf numFmtId="0" fontId="1" fillId="0" borderId="0" xfId="34" applyFont="1" applyAlignment="1">
      <alignment vertical="top"/>
    </xf>
    <xf numFmtId="0" fontId="21" fillId="0" borderId="0" xfId="2" applyFont="1" applyAlignment="1"/>
    <xf numFmtId="0" fontId="21" fillId="0" borderId="0" xfId="2" applyFont="1" applyAlignment="1"/>
    <xf numFmtId="0" fontId="13" fillId="0" borderId="3" xfId="34" applyFont="1" applyBorder="1" applyAlignment="1">
      <alignment vertical="center"/>
    </xf>
    <xf numFmtId="0" fontId="13" fillId="0" borderId="0" xfId="34" applyFont="1" applyBorder="1" applyAlignment="1">
      <alignment vertical="center"/>
    </xf>
    <xf numFmtId="0" fontId="13" fillId="0" borderId="0" xfId="34" applyFont="1" applyBorder="1" applyAlignment="1">
      <alignment vertical="center"/>
    </xf>
    <xf numFmtId="0" fontId="1" fillId="0" borderId="0" xfId="34" applyFont="1" applyAlignment="1">
      <alignment vertical="center"/>
    </xf>
    <xf numFmtId="0" fontId="1" fillId="0" borderId="0" xfId="34" applyFont="1" applyAlignment="1">
      <alignment vertical="center"/>
    </xf>
    <xf numFmtId="0" fontId="4" fillId="0" borderId="0" xfId="2" applyAlignment="1"/>
    <xf numFmtId="0" fontId="13" fillId="0" borderId="3" xfId="34" applyFont="1" applyBorder="1" applyAlignment="1">
      <alignment vertical="top" wrapText="1"/>
    </xf>
    <xf numFmtId="0" fontId="13" fillId="0" borderId="0" xfId="34" applyFont="1" applyBorder="1" applyAlignment="1">
      <alignment vertical="top" wrapText="1"/>
    </xf>
    <xf numFmtId="0" fontId="13" fillId="0" borderId="0" xfId="34" applyFont="1" applyBorder="1" applyAlignment="1">
      <alignment vertical="top" wrapText="1"/>
    </xf>
    <xf numFmtId="0" fontId="14" fillId="0" borderId="0" xfId="36" applyAlignment="1">
      <alignment vertical="center"/>
    </xf>
    <xf numFmtId="0" fontId="13" fillId="0" borderId="0" xfId="34" applyFont="1" applyAlignment="1"/>
    <xf numFmtId="0" fontId="14" fillId="0" borderId="0" xfId="36" applyAlignment="1">
      <alignment vertical="center"/>
    </xf>
    <xf numFmtId="0" fontId="4" fillId="0" borderId="0" xfId="37" applyAlignment="1">
      <alignment vertical="center"/>
    </xf>
    <xf numFmtId="0" fontId="1" fillId="20" borderId="0" xfId="34" applyFont="1" applyFill="1" applyAlignment="1">
      <alignment vertical="top" wrapText="1"/>
    </xf>
    <xf numFmtId="0" fontId="1" fillId="20" borderId="0" xfId="34" applyFont="1" applyFill="1" applyAlignment="1">
      <alignment vertical="top" wrapText="1"/>
    </xf>
    <xf numFmtId="0" fontId="1" fillId="20" borderId="0" xfId="34" applyFont="1" applyFill="1" applyAlignment="1">
      <alignment wrapText="1"/>
    </xf>
    <xf numFmtId="0" fontId="1" fillId="20" borderId="0" xfId="34" applyFont="1" applyFill="1" applyAlignment="1">
      <alignment wrapText="1"/>
    </xf>
    <xf numFmtId="0" fontId="1" fillId="0" borderId="0" xfId="34" applyFont="1" applyAlignment="1">
      <alignment vertical="top" wrapText="1"/>
    </xf>
  </cellXfs>
  <cellStyles count="38">
    <cellStyle name="60% — akcent 4" xfId="31" builtinId="44"/>
    <cellStyle name="Akcent 1" xfId="1" builtinId="29"/>
    <cellStyle name="blue" xfId="5" xr:uid="{00000000-0005-0000-0000-000002000000}"/>
    <cellStyle name="BlueTitle" xfId="6" xr:uid="{00000000-0005-0000-0000-000003000000}"/>
    <cellStyle name="Comma 2" xfId="7" xr:uid="{00000000-0005-0000-0000-000004000000}"/>
    <cellStyle name="Currency Round to thousands" xfId="8" xr:uid="{00000000-0005-0000-0000-000005000000}"/>
    <cellStyle name="Czarny" xfId="9" xr:uid="{00000000-0005-0000-0000-000006000000}"/>
    <cellStyle name="Dziesiętny 2" xfId="10" xr:uid="{00000000-0005-0000-0000-000007000000}"/>
    <cellStyle name="Excel - Etykieta" xfId="11" xr:uid="{00000000-0005-0000-0000-000008000000}"/>
    <cellStyle name="Excel - Etykiety light" xfId="12" xr:uid="{00000000-0005-0000-0000-000009000000}"/>
    <cellStyle name="Excel - Formuła" xfId="13" xr:uid="{00000000-0005-0000-0000-00000A000000}"/>
    <cellStyle name="Excel - green" xfId="14" xr:uid="{00000000-0005-0000-0000-00000B000000}"/>
    <cellStyle name="Excel - lightblue" xfId="15" xr:uid="{00000000-0005-0000-0000-00000C000000}"/>
    <cellStyle name="Excel - orange" xfId="16" xr:uid="{00000000-0005-0000-0000-00000D000000}"/>
    <cellStyle name="Excel - purple" xfId="17" xr:uid="{00000000-0005-0000-0000-00000E000000}"/>
    <cellStyle name="Excel - red" xfId="18" xr:uid="{00000000-0005-0000-0000-00000F000000}"/>
    <cellStyle name="Excel - yellow" xfId="19" xr:uid="{00000000-0005-0000-0000-000010000000}"/>
    <cellStyle name="Formuła" xfId="20" xr:uid="{00000000-0005-0000-0000-000011000000}"/>
    <cellStyle name="Formuła 2" xfId="21" xr:uid="{00000000-0005-0000-0000-000012000000}"/>
    <cellStyle name="Formuła 3" xfId="22" xr:uid="{00000000-0005-0000-0000-000013000000}"/>
    <cellStyle name="Formuła 4" xfId="4" xr:uid="{00000000-0005-0000-0000-000014000000}"/>
    <cellStyle name="Four-Digit Year" xfId="23" xr:uid="{00000000-0005-0000-0000-000015000000}"/>
    <cellStyle name="Hiperłącze" xfId="32" builtinId="8"/>
    <cellStyle name="Hiperłącze 2" xfId="2" xr:uid="{00000000-0005-0000-0000-000017000000}"/>
    <cellStyle name="Hiperłącze 2 2" xfId="36" xr:uid="{CDF095B2-30B3-446F-968E-EACDF51E985D}"/>
    <cellStyle name="Hiperłącze 2 3" xfId="37" xr:uid="{BC1EC418-A593-43BE-B564-BDD7A45F9FA3}"/>
    <cellStyle name="Informacja" xfId="24" xr:uid="{00000000-0005-0000-0000-000018000000}"/>
    <cellStyle name="Nagłówek" xfId="25" xr:uid="{00000000-0005-0000-0000-000019000000}"/>
    <cellStyle name="Normal 2" xfId="26" xr:uid="{00000000-0005-0000-0000-00001A000000}"/>
    <cellStyle name="Normalny" xfId="0" builtinId="0"/>
    <cellStyle name="Normalny 2" xfId="3" xr:uid="{00000000-0005-0000-0000-00001C000000}"/>
    <cellStyle name="Normalny 2 3" xfId="34" xr:uid="{56695E42-08B3-4106-A613-3BFEE6730E79}"/>
    <cellStyle name="Normalny 3" xfId="27" xr:uid="{00000000-0005-0000-0000-00001D000000}"/>
    <cellStyle name="Normalny 4" xfId="35" xr:uid="{A471DB51-BE7E-4C33-9B04-8B6C5138B5BA}"/>
    <cellStyle name="Procentowy" xfId="33" builtinId="5"/>
    <cellStyle name="Styl 1" xfId="28" xr:uid="{00000000-0005-0000-0000-00001F000000}"/>
    <cellStyle name="Wrap Text" xfId="29" xr:uid="{00000000-0005-0000-0000-000020000000}"/>
    <cellStyle name="ziel" xfId="30" xr:uid="{00000000-0005-0000-0000-000021000000}"/>
  </cellStyles>
  <dxfs count="0"/>
  <tableStyles count="0" defaultTableStyle="TableStyleMedium2" defaultPivotStyle="PivotStyleLight16"/>
  <colors>
    <mruColors>
      <color rgb="FFCFC5DD"/>
      <color rgb="FFCFF1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mistrz-power-query/?couponCode=STANDARDOWY" TargetMode="External"/><Relationship Id="rId13" Type="http://schemas.openxmlformats.org/officeDocument/2006/relationships/image" Target="../media/image8.png"/><Relationship Id="rId18" Type="http://schemas.openxmlformats.org/officeDocument/2006/relationships/image" Target="../media/image12.jpeg"/><Relationship Id="rId3" Type="http://schemas.openxmlformats.org/officeDocument/2006/relationships/image" Target="../media/image3.png"/><Relationship Id="rId7" Type="http://schemas.openxmlformats.org/officeDocument/2006/relationships/image" Target="../media/image5.png"/><Relationship Id="rId12" Type="http://schemas.openxmlformats.org/officeDocument/2006/relationships/hyperlink" Target="https://www.udemy.com/excel-vba-makra/?couponCode=STANDARDOWY" TargetMode="External"/><Relationship Id="rId17" Type="http://schemas.openxmlformats.org/officeDocument/2006/relationships/image" Target="../media/image11.jpeg"/><Relationship Id="rId2" Type="http://schemas.openxmlformats.org/officeDocument/2006/relationships/image" Target="../media/image2.png"/><Relationship Id="rId16" Type="http://schemas.openxmlformats.org/officeDocument/2006/relationships/image" Target="../media/image10.jpeg"/><Relationship Id="rId1" Type="http://schemas.openxmlformats.org/officeDocument/2006/relationships/image" Target="../media/image1.jpeg"/><Relationship Id="rId6" Type="http://schemas.openxmlformats.org/officeDocument/2006/relationships/hyperlink" Target="https://www.udemy.com/mistrz-excela/?couponCode=STANDARDOWY" TargetMode="External"/><Relationship Id="rId11" Type="http://schemas.openxmlformats.org/officeDocument/2006/relationships/image" Target="../media/image7.png"/><Relationship Id="rId5" Type="http://schemas.openxmlformats.org/officeDocument/2006/relationships/image" Target="../media/image4.png"/><Relationship Id="rId15" Type="http://schemas.openxmlformats.org/officeDocument/2006/relationships/image" Target="../media/image9.png"/><Relationship Id="rId10" Type="http://schemas.openxmlformats.org/officeDocument/2006/relationships/hyperlink" Target="https://www.udemy.com/excel-dashboardy/?couponCode=STANDARDOWY" TargetMode="External"/><Relationship Id="rId4" Type="http://schemas.openxmlformats.org/officeDocument/2006/relationships/hyperlink" Target="https://www.udemy.com/excel-mistrz-formul/?couponCode=STANDARDOWY" TargetMode="External"/><Relationship Id="rId9" Type="http://schemas.openxmlformats.org/officeDocument/2006/relationships/image" Target="../media/image6.jpeg"/><Relationship Id="rId14" Type="http://schemas.openxmlformats.org/officeDocument/2006/relationships/hyperlink" Target="https://www.udemy.com/power-bi-microsoft/?couponCode=STANDARDOWY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457325" cy="2514600"/>
    <xdr:pic>
      <xdr:nvPicPr>
        <xdr:cNvPr id="2" name="Obraz 1">
          <a:extLst>
            <a:ext uri="{FF2B5EF4-FFF2-40B4-BE49-F238E27FC236}">
              <a16:creationId xmlns:a16="http://schemas.microsoft.com/office/drawing/2014/main" id="{20121C6A-C38F-4E85-A57E-8B10978C259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167640" y="76200"/>
          <a:ext cx="1457325" cy="25146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34</xdr:row>
      <xdr:rowOff>0</xdr:rowOff>
    </xdr:from>
    <xdr:ext cx="1552575" cy="457200"/>
    <xdr:pic>
      <xdr:nvPicPr>
        <xdr:cNvPr id="3" name="Obraz 2">
          <a:extLst>
            <a:ext uri="{FF2B5EF4-FFF2-40B4-BE49-F238E27FC236}">
              <a16:creationId xmlns:a16="http://schemas.microsoft.com/office/drawing/2014/main" id="{1198C6B8-6257-43B1-ADEA-1E82E3AC361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7640" y="2590800"/>
          <a:ext cx="1552575" cy="457200"/>
        </a:xfrm>
        <a:prstGeom prst="rect">
          <a:avLst/>
        </a:prstGeom>
      </xdr:spPr>
    </xdr:pic>
    <xdr:clientData/>
  </xdr:oneCellAnchor>
  <xdr:oneCellAnchor>
    <xdr:from>
      <xdr:col>8</xdr:col>
      <xdr:colOff>161924</xdr:colOff>
      <xdr:row>39</xdr:row>
      <xdr:rowOff>65210</xdr:rowOff>
    </xdr:from>
    <xdr:ext cx="1133475" cy="468190"/>
    <xdr:pic>
      <xdr:nvPicPr>
        <xdr:cNvPr id="4" name="Obraz 3">
          <a:extLst>
            <a:ext uri="{FF2B5EF4-FFF2-40B4-BE49-F238E27FC236}">
              <a16:creationId xmlns:a16="http://schemas.microsoft.com/office/drawing/2014/main" id="{35182645-2F83-4E72-9EA3-27E1342F56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03044" y="3037010"/>
          <a:ext cx="1133475" cy="468190"/>
        </a:xfrm>
        <a:prstGeom prst="rect">
          <a:avLst/>
        </a:prstGeom>
      </xdr:spPr>
    </xdr:pic>
    <xdr:clientData/>
  </xdr:oneCellAnchor>
  <xdr:twoCellAnchor>
    <xdr:from>
      <xdr:col>1</xdr:col>
      <xdr:colOff>0</xdr:colOff>
      <xdr:row>39</xdr:row>
      <xdr:rowOff>73268</xdr:rowOff>
    </xdr:from>
    <xdr:to>
      <xdr:col>7</xdr:col>
      <xdr:colOff>161192</xdr:colOff>
      <xdr:row>49</xdr:row>
      <xdr:rowOff>0</xdr:rowOff>
    </xdr:to>
    <xdr:sp macro="" textlink="">
      <xdr:nvSpPr>
        <xdr:cNvPr id="5" name="pole tekstowe 4">
          <a:extLst>
            <a:ext uri="{FF2B5EF4-FFF2-40B4-BE49-F238E27FC236}">
              <a16:creationId xmlns:a16="http://schemas.microsoft.com/office/drawing/2014/main" id="{3B7CB221-A489-49BA-91BF-4365C4B8D189}"/>
            </a:ext>
          </a:extLst>
        </xdr:cNvPr>
        <xdr:cNvSpPr txBox="1"/>
      </xdr:nvSpPr>
      <xdr:spPr>
        <a:xfrm>
          <a:off x="167640" y="3045068"/>
          <a:ext cx="1167032" cy="688732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pl-PL" sz="1100" b="1"/>
            <a:t>Adam Kopeć</a:t>
          </a:r>
          <a:br>
            <a:rPr lang="pl-PL" sz="1100" b="1"/>
          </a:br>
          <a:r>
            <a:rPr lang="pl-PL" sz="1100" b="1"/>
            <a:t>Miłośnik</a:t>
          </a:r>
          <a:r>
            <a:rPr lang="pl-PL" sz="1100" b="1" baseline="0"/>
            <a:t> Excela</a:t>
          </a:r>
        </a:p>
        <a:p>
          <a:pPr algn="l"/>
          <a:r>
            <a:rPr lang="pl-PL" sz="1100" b="1" baseline="0"/>
            <a:t>Microsoft MVP</a:t>
          </a:r>
          <a:endParaRPr lang="pl-PL" sz="1100" b="1"/>
        </a:p>
      </xdr:txBody>
    </xdr:sp>
    <xdr:clientData/>
  </xdr:twoCellAnchor>
  <xdr:twoCellAnchor editAs="oneCell">
    <xdr:from>
      <xdr:col>17</xdr:col>
      <xdr:colOff>1</xdr:colOff>
      <xdr:row>20</xdr:row>
      <xdr:rowOff>0</xdr:rowOff>
    </xdr:from>
    <xdr:to>
      <xdr:col>24</xdr:col>
      <xdr:colOff>0</xdr:colOff>
      <xdr:row>29</xdr:row>
      <xdr:rowOff>0</xdr:rowOff>
    </xdr:to>
    <xdr:pic>
      <xdr:nvPicPr>
        <xdr:cNvPr id="6" name="Obraz 5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91EFC845-8008-4524-9492-F10AC00752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1" y="1524000"/>
          <a:ext cx="1173479" cy="685800"/>
        </a:xfrm>
        <a:prstGeom prst="rect">
          <a:avLst/>
        </a:prstGeom>
      </xdr:spPr>
    </xdr:pic>
    <xdr:clientData/>
  </xdr:twoCellAnchor>
  <xdr:oneCellAnchor>
    <xdr:from>
      <xdr:col>17</xdr:col>
      <xdr:colOff>0</xdr:colOff>
      <xdr:row>8</xdr:row>
      <xdr:rowOff>0</xdr:rowOff>
    </xdr:from>
    <xdr:ext cx="1128347" cy="659423"/>
    <xdr:pic>
      <xdr:nvPicPr>
        <xdr:cNvPr id="7" name="Obraz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AAAC53A-C8D1-4D02-877A-93D1E1102EF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609600"/>
          <a:ext cx="1128347" cy="65942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31</xdr:row>
      <xdr:rowOff>0</xdr:rowOff>
    </xdr:from>
    <xdr:ext cx="1159565" cy="670891"/>
    <xdr:pic>
      <xdr:nvPicPr>
        <xdr:cNvPr id="8" name="Obraz 7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2303C18-6021-4CD5-85A5-488FE27F5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23622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42</xdr:row>
      <xdr:rowOff>0</xdr:rowOff>
    </xdr:from>
    <xdr:ext cx="1159565" cy="670891"/>
    <xdr:pic>
      <xdr:nvPicPr>
        <xdr:cNvPr id="9" name="Obraz 8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E230191B-B92B-4356-A7FE-E27D66275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3200400"/>
          <a:ext cx="1159565" cy="670891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53</xdr:row>
      <xdr:rowOff>0</xdr:rowOff>
    </xdr:from>
    <xdr:ext cx="1159565" cy="672873"/>
    <xdr:pic>
      <xdr:nvPicPr>
        <xdr:cNvPr id="10" name="Obraz 9">
          <a:hlinkClick xmlns:r="http://schemas.openxmlformats.org/officeDocument/2006/relationships" r:id="rId12"/>
          <a:extLst>
            <a:ext uri="{FF2B5EF4-FFF2-40B4-BE49-F238E27FC236}">
              <a16:creationId xmlns:a16="http://schemas.microsoft.com/office/drawing/2014/main" id="{F7EA0762-52A2-47EF-BF98-674E21FD5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038600"/>
          <a:ext cx="1159565" cy="672873"/>
        </a:xfrm>
        <a:prstGeom prst="rect">
          <a:avLst/>
        </a:prstGeom>
      </xdr:spPr>
    </xdr:pic>
    <xdr:clientData/>
  </xdr:oneCellAnchor>
  <xdr:oneCellAnchor>
    <xdr:from>
      <xdr:col>17</xdr:col>
      <xdr:colOff>0</xdr:colOff>
      <xdr:row>64</xdr:row>
      <xdr:rowOff>0</xdr:rowOff>
    </xdr:from>
    <xdr:ext cx="1159565" cy="670891"/>
    <xdr:pic>
      <xdr:nvPicPr>
        <xdr:cNvPr id="11" name="Obraz 10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5909F69E-8558-40E7-8D3A-077FFCDBE9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849880" y="4876800"/>
          <a:ext cx="1159565" cy="670891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8</xdr:row>
      <xdr:rowOff>1</xdr:rowOff>
    </xdr:from>
    <xdr:ext cx="1159565" cy="1714500"/>
    <xdr:pic>
      <xdr:nvPicPr>
        <xdr:cNvPr id="12" name="Obraz 11">
          <a:extLst>
            <a:ext uri="{FF2B5EF4-FFF2-40B4-BE49-F238E27FC236}">
              <a16:creationId xmlns:a16="http://schemas.microsoft.com/office/drawing/2014/main" id="{9A09BD6C-43C1-43BB-9EE1-53CCB509CC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609601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33</xdr:row>
      <xdr:rowOff>0</xdr:rowOff>
    </xdr:from>
    <xdr:ext cx="1159565" cy="1714500"/>
    <xdr:pic>
      <xdr:nvPicPr>
        <xdr:cNvPr id="13" name="Obraz 12">
          <a:extLst>
            <a:ext uri="{FF2B5EF4-FFF2-40B4-BE49-F238E27FC236}">
              <a16:creationId xmlns:a16="http://schemas.microsoft.com/office/drawing/2014/main" id="{CC92AF99-0033-4087-8949-A7C89B4123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5480" y="2514600"/>
          <a:ext cx="1159565" cy="1714500"/>
        </a:xfrm>
        <a:prstGeom prst="rect">
          <a:avLst/>
        </a:prstGeom>
      </xdr:spPr>
    </xdr:pic>
    <xdr:clientData/>
  </xdr:oneCellAnchor>
  <xdr:oneCellAnchor>
    <xdr:from>
      <xdr:col>57</xdr:col>
      <xdr:colOff>0</xdr:colOff>
      <xdr:row>58</xdr:row>
      <xdr:rowOff>0</xdr:rowOff>
    </xdr:from>
    <xdr:ext cx="1159565" cy="1714500"/>
    <xdr:pic>
      <xdr:nvPicPr>
        <xdr:cNvPr id="14" name="Obraz 13">
          <a:extLst>
            <a:ext uri="{FF2B5EF4-FFF2-40B4-BE49-F238E27FC236}">
              <a16:creationId xmlns:a16="http://schemas.microsoft.com/office/drawing/2014/main" id="{1C0C7205-AB3B-4FC0-97FB-6C676C093A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555480" y="4419600"/>
          <a:ext cx="1159565" cy="17145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udemy.com/excel-mistrz-formul/?couponCode=STANDARDOWY" TargetMode="External"/><Relationship Id="rId13" Type="http://schemas.openxmlformats.org/officeDocument/2006/relationships/hyperlink" Target="http://ksplus.komputerswiat.pl/sklep" TargetMode="External"/><Relationship Id="rId3" Type="http://schemas.openxmlformats.org/officeDocument/2006/relationships/hyperlink" Target="https://www.youtube.com/user/SpinaczIExcel/featured" TargetMode="External"/><Relationship Id="rId7" Type="http://schemas.openxmlformats.org/officeDocument/2006/relationships/hyperlink" Target="https://www.udemy.com/excel-mistrz-formul/?couponCode=STANDARDOWY" TargetMode="External"/><Relationship Id="rId12" Type="http://schemas.openxmlformats.org/officeDocument/2006/relationships/hyperlink" Target="http://ksplus.komputerswiat.pl/sklep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http://www.exceliadam.pl/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https://web.facebook.com/ExceliAdam/" TargetMode="External"/><Relationship Id="rId6" Type="http://schemas.openxmlformats.org/officeDocument/2006/relationships/hyperlink" Target="https://www.udemy.com/excel-mistrz-formul/?couponCode=STANDARDOWY" TargetMode="External"/><Relationship Id="rId11" Type="http://schemas.openxmlformats.org/officeDocument/2006/relationships/hyperlink" Target="http://ksplus.komputerswiat.pl/sklep" TargetMode="External"/><Relationship Id="rId5" Type="http://schemas.openxmlformats.org/officeDocument/2006/relationships/hyperlink" Target="https://www.udemy.com/excel-mistrz-formul/?couponCode=STANDARDOWY" TargetMode="External"/><Relationship Id="rId15" Type="http://schemas.openxmlformats.org/officeDocument/2006/relationships/hyperlink" Target="http://ksplus.komputerswiat.pl/sklep" TargetMode="External"/><Relationship Id="rId10" Type="http://schemas.openxmlformats.org/officeDocument/2006/relationships/hyperlink" Target="https://www.udemy.com/excel-mistrz-formul/?couponCode=STANDARDOWY" TargetMode="External"/><Relationship Id="rId4" Type="http://schemas.openxmlformats.org/officeDocument/2006/relationships/hyperlink" Target="http://exceliadam.getleads.pl/newsletter/" TargetMode="External"/><Relationship Id="rId9" Type="http://schemas.openxmlformats.org/officeDocument/2006/relationships/hyperlink" Target="https://www.udemy.com/excel-mistrz-formul/?couponCode=STANDARDOWY" TargetMode="External"/><Relationship Id="rId14" Type="http://schemas.openxmlformats.org/officeDocument/2006/relationships/hyperlink" Target="http://ksplus.komputerswiat.pl/sklep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office.microsoft.com/pl-pl/excel-help/tworzenie-lub-usuwanie-niestandardowego-formatu-liczb-HP001216503.aspx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A63DB-6A47-4544-90E8-9F2FF5A1030B}">
  <sheetPr>
    <tabColor theme="9" tint="0.39997558519241921"/>
  </sheetPr>
  <dimension ref="B1:CW95"/>
  <sheetViews>
    <sheetView showGridLines="0" showRowColHeaders="0" tabSelected="1" zoomScaleNormal="100" workbookViewId="0">
      <selection activeCell="BS24" sqref="BS24"/>
    </sheetView>
  </sheetViews>
  <sheetFormatPr defaultColWidth="9.109375" defaultRowHeight="14.4"/>
  <cols>
    <col min="1" max="99" width="2.44140625" style="53" customWidth="1"/>
    <col min="100" max="101" width="2.44140625" style="1" customWidth="1"/>
    <col min="102" max="105" width="9.109375" style="53"/>
    <col min="106" max="106" width="10.6640625" style="53" customWidth="1"/>
    <col min="107" max="107" width="73.6640625" style="53" customWidth="1"/>
    <col min="108" max="108" width="6.33203125" style="53" customWidth="1"/>
    <col min="109" max="16384" width="9.109375" style="53"/>
  </cols>
  <sheetData>
    <row r="1" spans="18:99" ht="6" customHeight="1"/>
    <row r="2" spans="18:99" ht="6" customHeight="1">
      <c r="Z2" s="54" t="s">
        <v>99</v>
      </c>
      <c r="AA2" s="54"/>
      <c r="AB2" s="54"/>
      <c r="AC2" s="54"/>
      <c r="AD2" s="54"/>
      <c r="AE2" s="54"/>
      <c r="AF2" s="54"/>
      <c r="AG2" s="54"/>
      <c r="AH2" s="54"/>
      <c r="AI2" s="54"/>
      <c r="AJ2" s="54"/>
      <c r="AK2" s="54"/>
      <c r="AL2" s="54"/>
      <c r="AM2" s="54"/>
      <c r="AN2" s="54"/>
      <c r="AO2" s="54"/>
      <c r="AP2" s="54"/>
      <c r="AQ2" s="54"/>
      <c r="AR2" s="54"/>
      <c r="AS2" s="54"/>
      <c r="AT2" s="54"/>
      <c r="AU2" s="54"/>
      <c r="AV2" s="54"/>
      <c r="AW2" s="54"/>
      <c r="AX2" s="54"/>
      <c r="AY2" s="54"/>
      <c r="AZ2" s="54"/>
      <c r="BA2" s="54"/>
      <c r="BB2" s="54"/>
      <c r="BC2" s="54"/>
      <c r="BD2" s="55"/>
    </row>
    <row r="3" spans="18:99" ht="6" customHeight="1">
      <c r="Z3" s="54"/>
      <c r="AA3" s="54"/>
      <c r="AB3" s="54"/>
      <c r="AC3" s="54"/>
      <c r="AD3" s="54"/>
      <c r="AE3" s="54"/>
      <c r="AF3" s="54"/>
      <c r="AG3" s="54"/>
      <c r="AH3" s="54"/>
      <c r="AI3" s="54"/>
      <c r="AJ3" s="54"/>
      <c r="AK3" s="54"/>
      <c r="AL3" s="54"/>
      <c r="AM3" s="54"/>
      <c r="AN3" s="54"/>
      <c r="AO3" s="54"/>
      <c r="AP3" s="54"/>
      <c r="AQ3" s="54"/>
      <c r="AR3" s="54"/>
      <c r="AS3" s="54"/>
      <c r="AT3" s="54"/>
      <c r="AU3" s="54"/>
      <c r="AV3" s="54"/>
      <c r="AW3" s="54"/>
      <c r="AX3" s="54"/>
      <c r="AY3" s="54"/>
      <c r="AZ3" s="54"/>
      <c r="BA3" s="54"/>
      <c r="BB3" s="54"/>
      <c r="BC3" s="54"/>
      <c r="BD3" s="55"/>
    </row>
    <row r="4" spans="18:99" ht="6" customHeight="1">
      <c r="Z4" s="56" t="s">
        <v>100</v>
      </c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  <c r="BD4" s="57"/>
    </row>
    <row r="5" spans="18:99" ht="6" customHeight="1">
      <c r="R5" s="58" t="s">
        <v>101</v>
      </c>
      <c r="S5" s="58"/>
      <c r="T5" s="58"/>
      <c r="U5" s="58"/>
      <c r="V5" s="58"/>
      <c r="W5" s="58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  <c r="BD5" s="57"/>
      <c r="BF5" s="58" t="s">
        <v>102</v>
      </c>
      <c r="BG5" s="58"/>
      <c r="BH5" s="58"/>
      <c r="BI5" s="58"/>
      <c r="BJ5" s="58"/>
      <c r="BK5" s="58"/>
    </row>
    <row r="6" spans="18:99" ht="6" customHeight="1">
      <c r="R6" s="58"/>
      <c r="S6" s="58"/>
      <c r="T6" s="58"/>
      <c r="U6" s="58"/>
      <c r="V6" s="58"/>
      <c r="W6" s="58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7"/>
      <c r="BF6" s="58"/>
      <c r="BG6" s="58"/>
      <c r="BH6" s="58"/>
      <c r="BI6" s="58"/>
      <c r="BJ6" s="58"/>
      <c r="BK6" s="58"/>
    </row>
    <row r="7" spans="18:99" ht="6" customHeight="1">
      <c r="R7" s="58"/>
      <c r="S7" s="58"/>
      <c r="T7" s="58"/>
      <c r="U7" s="58"/>
      <c r="V7" s="58"/>
      <c r="W7" s="58"/>
      <c r="X7" s="59"/>
      <c r="BF7" s="58"/>
      <c r="BG7" s="58"/>
      <c r="BH7" s="58"/>
      <c r="BI7" s="58"/>
      <c r="BJ7" s="58"/>
      <c r="BK7" s="58"/>
    </row>
    <row r="8" spans="18:99" ht="6" customHeight="1"/>
    <row r="9" spans="18:99" ht="6" customHeight="1">
      <c r="R9" s="60"/>
      <c r="S9" s="60"/>
      <c r="T9" s="60"/>
      <c r="U9" s="60"/>
      <c r="V9" s="60"/>
      <c r="W9" s="60"/>
      <c r="X9" s="60"/>
      <c r="Y9" s="60"/>
      <c r="Z9" s="61" t="s">
        <v>103</v>
      </c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1"/>
      <c r="AL9" s="61"/>
      <c r="AM9" s="61"/>
      <c r="AN9" s="61"/>
      <c r="AO9" s="61"/>
      <c r="AP9" s="61"/>
      <c r="AQ9" s="61"/>
      <c r="AR9" s="61"/>
      <c r="AS9" s="61"/>
      <c r="AT9" s="61"/>
      <c r="AU9" s="61"/>
      <c r="AV9" s="61"/>
      <c r="AW9" s="61"/>
      <c r="AX9" s="61"/>
      <c r="AY9" s="61"/>
      <c r="AZ9" s="61"/>
      <c r="BA9" s="61"/>
      <c r="BB9" s="61"/>
      <c r="BC9" s="61"/>
      <c r="BD9" s="62"/>
      <c r="BF9" s="60"/>
      <c r="BG9" s="60"/>
      <c r="BH9" s="60"/>
      <c r="BI9" s="60"/>
      <c r="BJ9" s="60"/>
      <c r="BK9" s="60"/>
      <c r="BL9" s="60"/>
      <c r="BM9" s="60"/>
      <c r="BN9" s="63" t="s">
        <v>104</v>
      </c>
      <c r="BO9" s="63"/>
      <c r="BP9" s="63"/>
      <c r="BQ9" s="63"/>
      <c r="BR9" s="63"/>
      <c r="BS9" s="63"/>
      <c r="BT9" s="63"/>
      <c r="BU9" s="63"/>
      <c r="BV9" s="63"/>
      <c r="BW9" s="63"/>
      <c r="BX9" s="63"/>
      <c r="BY9" s="63"/>
      <c r="BZ9" s="63"/>
      <c r="CA9" s="63"/>
      <c r="CB9" s="63"/>
      <c r="CC9" s="63"/>
      <c r="CD9" s="63"/>
      <c r="CE9" s="63"/>
      <c r="CF9" s="63"/>
      <c r="CG9" s="63"/>
      <c r="CH9" s="63"/>
      <c r="CI9" s="63"/>
      <c r="CJ9" s="63"/>
      <c r="CK9" s="63"/>
      <c r="CL9" s="63"/>
      <c r="CM9" s="63"/>
      <c r="CN9" s="63"/>
      <c r="CO9" s="63"/>
      <c r="CP9" s="63"/>
      <c r="CQ9" s="63"/>
      <c r="CR9" s="64"/>
      <c r="CS9" s="64"/>
      <c r="CT9" s="64"/>
      <c r="CU9" s="64"/>
    </row>
    <row r="10" spans="18:99" ht="6" customHeight="1">
      <c r="Z10" s="65"/>
      <c r="AA10" s="65"/>
      <c r="AB10" s="65"/>
      <c r="AC10" s="65"/>
      <c r="AD10" s="65"/>
      <c r="AE10" s="65"/>
      <c r="AF10" s="65"/>
      <c r="AG10" s="65"/>
      <c r="AH10" s="65"/>
      <c r="AI10" s="65"/>
      <c r="AJ10" s="65"/>
      <c r="AK10" s="65"/>
      <c r="AL10" s="65"/>
      <c r="AM10" s="65"/>
      <c r="AN10" s="65"/>
      <c r="AO10" s="65"/>
      <c r="AP10" s="65"/>
      <c r="AQ10" s="65"/>
      <c r="AR10" s="65"/>
      <c r="AS10" s="65"/>
      <c r="AT10" s="65"/>
      <c r="AU10" s="65"/>
      <c r="AV10" s="65"/>
      <c r="AW10" s="65"/>
      <c r="AX10" s="65"/>
      <c r="AY10" s="65"/>
      <c r="AZ10" s="65"/>
      <c r="BA10" s="65"/>
      <c r="BB10" s="65"/>
      <c r="BC10" s="65"/>
      <c r="BD10" s="62"/>
      <c r="BN10" s="66"/>
      <c r="BO10" s="66"/>
      <c r="BP10" s="66"/>
      <c r="BQ10" s="66"/>
      <c r="BR10" s="66"/>
      <c r="BS10" s="66"/>
      <c r="BT10" s="66"/>
      <c r="BU10" s="66"/>
      <c r="BV10" s="66"/>
      <c r="BW10" s="66"/>
      <c r="BX10" s="66"/>
      <c r="BY10" s="66"/>
      <c r="BZ10" s="66"/>
      <c r="CA10" s="66"/>
      <c r="CB10" s="66"/>
      <c r="CC10" s="66"/>
      <c r="CD10" s="66"/>
      <c r="CE10" s="66"/>
      <c r="CF10" s="66"/>
      <c r="CG10" s="66"/>
      <c r="CH10" s="66"/>
      <c r="CI10" s="66"/>
      <c r="CJ10" s="66"/>
      <c r="CK10" s="66"/>
      <c r="CL10" s="66"/>
      <c r="CM10" s="66"/>
      <c r="CN10" s="66"/>
      <c r="CO10" s="66"/>
      <c r="CP10" s="66"/>
      <c r="CQ10" s="66"/>
      <c r="CR10" s="64"/>
      <c r="CS10" s="64"/>
      <c r="CT10" s="64"/>
      <c r="CU10" s="64"/>
    </row>
    <row r="11" spans="18:99" ht="6" customHeight="1"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2"/>
      <c r="BN11" s="66"/>
      <c r="BO11" s="66"/>
      <c r="BP11" s="66"/>
      <c r="BQ11" s="66"/>
      <c r="BR11" s="66"/>
      <c r="BS11" s="66"/>
      <c r="BT11" s="66"/>
      <c r="BU11" s="66"/>
      <c r="BV11" s="66"/>
      <c r="BW11" s="66"/>
      <c r="BX11" s="66"/>
      <c r="BY11" s="66"/>
      <c r="BZ11" s="66"/>
      <c r="CA11" s="66"/>
      <c r="CB11" s="66"/>
      <c r="CC11" s="66"/>
      <c r="CD11" s="66"/>
      <c r="CE11" s="66"/>
      <c r="CF11" s="66"/>
      <c r="CG11" s="66"/>
      <c r="CH11" s="66"/>
      <c r="CI11" s="66"/>
      <c r="CJ11" s="66"/>
      <c r="CK11" s="66"/>
      <c r="CL11" s="66"/>
      <c r="CM11" s="66"/>
      <c r="CN11" s="66"/>
      <c r="CO11" s="66"/>
      <c r="CP11" s="66"/>
      <c r="CQ11" s="66"/>
      <c r="CR11" s="64"/>
      <c r="CS11" s="64"/>
      <c r="CT11" s="64"/>
      <c r="CU11" s="64"/>
    </row>
    <row r="12" spans="18:99" ht="6" customHeight="1"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2"/>
      <c r="BN12" s="67" t="s">
        <v>105</v>
      </c>
      <c r="BO12" s="67"/>
      <c r="BP12" s="67"/>
      <c r="BQ12" s="67"/>
      <c r="BR12" s="67"/>
      <c r="BS12" s="67"/>
      <c r="BT12" s="67"/>
      <c r="BU12" s="67"/>
      <c r="BV12" s="67"/>
      <c r="BW12" s="67"/>
      <c r="BX12" s="67"/>
      <c r="BY12" s="67"/>
      <c r="BZ12" s="67"/>
      <c r="CA12" s="67"/>
      <c r="CB12" s="67"/>
      <c r="CC12" s="67"/>
      <c r="CD12" s="67"/>
      <c r="CE12" s="67"/>
      <c r="CF12" s="67"/>
      <c r="CG12" s="67"/>
      <c r="CH12" s="67"/>
      <c r="CI12" s="67"/>
      <c r="CJ12" s="67"/>
      <c r="CK12" s="67"/>
      <c r="CL12" s="67"/>
      <c r="CM12" s="67"/>
      <c r="CN12" s="67"/>
      <c r="CO12" s="67"/>
      <c r="CP12" s="67"/>
      <c r="CQ12" s="67"/>
      <c r="CR12" s="68"/>
      <c r="CS12" s="68"/>
      <c r="CT12" s="68"/>
      <c r="CU12" s="68"/>
    </row>
    <row r="13" spans="18:99" ht="6" customHeight="1">
      <c r="Z13" s="65"/>
      <c r="AA13" s="65"/>
      <c r="AB13" s="65"/>
      <c r="AC13" s="65"/>
      <c r="AD13" s="65"/>
      <c r="AE13" s="65"/>
      <c r="AF13" s="65"/>
      <c r="AG13" s="65"/>
      <c r="AH13" s="65"/>
      <c r="AI13" s="65"/>
      <c r="AJ13" s="65"/>
      <c r="AK13" s="65"/>
      <c r="AL13" s="65"/>
      <c r="AM13" s="65"/>
      <c r="AN13" s="65"/>
      <c r="AO13" s="65"/>
      <c r="AP13" s="65"/>
      <c r="AQ13" s="65"/>
      <c r="AR13" s="65"/>
      <c r="AS13" s="65"/>
      <c r="AT13" s="65"/>
      <c r="AU13" s="65"/>
      <c r="AV13" s="65"/>
      <c r="AW13" s="65"/>
      <c r="AX13" s="65"/>
      <c r="AY13" s="65"/>
      <c r="AZ13" s="65"/>
      <c r="BA13" s="65"/>
      <c r="BB13" s="65"/>
      <c r="BC13" s="65"/>
      <c r="BD13" s="62"/>
      <c r="BN13" s="67"/>
      <c r="BO13" s="67"/>
      <c r="BP13" s="67"/>
      <c r="BQ13" s="67"/>
      <c r="BR13" s="67"/>
      <c r="BS13" s="67"/>
      <c r="BT13" s="67"/>
      <c r="BU13" s="67"/>
      <c r="BV13" s="67"/>
      <c r="BW13" s="67"/>
      <c r="BX13" s="67"/>
      <c r="BY13" s="67"/>
      <c r="BZ13" s="67"/>
      <c r="CA13" s="67"/>
      <c r="CB13" s="67"/>
      <c r="CC13" s="67"/>
      <c r="CD13" s="67"/>
      <c r="CE13" s="67"/>
      <c r="CF13" s="67"/>
      <c r="CG13" s="67"/>
      <c r="CH13" s="67"/>
      <c r="CI13" s="67"/>
      <c r="CJ13" s="67"/>
      <c r="CK13" s="67"/>
      <c r="CL13" s="67"/>
      <c r="CM13" s="67"/>
      <c r="CN13" s="67"/>
      <c r="CO13" s="67"/>
      <c r="CP13" s="67"/>
      <c r="CQ13" s="67"/>
      <c r="CR13" s="68"/>
      <c r="CS13" s="68"/>
      <c r="CT13" s="68"/>
      <c r="CU13" s="68"/>
    </row>
    <row r="14" spans="18:99" ht="6" customHeight="1">
      <c r="Z14" s="69" t="s">
        <v>106</v>
      </c>
      <c r="AA14" s="69"/>
      <c r="AB14" s="69"/>
      <c r="AC14" s="69"/>
      <c r="AD14" s="69"/>
      <c r="AE14" s="69"/>
      <c r="AF14" s="69"/>
      <c r="AG14" s="69"/>
      <c r="AH14" s="69"/>
      <c r="AI14" s="69"/>
      <c r="AJ14" s="69"/>
      <c r="AK14" s="69"/>
      <c r="AL14" s="69"/>
      <c r="AM14" s="69"/>
      <c r="AN14" s="69"/>
      <c r="AO14" s="69"/>
      <c r="AP14" s="69"/>
      <c r="AQ14" s="69"/>
      <c r="AR14" s="69"/>
      <c r="AS14" s="69"/>
      <c r="AT14" s="69"/>
      <c r="AU14" s="69"/>
      <c r="AV14" s="69"/>
      <c r="AW14" s="69"/>
      <c r="AX14" s="69"/>
      <c r="AY14" s="69"/>
      <c r="AZ14" s="69"/>
      <c r="BA14" s="69"/>
      <c r="BB14" s="69"/>
      <c r="BC14" s="69"/>
      <c r="BD14" s="70"/>
    </row>
    <row r="15" spans="18:99" ht="6" customHeight="1">
      <c r="Z15" s="69"/>
      <c r="AA15" s="69"/>
      <c r="AB15" s="69"/>
      <c r="AC15" s="69"/>
      <c r="AD15" s="69"/>
      <c r="AE15" s="69"/>
      <c r="AF15" s="69"/>
      <c r="AG15" s="69"/>
      <c r="AH15" s="69"/>
      <c r="AI15" s="69"/>
      <c r="AJ15" s="69"/>
      <c r="AK15" s="69"/>
      <c r="AL15" s="69"/>
      <c r="AM15" s="69"/>
      <c r="AN15" s="69"/>
      <c r="AO15" s="69"/>
      <c r="AP15" s="69"/>
      <c r="AQ15" s="69"/>
      <c r="AR15" s="69"/>
      <c r="AS15" s="69"/>
      <c r="AT15" s="69"/>
      <c r="AU15" s="69"/>
      <c r="AV15" s="69"/>
      <c r="AW15" s="69"/>
      <c r="AX15" s="69"/>
      <c r="AY15" s="69"/>
      <c r="AZ15" s="69"/>
      <c r="BA15" s="69"/>
      <c r="BB15" s="69"/>
      <c r="BC15" s="69"/>
      <c r="BD15" s="70"/>
    </row>
    <row r="16" spans="18:99" ht="6" customHeight="1">
      <c r="Z16" s="69"/>
      <c r="AA16" s="69"/>
      <c r="AB16" s="69"/>
      <c r="AC16" s="69"/>
      <c r="AD16" s="69"/>
      <c r="AE16" s="69"/>
      <c r="AF16" s="69"/>
      <c r="AG16" s="69"/>
      <c r="AH16" s="69"/>
      <c r="AI16" s="69"/>
      <c r="AJ16" s="69"/>
      <c r="AK16" s="69"/>
      <c r="AL16" s="69"/>
      <c r="AM16" s="69"/>
      <c r="AN16" s="69"/>
      <c r="AO16" s="69"/>
      <c r="AP16" s="69"/>
      <c r="AQ16" s="69"/>
      <c r="AR16" s="69"/>
      <c r="AS16" s="69"/>
      <c r="AT16" s="69"/>
      <c r="AU16" s="69"/>
      <c r="AV16" s="69"/>
      <c r="AW16" s="69"/>
      <c r="AX16" s="69"/>
      <c r="AY16" s="69"/>
      <c r="AZ16" s="69"/>
      <c r="BA16" s="69"/>
      <c r="BB16" s="69"/>
      <c r="BC16" s="69"/>
      <c r="BD16" s="70"/>
    </row>
    <row r="17" spans="18:56" ht="6" customHeight="1">
      <c r="Z17" s="71" t="s">
        <v>107</v>
      </c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  <c r="BA17" s="71"/>
      <c r="BB17" s="71"/>
      <c r="BC17" s="71"/>
      <c r="BD17" s="72"/>
    </row>
    <row r="18" spans="18:56" ht="6" customHeight="1"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  <c r="BA18" s="71"/>
      <c r="BB18" s="71"/>
      <c r="BC18" s="71"/>
      <c r="BD18" s="72"/>
    </row>
    <row r="19" spans="18:56" ht="6" customHeight="1"/>
    <row r="20" spans="18:56" ht="6" customHeight="1"/>
    <row r="21" spans="18:56" ht="6" customHeight="1">
      <c r="R21" s="60"/>
      <c r="S21" s="60"/>
      <c r="T21" s="60"/>
      <c r="U21" s="60"/>
      <c r="V21" s="60"/>
      <c r="W21" s="60"/>
      <c r="X21" s="60"/>
      <c r="Y21" s="60"/>
      <c r="Z21" s="73" t="s">
        <v>108</v>
      </c>
      <c r="AA21" s="73"/>
      <c r="AB21" s="73"/>
      <c r="AC21" s="73"/>
      <c r="AD21" s="73"/>
      <c r="AE21" s="73"/>
      <c r="AF21" s="73"/>
      <c r="AG21" s="73"/>
      <c r="AH21" s="73"/>
      <c r="AI21" s="73"/>
      <c r="AJ21" s="73"/>
      <c r="AK21" s="73"/>
      <c r="AL21" s="73"/>
      <c r="AM21" s="73"/>
      <c r="AN21" s="73"/>
      <c r="AO21" s="73"/>
      <c r="AP21" s="73"/>
      <c r="AQ21" s="73"/>
      <c r="AR21" s="73"/>
      <c r="AS21" s="73"/>
      <c r="AT21" s="73"/>
      <c r="AU21" s="73"/>
      <c r="AV21" s="73"/>
      <c r="AW21" s="73"/>
      <c r="AX21" s="73"/>
      <c r="AY21" s="73"/>
      <c r="AZ21" s="73"/>
      <c r="BA21" s="73"/>
      <c r="BB21" s="73"/>
      <c r="BC21" s="73"/>
      <c r="BD21" s="74"/>
    </row>
    <row r="22" spans="18:56" ht="6" customHeight="1">
      <c r="Z22" s="75"/>
      <c r="AA22" s="75"/>
      <c r="AB22" s="75"/>
      <c r="AC22" s="75"/>
      <c r="AD22" s="75"/>
      <c r="AE22" s="75"/>
      <c r="AF22" s="75"/>
      <c r="AG22" s="75"/>
      <c r="AH22" s="75"/>
      <c r="AI22" s="75"/>
      <c r="AJ22" s="75"/>
      <c r="AK22" s="75"/>
      <c r="AL22" s="75"/>
      <c r="AM22" s="75"/>
      <c r="AN22" s="75"/>
      <c r="AO22" s="75"/>
      <c r="AP22" s="75"/>
      <c r="AQ22" s="75"/>
      <c r="AR22" s="75"/>
      <c r="AS22" s="75"/>
      <c r="AT22" s="75"/>
      <c r="AU22" s="75"/>
      <c r="AV22" s="75"/>
      <c r="AW22" s="75"/>
      <c r="AX22" s="75"/>
      <c r="AY22" s="75"/>
      <c r="AZ22" s="75"/>
      <c r="BA22" s="75"/>
      <c r="BB22" s="75"/>
      <c r="BC22" s="75"/>
      <c r="BD22" s="74"/>
    </row>
    <row r="23" spans="18:56" ht="6" customHeight="1">
      <c r="Z23" s="76" t="s">
        <v>109</v>
      </c>
      <c r="AA23" s="76"/>
      <c r="AB23" s="76"/>
      <c r="AC23" s="76"/>
      <c r="AD23" s="76"/>
      <c r="AE23" s="76"/>
      <c r="AF23" s="76"/>
      <c r="AG23" s="76"/>
      <c r="AH23" s="76"/>
      <c r="AI23" s="76"/>
      <c r="AJ23" s="76"/>
      <c r="AK23" s="76"/>
      <c r="AL23" s="76"/>
      <c r="AM23" s="76"/>
      <c r="AN23" s="76"/>
      <c r="AO23" s="76"/>
      <c r="AP23" s="76"/>
      <c r="AQ23" s="76"/>
      <c r="AR23" s="76"/>
      <c r="AS23" s="76"/>
      <c r="AT23" s="76"/>
      <c r="AU23" s="76"/>
      <c r="AV23" s="76"/>
      <c r="AW23" s="76"/>
      <c r="AX23" s="76"/>
      <c r="AY23" s="76"/>
      <c r="AZ23" s="76"/>
      <c r="BA23" s="76"/>
      <c r="BB23" s="76"/>
      <c r="BC23" s="76"/>
      <c r="BD23" s="77"/>
    </row>
    <row r="24" spans="18:56" ht="6" customHeight="1">
      <c r="Z24" s="76"/>
      <c r="AA24" s="76"/>
      <c r="AB24" s="76"/>
      <c r="AC24" s="76"/>
      <c r="AD24" s="76"/>
      <c r="AE24" s="76"/>
      <c r="AF24" s="76"/>
      <c r="AG24" s="76"/>
      <c r="AH24" s="76"/>
      <c r="AI24" s="76"/>
      <c r="AJ24" s="76"/>
      <c r="AK24" s="76"/>
      <c r="AL24" s="76"/>
      <c r="AM24" s="76"/>
      <c r="AN24" s="76"/>
      <c r="AO24" s="76"/>
      <c r="AP24" s="76"/>
      <c r="AQ24" s="76"/>
      <c r="AR24" s="76"/>
      <c r="AS24" s="76"/>
      <c r="AT24" s="76"/>
      <c r="AU24" s="76"/>
      <c r="AV24" s="76"/>
      <c r="AW24" s="76"/>
      <c r="AX24" s="76"/>
      <c r="AY24" s="76"/>
      <c r="AZ24" s="76"/>
      <c r="BA24" s="76"/>
      <c r="BB24" s="76"/>
      <c r="BC24" s="76"/>
      <c r="BD24" s="77"/>
    </row>
    <row r="25" spans="18:56" ht="6" customHeight="1"/>
    <row r="26" spans="18:56" ht="6" customHeight="1">
      <c r="Z26" s="71" t="s">
        <v>110</v>
      </c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  <c r="BA26" s="71"/>
      <c r="BB26" s="71"/>
      <c r="BC26" s="71"/>
      <c r="BD26" s="72"/>
    </row>
    <row r="27" spans="18:56" ht="6" customHeight="1"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  <c r="BA27" s="71"/>
      <c r="BB27" s="71"/>
      <c r="BC27" s="71"/>
      <c r="BD27" s="72"/>
    </row>
    <row r="28" spans="18:56" ht="6" customHeight="1"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</row>
    <row r="29" spans="18:56" ht="6" customHeight="1"/>
    <row r="30" spans="18:56" ht="6" customHeight="1"/>
    <row r="31" spans="18:56" ht="6" customHeight="1"/>
    <row r="32" spans="18:56" ht="6" customHeight="1">
      <c r="R32" s="60"/>
      <c r="S32" s="60"/>
      <c r="T32" s="60"/>
      <c r="U32" s="60"/>
      <c r="V32" s="60"/>
      <c r="W32" s="60"/>
      <c r="X32" s="60"/>
      <c r="Y32" s="60"/>
      <c r="Z32" s="79" t="s">
        <v>111</v>
      </c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79"/>
      <c r="AQ32" s="79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80"/>
    </row>
    <row r="33" spans="18:99" ht="6" customHeight="1"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0"/>
    </row>
    <row r="34" spans="18:99" ht="6" customHeight="1"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0"/>
      <c r="BF34" s="60"/>
      <c r="BG34" s="60"/>
      <c r="BH34" s="60"/>
      <c r="BI34" s="60"/>
      <c r="BJ34" s="60"/>
      <c r="BK34" s="60"/>
      <c r="BL34" s="60"/>
      <c r="BM34" s="60"/>
      <c r="BN34" s="63" t="s">
        <v>112</v>
      </c>
      <c r="BO34" s="63"/>
      <c r="BP34" s="63"/>
      <c r="BQ34" s="63"/>
      <c r="BR34" s="63"/>
      <c r="BS34" s="63"/>
      <c r="BT34" s="63"/>
      <c r="BU34" s="63"/>
      <c r="BV34" s="63"/>
      <c r="BW34" s="63"/>
      <c r="BX34" s="63"/>
      <c r="BY34" s="63"/>
      <c r="BZ34" s="63"/>
      <c r="CA34" s="63"/>
      <c r="CB34" s="63"/>
      <c r="CC34" s="63"/>
      <c r="CD34" s="63"/>
      <c r="CE34" s="63"/>
      <c r="CF34" s="63"/>
      <c r="CG34" s="63"/>
      <c r="CH34" s="63"/>
      <c r="CI34" s="63"/>
      <c r="CJ34" s="63"/>
      <c r="CK34" s="63"/>
      <c r="CL34" s="63"/>
      <c r="CM34" s="63"/>
      <c r="CN34" s="63"/>
      <c r="CO34" s="63"/>
      <c r="CP34" s="63"/>
      <c r="CQ34" s="63"/>
      <c r="CR34" s="64"/>
      <c r="CS34" s="64"/>
      <c r="CT34" s="64"/>
      <c r="CU34" s="64"/>
    </row>
    <row r="35" spans="18:99" ht="6" customHeight="1"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0"/>
      <c r="BN35" s="66"/>
      <c r="BO35" s="66"/>
      <c r="BP35" s="66"/>
      <c r="BQ35" s="66"/>
      <c r="BR35" s="66"/>
      <c r="BS35" s="66"/>
      <c r="BT35" s="66"/>
      <c r="BU35" s="66"/>
      <c r="BV35" s="66"/>
      <c r="BW35" s="66"/>
      <c r="BX35" s="66"/>
      <c r="BY35" s="66"/>
      <c r="BZ35" s="66"/>
      <c r="CA35" s="66"/>
      <c r="CB35" s="66"/>
      <c r="CC35" s="66"/>
      <c r="CD35" s="66"/>
      <c r="CE35" s="66"/>
      <c r="CF35" s="66"/>
      <c r="CG35" s="66"/>
      <c r="CH35" s="66"/>
      <c r="CI35" s="66"/>
      <c r="CJ35" s="66"/>
      <c r="CK35" s="66"/>
      <c r="CL35" s="66"/>
      <c r="CM35" s="66"/>
      <c r="CN35" s="66"/>
      <c r="CO35" s="66"/>
      <c r="CP35" s="66"/>
      <c r="CQ35" s="66"/>
      <c r="CR35" s="64"/>
      <c r="CS35" s="64"/>
      <c r="CT35" s="64"/>
      <c r="CU35" s="64"/>
    </row>
    <row r="36" spans="18:99" ht="6" customHeight="1"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0"/>
      <c r="BN36" s="66"/>
      <c r="BO36" s="66"/>
      <c r="BP36" s="66"/>
      <c r="BQ36" s="66"/>
      <c r="BR36" s="66"/>
      <c r="BS36" s="66"/>
      <c r="BT36" s="66"/>
      <c r="BU36" s="66"/>
      <c r="BV36" s="66"/>
      <c r="BW36" s="66"/>
      <c r="BX36" s="66"/>
      <c r="BY36" s="66"/>
      <c r="BZ36" s="66"/>
      <c r="CA36" s="66"/>
      <c r="CB36" s="66"/>
      <c r="CC36" s="66"/>
      <c r="CD36" s="66"/>
      <c r="CE36" s="66"/>
      <c r="CF36" s="66"/>
      <c r="CG36" s="66"/>
      <c r="CH36" s="66"/>
      <c r="CI36" s="66"/>
      <c r="CJ36" s="66"/>
      <c r="CK36" s="66"/>
      <c r="CL36" s="66"/>
      <c r="CM36" s="66"/>
      <c r="CN36" s="66"/>
      <c r="CO36" s="66"/>
      <c r="CP36" s="66"/>
      <c r="CQ36" s="66"/>
      <c r="CR36" s="64"/>
      <c r="CS36" s="64"/>
      <c r="CT36" s="64"/>
      <c r="CU36" s="64"/>
    </row>
    <row r="37" spans="18:99" ht="6" customHeight="1">
      <c r="Z37" s="69" t="s">
        <v>113</v>
      </c>
      <c r="AA37" s="69"/>
      <c r="AB37" s="69"/>
      <c r="AC37" s="69"/>
      <c r="AD37" s="69"/>
      <c r="AE37" s="69"/>
      <c r="AF37" s="69"/>
      <c r="AG37" s="69"/>
      <c r="AH37" s="69"/>
      <c r="AI37" s="69"/>
      <c r="AJ37" s="69"/>
      <c r="AK37" s="69"/>
      <c r="AL37" s="69"/>
      <c r="AM37" s="69"/>
      <c r="AN37" s="69"/>
      <c r="AO37" s="69"/>
      <c r="AP37" s="69"/>
      <c r="AQ37" s="69"/>
      <c r="AR37" s="69"/>
      <c r="AS37" s="69"/>
      <c r="AT37" s="69"/>
      <c r="AU37" s="69"/>
      <c r="AV37" s="69"/>
      <c r="AW37" s="69"/>
      <c r="AX37" s="69"/>
      <c r="AY37" s="69"/>
      <c r="AZ37" s="69"/>
      <c r="BA37" s="69"/>
      <c r="BB37" s="69"/>
      <c r="BC37" s="69"/>
      <c r="BD37" s="70"/>
      <c r="BN37" s="67" t="s">
        <v>114</v>
      </c>
      <c r="BO37" s="67"/>
      <c r="BP37" s="67"/>
      <c r="BQ37" s="67"/>
      <c r="BR37" s="67"/>
      <c r="BS37" s="67"/>
      <c r="BT37" s="67"/>
      <c r="BU37" s="67"/>
      <c r="BV37" s="67"/>
      <c r="BW37" s="67"/>
      <c r="BX37" s="67"/>
      <c r="BY37" s="67"/>
      <c r="BZ37" s="67"/>
      <c r="CA37" s="67"/>
      <c r="CB37" s="67"/>
      <c r="CC37" s="67"/>
      <c r="CD37" s="67"/>
      <c r="CE37" s="67"/>
      <c r="CF37" s="67"/>
      <c r="CG37" s="67"/>
      <c r="CH37" s="67"/>
      <c r="CI37" s="67"/>
      <c r="CJ37" s="67"/>
      <c r="CK37" s="67"/>
      <c r="CL37" s="67"/>
      <c r="CM37" s="67"/>
      <c r="CN37" s="67"/>
      <c r="CO37" s="67"/>
      <c r="CP37" s="67"/>
      <c r="CQ37" s="67"/>
      <c r="CR37" s="68"/>
      <c r="CS37" s="68"/>
      <c r="CT37" s="68"/>
      <c r="CU37" s="68"/>
    </row>
    <row r="38" spans="18:99" ht="6" customHeight="1">
      <c r="Z38" s="69"/>
      <c r="AA38" s="69"/>
      <c r="AB38" s="69"/>
      <c r="AC38" s="69"/>
      <c r="AD38" s="69"/>
      <c r="AE38" s="69"/>
      <c r="AF38" s="69"/>
      <c r="AG38" s="69"/>
      <c r="AH38" s="69"/>
      <c r="AI38" s="69"/>
      <c r="AJ38" s="69"/>
      <c r="AK38" s="69"/>
      <c r="AL38" s="69"/>
      <c r="AM38" s="69"/>
      <c r="AN38" s="69"/>
      <c r="AO38" s="69"/>
      <c r="AP38" s="69"/>
      <c r="AQ38" s="69"/>
      <c r="AR38" s="69"/>
      <c r="AS38" s="69"/>
      <c r="AT38" s="69"/>
      <c r="AU38" s="69"/>
      <c r="AV38" s="69"/>
      <c r="AW38" s="69"/>
      <c r="AX38" s="69"/>
      <c r="AY38" s="69"/>
      <c r="AZ38" s="69"/>
      <c r="BA38" s="69"/>
      <c r="BB38" s="69"/>
      <c r="BC38" s="69"/>
      <c r="BD38" s="70"/>
      <c r="BN38" s="67"/>
      <c r="BO38" s="67"/>
      <c r="BP38" s="67"/>
      <c r="BQ38" s="67"/>
      <c r="BR38" s="67"/>
      <c r="BS38" s="67"/>
      <c r="BT38" s="67"/>
      <c r="BU38" s="67"/>
      <c r="BV38" s="67"/>
      <c r="BW38" s="67"/>
      <c r="BX38" s="67"/>
      <c r="BY38" s="67"/>
      <c r="BZ38" s="67"/>
      <c r="CA38" s="67"/>
      <c r="CB38" s="67"/>
      <c r="CC38" s="67"/>
      <c r="CD38" s="67"/>
      <c r="CE38" s="67"/>
      <c r="CF38" s="67"/>
      <c r="CG38" s="67"/>
      <c r="CH38" s="67"/>
      <c r="CI38" s="67"/>
      <c r="CJ38" s="67"/>
      <c r="CK38" s="67"/>
      <c r="CL38" s="67"/>
      <c r="CM38" s="67"/>
      <c r="CN38" s="67"/>
      <c r="CO38" s="67"/>
      <c r="CP38" s="67"/>
      <c r="CQ38" s="67"/>
      <c r="CR38" s="68"/>
      <c r="CS38" s="68"/>
      <c r="CT38" s="68"/>
      <c r="CU38" s="68"/>
    </row>
    <row r="39" spans="18:99" ht="6" customHeight="1">
      <c r="Z39" s="69"/>
      <c r="AA39" s="69"/>
      <c r="AB39" s="69"/>
      <c r="AC39" s="69"/>
      <c r="AD39" s="69"/>
      <c r="AE39" s="69"/>
      <c r="AF39" s="69"/>
      <c r="AG39" s="69"/>
      <c r="AH39" s="69"/>
      <c r="AI39" s="69"/>
      <c r="AJ39" s="69"/>
      <c r="AK39" s="69"/>
      <c r="AL39" s="69"/>
      <c r="AM39" s="69"/>
      <c r="AN39" s="69"/>
      <c r="AO39" s="69"/>
      <c r="AP39" s="69"/>
      <c r="AQ39" s="69"/>
      <c r="AR39" s="69"/>
      <c r="AS39" s="69"/>
      <c r="AT39" s="69"/>
      <c r="AU39" s="69"/>
      <c r="AV39" s="69"/>
      <c r="AW39" s="69"/>
      <c r="AX39" s="69"/>
      <c r="AY39" s="69"/>
      <c r="AZ39" s="69"/>
      <c r="BA39" s="69"/>
      <c r="BB39" s="69"/>
      <c r="BC39" s="69"/>
      <c r="BD39" s="70"/>
    </row>
    <row r="40" spans="18:99" ht="6" customHeight="1">
      <c r="Z40" s="71" t="s">
        <v>115</v>
      </c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  <c r="BA40" s="71"/>
      <c r="BB40" s="71"/>
      <c r="BC40" s="71"/>
      <c r="BD40" s="72"/>
      <c r="BN40" s="66" t="s">
        <v>116</v>
      </c>
      <c r="BO40" s="66"/>
      <c r="BP40" s="66"/>
      <c r="BQ40" s="66"/>
      <c r="BR40" s="66"/>
      <c r="BS40" s="66"/>
      <c r="BT40" s="66"/>
      <c r="BU40" s="66"/>
      <c r="BV40" s="66"/>
      <c r="BW40" s="66"/>
      <c r="BX40" s="66"/>
      <c r="BY40" s="66"/>
      <c r="BZ40" s="66"/>
      <c r="CA40" s="66"/>
      <c r="CB40" s="66"/>
      <c r="CC40" s="66"/>
      <c r="CD40" s="66"/>
      <c r="CE40" s="66"/>
      <c r="CF40" s="66"/>
      <c r="CG40" s="66"/>
      <c r="CH40" s="66"/>
      <c r="CI40" s="66"/>
      <c r="CJ40" s="66"/>
      <c r="CK40" s="66"/>
      <c r="CL40" s="66"/>
      <c r="CM40" s="66"/>
      <c r="CN40" s="66"/>
      <c r="CO40" s="66"/>
      <c r="CP40" s="66"/>
      <c r="CQ40" s="66"/>
      <c r="CR40" s="64"/>
      <c r="CS40" s="64"/>
      <c r="CT40" s="64"/>
      <c r="CU40" s="64"/>
    </row>
    <row r="41" spans="18:99" ht="6" customHeight="1"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  <c r="BA41" s="71"/>
      <c r="BB41" s="71"/>
      <c r="BC41" s="71"/>
      <c r="BD41" s="72"/>
      <c r="BN41" s="66"/>
      <c r="BO41" s="66"/>
      <c r="BP41" s="66"/>
      <c r="BQ41" s="66"/>
      <c r="BR41" s="66"/>
      <c r="BS41" s="66"/>
      <c r="BT41" s="66"/>
      <c r="BU41" s="66"/>
      <c r="BV41" s="66"/>
      <c r="BW41" s="66"/>
      <c r="BX41" s="66"/>
      <c r="BY41" s="66"/>
      <c r="BZ41" s="66"/>
      <c r="CA41" s="66"/>
      <c r="CB41" s="66"/>
      <c r="CC41" s="66"/>
      <c r="CD41" s="66"/>
      <c r="CE41" s="66"/>
      <c r="CF41" s="66"/>
      <c r="CG41" s="66"/>
      <c r="CH41" s="66"/>
      <c r="CI41" s="66"/>
      <c r="CJ41" s="66"/>
      <c r="CK41" s="66"/>
      <c r="CL41" s="66"/>
      <c r="CM41" s="66"/>
      <c r="CN41" s="66"/>
      <c r="CO41" s="66"/>
      <c r="CP41" s="66"/>
      <c r="CQ41" s="66"/>
      <c r="CR41" s="64"/>
      <c r="CS41" s="64"/>
      <c r="CT41" s="64"/>
      <c r="CU41" s="64"/>
    </row>
    <row r="42" spans="18:99" ht="6" customHeight="1">
      <c r="BN42" s="66"/>
      <c r="BO42" s="66"/>
      <c r="BP42" s="66"/>
      <c r="BQ42" s="66"/>
      <c r="BR42" s="66"/>
      <c r="BS42" s="66"/>
      <c r="BT42" s="66"/>
      <c r="BU42" s="66"/>
      <c r="BV42" s="66"/>
      <c r="BW42" s="66"/>
      <c r="BX42" s="66"/>
      <c r="BY42" s="66"/>
      <c r="BZ42" s="66"/>
      <c r="CA42" s="66"/>
      <c r="CB42" s="66"/>
      <c r="CC42" s="66"/>
      <c r="CD42" s="66"/>
      <c r="CE42" s="66"/>
      <c r="CF42" s="66"/>
      <c r="CG42" s="66"/>
      <c r="CH42" s="66"/>
      <c r="CI42" s="66"/>
      <c r="CJ42" s="66"/>
      <c r="CK42" s="66"/>
      <c r="CL42" s="66"/>
      <c r="CM42" s="66"/>
      <c r="CN42" s="66"/>
      <c r="CO42" s="66"/>
      <c r="CP42" s="66"/>
      <c r="CQ42" s="66"/>
      <c r="CR42" s="64"/>
      <c r="CS42" s="64"/>
      <c r="CT42" s="64"/>
      <c r="CU42" s="64"/>
    </row>
    <row r="43" spans="18:99" ht="6" customHeight="1">
      <c r="R43" s="60"/>
      <c r="S43" s="60"/>
      <c r="T43" s="60"/>
      <c r="U43" s="60"/>
      <c r="V43" s="60"/>
      <c r="W43" s="60"/>
      <c r="X43" s="60"/>
      <c r="Y43" s="60"/>
      <c r="Z43" s="79" t="s">
        <v>117</v>
      </c>
      <c r="AA43" s="79"/>
      <c r="AB43" s="79"/>
      <c r="AC43" s="79"/>
      <c r="AD43" s="79"/>
      <c r="AE43" s="79"/>
      <c r="AF43" s="79"/>
      <c r="AG43" s="79"/>
      <c r="AH43" s="79"/>
      <c r="AI43" s="79"/>
      <c r="AJ43" s="79"/>
      <c r="AK43" s="79"/>
      <c r="AL43" s="79"/>
      <c r="AM43" s="79"/>
      <c r="AN43" s="79"/>
      <c r="AO43" s="79"/>
      <c r="AP43" s="79"/>
      <c r="AQ43" s="79"/>
      <c r="AR43" s="79"/>
      <c r="AS43" s="79"/>
      <c r="AT43" s="79"/>
      <c r="AU43" s="79"/>
      <c r="AV43" s="79"/>
      <c r="AW43" s="79"/>
      <c r="AX43" s="79"/>
      <c r="AY43" s="79"/>
      <c r="AZ43" s="79"/>
      <c r="BA43" s="79"/>
      <c r="BB43" s="79"/>
      <c r="BC43" s="79"/>
      <c r="BD43" s="80"/>
      <c r="BN43" s="67" t="s">
        <v>118</v>
      </c>
      <c r="BO43" s="67"/>
      <c r="BP43" s="67"/>
      <c r="BQ43" s="67"/>
      <c r="BR43" s="67"/>
      <c r="BS43" s="67"/>
      <c r="BT43" s="67"/>
      <c r="BU43" s="67"/>
      <c r="BV43" s="67"/>
      <c r="BW43" s="67"/>
      <c r="BX43" s="67"/>
      <c r="BY43" s="67"/>
      <c r="BZ43" s="67"/>
      <c r="CA43" s="67"/>
      <c r="CB43" s="67"/>
      <c r="CC43" s="67"/>
      <c r="CD43" s="67"/>
      <c r="CE43" s="67"/>
      <c r="CF43" s="67"/>
      <c r="CG43" s="67"/>
      <c r="CH43" s="67"/>
      <c r="CI43" s="67"/>
      <c r="CJ43" s="67"/>
      <c r="CK43" s="67"/>
      <c r="CL43" s="67"/>
      <c r="CM43" s="67"/>
      <c r="CN43" s="67"/>
      <c r="CO43" s="67"/>
      <c r="CP43" s="67"/>
      <c r="CQ43" s="67"/>
      <c r="CR43" s="68"/>
      <c r="CS43" s="68"/>
      <c r="CT43" s="68"/>
      <c r="CU43" s="68"/>
    </row>
    <row r="44" spans="18:99" ht="6" customHeight="1">
      <c r="Z44" s="81"/>
      <c r="AA44" s="81"/>
      <c r="AB44" s="81"/>
      <c r="AC44" s="81"/>
      <c r="AD44" s="81"/>
      <c r="AE44" s="81"/>
      <c r="AF44" s="81"/>
      <c r="AG44" s="81"/>
      <c r="AH44" s="81"/>
      <c r="AI44" s="81"/>
      <c r="AJ44" s="81"/>
      <c r="AK44" s="81"/>
      <c r="AL44" s="81"/>
      <c r="AM44" s="81"/>
      <c r="AN44" s="81"/>
      <c r="AO44" s="81"/>
      <c r="AP44" s="81"/>
      <c r="AQ44" s="81"/>
      <c r="AR44" s="81"/>
      <c r="AS44" s="81"/>
      <c r="AT44" s="81"/>
      <c r="AU44" s="81"/>
      <c r="AV44" s="81"/>
      <c r="AW44" s="81"/>
      <c r="AX44" s="81"/>
      <c r="AY44" s="81"/>
      <c r="AZ44" s="81"/>
      <c r="BA44" s="81"/>
      <c r="BB44" s="81"/>
      <c r="BC44" s="81"/>
      <c r="BD44" s="80"/>
      <c r="BN44" s="67"/>
      <c r="BO44" s="67"/>
      <c r="BP44" s="67"/>
      <c r="BQ44" s="67"/>
      <c r="BR44" s="67"/>
      <c r="BS44" s="67"/>
      <c r="BT44" s="67"/>
      <c r="BU44" s="67"/>
      <c r="BV44" s="67"/>
      <c r="BW44" s="67"/>
      <c r="BX44" s="67"/>
      <c r="BY44" s="67"/>
      <c r="BZ44" s="67"/>
      <c r="CA44" s="67"/>
      <c r="CB44" s="67"/>
      <c r="CC44" s="67"/>
      <c r="CD44" s="67"/>
      <c r="CE44" s="67"/>
      <c r="CF44" s="67"/>
      <c r="CG44" s="67"/>
      <c r="CH44" s="67"/>
      <c r="CI44" s="67"/>
      <c r="CJ44" s="67"/>
      <c r="CK44" s="67"/>
      <c r="CL44" s="67"/>
      <c r="CM44" s="67"/>
      <c r="CN44" s="67"/>
      <c r="CO44" s="67"/>
      <c r="CP44" s="67"/>
      <c r="CQ44" s="67"/>
      <c r="CR44" s="68"/>
      <c r="CS44" s="68"/>
      <c r="CT44" s="68"/>
      <c r="CU44" s="68"/>
    </row>
    <row r="45" spans="18:99" ht="6" customHeight="1">
      <c r="Z45" s="81"/>
      <c r="AA45" s="81"/>
      <c r="AB45" s="81"/>
      <c r="AC45" s="81"/>
      <c r="AD45" s="81"/>
      <c r="AE45" s="81"/>
      <c r="AF45" s="81"/>
      <c r="AG45" s="81"/>
      <c r="AH45" s="81"/>
      <c r="AI45" s="81"/>
      <c r="AJ45" s="81"/>
      <c r="AK45" s="81"/>
      <c r="AL45" s="81"/>
      <c r="AM45" s="81"/>
      <c r="AN45" s="81"/>
      <c r="AO45" s="81"/>
      <c r="AP45" s="81"/>
      <c r="AQ45" s="81"/>
      <c r="AR45" s="81"/>
      <c r="AS45" s="81"/>
      <c r="AT45" s="81"/>
      <c r="AU45" s="81"/>
      <c r="AV45" s="81"/>
      <c r="AW45" s="81"/>
      <c r="AX45" s="81"/>
      <c r="AY45" s="81"/>
      <c r="AZ45" s="81"/>
      <c r="BA45" s="81"/>
      <c r="BB45" s="81"/>
      <c r="BC45" s="81"/>
      <c r="BD45" s="80"/>
    </row>
    <row r="46" spans="18:99" ht="6" customHeight="1">
      <c r="Z46" s="81"/>
      <c r="AA46" s="81"/>
      <c r="AB46" s="81"/>
      <c r="AC46" s="81"/>
      <c r="AD46" s="81"/>
      <c r="AE46" s="81"/>
      <c r="AF46" s="81"/>
      <c r="AG46" s="81"/>
      <c r="AH46" s="81"/>
      <c r="AI46" s="81"/>
      <c r="AJ46" s="81"/>
      <c r="AK46" s="81"/>
      <c r="AL46" s="81"/>
      <c r="AM46" s="81"/>
      <c r="AN46" s="81"/>
      <c r="AO46" s="81"/>
      <c r="AP46" s="81"/>
      <c r="AQ46" s="81"/>
      <c r="AR46" s="81"/>
      <c r="AS46" s="81"/>
      <c r="AT46" s="81"/>
      <c r="AU46" s="81"/>
      <c r="AV46" s="81"/>
      <c r="AW46" s="81"/>
      <c r="AX46" s="81"/>
      <c r="AY46" s="81"/>
      <c r="AZ46" s="81"/>
      <c r="BA46" s="81"/>
      <c r="BB46" s="81"/>
      <c r="BC46" s="81"/>
      <c r="BD46" s="80"/>
    </row>
    <row r="47" spans="18:99" ht="6" customHeight="1">
      <c r="Z47" s="81"/>
      <c r="AA47" s="81"/>
      <c r="AB47" s="81"/>
      <c r="AC47" s="81"/>
      <c r="AD47" s="81"/>
      <c r="AE47" s="81"/>
      <c r="AF47" s="81"/>
      <c r="AG47" s="81"/>
      <c r="AH47" s="81"/>
      <c r="AI47" s="81"/>
      <c r="AJ47" s="81"/>
      <c r="AK47" s="81"/>
      <c r="AL47" s="81"/>
      <c r="AM47" s="81"/>
      <c r="AN47" s="81"/>
      <c r="AO47" s="81"/>
      <c r="AP47" s="81"/>
      <c r="AQ47" s="81"/>
      <c r="AR47" s="81"/>
      <c r="AS47" s="81"/>
      <c r="AT47" s="81"/>
      <c r="AU47" s="81"/>
      <c r="AV47" s="81"/>
      <c r="AW47" s="81"/>
      <c r="AX47" s="81"/>
      <c r="AY47" s="81"/>
      <c r="AZ47" s="81"/>
      <c r="BA47" s="81"/>
      <c r="BB47" s="81"/>
      <c r="BC47" s="81"/>
      <c r="BD47" s="80"/>
    </row>
    <row r="48" spans="18:99" ht="6" customHeight="1">
      <c r="Z48" s="69" t="s">
        <v>119</v>
      </c>
      <c r="AA48" s="69"/>
      <c r="AB48" s="69"/>
      <c r="AC48" s="69"/>
      <c r="AD48" s="69"/>
      <c r="AE48" s="69"/>
      <c r="AF48" s="69"/>
      <c r="AG48" s="69"/>
      <c r="AH48" s="69"/>
      <c r="AI48" s="69"/>
      <c r="AJ48" s="69"/>
      <c r="AK48" s="69"/>
      <c r="AL48" s="69"/>
      <c r="AM48" s="69"/>
      <c r="AN48" s="69"/>
      <c r="AO48" s="69"/>
      <c r="AP48" s="69"/>
      <c r="AQ48" s="69"/>
      <c r="AR48" s="69"/>
      <c r="AS48" s="69"/>
      <c r="AT48" s="69"/>
      <c r="AU48" s="69"/>
      <c r="AV48" s="69"/>
      <c r="AW48" s="69"/>
      <c r="AX48" s="69"/>
      <c r="AY48" s="69"/>
      <c r="AZ48" s="69"/>
      <c r="BA48" s="69"/>
      <c r="BB48" s="69"/>
      <c r="BC48" s="69"/>
      <c r="BD48" s="70"/>
    </row>
    <row r="49" spans="2:99" ht="6" customHeight="1">
      <c r="Z49" s="69"/>
      <c r="AA49" s="69"/>
      <c r="AB49" s="69"/>
      <c r="AC49" s="69"/>
      <c r="AD49" s="69"/>
      <c r="AE49" s="69"/>
      <c r="AF49" s="69"/>
      <c r="AG49" s="69"/>
      <c r="AH49" s="69"/>
      <c r="AI49" s="69"/>
      <c r="AJ49" s="69"/>
      <c r="AK49" s="69"/>
      <c r="AL49" s="69"/>
      <c r="AM49" s="69"/>
      <c r="AN49" s="69"/>
      <c r="AO49" s="69"/>
      <c r="AP49" s="69"/>
      <c r="AQ49" s="69"/>
      <c r="AR49" s="69"/>
      <c r="AS49" s="69"/>
      <c r="AT49" s="69"/>
      <c r="AU49" s="69"/>
      <c r="AV49" s="69"/>
      <c r="AW49" s="69"/>
      <c r="AX49" s="69"/>
      <c r="AY49" s="69"/>
      <c r="AZ49" s="69"/>
      <c r="BA49" s="69"/>
      <c r="BB49" s="69"/>
      <c r="BC49" s="69"/>
      <c r="BD49" s="70"/>
    </row>
    <row r="50" spans="2:99" ht="6" customHeight="1">
      <c r="Z50" s="69"/>
      <c r="AA50" s="69"/>
      <c r="AB50" s="69"/>
      <c r="AC50" s="69"/>
      <c r="AD50" s="69"/>
      <c r="AE50" s="69"/>
      <c r="AF50" s="69"/>
      <c r="AG50" s="69"/>
      <c r="AH50" s="69"/>
      <c r="AI50" s="69"/>
      <c r="AJ50" s="69"/>
      <c r="AK50" s="69"/>
      <c r="AL50" s="69"/>
      <c r="AM50" s="69"/>
      <c r="AN50" s="69"/>
      <c r="AO50" s="69"/>
      <c r="AP50" s="69"/>
      <c r="AQ50" s="69"/>
      <c r="AR50" s="69"/>
      <c r="AS50" s="69"/>
      <c r="AT50" s="69"/>
      <c r="AU50" s="69"/>
      <c r="AV50" s="69"/>
      <c r="AW50" s="69"/>
      <c r="AX50" s="69"/>
      <c r="AY50" s="69"/>
      <c r="AZ50" s="69"/>
      <c r="BA50" s="69"/>
      <c r="BB50" s="69"/>
      <c r="BC50" s="69"/>
      <c r="BD50" s="70"/>
    </row>
    <row r="51" spans="2:99" ht="6" customHeight="1">
      <c r="B51" s="56" t="s">
        <v>120</v>
      </c>
      <c r="C51" s="56"/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Z51" s="71" t="s">
        <v>121</v>
      </c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  <c r="BA51" s="71"/>
      <c r="BB51" s="71"/>
      <c r="BC51" s="71"/>
      <c r="BD51" s="72"/>
    </row>
    <row r="52" spans="2:99" ht="6" customHeight="1">
      <c r="B52" s="56"/>
      <c r="C52" s="56"/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  <c r="BA52" s="71"/>
      <c r="BB52" s="71"/>
      <c r="BC52" s="71"/>
      <c r="BD52" s="72"/>
    </row>
    <row r="53" spans="2:99" ht="6" customHeight="1">
      <c r="B53" s="82"/>
      <c r="C53" s="82"/>
      <c r="D53" s="82"/>
      <c r="E53" s="82"/>
      <c r="F53" s="82"/>
      <c r="G53" s="82"/>
      <c r="H53" s="82"/>
      <c r="I53" s="82"/>
      <c r="J53" s="82"/>
      <c r="K53" s="82"/>
      <c r="L53" s="82"/>
      <c r="M53" s="82"/>
      <c r="N53" s="82"/>
      <c r="O53" s="82"/>
      <c r="P53" s="82"/>
    </row>
    <row r="54" spans="2:99" ht="6" customHeight="1">
      <c r="B54" s="83" t="s">
        <v>122</v>
      </c>
      <c r="C54" s="83"/>
      <c r="D54" s="83"/>
      <c r="E54" s="83"/>
      <c r="F54" s="83"/>
      <c r="G54" s="83"/>
      <c r="H54" s="83"/>
      <c r="I54" s="83"/>
      <c r="J54" s="83"/>
      <c r="K54" s="83"/>
      <c r="L54" s="83"/>
      <c r="M54" s="83"/>
      <c r="N54" s="83"/>
      <c r="O54" s="83"/>
      <c r="P54" s="83"/>
      <c r="R54" s="60"/>
      <c r="S54" s="60"/>
      <c r="T54" s="60"/>
      <c r="U54" s="60"/>
      <c r="V54" s="60"/>
      <c r="W54" s="60"/>
      <c r="X54" s="60"/>
      <c r="Y54" s="60"/>
      <c r="Z54" s="79" t="s">
        <v>123</v>
      </c>
      <c r="AA54" s="79"/>
      <c r="AB54" s="79"/>
      <c r="AC54" s="79"/>
      <c r="AD54" s="79"/>
      <c r="AE54" s="79"/>
      <c r="AF54" s="79"/>
      <c r="AG54" s="79"/>
      <c r="AH54" s="79"/>
      <c r="AI54" s="79"/>
      <c r="AJ54" s="79"/>
      <c r="AK54" s="79"/>
      <c r="AL54" s="79"/>
      <c r="AM54" s="79"/>
      <c r="AN54" s="79"/>
      <c r="AO54" s="79"/>
      <c r="AP54" s="79"/>
      <c r="AQ54" s="79"/>
      <c r="AR54" s="79"/>
      <c r="AS54" s="79"/>
      <c r="AT54" s="79"/>
      <c r="AU54" s="79"/>
      <c r="AV54" s="79"/>
      <c r="AW54" s="79"/>
      <c r="AX54" s="79"/>
      <c r="AY54" s="79"/>
      <c r="AZ54" s="79"/>
      <c r="BA54" s="79"/>
      <c r="BB54" s="79"/>
      <c r="BC54" s="79"/>
      <c r="BD54" s="80"/>
    </row>
    <row r="55" spans="2:99" ht="6" customHeight="1">
      <c r="B55" s="83"/>
      <c r="C55" s="83"/>
      <c r="D55" s="83"/>
      <c r="E55" s="83"/>
      <c r="F55" s="83"/>
      <c r="G55" s="83"/>
      <c r="H55" s="83"/>
      <c r="I55" s="83"/>
      <c r="J55" s="83"/>
      <c r="K55" s="83"/>
      <c r="L55" s="83"/>
      <c r="M55" s="83"/>
      <c r="N55" s="83"/>
      <c r="O55" s="83"/>
      <c r="P55" s="83"/>
      <c r="Z55" s="81"/>
      <c r="AA55" s="81"/>
      <c r="AB55" s="81"/>
      <c r="AC55" s="81"/>
      <c r="AD55" s="81"/>
      <c r="AE55" s="81"/>
      <c r="AF55" s="81"/>
      <c r="AG55" s="81"/>
      <c r="AH55" s="81"/>
      <c r="AI55" s="81"/>
      <c r="AJ55" s="81"/>
      <c r="AK55" s="81"/>
      <c r="AL55" s="81"/>
      <c r="AM55" s="81"/>
      <c r="AN55" s="81"/>
      <c r="AO55" s="81"/>
      <c r="AP55" s="81"/>
      <c r="AQ55" s="81"/>
      <c r="AR55" s="81"/>
      <c r="AS55" s="81"/>
      <c r="AT55" s="81"/>
      <c r="AU55" s="81"/>
      <c r="AV55" s="81"/>
      <c r="AW55" s="81"/>
      <c r="AX55" s="81"/>
      <c r="AY55" s="81"/>
      <c r="AZ55" s="81"/>
      <c r="BA55" s="81"/>
      <c r="BB55" s="81"/>
      <c r="BC55" s="81"/>
      <c r="BD55" s="80"/>
    </row>
    <row r="56" spans="2:99" ht="6" customHeight="1">
      <c r="B56" s="83"/>
      <c r="C56" s="83"/>
      <c r="D56" s="83"/>
      <c r="E56" s="83"/>
      <c r="F56" s="83"/>
      <c r="G56" s="83"/>
      <c r="H56" s="83"/>
      <c r="I56" s="83"/>
      <c r="J56" s="83"/>
      <c r="K56" s="83"/>
      <c r="L56" s="83"/>
      <c r="M56" s="83"/>
      <c r="N56" s="83"/>
      <c r="O56" s="83"/>
      <c r="P56" s="83"/>
      <c r="Z56" s="81"/>
      <c r="AA56" s="81"/>
      <c r="AB56" s="81"/>
      <c r="AC56" s="81"/>
      <c r="AD56" s="81"/>
      <c r="AE56" s="81"/>
      <c r="AF56" s="81"/>
      <c r="AG56" s="81"/>
      <c r="AH56" s="81"/>
      <c r="AI56" s="81"/>
      <c r="AJ56" s="81"/>
      <c r="AK56" s="81"/>
      <c r="AL56" s="81"/>
      <c r="AM56" s="81"/>
      <c r="AN56" s="81"/>
      <c r="AO56" s="81"/>
      <c r="AP56" s="81"/>
      <c r="AQ56" s="81"/>
      <c r="AR56" s="81"/>
      <c r="AS56" s="81"/>
      <c r="AT56" s="81"/>
      <c r="AU56" s="81"/>
      <c r="AV56" s="81"/>
      <c r="AW56" s="81"/>
      <c r="AX56" s="81"/>
      <c r="AY56" s="81"/>
      <c r="AZ56" s="81"/>
      <c r="BA56" s="81"/>
      <c r="BB56" s="81"/>
      <c r="BC56" s="81"/>
      <c r="BD56" s="80"/>
    </row>
    <row r="57" spans="2:99" ht="6" customHeight="1">
      <c r="B57" s="84" t="s">
        <v>124</v>
      </c>
      <c r="C57" s="84"/>
      <c r="D57" s="84"/>
      <c r="E57" s="84"/>
      <c r="F57" s="84"/>
      <c r="G57" s="84"/>
      <c r="H57" s="84"/>
      <c r="I57" s="84"/>
      <c r="J57" s="84"/>
      <c r="K57" s="84"/>
      <c r="L57" s="84"/>
      <c r="M57" s="84"/>
      <c r="N57" s="84"/>
      <c r="O57" s="84"/>
      <c r="P57" s="84"/>
      <c r="Z57" s="81"/>
      <c r="AA57" s="81"/>
      <c r="AB57" s="81"/>
      <c r="AC57" s="81"/>
      <c r="AD57" s="81"/>
      <c r="AE57" s="81"/>
      <c r="AF57" s="81"/>
      <c r="AG57" s="81"/>
      <c r="AH57" s="81"/>
      <c r="AI57" s="81"/>
      <c r="AJ57" s="81"/>
      <c r="AK57" s="81"/>
      <c r="AL57" s="81"/>
      <c r="AM57" s="81"/>
      <c r="AN57" s="81"/>
      <c r="AO57" s="81"/>
      <c r="AP57" s="81"/>
      <c r="AQ57" s="81"/>
      <c r="AR57" s="81"/>
      <c r="AS57" s="81"/>
      <c r="AT57" s="81"/>
      <c r="AU57" s="81"/>
      <c r="AV57" s="81"/>
      <c r="AW57" s="81"/>
      <c r="AX57" s="81"/>
      <c r="AY57" s="81"/>
      <c r="AZ57" s="81"/>
      <c r="BA57" s="81"/>
      <c r="BB57" s="81"/>
      <c r="BC57" s="81"/>
      <c r="BD57" s="80"/>
    </row>
    <row r="58" spans="2:99" ht="6" customHeight="1">
      <c r="B58" s="84"/>
      <c r="C58" s="84"/>
      <c r="D58" s="84"/>
      <c r="E58" s="84"/>
      <c r="F58" s="84"/>
      <c r="G58" s="84"/>
      <c r="H58" s="84"/>
      <c r="I58" s="84"/>
      <c r="J58" s="84"/>
      <c r="K58" s="84"/>
      <c r="L58" s="84"/>
      <c r="M58" s="84"/>
      <c r="N58" s="84"/>
      <c r="O58" s="84"/>
      <c r="P58" s="84"/>
      <c r="Z58" s="81"/>
      <c r="AA58" s="81"/>
      <c r="AB58" s="81"/>
      <c r="AC58" s="81"/>
      <c r="AD58" s="81"/>
      <c r="AE58" s="81"/>
      <c r="AF58" s="81"/>
      <c r="AG58" s="81"/>
      <c r="AH58" s="81"/>
      <c r="AI58" s="81"/>
      <c r="AJ58" s="81"/>
      <c r="AK58" s="81"/>
      <c r="AL58" s="81"/>
      <c r="AM58" s="81"/>
      <c r="AN58" s="81"/>
      <c r="AO58" s="81"/>
      <c r="AP58" s="81"/>
      <c r="AQ58" s="81"/>
      <c r="AR58" s="81"/>
      <c r="AS58" s="81"/>
      <c r="AT58" s="81"/>
      <c r="AU58" s="81"/>
      <c r="AV58" s="81"/>
      <c r="AW58" s="81"/>
      <c r="AX58" s="81"/>
      <c r="AY58" s="81"/>
      <c r="AZ58" s="81"/>
      <c r="BA58" s="81"/>
      <c r="BB58" s="81"/>
      <c r="BC58" s="81"/>
      <c r="BD58" s="80"/>
    </row>
    <row r="59" spans="2:99" ht="6" customHeight="1">
      <c r="Z59" s="69" t="s">
        <v>125</v>
      </c>
      <c r="AA59" s="69"/>
      <c r="AB59" s="69"/>
      <c r="AC59" s="69"/>
      <c r="AD59" s="69"/>
      <c r="AE59" s="69"/>
      <c r="AF59" s="69"/>
      <c r="AG59" s="69"/>
      <c r="AH59" s="69"/>
      <c r="AI59" s="69"/>
      <c r="AJ59" s="69"/>
      <c r="AK59" s="69"/>
      <c r="AL59" s="69"/>
      <c r="AM59" s="69"/>
      <c r="AN59" s="69"/>
      <c r="AO59" s="69"/>
      <c r="AP59" s="69"/>
      <c r="AQ59" s="69"/>
      <c r="AR59" s="69"/>
      <c r="AS59" s="69"/>
      <c r="AT59" s="69"/>
      <c r="AU59" s="69"/>
      <c r="AV59" s="69"/>
      <c r="AW59" s="69"/>
      <c r="AX59" s="69"/>
      <c r="AY59" s="69"/>
      <c r="AZ59" s="69"/>
      <c r="BA59" s="69"/>
      <c r="BB59" s="69"/>
      <c r="BC59" s="69"/>
      <c r="BD59" s="70"/>
      <c r="BF59" s="60"/>
      <c r="BG59" s="60"/>
      <c r="BH59" s="60"/>
      <c r="BI59" s="60"/>
      <c r="BJ59" s="60"/>
      <c r="BK59" s="60"/>
      <c r="BL59" s="60"/>
      <c r="BM59" s="60"/>
      <c r="BN59" s="63" t="s">
        <v>112</v>
      </c>
      <c r="BO59" s="63"/>
      <c r="BP59" s="63"/>
      <c r="BQ59" s="63"/>
      <c r="BR59" s="63"/>
      <c r="BS59" s="63"/>
      <c r="BT59" s="63"/>
      <c r="BU59" s="63"/>
      <c r="BV59" s="63"/>
      <c r="BW59" s="63"/>
      <c r="BX59" s="63"/>
      <c r="BY59" s="63"/>
      <c r="BZ59" s="63"/>
      <c r="CA59" s="63"/>
      <c r="CB59" s="63"/>
      <c r="CC59" s="63"/>
      <c r="CD59" s="63"/>
      <c r="CE59" s="63"/>
      <c r="CF59" s="63"/>
      <c r="CG59" s="63"/>
      <c r="CH59" s="63"/>
      <c r="CI59" s="63"/>
      <c r="CJ59" s="63"/>
      <c r="CK59" s="63"/>
      <c r="CL59" s="63"/>
      <c r="CM59" s="63"/>
      <c r="CN59" s="63"/>
      <c r="CO59" s="63"/>
      <c r="CP59" s="63"/>
      <c r="CQ59" s="63"/>
      <c r="CR59" s="64"/>
      <c r="CS59" s="64"/>
      <c r="CT59" s="64"/>
      <c r="CU59" s="64"/>
    </row>
    <row r="60" spans="2:99" ht="6" customHeight="1">
      <c r="B60" s="83" t="s">
        <v>126</v>
      </c>
      <c r="C60" s="83"/>
      <c r="D60" s="83"/>
      <c r="E60" s="83"/>
      <c r="F60" s="83"/>
      <c r="G60" s="83"/>
      <c r="H60" s="83"/>
      <c r="I60" s="83"/>
      <c r="J60" s="83"/>
      <c r="K60" s="83"/>
      <c r="L60" s="83"/>
      <c r="M60" s="83"/>
      <c r="N60" s="83"/>
      <c r="O60" s="83"/>
      <c r="P60" s="83"/>
      <c r="Z60" s="69"/>
      <c r="AA60" s="69"/>
      <c r="AB60" s="69"/>
      <c r="AC60" s="69"/>
      <c r="AD60" s="69"/>
      <c r="AE60" s="69"/>
      <c r="AF60" s="69"/>
      <c r="AG60" s="69"/>
      <c r="AH60" s="69"/>
      <c r="AI60" s="69"/>
      <c r="AJ60" s="69"/>
      <c r="AK60" s="69"/>
      <c r="AL60" s="69"/>
      <c r="AM60" s="69"/>
      <c r="AN60" s="69"/>
      <c r="AO60" s="69"/>
      <c r="AP60" s="69"/>
      <c r="AQ60" s="69"/>
      <c r="AR60" s="69"/>
      <c r="AS60" s="69"/>
      <c r="AT60" s="69"/>
      <c r="AU60" s="69"/>
      <c r="AV60" s="69"/>
      <c r="AW60" s="69"/>
      <c r="AX60" s="69"/>
      <c r="AY60" s="69"/>
      <c r="AZ60" s="69"/>
      <c r="BA60" s="69"/>
      <c r="BB60" s="69"/>
      <c r="BC60" s="69"/>
      <c r="BD60" s="70"/>
      <c r="BN60" s="66"/>
      <c r="BO60" s="66"/>
      <c r="BP60" s="66"/>
      <c r="BQ60" s="66"/>
      <c r="BR60" s="66"/>
      <c r="BS60" s="66"/>
      <c r="BT60" s="66"/>
      <c r="BU60" s="66"/>
      <c r="BV60" s="66"/>
      <c r="BW60" s="66"/>
      <c r="BX60" s="66"/>
      <c r="BY60" s="66"/>
      <c r="BZ60" s="66"/>
      <c r="CA60" s="66"/>
      <c r="CB60" s="66"/>
      <c r="CC60" s="66"/>
      <c r="CD60" s="66"/>
      <c r="CE60" s="66"/>
      <c r="CF60" s="66"/>
      <c r="CG60" s="66"/>
      <c r="CH60" s="66"/>
      <c r="CI60" s="66"/>
      <c r="CJ60" s="66"/>
      <c r="CK60" s="66"/>
      <c r="CL60" s="66"/>
      <c r="CM60" s="66"/>
      <c r="CN60" s="66"/>
      <c r="CO60" s="66"/>
      <c r="CP60" s="66"/>
      <c r="CQ60" s="66"/>
      <c r="CR60" s="64"/>
      <c r="CS60" s="64"/>
      <c r="CT60" s="64"/>
      <c r="CU60" s="64"/>
    </row>
    <row r="61" spans="2:99" ht="6" customHeight="1">
      <c r="B61" s="83"/>
      <c r="C61" s="83"/>
      <c r="D61" s="83"/>
      <c r="E61" s="83"/>
      <c r="F61" s="83"/>
      <c r="G61" s="83"/>
      <c r="H61" s="83"/>
      <c r="I61" s="83"/>
      <c r="J61" s="83"/>
      <c r="K61" s="83"/>
      <c r="L61" s="83"/>
      <c r="M61" s="83"/>
      <c r="N61" s="83"/>
      <c r="O61" s="83"/>
      <c r="P61" s="83"/>
      <c r="Z61" s="69"/>
      <c r="AA61" s="69"/>
      <c r="AB61" s="69"/>
      <c r="AC61" s="69"/>
      <c r="AD61" s="69"/>
      <c r="AE61" s="69"/>
      <c r="AF61" s="69"/>
      <c r="AG61" s="69"/>
      <c r="AH61" s="69"/>
      <c r="AI61" s="69"/>
      <c r="AJ61" s="69"/>
      <c r="AK61" s="69"/>
      <c r="AL61" s="69"/>
      <c r="AM61" s="69"/>
      <c r="AN61" s="69"/>
      <c r="AO61" s="69"/>
      <c r="AP61" s="69"/>
      <c r="AQ61" s="69"/>
      <c r="AR61" s="69"/>
      <c r="AS61" s="69"/>
      <c r="AT61" s="69"/>
      <c r="AU61" s="69"/>
      <c r="AV61" s="69"/>
      <c r="AW61" s="69"/>
      <c r="AX61" s="69"/>
      <c r="AY61" s="69"/>
      <c r="AZ61" s="69"/>
      <c r="BA61" s="69"/>
      <c r="BB61" s="69"/>
      <c r="BC61" s="69"/>
      <c r="BD61" s="70"/>
      <c r="BN61" s="66"/>
      <c r="BO61" s="66"/>
      <c r="BP61" s="66"/>
      <c r="BQ61" s="66"/>
      <c r="BR61" s="66"/>
      <c r="BS61" s="66"/>
      <c r="BT61" s="66"/>
      <c r="BU61" s="66"/>
      <c r="BV61" s="66"/>
      <c r="BW61" s="66"/>
      <c r="BX61" s="66"/>
      <c r="BY61" s="66"/>
      <c r="BZ61" s="66"/>
      <c r="CA61" s="66"/>
      <c r="CB61" s="66"/>
      <c r="CC61" s="66"/>
      <c r="CD61" s="66"/>
      <c r="CE61" s="66"/>
      <c r="CF61" s="66"/>
      <c r="CG61" s="66"/>
      <c r="CH61" s="66"/>
      <c r="CI61" s="66"/>
      <c r="CJ61" s="66"/>
      <c r="CK61" s="66"/>
      <c r="CL61" s="66"/>
      <c r="CM61" s="66"/>
      <c r="CN61" s="66"/>
      <c r="CO61" s="66"/>
      <c r="CP61" s="66"/>
      <c r="CQ61" s="66"/>
      <c r="CR61" s="64"/>
      <c r="CS61" s="64"/>
      <c r="CT61" s="64"/>
      <c r="CU61" s="64"/>
    </row>
    <row r="62" spans="2:99" ht="6" customHeight="1">
      <c r="B62" s="83"/>
      <c r="C62" s="83"/>
      <c r="D62" s="83"/>
      <c r="E62" s="83"/>
      <c r="F62" s="83"/>
      <c r="G62" s="83"/>
      <c r="H62" s="83"/>
      <c r="I62" s="83"/>
      <c r="J62" s="83"/>
      <c r="K62" s="83"/>
      <c r="L62" s="83"/>
      <c r="M62" s="83"/>
      <c r="N62" s="83"/>
      <c r="O62" s="83"/>
      <c r="P62" s="83"/>
      <c r="Z62" s="71" t="s">
        <v>127</v>
      </c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  <c r="BA62" s="71"/>
      <c r="BB62" s="71"/>
      <c r="BC62" s="71"/>
      <c r="BD62" s="72"/>
      <c r="BN62" s="67" t="s">
        <v>128</v>
      </c>
      <c r="BO62" s="67"/>
      <c r="BP62" s="67"/>
      <c r="BQ62" s="67"/>
      <c r="BR62" s="67"/>
      <c r="BS62" s="67"/>
      <c r="BT62" s="67"/>
      <c r="BU62" s="67"/>
      <c r="BV62" s="67"/>
      <c r="BW62" s="67"/>
      <c r="BX62" s="67"/>
      <c r="BY62" s="67"/>
      <c r="BZ62" s="67"/>
      <c r="CA62" s="67"/>
      <c r="CB62" s="67"/>
      <c r="CC62" s="67"/>
      <c r="CD62" s="67"/>
      <c r="CE62" s="67"/>
      <c r="CF62" s="67"/>
      <c r="CG62" s="67"/>
      <c r="CH62" s="67"/>
      <c r="CI62" s="67"/>
      <c r="CJ62" s="67"/>
      <c r="CK62" s="67"/>
      <c r="CL62" s="67"/>
      <c r="CM62" s="67"/>
      <c r="CN62" s="67"/>
      <c r="CO62" s="67"/>
      <c r="CP62" s="67"/>
      <c r="CQ62" s="67"/>
      <c r="CR62" s="68"/>
      <c r="CS62" s="68"/>
      <c r="CT62" s="68"/>
      <c r="CU62" s="68"/>
    </row>
    <row r="63" spans="2:99" ht="6" customHeight="1">
      <c r="B63" s="85" t="s">
        <v>129</v>
      </c>
      <c r="C63" s="85"/>
      <c r="D63" s="85"/>
      <c r="E63" s="85"/>
      <c r="F63" s="85"/>
      <c r="G63" s="85"/>
      <c r="H63" s="85"/>
      <c r="I63" s="85"/>
      <c r="J63" s="85"/>
      <c r="K63" s="85"/>
      <c r="L63" s="85"/>
      <c r="M63" s="85"/>
      <c r="N63" s="85"/>
      <c r="O63" s="85"/>
      <c r="P63" s="85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  <c r="BA63" s="71"/>
      <c r="BB63" s="71"/>
      <c r="BC63" s="71"/>
      <c r="BD63" s="72"/>
      <c r="BN63" s="67"/>
      <c r="BO63" s="67"/>
      <c r="BP63" s="67"/>
      <c r="BQ63" s="67"/>
      <c r="BR63" s="67"/>
      <c r="BS63" s="67"/>
      <c r="BT63" s="67"/>
      <c r="BU63" s="67"/>
      <c r="BV63" s="67"/>
      <c r="BW63" s="67"/>
      <c r="BX63" s="67"/>
      <c r="BY63" s="67"/>
      <c r="BZ63" s="67"/>
      <c r="CA63" s="67"/>
      <c r="CB63" s="67"/>
      <c r="CC63" s="67"/>
      <c r="CD63" s="67"/>
      <c r="CE63" s="67"/>
      <c r="CF63" s="67"/>
      <c r="CG63" s="67"/>
      <c r="CH63" s="67"/>
      <c r="CI63" s="67"/>
      <c r="CJ63" s="67"/>
      <c r="CK63" s="67"/>
      <c r="CL63" s="67"/>
      <c r="CM63" s="67"/>
      <c r="CN63" s="67"/>
      <c r="CO63" s="67"/>
      <c r="CP63" s="67"/>
      <c r="CQ63" s="67"/>
      <c r="CR63" s="68"/>
      <c r="CS63" s="68"/>
      <c r="CT63" s="68"/>
      <c r="CU63" s="68"/>
    </row>
    <row r="64" spans="2:99" ht="6" customHeight="1">
      <c r="B64" s="85"/>
      <c r="C64" s="85"/>
      <c r="D64" s="85"/>
      <c r="E64" s="85"/>
      <c r="F64" s="85"/>
      <c r="G64" s="85"/>
      <c r="H64" s="85"/>
      <c r="I64" s="85"/>
      <c r="J64" s="85"/>
      <c r="K64" s="85"/>
      <c r="L64" s="85"/>
      <c r="M64" s="85"/>
      <c r="N64" s="85"/>
      <c r="O64" s="85"/>
      <c r="P64" s="85"/>
    </row>
    <row r="65" spans="18:99" ht="6" customHeight="1">
      <c r="R65" s="60"/>
      <c r="S65" s="60"/>
      <c r="T65" s="60"/>
      <c r="U65" s="60"/>
      <c r="V65" s="60"/>
      <c r="W65" s="60"/>
      <c r="X65" s="60"/>
      <c r="Y65" s="60"/>
      <c r="Z65" s="79" t="s">
        <v>130</v>
      </c>
      <c r="AA65" s="79"/>
      <c r="AB65" s="79"/>
      <c r="AC65" s="79"/>
      <c r="AD65" s="79"/>
      <c r="AE65" s="79"/>
      <c r="AF65" s="79"/>
      <c r="AG65" s="79"/>
      <c r="AH65" s="79"/>
      <c r="AI65" s="79"/>
      <c r="AJ65" s="79"/>
      <c r="AK65" s="79"/>
      <c r="AL65" s="79"/>
      <c r="AM65" s="79"/>
      <c r="AN65" s="79"/>
      <c r="AO65" s="79"/>
      <c r="AP65" s="79"/>
      <c r="AQ65" s="79"/>
      <c r="AR65" s="79"/>
      <c r="AS65" s="79"/>
      <c r="AT65" s="79"/>
      <c r="AU65" s="79"/>
      <c r="AV65" s="79"/>
      <c r="AW65" s="79"/>
      <c r="AX65" s="79"/>
      <c r="AY65" s="79"/>
      <c r="AZ65" s="79"/>
      <c r="BA65" s="79"/>
      <c r="BB65" s="79"/>
      <c r="BC65" s="79"/>
      <c r="BD65" s="80"/>
      <c r="BN65" s="66" t="s">
        <v>116</v>
      </c>
      <c r="BO65" s="66"/>
      <c r="BP65" s="66"/>
      <c r="BQ65" s="66"/>
      <c r="BR65" s="66"/>
      <c r="BS65" s="66"/>
      <c r="BT65" s="66"/>
      <c r="BU65" s="66"/>
      <c r="BV65" s="66"/>
      <c r="BW65" s="66"/>
      <c r="BX65" s="66"/>
      <c r="BY65" s="66"/>
      <c r="BZ65" s="66"/>
      <c r="CA65" s="66"/>
      <c r="CB65" s="66"/>
      <c r="CC65" s="66"/>
      <c r="CD65" s="66"/>
      <c r="CE65" s="66"/>
      <c r="CF65" s="66"/>
      <c r="CG65" s="66"/>
      <c r="CH65" s="66"/>
      <c r="CI65" s="66"/>
      <c r="CJ65" s="66"/>
      <c r="CK65" s="66"/>
      <c r="CL65" s="66"/>
      <c r="CM65" s="66"/>
      <c r="CN65" s="66"/>
      <c r="CO65" s="66"/>
      <c r="CP65" s="66"/>
      <c r="CQ65" s="66"/>
      <c r="CR65" s="64"/>
      <c r="CS65" s="64"/>
      <c r="CT65" s="64"/>
      <c r="CU65" s="64"/>
    </row>
    <row r="66" spans="18:99" ht="6" customHeight="1">
      <c r="Z66" s="81"/>
      <c r="AA66" s="81"/>
      <c r="AB66" s="81"/>
      <c r="AC66" s="81"/>
      <c r="AD66" s="81"/>
      <c r="AE66" s="81"/>
      <c r="AF66" s="81"/>
      <c r="AG66" s="81"/>
      <c r="AH66" s="81"/>
      <c r="AI66" s="81"/>
      <c r="AJ66" s="81"/>
      <c r="AK66" s="81"/>
      <c r="AL66" s="81"/>
      <c r="AM66" s="81"/>
      <c r="AN66" s="81"/>
      <c r="AO66" s="81"/>
      <c r="AP66" s="81"/>
      <c r="AQ66" s="81"/>
      <c r="AR66" s="81"/>
      <c r="AS66" s="81"/>
      <c r="AT66" s="81"/>
      <c r="AU66" s="81"/>
      <c r="AV66" s="81"/>
      <c r="AW66" s="81"/>
      <c r="AX66" s="81"/>
      <c r="AY66" s="81"/>
      <c r="AZ66" s="81"/>
      <c r="BA66" s="81"/>
      <c r="BB66" s="81"/>
      <c r="BC66" s="81"/>
      <c r="BD66" s="80"/>
      <c r="BN66" s="66"/>
      <c r="BO66" s="66"/>
      <c r="BP66" s="66"/>
      <c r="BQ66" s="66"/>
      <c r="BR66" s="66"/>
      <c r="BS66" s="66"/>
      <c r="BT66" s="66"/>
      <c r="BU66" s="66"/>
      <c r="BV66" s="66"/>
      <c r="BW66" s="66"/>
      <c r="BX66" s="66"/>
      <c r="BY66" s="66"/>
      <c r="BZ66" s="66"/>
      <c r="CA66" s="66"/>
      <c r="CB66" s="66"/>
      <c r="CC66" s="66"/>
      <c r="CD66" s="66"/>
      <c r="CE66" s="66"/>
      <c r="CF66" s="66"/>
      <c r="CG66" s="66"/>
      <c r="CH66" s="66"/>
      <c r="CI66" s="66"/>
      <c r="CJ66" s="66"/>
      <c r="CK66" s="66"/>
      <c r="CL66" s="66"/>
      <c r="CM66" s="66"/>
      <c r="CN66" s="66"/>
      <c r="CO66" s="66"/>
      <c r="CP66" s="66"/>
      <c r="CQ66" s="66"/>
      <c r="CR66" s="64"/>
      <c r="CS66" s="64"/>
      <c r="CT66" s="64"/>
      <c r="CU66" s="64"/>
    </row>
    <row r="67" spans="18:99" ht="6" customHeight="1">
      <c r="Z67" s="81"/>
      <c r="AA67" s="81"/>
      <c r="AB67" s="81"/>
      <c r="AC67" s="81"/>
      <c r="AD67" s="81"/>
      <c r="AE67" s="81"/>
      <c r="AF67" s="81"/>
      <c r="AG67" s="81"/>
      <c r="AH67" s="81"/>
      <c r="AI67" s="81"/>
      <c r="AJ67" s="81"/>
      <c r="AK67" s="81"/>
      <c r="AL67" s="81"/>
      <c r="AM67" s="81"/>
      <c r="AN67" s="81"/>
      <c r="AO67" s="81"/>
      <c r="AP67" s="81"/>
      <c r="AQ67" s="81"/>
      <c r="AR67" s="81"/>
      <c r="AS67" s="81"/>
      <c r="AT67" s="81"/>
      <c r="AU67" s="81"/>
      <c r="AV67" s="81"/>
      <c r="AW67" s="81"/>
      <c r="AX67" s="81"/>
      <c r="AY67" s="81"/>
      <c r="AZ67" s="81"/>
      <c r="BA67" s="81"/>
      <c r="BB67" s="81"/>
      <c r="BC67" s="81"/>
      <c r="BD67" s="80"/>
      <c r="BN67" s="66"/>
      <c r="BO67" s="66"/>
      <c r="BP67" s="66"/>
      <c r="BQ67" s="66"/>
      <c r="BR67" s="66"/>
      <c r="BS67" s="66"/>
      <c r="BT67" s="66"/>
      <c r="BU67" s="66"/>
      <c r="BV67" s="66"/>
      <c r="BW67" s="66"/>
      <c r="BX67" s="66"/>
      <c r="BY67" s="66"/>
      <c r="BZ67" s="66"/>
      <c r="CA67" s="66"/>
      <c r="CB67" s="66"/>
      <c r="CC67" s="66"/>
      <c r="CD67" s="66"/>
      <c r="CE67" s="66"/>
      <c r="CF67" s="66"/>
      <c r="CG67" s="66"/>
      <c r="CH67" s="66"/>
      <c r="CI67" s="66"/>
      <c r="CJ67" s="66"/>
      <c r="CK67" s="66"/>
      <c r="CL67" s="66"/>
      <c r="CM67" s="66"/>
      <c r="CN67" s="66"/>
      <c r="CO67" s="66"/>
      <c r="CP67" s="66"/>
      <c r="CQ67" s="66"/>
      <c r="CR67" s="64"/>
      <c r="CS67" s="64"/>
      <c r="CT67" s="64"/>
      <c r="CU67" s="64"/>
    </row>
    <row r="68" spans="18:99" ht="6" customHeight="1">
      <c r="Z68" s="81"/>
      <c r="AA68" s="81"/>
      <c r="AB68" s="81"/>
      <c r="AC68" s="81"/>
      <c r="AD68" s="81"/>
      <c r="AE68" s="81"/>
      <c r="AF68" s="81"/>
      <c r="AG68" s="81"/>
      <c r="AH68" s="81"/>
      <c r="AI68" s="81"/>
      <c r="AJ68" s="81"/>
      <c r="AK68" s="81"/>
      <c r="AL68" s="81"/>
      <c r="AM68" s="81"/>
      <c r="AN68" s="81"/>
      <c r="AO68" s="81"/>
      <c r="AP68" s="81"/>
      <c r="AQ68" s="81"/>
      <c r="AR68" s="81"/>
      <c r="AS68" s="81"/>
      <c r="AT68" s="81"/>
      <c r="AU68" s="81"/>
      <c r="AV68" s="81"/>
      <c r="AW68" s="81"/>
      <c r="AX68" s="81"/>
      <c r="AY68" s="81"/>
      <c r="AZ68" s="81"/>
      <c r="BA68" s="81"/>
      <c r="BB68" s="81"/>
      <c r="BC68" s="81"/>
      <c r="BD68" s="80"/>
      <c r="BN68" s="67" t="s">
        <v>131</v>
      </c>
      <c r="BO68" s="67"/>
      <c r="BP68" s="67"/>
      <c r="BQ68" s="67"/>
      <c r="BR68" s="67"/>
      <c r="BS68" s="67"/>
      <c r="BT68" s="67"/>
      <c r="BU68" s="67"/>
      <c r="BV68" s="67"/>
      <c r="BW68" s="67"/>
      <c r="BX68" s="67"/>
      <c r="BY68" s="67"/>
      <c r="BZ68" s="67"/>
      <c r="CA68" s="67"/>
      <c r="CB68" s="67"/>
      <c r="CC68" s="67"/>
      <c r="CD68" s="67"/>
      <c r="CE68" s="67"/>
      <c r="CF68" s="67"/>
      <c r="CG68" s="67"/>
      <c r="CH68" s="67"/>
      <c r="CI68" s="67"/>
      <c r="CJ68" s="67"/>
      <c r="CK68" s="67"/>
      <c r="CL68" s="67"/>
      <c r="CM68" s="67"/>
      <c r="CN68" s="67"/>
      <c r="CO68" s="67"/>
      <c r="CP68" s="67"/>
      <c r="CQ68" s="67"/>
      <c r="CR68" s="68"/>
      <c r="CS68" s="68"/>
      <c r="CT68" s="68"/>
      <c r="CU68" s="68"/>
    </row>
    <row r="69" spans="18:99" ht="6" customHeight="1">
      <c r="Z69" s="81"/>
      <c r="AA69" s="81"/>
      <c r="AB69" s="81"/>
      <c r="AC69" s="81"/>
      <c r="AD69" s="81"/>
      <c r="AE69" s="81"/>
      <c r="AF69" s="81"/>
      <c r="AG69" s="81"/>
      <c r="AH69" s="81"/>
      <c r="AI69" s="81"/>
      <c r="AJ69" s="81"/>
      <c r="AK69" s="81"/>
      <c r="AL69" s="81"/>
      <c r="AM69" s="81"/>
      <c r="AN69" s="81"/>
      <c r="AO69" s="81"/>
      <c r="AP69" s="81"/>
      <c r="AQ69" s="81"/>
      <c r="AR69" s="81"/>
      <c r="AS69" s="81"/>
      <c r="AT69" s="81"/>
      <c r="AU69" s="81"/>
      <c r="AV69" s="81"/>
      <c r="AW69" s="81"/>
      <c r="AX69" s="81"/>
      <c r="AY69" s="81"/>
      <c r="AZ69" s="81"/>
      <c r="BA69" s="81"/>
      <c r="BB69" s="81"/>
      <c r="BC69" s="81"/>
      <c r="BD69" s="80"/>
      <c r="BN69" s="67"/>
      <c r="BO69" s="67"/>
      <c r="BP69" s="67"/>
      <c r="BQ69" s="67"/>
      <c r="BR69" s="67"/>
      <c r="BS69" s="67"/>
      <c r="BT69" s="67"/>
      <c r="BU69" s="67"/>
      <c r="BV69" s="67"/>
      <c r="BW69" s="67"/>
      <c r="BX69" s="67"/>
      <c r="BY69" s="67"/>
      <c r="BZ69" s="67"/>
      <c r="CA69" s="67"/>
      <c r="CB69" s="67"/>
      <c r="CC69" s="67"/>
      <c r="CD69" s="67"/>
      <c r="CE69" s="67"/>
      <c r="CF69" s="67"/>
      <c r="CG69" s="67"/>
      <c r="CH69" s="67"/>
      <c r="CI69" s="67"/>
      <c r="CJ69" s="67"/>
      <c r="CK69" s="67"/>
      <c r="CL69" s="67"/>
      <c r="CM69" s="67"/>
      <c r="CN69" s="67"/>
      <c r="CO69" s="67"/>
      <c r="CP69" s="67"/>
      <c r="CQ69" s="67"/>
      <c r="CR69" s="68"/>
      <c r="CS69" s="68"/>
      <c r="CT69" s="68"/>
      <c r="CU69" s="68"/>
    </row>
    <row r="70" spans="18:99" ht="6" customHeight="1"/>
    <row r="71" spans="18:99" ht="6" customHeight="1">
      <c r="Z71" s="71" t="s">
        <v>132</v>
      </c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  <c r="BA71" s="71"/>
      <c r="BB71" s="71"/>
      <c r="BC71" s="71"/>
      <c r="BD71" s="78"/>
    </row>
    <row r="72" spans="18:99" ht="6" customHeight="1"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  <c r="BA72" s="71"/>
      <c r="BB72" s="71"/>
      <c r="BC72" s="71"/>
      <c r="BD72" s="78"/>
    </row>
    <row r="73" spans="18:99" ht="6" customHeight="1"/>
    <row r="74" spans="18:99" ht="6" customHeight="1"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  <c r="AW74" s="70"/>
      <c r="AX74" s="70"/>
      <c r="AY74" s="70"/>
      <c r="AZ74" s="70"/>
      <c r="BA74" s="70"/>
      <c r="BB74" s="70"/>
      <c r="BC74" s="70"/>
      <c r="BD74" s="70"/>
    </row>
    <row r="75" spans="18:99" ht="6" customHeight="1"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  <c r="AW75" s="70"/>
      <c r="AX75" s="70"/>
      <c r="AY75" s="70"/>
      <c r="AZ75" s="70"/>
      <c r="BA75" s="70"/>
      <c r="BB75" s="70"/>
      <c r="BC75" s="70"/>
      <c r="BD75" s="70"/>
    </row>
    <row r="76" spans="18:99" ht="6" customHeight="1"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  <c r="AW76" s="70"/>
      <c r="AX76" s="70"/>
      <c r="AY76" s="70"/>
      <c r="AZ76" s="70"/>
      <c r="BA76" s="70"/>
      <c r="BB76" s="70"/>
      <c r="BC76" s="70"/>
      <c r="BD76" s="70"/>
    </row>
    <row r="77" spans="18:99" ht="6" customHeight="1">
      <c r="Z77" s="86" t="s">
        <v>133</v>
      </c>
      <c r="AA77" s="86"/>
      <c r="AB77" s="86"/>
      <c r="AC77" s="86"/>
      <c r="AD77" s="86"/>
      <c r="AE77" s="86"/>
      <c r="AF77" s="86"/>
      <c r="AG77" s="86"/>
      <c r="AH77" s="86"/>
      <c r="AI77" s="86"/>
      <c r="AJ77" s="86"/>
      <c r="AK77" s="86"/>
      <c r="AL77" s="86"/>
      <c r="AM77" s="86"/>
      <c r="AN77" s="86"/>
      <c r="AO77" s="86"/>
      <c r="AP77" s="86"/>
      <c r="AQ77" s="86"/>
      <c r="AR77" s="86"/>
      <c r="AS77" s="86"/>
      <c r="AT77" s="86"/>
      <c r="AU77" s="86"/>
      <c r="AV77" s="86"/>
      <c r="AW77" s="86"/>
      <c r="AX77" s="86"/>
      <c r="AY77" s="86"/>
      <c r="AZ77" s="86"/>
      <c r="BA77" s="86"/>
      <c r="BB77" s="86"/>
      <c r="BC77" s="86"/>
      <c r="BD77" s="87"/>
    </row>
    <row r="78" spans="18:99" ht="6" customHeight="1">
      <c r="Z78" s="86"/>
      <c r="AA78" s="86"/>
      <c r="AB78" s="86"/>
      <c r="AC78" s="86"/>
      <c r="AD78" s="86"/>
      <c r="AE78" s="86"/>
      <c r="AF78" s="86"/>
      <c r="AG78" s="86"/>
      <c r="AH78" s="86"/>
      <c r="AI78" s="86"/>
      <c r="AJ78" s="86"/>
      <c r="AK78" s="86"/>
      <c r="AL78" s="86"/>
      <c r="AM78" s="86"/>
      <c r="AN78" s="86"/>
      <c r="AO78" s="86"/>
      <c r="AP78" s="86"/>
      <c r="AQ78" s="86"/>
      <c r="AR78" s="86"/>
      <c r="AS78" s="86"/>
      <c r="AT78" s="86"/>
      <c r="AU78" s="86"/>
      <c r="AV78" s="86"/>
      <c r="AW78" s="86"/>
      <c r="AX78" s="86"/>
      <c r="AY78" s="86"/>
      <c r="AZ78" s="86"/>
      <c r="BA78" s="86"/>
      <c r="BB78" s="86"/>
      <c r="BC78" s="86"/>
      <c r="BD78" s="87"/>
    </row>
    <row r="79" spans="18:99" ht="6" customHeight="1">
      <c r="Z79" s="86"/>
      <c r="AA79" s="86"/>
      <c r="AB79" s="86"/>
      <c r="AC79" s="86"/>
      <c r="AD79" s="86"/>
      <c r="AE79" s="86"/>
      <c r="AF79" s="86"/>
      <c r="AG79" s="86"/>
      <c r="AH79" s="86"/>
      <c r="AI79" s="86"/>
      <c r="AJ79" s="86"/>
      <c r="AK79" s="86"/>
      <c r="AL79" s="86"/>
      <c r="AM79" s="86"/>
      <c r="AN79" s="86"/>
      <c r="AO79" s="86"/>
      <c r="AP79" s="86"/>
      <c r="AQ79" s="86"/>
      <c r="AR79" s="86"/>
      <c r="AS79" s="86"/>
      <c r="AT79" s="86"/>
      <c r="AU79" s="86"/>
      <c r="AV79" s="86"/>
      <c r="AW79" s="86"/>
      <c r="AX79" s="86"/>
      <c r="AY79" s="86"/>
      <c r="AZ79" s="86"/>
      <c r="BA79" s="86"/>
      <c r="BB79" s="86"/>
      <c r="BC79" s="86"/>
      <c r="BD79" s="87"/>
    </row>
    <row r="80" spans="18:99" ht="6" customHeight="1">
      <c r="Z80" s="86"/>
      <c r="AA80" s="86"/>
      <c r="AB80" s="86"/>
      <c r="AC80" s="86"/>
      <c r="AD80" s="86"/>
      <c r="AE80" s="86"/>
      <c r="AF80" s="86"/>
      <c r="AG80" s="86"/>
      <c r="AH80" s="86"/>
      <c r="AI80" s="86"/>
      <c r="AJ80" s="86"/>
      <c r="AK80" s="86"/>
      <c r="AL80" s="86"/>
      <c r="AM80" s="86"/>
      <c r="AN80" s="86"/>
      <c r="AO80" s="86"/>
      <c r="AP80" s="86"/>
      <c r="AQ80" s="86"/>
      <c r="AR80" s="86"/>
      <c r="AS80" s="86"/>
      <c r="AT80" s="86"/>
      <c r="AU80" s="86"/>
      <c r="AV80" s="86"/>
      <c r="AW80" s="86"/>
      <c r="AX80" s="86"/>
      <c r="AY80" s="86"/>
      <c r="AZ80" s="86"/>
      <c r="BA80" s="86"/>
      <c r="BB80" s="86"/>
      <c r="BC80" s="86"/>
      <c r="BD80" s="87"/>
    </row>
    <row r="81" spans="26:56" ht="6" customHeight="1">
      <c r="Z81" s="86"/>
      <c r="AA81" s="86"/>
      <c r="AB81" s="86"/>
      <c r="AC81" s="86"/>
      <c r="AD81" s="86"/>
      <c r="AE81" s="86"/>
      <c r="AF81" s="86"/>
      <c r="AG81" s="86"/>
      <c r="AH81" s="86"/>
      <c r="AI81" s="86"/>
      <c r="AJ81" s="86"/>
      <c r="AK81" s="86"/>
      <c r="AL81" s="86"/>
      <c r="AM81" s="86"/>
      <c r="AN81" s="86"/>
      <c r="AO81" s="86"/>
      <c r="AP81" s="86"/>
      <c r="AQ81" s="86"/>
      <c r="AR81" s="86"/>
      <c r="AS81" s="86"/>
      <c r="AT81" s="86"/>
      <c r="AU81" s="86"/>
      <c r="AV81" s="86"/>
      <c r="AW81" s="86"/>
      <c r="AX81" s="86"/>
      <c r="AY81" s="86"/>
      <c r="AZ81" s="86"/>
      <c r="BA81" s="86"/>
      <c r="BB81" s="86"/>
      <c r="BC81" s="86"/>
      <c r="BD81" s="87"/>
    </row>
    <row r="82" spans="26:56" ht="6" customHeight="1">
      <c r="Z82" s="86" t="s">
        <v>134</v>
      </c>
      <c r="AA82" s="86"/>
      <c r="AB82" s="86"/>
      <c r="AC82" s="86"/>
      <c r="AD82" s="86"/>
      <c r="AE82" s="86"/>
      <c r="AF82" s="86"/>
      <c r="AG82" s="86"/>
      <c r="AH82" s="86"/>
      <c r="AI82" s="86"/>
      <c r="AJ82" s="86"/>
      <c r="AK82" s="86"/>
      <c r="AL82" s="86"/>
      <c r="AM82" s="86"/>
      <c r="AN82" s="86"/>
      <c r="AO82" s="86"/>
      <c r="AP82" s="86"/>
      <c r="AQ82" s="86"/>
      <c r="AR82" s="86"/>
      <c r="AS82" s="86"/>
      <c r="AT82" s="86"/>
      <c r="AU82" s="86"/>
      <c r="AV82" s="86"/>
      <c r="AW82" s="86"/>
      <c r="AX82" s="86"/>
      <c r="AY82" s="86"/>
      <c r="AZ82" s="86"/>
      <c r="BA82" s="86"/>
      <c r="BB82" s="86"/>
      <c r="BC82" s="86"/>
      <c r="BD82" s="87"/>
    </row>
    <row r="83" spans="26:56" ht="6" customHeight="1">
      <c r="Z83" s="86"/>
      <c r="AA83" s="86"/>
      <c r="AB83" s="86"/>
      <c r="AC83" s="86"/>
      <c r="AD83" s="86"/>
      <c r="AE83" s="86"/>
      <c r="AF83" s="86"/>
      <c r="AG83" s="86"/>
      <c r="AH83" s="86"/>
      <c r="AI83" s="86"/>
      <c r="AJ83" s="86"/>
      <c r="AK83" s="86"/>
      <c r="AL83" s="86"/>
      <c r="AM83" s="86"/>
      <c r="AN83" s="86"/>
      <c r="AO83" s="86"/>
      <c r="AP83" s="86"/>
      <c r="AQ83" s="86"/>
      <c r="AR83" s="86"/>
      <c r="AS83" s="86"/>
      <c r="AT83" s="86"/>
      <c r="AU83" s="86"/>
      <c r="AV83" s="86"/>
      <c r="AW83" s="86"/>
      <c r="AX83" s="86"/>
      <c r="AY83" s="86"/>
      <c r="AZ83" s="86"/>
      <c r="BA83" s="86"/>
      <c r="BB83" s="86"/>
      <c r="BC83" s="86"/>
      <c r="BD83" s="87"/>
    </row>
    <row r="84" spans="26:56" ht="6" customHeight="1">
      <c r="Z84" s="86"/>
      <c r="AA84" s="86"/>
      <c r="AB84" s="86"/>
      <c r="AC84" s="86"/>
      <c r="AD84" s="86"/>
      <c r="AE84" s="86"/>
      <c r="AF84" s="86"/>
      <c r="AG84" s="86"/>
      <c r="AH84" s="86"/>
      <c r="AI84" s="86"/>
      <c r="AJ84" s="86"/>
      <c r="AK84" s="86"/>
      <c r="AL84" s="86"/>
      <c r="AM84" s="86"/>
      <c r="AN84" s="86"/>
      <c r="AO84" s="86"/>
      <c r="AP84" s="86"/>
      <c r="AQ84" s="86"/>
      <c r="AR84" s="86"/>
      <c r="AS84" s="86"/>
      <c r="AT84" s="86"/>
      <c r="AU84" s="86"/>
      <c r="AV84" s="86"/>
      <c r="AW84" s="86"/>
      <c r="AX84" s="86"/>
      <c r="AY84" s="86"/>
      <c r="AZ84" s="86"/>
      <c r="BA84" s="86"/>
      <c r="BB84" s="86"/>
      <c r="BC84" s="86"/>
      <c r="BD84" s="87"/>
    </row>
    <row r="85" spans="26:56" ht="6" customHeight="1">
      <c r="Z85" s="86"/>
      <c r="AA85" s="86"/>
      <c r="AB85" s="86"/>
      <c r="AC85" s="86"/>
      <c r="AD85" s="86"/>
      <c r="AE85" s="86"/>
      <c r="AF85" s="86"/>
      <c r="AG85" s="86"/>
      <c r="AH85" s="86"/>
      <c r="AI85" s="86"/>
      <c r="AJ85" s="86"/>
      <c r="AK85" s="86"/>
      <c r="AL85" s="86"/>
      <c r="AM85" s="86"/>
      <c r="AN85" s="86"/>
      <c r="AO85" s="86"/>
      <c r="AP85" s="86"/>
      <c r="AQ85" s="86"/>
      <c r="AR85" s="86"/>
      <c r="AS85" s="86"/>
      <c r="AT85" s="86"/>
      <c r="AU85" s="86"/>
      <c r="AV85" s="86"/>
      <c r="AW85" s="86"/>
      <c r="AX85" s="86"/>
      <c r="AY85" s="86"/>
      <c r="AZ85" s="86"/>
      <c r="BA85" s="86"/>
      <c r="BB85" s="86"/>
      <c r="BC85" s="86"/>
      <c r="BD85" s="87"/>
    </row>
    <row r="86" spans="26:56" ht="6" customHeight="1">
      <c r="Z86" s="86"/>
      <c r="AA86" s="86"/>
      <c r="AB86" s="86"/>
      <c r="AC86" s="86"/>
      <c r="AD86" s="86"/>
      <c r="AE86" s="86"/>
      <c r="AF86" s="86"/>
      <c r="AG86" s="86"/>
      <c r="AH86" s="86"/>
      <c r="AI86" s="86"/>
      <c r="AJ86" s="86"/>
      <c r="AK86" s="86"/>
      <c r="AL86" s="86"/>
      <c r="AM86" s="86"/>
      <c r="AN86" s="86"/>
      <c r="AO86" s="86"/>
      <c r="AP86" s="86"/>
      <c r="AQ86" s="86"/>
      <c r="AR86" s="86"/>
      <c r="AS86" s="86"/>
      <c r="AT86" s="86"/>
      <c r="AU86" s="86"/>
      <c r="AV86" s="86"/>
      <c r="AW86" s="86"/>
      <c r="AX86" s="86"/>
      <c r="AY86" s="86"/>
      <c r="AZ86" s="86"/>
      <c r="BA86" s="86"/>
      <c r="BB86" s="86"/>
      <c r="BC86" s="86"/>
      <c r="BD86" s="87"/>
    </row>
    <row r="87" spans="26:56" ht="6" customHeight="1">
      <c r="Z87" s="86"/>
      <c r="AA87" s="86"/>
      <c r="AB87" s="86"/>
      <c r="AC87" s="86"/>
      <c r="AD87" s="86"/>
      <c r="AE87" s="86"/>
      <c r="AF87" s="86"/>
      <c r="AG87" s="86"/>
      <c r="AH87" s="86"/>
      <c r="AI87" s="86"/>
      <c r="AJ87" s="86"/>
      <c r="AK87" s="86"/>
      <c r="AL87" s="86"/>
      <c r="AM87" s="86"/>
      <c r="AN87" s="86"/>
      <c r="AO87" s="86"/>
      <c r="AP87" s="86"/>
      <c r="AQ87" s="86"/>
      <c r="AR87" s="86"/>
      <c r="AS87" s="86"/>
      <c r="AT87" s="86"/>
      <c r="AU87" s="86"/>
      <c r="AV87" s="86"/>
      <c r="AW87" s="86"/>
      <c r="AX87" s="86"/>
      <c r="AY87" s="86"/>
      <c r="AZ87" s="86"/>
      <c r="BA87" s="86"/>
      <c r="BB87" s="86"/>
      <c r="BC87" s="86"/>
      <c r="BD87" s="87"/>
    </row>
    <row r="88" spans="26:56" ht="6" customHeight="1">
      <c r="Z88" s="86"/>
      <c r="AA88" s="86"/>
      <c r="AB88" s="86"/>
      <c r="AC88" s="86"/>
      <c r="AD88" s="86"/>
      <c r="AE88" s="86"/>
      <c r="AF88" s="86"/>
      <c r="AG88" s="86"/>
      <c r="AH88" s="86"/>
      <c r="AI88" s="86"/>
      <c r="AJ88" s="86"/>
      <c r="AK88" s="86"/>
      <c r="AL88" s="86"/>
      <c r="AM88" s="86"/>
      <c r="AN88" s="86"/>
      <c r="AO88" s="86"/>
      <c r="AP88" s="86"/>
      <c r="AQ88" s="86"/>
      <c r="AR88" s="86"/>
      <c r="AS88" s="86"/>
      <c r="AT88" s="86"/>
      <c r="AU88" s="86"/>
      <c r="AV88" s="86"/>
      <c r="AW88" s="86"/>
      <c r="AX88" s="86"/>
      <c r="AY88" s="86"/>
      <c r="AZ88" s="86"/>
      <c r="BA88" s="86"/>
      <c r="BB88" s="86"/>
      <c r="BC88" s="86"/>
      <c r="BD88" s="87"/>
    </row>
    <row r="89" spans="26:56" ht="6" customHeight="1">
      <c r="Z89" s="86"/>
      <c r="AA89" s="86"/>
      <c r="AB89" s="86"/>
      <c r="AC89" s="86"/>
      <c r="AD89" s="86"/>
      <c r="AE89" s="86"/>
      <c r="AF89" s="86"/>
      <c r="AG89" s="86"/>
      <c r="AH89" s="86"/>
      <c r="AI89" s="86"/>
      <c r="AJ89" s="86"/>
      <c r="AK89" s="86"/>
      <c r="AL89" s="86"/>
      <c r="AM89" s="86"/>
      <c r="AN89" s="86"/>
      <c r="AO89" s="86"/>
      <c r="AP89" s="86"/>
      <c r="AQ89" s="86"/>
      <c r="AR89" s="86"/>
      <c r="AS89" s="86"/>
      <c r="AT89" s="86"/>
      <c r="AU89" s="86"/>
      <c r="AV89" s="86"/>
      <c r="AW89" s="86"/>
      <c r="AX89" s="86"/>
      <c r="AY89" s="86"/>
      <c r="AZ89" s="86"/>
      <c r="BA89" s="86"/>
      <c r="BB89" s="86"/>
      <c r="BC89" s="86"/>
      <c r="BD89" s="87"/>
    </row>
    <row r="90" spans="26:56" ht="6" customHeight="1">
      <c r="Z90" s="88" t="s">
        <v>135</v>
      </c>
      <c r="AA90" s="88"/>
      <c r="AB90" s="88"/>
      <c r="AC90" s="88"/>
      <c r="AD90" s="88"/>
      <c r="AE90" s="88"/>
      <c r="AF90" s="88"/>
      <c r="AG90" s="88"/>
      <c r="AH90" s="88"/>
      <c r="AI90" s="88"/>
      <c r="AJ90" s="88"/>
      <c r="AK90" s="88"/>
      <c r="AL90" s="88"/>
      <c r="AM90" s="88"/>
      <c r="AN90" s="88"/>
      <c r="AO90" s="88"/>
      <c r="AP90" s="88"/>
      <c r="AQ90" s="88"/>
      <c r="AR90" s="88"/>
      <c r="AS90" s="88"/>
      <c r="AT90" s="88"/>
      <c r="AU90" s="88"/>
      <c r="AV90" s="88"/>
      <c r="AW90" s="88"/>
      <c r="AX90" s="88"/>
      <c r="AY90" s="88"/>
      <c r="AZ90" s="88"/>
      <c r="BA90" s="88"/>
      <c r="BB90" s="88"/>
      <c r="BC90" s="88"/>
      <c r="BD90" s="89"/>
    </row>
    <row r="91" spans="26:56" ht="6" customHeight="1">
      <c r="Z91" s="88"/>
      <c r="AA91" s="88"/>
      <c r="AB91" s="88"/>
      <c r="AC91" s="88"/>
      <c r="AD91" s="88"/>
      <c r="AE91" s="88"/>
      <c r="AF91" s="88"/>
      <c r="AG91" s="88"/>
      <c r="AH91" s="88"/>
      <c r="AI91" s="88"/>
      <c r="AJ91" s="88"/>
      <c r="AK91" s="88"/>
      <c r="AL91" s="88"/>
      <c r="AM91" s="88"/>
      <c r="AN91" s="88"/>
      <c r="AO91" s="88"/>
      <c r="AP91" s="88"/>
      <c r="AQ91" s="88"/>
      <c r="AR91" s="88"/>
      <c r="AS91" s="88"/>
      <c r="AT91" s="88"/>
      <c r="AU91" s="88"/>
      <c r="AV91" s="88"/>
      <c r="AW91" s="88"/>
      <c r="AX91" s="88"/>
      <c r="AY91" s="88"/>
      <c r="AZ91" s="88"/>
      <c r="BA91" s="88"/>
      <c r="BB91" s="88"/>
      <c r="BC91" s="88"/>
      <c r="BD91" s="89"/>
    </row>
    <row r="92" spans="26:56" ht="6" customHeight="1">
      <c r="Z92" s="90"/>
      <c r="AA92" s="90"/>
      <c r="AB92" s="90"/>
      <c r="AC92" s="90"/>
      <c r="AD92" s="90"/>
      <c r="AE92" s="90"/>
      <c r="AF92" s="90"/>
      <c r="AG92" s="90"/>
      <c r="AH92" s="90"/>
      <c r="AI92" s="90"/>
      <c r="AJ92" s="90"/>
      <c r="AK92" s="90"/>
      <c r="AL92" s="90"/>
      <c r="AM92" s="90"/>
      <c r="AN92" s="90"/>
      <c r="AO92" s="90"/>
      <c r="AP92" s="90"/>
      <c r="AQ92" s="90"/>
      <c r="AR92" s="90"/>
      <c r="AS92" s="90"/>
      <c r="AT92" s="90"/>
      <c r="AU92" s="90"/>
      <c r="AV92" s="90"/>
      <c r="AW92" s="90"/>
      <c r="AX92" s="90"/>
      <c r="AY92" s="90"/>
      <c r="AZ92" s="90"/>
      <c r="BA92" s="90"/>
      <c r="BB92" s="90"/>
      <c r="BC92" s="90"/>
      <c r="BD92" s="90"/>
    </row>
    <row r="93" spans="26:56" ht="6" customHeight="1">
      <c r="Z93" s="90"/>
      <c r="AA93" s="90"/>
      <c r="AB93" s="90"/>
      <c r="AC93" s="90"/>
      <c r="AD93" s="90"/>
      <c r="AE93" s="90"/>
      <c r="AF93" s="90"/>
      <c r="AG93" s="90"/>
      <c r="AH93" s="90"/>
      <c r="AI93" s="90"/>
      <c r="AJ93" s="90"/>
      <c r="AK93" s="90"/>
      <c r="AL93" s="90"/>
      <c r="AM93" s="90"/>
      <c r="AN93" s="90"/>
      <c r="AO93" s="90"/>
      <c r="AP93" s="90"/>
      <c r="AQ93" s="90"/>
      <c r="AR93" s="90"/>
      <c r="AS93" s="90"/>
      <c r="AT93" s="90"/>
      <c r="AU93" s="90"/>
      <c r="AV93" s="90"/>
      <c r="AW93" s="90"/>
      <c r="AX93" s="90"/>
      <c r="AY93" s="90"/>
      <c r="AZ93" s="90"/>
      <c r="BA93" s="90"/>
      <c r="BB93" s="90"/>
      <c r="BC93" s="90"/>
      <c r="BD93" s="90"/>
    </row>
    <row r="94" spans="26:56" ht="6" customHeight="1">
      <c r="Z94" s="90"/>
      <c r="AA94" s="90"/>
      <c r="AB94" s="90"/>
      <c r="AC94" s="90"/>
      <c r="AD94" s="90"/>
      <c r="AE94" s="90"/>
      <c r="AF94" s="90"/>
      <c r="AG94" s="90"/>
      <c r="AH94" s="90"/>
      <c r="AI94" s="90"/>
      <c r="AJ94" s="90"/>
      <c r="AK94" s="90"/>
      <c r="AL94" s="90"/>
      <c r="AM94" s="90"/>
      <c r="AN94" s="90"/>
      <c r="AO94" s="90"/>
      <c r="AP94" s="90"/>
      <c r="AQ94" s="90"/>
      <c r="AR94" s="90"/>
      <c r="AS94" s="90"/>
      <c r="AT94" s="90"/>
      <c r="AU94" s="90"/>
      <c r="AV94" s="90"/>
      <c r="AW94" s="90"/>
      <c r="AX94" s="90"/>
      <c r="AY94" s="90"/>
      <c r="AZ94" s="90"/>
      <c r="BA94" s="90"/>
      <c r="BB94" s="90"/>
      <c r="BC94" s="90"/>
      <c r="BD94" s="90"/>
    </row>
    <row r="95" spans="26:56" ht="6" customHeight="1">
      <c r="Z95" s="90"/>
      <c r="AA95" s="90"/>
      <c r="AB95" s="90"/>
      <c r="AC95" s="90"/>
      <c r="AD95" s="90"/>
      <c r="AE95" s="90"/>
      <c r="AF95" s="90"/>
      <c r="AG95" s="90"/>
      <c r="AH95" s="90"/>
      <c r="AI95" s="90"/>
      <c r="AJ95" s="90"/>
      <c r="AK95" s="90"/>
      <c r="AL95" s="90"/>
      <c r="AM95" s="90"/>
      <c r="AN95" s="90"/>
      <c r="AO95" s="90"/>
      <c r="AP95" s="90"/>
      <c r="AQ95" s="90"/>
      <c r="AR95" s="90"/>
      <c r="AS95" s="90"/>
      <c r="AT95" s="90"/>
      <c r="AU95" s="90"/>
      <c r="AV95" s="90"/>
      <c r="AW95" s="90"/>
      <c r="AX95" s="90"/>
      <c r="AY95" s="90"/>
      <c r="AZ95" s="90"/>
      <c r="BA95" s="90"/>
      <c r="BB95" s="90"/>
      <c r="BC95" s="90"/>
      <c r="BD95" s="90"/>
    </row>
  </sheetData>
  <mergeCells count="39">
    <mergeCell ref="Z90:BC91"/>
    <mergeCell ref="Z65:BC69"/>
    <mergeCell ref="BN65:CQ67"/>
    <mergeCell ref="BN68:CQ69"/>
    <mergeCell ref="Z71:BC72"/>
    <mergeCell ref="Z77:BC81"/>
    <mergeCell ref="Z82:BC89"/>
    <mergeCell ref="Z59:BC61"/>
    <mergeCell ref="BN59:CQ61"/>
    <mergeCell ref="B60:P62"/>
    <mergeCell ref="Z62:BC63"/>
    <mergeCell ref="BN62:CQ63"/>
    <mergeCell ref="B63:P64"/>
    <mergeCell ref="Z48:BC50"/>
    <mergeCell ref="B51:P52"/>
    <mergeCell ref="Z51:BC52"/>
    <mergeCell ref="B54:P56"/>
    <mergeCell ref="Z54:BC58"/>
    <mergeCell ref="B57:P58"/>
    <mergeCell ref="BN34:CQ36"/>
    <mergeCell ref="Z37:BC39"/>
    <mergeCell ref="BN37:CQ38"/>
    <mergeCell ref="Z40:BC41"/>
    <mergeCell ref="BN40:CQ42"/>
    <mergeCell ref="Z43:BC47"/>
    <mergeCell ref="BN43:CQ44"/>
    <mergeCell ref="Z14:BC16"/>
    <mergeCell ref="Z17:BC18"/>
    <mergeCell ref="Z21:BC22"/>
    <mergeCell ref="Z23:BC24"/>
    <mergeCell ref="Z26:BC27"/>
    <mergeCell ref="Z32:BC36"/>
    <mergeCell ref="Z2:BC3"/>
    <mergeCell ref="Z4:BC6"/>
    <mergeCell ref="R5:W7"/>
    <mergeCell ref="BF5:BK7"/>
    <mergeCell ref="Z9:BC13"/>
    <mergeCell ref="BN9:CQ11"/>
    <mergeCell ref="BN12:CQ13"/>
  </mergeCells>
  <hyperlinks>
    <hyperlink ref="B63" r:id="rId1" xr:uid="{3425EE13-E540-4C58-842A-BB830BF5CD6B}"/>
    <hyperlink ref="B51" r:id="rId2" xr:uid="{CEB4FC90-335B-463E-BB89-6DB32F362E69}"/>
    <hyperlink ref="B57" r:id="rId3" xr:uid="{A6F7C830-A883-42BA-98B4-A4AB83FF10A7}"/>
    <hyperlink ref="Z4" r:id="rId4" xr:uid="{FC47A5F3-A80D-4267-8186-EA1C32CDE8A3}"/>
    <hyperlink ref="Z17" r:id="rId5" display="https://www.udemy.com/excel-mistrz-formul/?couponCode=STANDARDOWY" xr:uid="{3CA432E6-4C34-4DBF-ABCB-30E5217DB6D9}"/>
    <hyperlink ref="Z26" r:id="rId6" xr:uid="{977F65E5-9842-440A-A2DC-2746F2E15D51}"/>
    <hyperlink ref="Z40" r:id="rId7" display="https://www.udemy.com/excel-mistrz-formul/?couponCode=STANDARDOWY" xr:uid="{60FF6CE4-AF2C-4858-AE6B-4A8BCED2DB71}"/>
    <hyperlink ref="Z51" r:id="rId8" display="https://www.udemy.com/excel-mistrz-formul/?couponCode=STANDARDOWY" xr:uid="{CB447D15-9393-4C0B-845F-E5BEDD78D84B}"/>
    <hyperlink ref="Z62" r:id="rId9" display="https://www.udemy.com/excel-mistrz-formul/?couponCode=STANDARDOWY" xr:uid="{0EE62517-CA73-4F2C-9741-DB72C5CA58A7}"/>
    <hyperlink ref="Z71" r:id="rId10" display="https://www.udemy.com/excel-mistrz-formul/?couponCode=STANDARDOWY" xr:uid="{EB7DDCE6-554F-46BF-959C-535F9DA61E3E}"/>
    <hyperlink ref="BN12" r:id="rId11" location="mistrz-excela-w-20-dni" xr:uid="{964066FA-71AC-41E1-9C02-C73E5E6319B3}"/>
    <hyperlink ref="BN37" r:id="rId12" location="mistrz-excela-w-20-dni" display="http://ksplus.komputerswiat.pl/sklep#mistrz-excela-w-20-dni" xr:uid="{62094AFE-77A2-4D80-929B-0286CBB16722}"/>
    <hyperlink ref="BN43" r:id="rId13" location="mistrz-excela-w-20-dni" display="http://ksplus.komputerswiat.pl/sklep#mistrz-excela-w-20-dni" xr:uid="{5DF56FCB-4DF8-4702-B542-D19F273F8113}"/>
    <hyperlink ref="BN62" r:id="rId14" location="mistrz-excela-w-20-dni" display="http://ksplus.komputerswiat.pl/sklep#mistrz-excela-w-20-dni" xr:uid="{DB5F01FB-3A2C-4FFA-9C5E-7E24FE99CCBA}"/>
    <hyperlink ref="BN68" r:id="rId15" location="mistrz-excela-w-20-dni" display="http://ksplus.komputerswiat.pl/sklep#mistrz-excela-w-20-dni" xr:uid="{3E7FE6CE-64C2-4FEB-A58E-D682988C53C7}"/>
  </hyperlinks>
  <pageMargins left="0.7" right="0.7" top="0.75" bottom="0.75" header="0.3" footer="0.3"/>
  <pageSetup paperSize="9" orientation="portrait" r:id="rId16"/>
  <drawing r:id="rId17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2">
    <tabColor rgb="FF1E73BE"/>
  </sheetPr>
  <dimension ref="A1:F12"/>
  <sheetViews>
    <sheetView zoomScale="145" zoomScaleNormal="145" workbookViewId="0"/>
  </sheetViews>
  <sheetFormatPr defaultColWidth="9.109375" defaultRowHeight="14.4"/>
  <cols>
    <col min="1" max="1" width="17.6640625" style="5" customWidth="1"/>
    <col min="2" max="2" width="19.33203125" style="5" customWidth="1"/>
    <col min="3" max="3" width="6.44140625" style="3" customWidth="1"/>
    <col min="4" max="4" width="29.33203125" style="5" bestFit="1" customWidth="1"/>
    <col min="5" max="5" width="11.109375" style="5" bestFit="1" customWidth="1"/>
    <col min="6" max="6" width="12.6640625" style="5" bestFit="1" customWidth="1"/>
    <col min="7" max="7" width="11.109375" style="5" bestFit="1" customWidth="1"/>
    <col min="8" max="8" width="14.6640625" style="5" customWidth="1"/>
    <col min="9" max="9" width="11.109375" style="5" bestFit="1" customWidth="1"/>
    <col min="10" max="16384" width="9.109375" style="5"/>
  </cols>
  <sheetData>
    <row r="1" spans="1:6">
      <c r="A1" s="2" t="s">
        <v>17</v>
      </c>
      <c r="B1" s="2"/>
      <c r="D1" s="2" t="s">
        <v>3</v>
      </c>
      <c r="E1" s="4" t="s">
        <v>0</v>
      </c>
    </row>
    <row r="2" spans="1:6">
      <c r="A2" s="6" t="s">
        <v>1</v>
      </c>
      <c r="B2" s="7">
        <v>13.583</v>
      </c>
      <c r="D2" s="8" t="s">
        <v>19</v>
      </c>
    </row>
    <row r="3" spans="1:6">
      <c r="A3" s="6" t="s">
        <v>2</v>
      </c>
      <c r="B3" s="9">
        <v>-13.586</v>
      </c>
      <c r="D3" s="10">
        <f>B3*100</f>
        <v>-1358.6000000000001</v>
      </c>
    </row>
    <row r="4" spans="1:6" s="3" customFormat="1"/>
    <row r="5" spans="1:6" s="3" customFormat="1">
      <c r="A5" s="2" t="s">
        <v>20</v>
      </c>
      <c r="B5" s="2"/>
      <c r="C5" s="5"/>
    </row>
    <row r="6" spans="1:6">
      <c r="A6" s="6" t="s">
        <v>1</v>
      </c>
      <c r="B6" s="11" t="s">
        <v>11</v>
      </c>
      <c r="C6" s="5"/>
      <c r="F6" s="12"/>
    </row>
    <row r="7" spans="1:6">
      <c r="A7" s="6" t="s">
        <v>6</v>
      </c>
      <c r="B7" s="13">
        <v>12</v>
      </c>
      <c r="D7" s="8" t="s">
        <v>21</v>
      </c>
    </row>
    <row r="8" spans="1:6">
      <c r="A8" s="6" t="s">
        <v>12</v>
      </c>
      <c r="B8" s="6" t="s">
        <v>13</v>
      </c>
      <c r="C8" s="5"/>
    </row>
    <row r="9" spans="1:6">
      <c r="A9" s="14">
        <v>34</v>
      </c>
      <c r="B9" s="15">
        <f>A9*$B$7</f>
        <v>408</v>
      </c>
      <c r="C9" s="5"/>
      <c r="D9" s="16"/>
    </row>
    <row r="10" spans="1:6">
      <c r="A10" s="14">
        <v>26</v>
      </c>
      <c r="B10" s="15">
        <f t="shared" ref="B10:B11" si="0">A10*$B$7</f>
        <v>312</v>
      </c>
      <c r="C10" s="5"/>
      <c r="D10" s="10"/>
    </row>
    <row r="11" spans="1:6">
      <c r="A11" s="14">
        <v>29</v>
      </c>
      <c r="B11" s="15">
        <f t="shared" si="0"/>
        <v>348</v>
      </c>
      <c r="C11" s="5"/>
    </row>
    <row r="12" spans="1:6">
      <c r="B12" s="17"/>
    </row>
  </sheetData>
  <hyperlinks>
    <hyperlink ref="E1" r:id="rId1" xr:uid="{00000000-0004-0000-0000-000000000000}"/>
  </hyperlinks>
  <pageMargins left="0.7" right="0.7" top="0.75" bottom="0.75" header="0.3" footer="0.3"/>
  <pageSetup paperSize="9"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1E73BE"/>
  </sheetPr>
  <dimension ref="A1:D13"/>
  <sheetViews>
    <sheetView zoomScale="130" zoomScaleNormal="130" workbookViewId="0">
      <selection sqref="A1:XFD1048576"/>
    </sheetView>
  </sheetViews>
  <sheetFormatPr defaultColWidth="9.109375" defaultRowHeight="14.4"/>
  <cols>
    <col min="1" max="1" width="17.6640625" style="5" customWidth="1"/>
    <col min="2" max="2" width="29.5546875" style="5" bestFit="1" customWidth="1"/>
    <col min="3" max="3" width="6.44140625" style="3" customWidth="1"/>
    <col min="4" max="4" width="27.33203125" style="5" bestFit="1" customWidth="1"/>
    <col min="5" max="16384" width="9.109375" style="5"/>
  </cols>
  <sheetData>
    <row r="1" spans="1:4" s="3" customFormat="1">
      <c r="A1" s="6" t="s">
        <v>4</v>
      </c>
      <c r="B1" s="6" t="s">
        <v>22</v>
      </c>
    </row>
    <row r="2" spans="1:4" s="3" customFormat="1">
      <c r="A2" s="45">
        <v>-11</v>
      </c>
      <c r="B2" s="46">
        <f>A2</f>
        <v>-11</v>
      </c>
      <c r="D2" s="47"/>
    </row>
    <row r="3" spans="1:4" s="3" customFormat="1">
      <c r="A3" s="45">
        <v>2</v>
      </c>
      <c r="B3" s="46">
        <f t="shared" ref="B3:B6" si="0">A3</f>
        <v>2</v>
      </c>
    </row>
    <row r="4" spans="1:4" s="3" customFormat="1">
      <c r="A4" s="45">
        <v>40775</v>
      </c>
      <c r="B4" s="46">
        <f t="shared" si="0"/>
        <v>40775</v>
      </c>
    </row>
    <row r="5" spans="1:4" s="3" customFormat="1">
      <c r="A5" s="48">
        <v>41110</v>
      </c>
      <c r="B5" s="46">
        <f t="shared" si="0"/>
        <v>41110</v>
      </c>
      <c r="D5" s="49">
        <f>A5+80</f>
        <v>41190</v>
      </c>
    </row>
    <row r="6" spans="1:4" s="3" customFormat="1">
      <c r="A6" s="45">
        <v>42093</v>
      </c>
      <c r="B6" s="46">
        <f t="shared" si="0"/>
        <v>42093</v>
      </c>
    </row>
    <row r="7" spans="1:4" s="3" customFormat="1">
      <c r="A7" s="47"/>
    </row>
    <row r="8" spans="1:4" s="3" customFormat="1"/>
    <row r="9" spans="1:4">
      <c r="A9" s="2" t="s">
        <v>18</v>
      </c>
      <c r="B9" s="2"/>
    </row>
    <row r="10" spans="1:4">
      <c r="A10" s="6" t="s">
        <v>1</v>
      </c>
      <c r="B10" s="50" t="s">
        <v>5</v>
      </c>
    </row>
    <row r="11" spans="1:4">
      <c r="A11" s="6" t="s">
        <v>6</v>
      </c>
      <c r="B11" s="51">
        <v>41677</v>
      </c>
      <c r="D11" s="8" t="s">
        <v>23</v>
      </c>
    </row>
    <row r="12" spans="1:4" s="3" customFormat="1">
      <c r="B12" s="52">
        <f>B11+80</f>
        <v>41757</v>
      </c>
    </row>
    <row r="13" spans="1:4" s="3" customFormat="1"/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1E73BE"/>
  </sheetPr>
  <dimension ref="A1:E12"/>
  <sheetViews>
    <sheetView zoomScaleNormal="100" workbookViewId="0">
      <selection sqref="A1:XFD1048576"/>
    </sheetView>
  </sheetViews>
  <sheetFormatPr defaultColWidth="9.109375" defaultRowHeight="14.4"/>
  <cols>
    <col min="1" max="1" width="9.5546875" style="5" bestFit="1" customWidth="1"/>
    <col min="2" max="2" width="45.44140625" style="5" customWidth="1"/>
    <col min="3" max="3" width="12.44140625" style="3" customWidth="1"/>
    <col min="4" max="4" width="21.44140625" style="5" bestFit="1" customWidth="1"/>
    <col min="5" max="5" width="14.6640625" style="5" customWidth="1"/>
    <col min="6" max="6" width="11.109375" style="5" bestFit="1" customWidth="1"/>
    <col min="7" max="16384" width="9.109375" style="5"/>
  </cols>
  <sheetData>
    <row r="1" spans="1:5">
      <c r="A1" s="6" t="s">
        <v>31</v>
      </c>
      <c r="B1" s="6" t="s">
        <v>32</v>
      </c>
      <c r="C1" s="6" t="s">
        <v>33</v>
      </c>
    </row>
    <row r="2" spans="1:5" s="3" customFormat="1" ht="28.8">
      <c r="A2" s="41" t="s">
        <v>34</v>
      </c>
      <c r="B2" s="29" t="s">
        <v>35</v>
      </c>
      <c r="C2" s="29" t="s">
        <v>36</v>
      </c>
      <c r="D2" s="5"/>
      <c r="E2" s="5"/>
    </row>
    <row r="3" spans="1:5" s="3" customFormat="1" ht="28.8">
      <c r="A3" s="41" t="s">
        <v>37</v>
      </c>
      <c r="B3" s="29" t="s">
        <v>38</v>
      </c>
      <c r="C3" s="29" t="s">
        <v>39</v>
      </c>
      <c r="D3" s="5"/>
      <c r="E3" s="5"/>
    </row>
    <row r="4" spans="1:5" s="3" customFormat="1">
      <c r="A4" s="41" t="s">
        <v>40</v>
      </c>
      <c r="B4" s="29" t="s">
        <v>41</v>
      </c>
      <c r="C4" s="29" t="s">
        <v>42</v>
      </c>
      <c r="D4" s="5"/>
      <c r="E4" s="5"/>
    </row>
    <row r="5" spans="1:5" s="3" customFormat="1" ht="28.8">
      <c r="A5" s="41" t="s">
        <v>43</v>
      </c>
      <c r="B5" s="29" t="s">
        <v>44</v>
      </c>
      <c r="C5" s="29" t="s">
        <v>45</v>
      </c>
      <c r="D5" s="5"/>
      <c r="E5" s="5"/>
    </row>
    <row r="6" spans="1:5" s="3" customFormat="1" ht="28.8">
      <c r="A6" s="41" t="s">
        <v>46</v>
      </c>
      <c r="B6" s="29" t="s">
        <v>47</v>
      </c>
      <c r="C6" s="29" t="s">
        <v>48</v>
      </c>
      <c r="D6" s="5"/>
      <c r="E6" s="5"/>
    </row>
    <row r="7" spans="1:5" s="3" customFormat="1" ht="28.8">
      <c r="A7" s="41" t="s">
        <v>49</v>
      </c>
      <c r="B7" s="29" t="s">
        <v>50</v>
      </c>
      <c r="C7" s="29" t="s">
        <v>51</v>
      </c>
      <c r="D7" s="5"/>
      <c r="E7" s="5"/>
    </row>
    <row r="8" spans="1:5" s="3" customFormat="1" ht="28.8">
      <c r="A8" s="41" t="s">
        <v>52</v>
      </c>
      <c r="B8" s="29" t="s">
        <v>53</v>
      </c>
      <c r="C8" s="29" t="s">
        <v>54</v>
      </c>
      <c r="D8" s="5"/>
      <c r="E8" s="5"/>
    </row>
    <row r="9" spans="1:5" s="3" customFormat="1">
      <c r="A9" s="41" t="s">
        <v>55</v>
      </c>
      <c r="B9" s="29" t="s">
        <v>56</v>
      </c>
      <c r="C9" s="29" t="s">
        <v>57</v>
      </c>
      <c r="D9" s="5"/>
      <c r="E9" s="5"/>
    </row>
    <row r="10" spans="1:5" s="3" customFormat="1" ht="28.8">
      <c r="A10" s="42" t="s">
        <v>58</v>
      </c>
      <c r="B10" s="43" t="s">
        <v>59</v>
      </c>
      <c r="C10" s="29" t="s">
        <v>60</v>
      </c>
      <c r="D10" s="5"/>
      <c r="E10" s="5"/>
    </row>
    <row r="11" spans="1:5" s="3" customFormat="1">
      <c r="A11" s="44" t="s">
        <v>61</v>
      </c>
      <c r="B11" s="43" t="s">
        <v>62</v>
      </c>
      <c r="C11" s="29" t="s">
        <v>63</v>
      </c>
      <c r="D11" s="5"/>
      <c r="E11" s="5"/>
    </row>
    <row r="12" spans="1:5" s="3" customFormat="1">
      <c r="A12" s="44" t="s">
        <v>64</v>
      </c>
      <c r="B12" s="43" t="s">
        <v>65</v>
      </c>
      <c r="C12" s="29" t="s">
        <v>66</v>
      </c>
      <c r="D12" s="5"/>
      <c r="E12" s="5"/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1E73BE"/>
  </sheetPr>
  <dimension ref="A1:D22"/>
  <sheetViews>
    <sheetView topLeftCell="A7" zoomScale="130" zoomScaleNormal="130" workbookViewId="0">
      <selection sqref="A1:XFD1048576"/>
    </sheetView>
  </sheetViews>
  <sheetFormatPr defaultColWidth="9.109375" defaultRowHeight="14.4"/>
  <cols>
    <col min="1" max="1" width="17.6640625" style="5" customWidth="1"/>
    <col min="2" max="2" width="18.5546875" style="5" customWidth="1"/>
    <col min="3" max="3" width="6.44140625" style="3" customWidth="1"/>
    <col min="4" max="4" width="21.44140625" style="5" bestFit="1" customWidth="1"/>
    <col min="5" max="16384" width="9.109375" style="5"/>
  </cols>
  <sheetData>
    <row r="1" spans="1:4" s="3" customFormat="1" ht="28.8">
      <c r="A1" s="6" t="s">
        <v>7</v>
      </c>
      <c r="B1" s="6" t="s">
        <v>22</v>
      </c>
    </row>
    <row r="2" spans="1:4" s="3" customFormat="1">
      <c r="A2" s="31">
        <v>0.25</v>
      </c>
      <c r="B2" s="32">
        <f>A2</f>
        <v>0.25</v>
      </c>
    </row>
    <row r="3" spans="1:4" s="3" customFormat="1">
      <c r="A3" s="31">
        <v>0.33333333333333331</v>
      </c>
      <c r="B3" s="32">
        <f t="shared" ref="B3:B6" si="0">A3</f>
        <v>0.33333333333333331</v>
      </c>
    </row>
    <row r="4" spans="1:4" s="3" customFormat="1">
      <c r="A4" s="31">
        <v>0.375</v>
      </c>
      <c r="B4" s="32">
        <f t="shared" si="0"/>
        <v>0.375</v>
      </c>
    </row>
    <row r="5" spans="1:4" s="3" customFormat="1">
      <c r="A5" s="31">
        <v>0.5</v>
      </c>
      <c r="B5" s="32">
        <f t="shared" si="0"/>
        <v>0.5</v>
      </c>
    </row>
    <row r="6" spans="1:4" s="3" customFormat="1">
      <c r="A6" s="31">
        <v>0.625</v>
      </c>
      <c r="B6" s="32">
        <f t="shared" si="0"/>
        <v>0.625</v>
      </c>
    </row>
    <row r="7" spans="1:4" s="3" customFormat="1">
      <c r="A7" s="33"/>
      <c r="B7" s="34"/>
    </row>
    <row r="8" spans="1:4" s="3" customFormat="1">
      <c r="A8" s="2" t="s">
        <v>24</v>
      </c>
      <c r="B8" s="2"/>
    </row>
    <row r="9" spans="1:4">
      <c r="A9" s="6" t="s">
        <v>1</v>
      </c>
      <c r="B9" s="35">
        <v>0.375</v>
      </c>
    </row>
    <row r="10" spans="1:4">
      <c r="A10" s="6" t="s">
        <v>6</v>
      </c>
      <c r="B10" s="35">
        <f>9/24</f>
        <v>0.375</v>
      </c>
      <c r="D10" s="8" t="s">
        <v>25</v>
      </c>
    </row>
    <row r="12" spans="1:4">
      <c r="A12" s="2" t="s">
        <v>8</v>
      </c>
      <c r="B12" s="2"/>
    </row>
    <row r="13" spans="1:4">
      <c r="A13" s="6" t="s">
        <v>1</v>
      </c>
      <c r="B13" s="36">
        <v>1.6666666666666667</v>
      </c>
      <c r="D13" s="8" t="s">
        <v>26</v>
      </c>
    </row>
    <row r="14" spans="1:4">
      <c r="A14" s="6" t="s">
        <v>6</v>
      </c>
      <c r="B14" s="36">
        <f>1.66666666666667</f>
        <v>1.6666666666666701</v>
      </c>
    </row>
    <row r="16" spans="1:4">
      <c r="A16" s="2" t="s">
        <v>27</v>
      </c>
      <c r="B16" s="2"/>
    </row>
    <row r="17" spans="1:4" ht="28.8">
      <c r="A17" s="6" t="s">
        <v>28</v>
      </c>
      <c r="B17" s="37">
        <v>0.33333333333333331</v>
      </c>
      <c r="D17" s="5">
        <v>8</v>
      </c>
    </row>
    <row r="18" spans="1:4">
      <c r="A18" s="6" t="s">
        <v>29</v>
      </c>
      <c r="B18" s="38">
        <v>20</v>
      </c>
      <c r="D18" s="39">
        <v>20</v>
      </c>
    </row>
    <row r="19" spans="1:4">
      <c r="A19" s="6" t="s">
        <v>30</v>
      </c>
      <c r="B19" s="40">
        <f>B17*B18*24</f>
        <v>160</v>
      </c>
      <c r="D19" s="39">
        <f>D17*D18</f>
        <v>160</v>
      </c>
    </row>
    <row r="22" spans="1:4">
      <c r="D22" s="12"/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Arkusz5">
    <tabColor rgb="FF1E73BE"/>
  </sheetPr>
  <dimension ref="A1:D11"/>
  <sheetViews>
    <sheetView zoomScaleNormal="100" workbookViewId="0">
      <selection sqref="A1:XFD1048576"/>
    </sheetView>
  </sheetViews>
  <sheetFormatPr defaultColWidth="9.109375" defaultRowHeight="14.4"/>
  <cols>
    <col min="1" max="1" width="8.33203125" style="5" bestFit="1" customWidth="1"/>
    <col min="2" max="2" width="73.5546875" style="5" customWidth="1"/>
    <col min="3" max="3" width="21.44140625" style="5" bestFit="1" customWidth="1"/>
    <col min="4" max="4" width="14.6640625" style="5" customWidth="1"/>
    <col min="5" max="5" width="11.109375" style="5" bestFit="1" customWidth="1"/>
    <col min="6" max="16384" width="9.109375" style="5"/>
  </cols>
  <sheetData>
    <row r="1" spans="1:4">
      <c r="A1" s="6" t="s">
        <v>31</v>
      </c>
      <c r="B1" s="6" t="s">
        <v>32</v>
      </c>
    </row>
    <row r="2" spans="1:4" s="3" customFormat="1">
      <c r="A2" s="29" t="s">
        <v>67</v>
      </c>
      <c r="B2" s="30" t="s">
        <v>68</v>
      </c>
      <c r="C2" s="5"/>
      <c r="D2" s="5"/>
    </row>
    <row r="3" spans="1:4" s="3" customFormat="1" ht="43.2">
      <c r="A3" s="29" t="s">
        <v>69</v>
      </c>
      <c r="B3" s="30" t="s">
        <v>93</v>
      </c>
      <c r="C3" s="5"/>
      <c r="D3" s="5"/>
    </row>
    <row r="4" spans="1:4" s="3" customFormat="1" ht="43.2">
      <c r="A4" s="29" t="s">
        <v>70</v>
      </c>
      <c r="B4" s="30" t="s">
        <v>94</v>
      </c>
      <c r="C4" s="5"/>
      <c r="D4" s="5"/>
    </row>
    <row r="5" spans="1:4" s="3" customFormat="1" ht="57.6">
      <c r="A5" s="29" t="s">
        <v>34</v>
      </c>
      <c r="B5" s="30" t="s">
        <v>71</v>
      </c>
      <c r="C5" s="5"/>
      <c r="D5" s="5"/>
    </row>
    <row r="6" spans="1:4" s="3" customFormat="1" ht="43.2">
      <c r="A6" s="29" t="s">
        <v>72</v>
      </c>
      <c r="B6" s="30" t="s">
        <v>95</v>
      </c>
      <c r="C6" s="5"/>
      <c r="D6" s="5"/>
    </row>
    <row r="7" spans="1:4" s="3" customFormat="1">
      <c r="A7" s="29" t="s">
        <v>37</v>
      </c>
      <c r="B7" s="30" t="s">
        <v>73</v>
      </c>
      <c r="C7" s="5"/>
      <c r="D7" s="5"/>
    </row>
    <row r="8" spans="1:4" s="3" customFormat="1">
      <c r="A8" s="29" t="s">
        <v>74</v>
      </c>
      <c r="B8" s="30" t="s">
        <v>75</v>
      </c>
      <c r="C8" s="5"/>
      <c r="D8" s="5"/>
    </row>
    <row r="9" spans="1:4" ht="43.2">
      <c r="A9" s="29" t="s">
        <v>76</v>
      </c>
      <c r="B9" s="30" t="s">
        <v>96</v>
      </c>
    </row>
    <row r="10" spans="1:4" ht="43.2">
      <c r="A10" s="29" t="s">
        <v>77</v>
      </c>
      <c r="B10" s="30" t="s">
        <v>97</v>
      </c>
    </row>
    <row r="11" spans="1:4" ht="43.2">
      <c r="A11" s="29" t="s">
        <v>78</v>
      </c>
      <c r="B11" s="30" t="s">
        <v>98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Arkusz6">
    <tabColor rgb="FF1E73BE"/>
  </sheetPr>
  <dimension ref="A1:E23"/>
  <sheetViews>
    <sheetView topLeftCell="A13" zoomScale="130" zoomScaleNormal="130" workbookViewId="0">
      <selection sqref="A1:XFD1048576"/>
    </sheetView>
  </sheetViews>
  <sheetFormatPr defaultColWidth="9.109375" defaultRowHeight="14.4"/>
  <cols>
    <col min="1" max="1" width="17.6640625" style="5" customWidth="1"/>
    <col min="2" max="2" width="18.5546875" style="5" customWidth="1"/>
    <col min="3" max="3" width="26.33203125" style="5" customWidth="1"/>
    <col min="4" max="4" width="11.109375" style="5" bestFit="1" customWidth="1"/>
    <col min="5" max="5" width="12.6640625" style="5" bestFit="1" customWidth="1"/>
    <col min="6" max="6" width="11.109375" style="5" bestFit="1" customWidth="1"/>
    <col min="7" max="7" width="14.6640625" style="5" customWidth="1"/>
    <col min="8" max="8" width="11.109375" style="5" bestFit="1" customWidth="1"/>
    <col min="9" max="16384" width="9.109375" style="5"/>
  </cols>
  <sheetData>
    <row r="1" spans="1:5">
      <c r="A1" s="2" t="s">
        <v>9</v>
      </c>
      <c r="B1" s="2"/>
      <c r="C1" s="2" t="s">
        <v>79</v>
      </c>
    </row>
    <row r="2" spans="1:5">
      <c r="A2" s="6" t="s">
        <v>80</v>
      </c>
      <c r="B2" s="18">
        <v>2.444E-2</v>
      </c>
    </row>
    <row r="3" spans="1:5">
      <c r="A3" s="6" t="s">
        <v>6</v>
      </c>
      <c r="B3" s="19">
        <v>2.444E-2</v>
      </c>
      <c r="C3" s="20" t="s">
        <v>81</v>
      </c>
    </row>
    <row r="4" spans="1:5" s="3" customFormat="1"/>
    <row r="5" spans="1:5">
      <c r="A5" s="2" t="s">
        <v>10</v>
      </c>
      <c r="B5" s="2"/>
    </row>
    <row r="6" spans="1:5">
      <c r="A6" s="6" t="s">
        <v>80</v>
      </c>
      <c r="B6" s="21">
        <f>4/33</f>
        <v>0.12121212121212122</v>
      </c>
      <c r="C6" s="14"/>
    </row>
    <row r="7" spans="1:5">
      <c r="A7" s="6" t="s">
        <v>6</v>
      </c>
      <c r="B7" s="11">
        <f>B6</f>
        <v>0.12121212121212122</v>
      </c>
      <c r="C7" s="8" t="s">
        <v>82</v>
      </c>
      <c r="E7" s="5" t="s">
        <v>83</v>
      </c>
    </row>
    <row r="8" spans="1:5">
      <c r="A8" s="6" t="s">
        <v>6</v>
      </c>
      <c r="B8" s="22">
        <f>B7</f>
        <v>0.12121212121212122</v>
      </c>
      <c r="C8" s="8" t="s">
        <v>84</v>
      </c>
      <c r="E8" s="3" t="s">
        <v>85</v>
      </c>
    </row>
    <row r="9" spans="1:5" s="3" customFormat="1"/>
    <row r="10" spans="1:5">
      <c r="A10" s="2" t="s">
        <v>86</v>
      </c>
      <c r="B10" s="2"/>
    </row>
    <row r="11" spans="1:5">
      <c r="A11" s="6" t="s">
        <v>80</v>
      </c>
      <c r="B11" s="23">
        <v>12500000</v>
      </c>
    </row>
    <row r="12" spans="1:5">
      <c r="A12" s="6" t="s">
        <v>6</v>
      </c>
      <c r="B12" s="24">
        <f>B11</f>
        <v>12500000</v>
      </c>
      <c r="C12" s="8" t="s">
        <v>87</v>
      </c>
    </row>
    <row r="13" spans="1:5" s="3" customFormat="1"/>
    <row r="14" spans="1:5">
      <c r="A14" s="2" t="s">
        <v>88</v>
      </c>
      <c r="B14" s="2"/>
    </row>
    <row r="15" spans="1:5">
      <c r="A15" s="6" t="s">
        <v>80</v>
      </c>
      <c r="B15" s="25">
        <v>123</v>
      </c>
      <c r="C15" s="14"/>
    </row>
    <row r="16" spans="1:5" s="3" customFormat="1">
      <c r="A16" s="6" t="s">
        <v>6</v>
      </c>
      <c r="B16" s="25">
        <v>123</v>
      </c>
      <c r="C16" s="8" t="s">
        <v>89</v>
      </c>
    </row>
    <row r="17" spans="1:5">
      <c r="A17" s="3"/>
      <c r="B17" s="3"/>
      <c r="C17" s="3"/>
    </row>
    <row r="18" spans="1:5">
      <c r="A18" s="2" t="s">
        <v>14</v>
      </c>
      <c r="B18" s="2"/>
      <c r="C18" s="2"/>
      <c r="E18" s="26">
        <v>0</v>
      </c>
    </row>
    <row r="19" spans="1:5">
      <c r="A19" s="8" t="s">
        <v>15</v>
      </c>
      <c r="B19" s="8"/>
      <c r="C19" s="8"/>
    </row>
    <row r="20" spans="1:5" s="3" customFormat="1"/>
    <row r="21" spans="1:5">
      <c r="A21" s="2" t="s">
        <v>90</v>
      </c>
      <c r="B21" s="2"/>
      <c r="C21" s="2"/>
    </row>
    <row r="22" spans="1:5">
      <c r="A22" s="6" t="s">
        <v>6</v>
      </c>
      <c r="B22" s="27" t="s">
        <v>16</v>
      </c>
      <c r="C22" s="8" t="s">
        <v>91</v>
      </c>
    </row>
    <row r="23" spans="1:5">
      <c r="A23" s="6" t="s">
        <v>6</v>
      </c>
      <c r="B23" s="28" t="s">
        <v>16</v>
      </c>
      <c r="C23" s="8" t="s">
        <v>92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ExceliAdam</vt:lpstr>
      <vt:lpstr>Walutowe</vt:lpstr>
      <vt:lpstr>Data</vt:lpstr>
      <vt:lpstr>Kody Daty</vt:lpstr>
      <vt:lpstr>Czas</vt:lpstr>
      <vt:lpstr>Kody Czasu</vt:lpstr>
      <vt:lpstr>Różne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LENOVO</cp:lastModifiedBy>
  <dcterms:created xsi:type="dcterms:W3CDTF">2015-10-21T03:34:09Z</dcterms:created>
  <dcterms:modified xsi:type="dcterms:W3CDTF">2019-05-13T07:49:40Z</dcterms:modified>
</cp:coreProperties>
</file>